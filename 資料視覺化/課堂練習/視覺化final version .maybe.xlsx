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2D6D38FF-96A2-4B57-B780-455001907FC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團隊分組" sheetId="1" r:id="rId1"/>
    <sheet name="交易處理資料 " sheetId="7" r:id="rId2"/>
    <sheet name="熱圖" sheetId="8" r:id="rId3"/>
    <sheet name="樞紐" sheetId="11" r:id="rId4"/>
    <sheet name="儀錶板" sheetId="12" r:id="rId5"/>
  </sheets>
  <definedNames>
    <definedName name="Slicer_月__數據日期_2">#N/A</definedName>
    <definedName name="Slicer_組別">#N/A</definedName>
    <definedName name="Slicer_部門別">#N/A</definedName>
    <definedName name="人員">團隊分組!$L$22:$BJ$22</definedName>
    <definedName name="外部資料_1" localSheetId="1" hidden="1">'交易處理資料 '!$A$1:$K$3535</definedName>
    <definedName name="快速保養團隊A">團隊分組!$N$21</definedName>
    <definedName name="快速保養團隊B">團隊分組!$O$21</definedName>
    <definedName name="查修團隊A">團隊分組!$L$21</definedName>
    <definedName name="查修團隊B">團隊分組!$M$21</definedName>
    <definedName name="部門">團隊分組!$L$21:$N$21</definedName>
    <definedName name="無效數據">團隊分組!$R$21</definedName>
    <definedName name="鈑金維修組">團隊分組!$P$21</definedName>
    <definedName name="團隊">團隊分組!$L$20:$R$20</definedName>
    <definedName name="噴漆維修組">團隊分組!$Q$21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8" l="1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D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1" i="1"/>
  <c r="D12" i="1"/>
  <c r="D3" i="1"/>
  <c r="D4" i="1"/>
  <c r="D5" i="1"/>
  <c r="D6" i="1"/>
  <c r="D7" i="1"/>
  <c r="D8" i="1"/>
  <c r="D9" i="1"/>
  <c r="D10" i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L4" i="8" s="1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L5" i="8" s="1"/>
  <c r="M1281" i="7"/>
  <c r="M1282" i="7"/>
  <c r="M1283" i="7"/>
  <c r="M1284" i="7"/>
  <c r="L6" i="8" s="1"/>
  <c r="M1285" i="7"/>
  <c r="M1286" i="7"/>
  <c r="L13" i="8" s="1"/>
  <c r="M1287" i="7"/>
  <c r="L14" i="8" s="1"/>
  <c r="M1288" i="7"/>
  <c r="L17" i="8" s="1"/>
  <c r="M1289" i="7"/>
  <c r="M1290" i="7"/>
  <c r="M1291" i="7"/>
  <c r="M1292" i="7"/>
  <c r="L18" i="8" s="1"/>
  <c r="M1293" i="7"/>
  <c r="L19" i="8" s="1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L24" i="8" s="1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L29" i="8" s="1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L33" i="8" s="1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L41" i="8" s="1"/>
  <c r="M2814" i="7"/>
  <c r="L45" i="8" s="1"/>
  <c r="M2815" i="7"/>
  <c r="L46" i="8" s="1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L49" i="8" s="1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L50" i="8" s="1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Z3" i="11"/>
  <c r="Z2" i="11"/>
  <c r="Z5" i="11"/>
  <c r="Z4" i="11"/>
  <c r="L52" i="8" l="1"/>
  <c r="L40" i="8"/>
  <c r="L28" i="8"/>
  <c r="L16" i="8"/>
  <c r="L51" i="8"/>
  <c r="L39" i="8"/>
  <c r="L27" i="8"/>
  <c r="L15" i="8"/>
  <c r="L38" i="8"/>
  <c r="L26" i="8"/>
  <c r="L37" i="8"/>
  <c r="L25" i="8"/>
  <c r="L48" i="8"/>
  <c r="L36" i="8"/>
  <c r="L12" i="8"/>
  <c r="L47" i="8"/>
  <c r="L35" i="8"/>
  <c r="L23" i="8"/>
  <c r="L11" i="8"/>
  <c r="L34" i="8"/>
  <c r="L22" i="8"/>
  <c r="L10" i="8"/>
  <c r="L21" i="8"/>
  <c r="L9" i="8"/>
  <c r="L44" i="8"/>
  <c r="L32" i="8"/>
  <c r="L20" i="8"/>
  <c r="L8" i="8"/>
  <c r="L43" i="8"/>
  <c r="L31" i="8"/>
  <c r="L7" i="8"/>
  <c r="L42" i="8"/>
  <c r="L3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9AB8A-4D5B-4417-9F67-27434EFEF69D}" keepAlive="1" name="查詢 - 交易處理資料" description="與活頁簿中 '交易處理資料' 查詢的連接。" type="5" refreshedVersion="8" background="1" saveData="1">
    <dbPr connection="Provider=Microsoft.Mashup.OleDb.1;Data Source=$Workbook$;Location=交易處理資料;Extended Properties=&quot;&quot;" command="SELECT * FROM [交易處理資料]"/>
  </connection>
  <connection id="2" xr16:uid="{8E2852E0-AFDE-4BBC-A6D0-D720081489C6}" keepAlive="1" name="查詢 - 交易處理資料 (3)" description="與活頁簿中 '交易處理資料 (3)' 查詢的連接。" type="5" refreshedVersion="8" background="1" saveData="1">
    <dbPr connection="Provider=Microsoft.Mashup.OleDb.1;Data Source=$Workbook$;Location=&quot;交易處理資料 (3)&quot;;Extended Properties=&quot;&quot;" command="SELECT * FROM [交易處理資料 (3)]"/>
  </connection>
  <connection id="3" xr16:uid="{7DB5E068-DAB2-451A-AEF2-4347D4438A62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4" xr16:uid="{D717BA3D-5F96-4D91-82FB-4BA60117F68F}" keepAlive="1" name="查詢 - 參數2" description="與活頁簿中 '參數2' 查詢的連接。" type="5" refreshedVersion="0" background="1">
    <dbPr connection="Provider=Microsoft.Mashup.OleDb.1;Data Source=$Workbook$;Location=參數2;Extended Properties=&quot;&quot;" command="SELECT * FROM [參數2]"/>
  </connection>
  <connection id="5" xr16:uid="{9164BAF6-49D8-48F8-B15E-21F57B988D7B}" keepAlive="1" name="查詢 - 參數3" description="與活頁簿中 '參數3' 查詢的連接。" type="5" refreshedVersion="0" background="1">
    <dbPr connection="Provider=Microsoft.Mashup.OleDb.1;Data Source=$Workbook$;Location=參數3;Extended Properties=&quot;&quot;" command="SELECT * FROM [參數3]"/>
  </connection>
  <connection id="6" xr16:uid="{96AF372B-D218-48FB-B52C-FED6F0D8DD75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7" xr16:uid="{31C17866-6E34-4990-AEFA-8F146A556303}" keepAlive="1" name="查詢 - 範例檔案 (2)" description="與活頁簿中 '範例檔案 (2)' 查詢的連接。" type="5" refreshedVersion="0" background="1">
    <dbPr connection="Provider=Microsoft.Mashup.OleDb.1;Data Source=$Workbook$;Location=&quot;範例檔案 (2)&quot;;Extended Properties=&quot;&quot;" command="SELECT * FROM [範例檔案 (2)]"/>
  </connection>
  <connection id="8" xr16:uid="{B1A29AA9-9DD4-4EE1-861D-6816313AA823}" keepAlive="1" name="查詢 - 範例檔案 (3)" description="與活頁簿中 '範例檔案 (3)' 查詢的連接。" type="5" refreshedVersion="0" background="1">
    <dbPr connection="Provider=Microsoft.Mashup.OleDb.1;Data Source=$Workbook$;Location=&quot;範例檔案 (3)&quot;;Extended Properties=&quot;&quot;" command="SELECT * FROM [範例檔案 (3)]"/>
  </connection>
  <connection id="9" xr16:uid="{83AACA3E-C125-4081-A594-1B191ADF820A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10" xr16:uid="{855407B0-3E8D-41F8-95D9-02DE3FBDA534}" keepAlive="1" name="查詢 - 轉換範例檔案 (2)" description="與活頁簿中 '轉換範例檔案 (2)' 查詢的連接。" type="5" refreshedVersion="0" background="1">
    <dbPr connection="Provider=Microsoft.Mashup.OleDb.1;Data Source=$Workbook$;Location=&quot;轉換範例檔案 (2)&quot;;Extended Properties=&quot;&quot;" command="SELECT * FROM [轉換範例檔案 (2)]"/>
  </connection>
  <connection id="11" xr16:uid="{153BAD97-30C8-479E-A028-02B72837EADA}" keepAlive="1" name="查詢 - 轉換範例檔案 (3)" description="與活頁簿中 '轉換範例檔案 (3)' 查詢的連接。" type="5" refreshedVersion="0" background="1">
    <dbPr connection="Provider=Microsoft.Mashup.OleDb.1;Data Source=$Workbook$;Location=&quot;轉換範例檔案 (3)&quot;;Extended Properties=&quot;&quot;" command="SELECT * FROM [轉換範例檔案 (3)]"/>
  </connection>
  <connection id="12" xr16:uid="{37F7A1B0-637B-4499-9E12-4DA5CDBD76D9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  <connection id="13" xr16:uid="{354CD3C6-F9A8-48FA-A535-8488409FE8FD}" keepAlive="1" name="查詢 - 轉換檔案 (2)" description="與活頁簿中 '轉換檔案 (2)' 查詢的連接。" type="5" refreshedVersion="0" background="1">
    <dbPr connection="Provider=Microsoft.Mashup.OleDb.1;Data Source=$Workbook$;Location=&quot;轉換檔案 (2)&quot;;Extended Properties=&quot;&quot;" command="SELECT * FROM [轉換檔案 (2)]"/>
  </connection>
  <connection id="14" xr16:uid="{A5D147AE-DEEE-4AD3-AB26-34449EDF2382}" keepAlive="1" name="查詢 - 轉換檔案 (3)" description="與活頁簿中 '轉換檔案 (3)' 查詢的連接。" type="5" refreshedVersion="0" background="1">
    <dbPr connection="Provider=Microsoft.Mashup.OleDb.1;Data Source=$Workbook$;Location=&quot;轉換檔案 (3)&quot;;Extended Properties=&quot;&quot;" command="SELECT * FROM [轉換檔案 (3)]"/>
  </connection>
</connections>
</file>

<file path=xl/sharedStrings.xml><?xml version="1.0" encoding="utf-8"?>
<sst xmlns="http://schemas.openxmlformats.org/spreadsheetml/2006/main" count="11194" uniqueCount="183">
  <si>
    <t>A</t>
  </si>
  <si>
    <t>AA023</t>
  </si>
  <si>
    <t>AA026</t>
  </si>
  <si>
    <t>AA025</t>
  </si>
  <si>
    <t>AA024</t>
  </si>
  <si>
    <t>AA015</t>
  </si>
  <si>
    <t>AA028</t>
  </si>
  <si>
    <t>AA002</t>
  </si>
  <si>
    <t>AA027</t>
  </si>
  <si>
    <t>AA020</t>
  </si>
  <si>
    <t>B</t>
  </si>
  <si>
    <t>AB007</t>
  </si>
  <si>
    <t>AB002</t>
  </si>
  <si>
    <t>AB004</t>
  </si>
  <si>
    <t>AB011</t>
  </si>
  <si>
    <t>AB010</t>
  </si>
  <si>
    <t>M</t>
  </si>
  <si>
    <t>AM009</t>
  </si>
  <si>
    <t>AM011</t>
  </si>
  <si>
    <t>AM102</t>
  </si>
  <si>
    <t>AM001</t>
  </si>
  <si>
    <t>AM002</t>
  </si>
  <si>
    <t>AM152</t>
  </si>
  <si>
    <t>AM013</t>
  </si>
  <si>
    <t>AM157</t>
  </si>
  <si>
    <t>AM104</t>
  </si>
  <si>
    <t>AM003</t>
  </si>
  <si>
    <t>AM145</t>
  </si>
  <si>
    <t>AM151</t>
  </si>
  <si>
    <t>AM105</t>
  </si>
  <si>
    <t>AM005</t>
  </si>
  <si>
    <t>AM162</t>
  </si>
  <si>
    <t>AM139</t>
  </si>
  <si>
    <t>AM121</t>
  </si>
  <si>
    <t>AM129</t>
  </si>
  <si>
    <t>AM051</t>
  </si>
  <si>
    <t>AM116</t>
  </si>
  <si>
    <t>AM016</t>
  </si>
  <si>
    <t>AM146</t>
  </si>
  <si>
    <t>AM122</t>
  </si>
  <si>
    <t>AM070</t>
  </si>
  <si>
    <t>AM028</t>
  </si>
  <si>
    <t>AM137</t>
  </si>
  <si>
    <t>AM018</t>
  </si>
  <si>
    <t>AM126</t>
  </si>
  <si>
    <t>AM120</t>
  </si>
  <si>
    <t>AM007</t>
  </si>
  <si>
    <t>AM029</t>
  </si>
  <si>
    <t>AM035</t>
  </si>
  <si>
    <t>AM131</t>
  </si>
  <si>
    <t>AM021</t>
  </si>
  <si>
    <t>AM159</t>
  </si>
  <si>
    <t>AM022</t>
  </si>
  <si>
    <t>AM065</t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</si>
  <si>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</si>
  <si>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</si>
  <si>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</si>
  <si>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</si>
  <si>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鈑金維修組</t>
    </r>
  </si>
  <si>
    <r>
      <rPr>
        <sz val="12"/>
        <color theme="1"/>
        <rFont val="文鼎UD晶熙黑体PE1XG30_M"/>
        <family val="2"/>
        <charset val="136"/>
      </rPr>
      <t>噴漆維修組</t>
    </r>
  </si>
  <si>
    <r>
      <rPr>
        <sz val="12"/>
        <color theme="1"/>
        <rFont val="文鼎UD晶熙黑体PE1XG30_M"/>
        <family val="2"/>
        <charset val="136"/>
      </rPr>
      <t>無效數據</t>
    </r>
    <phoneticPr fontId="18" type="noConversion"/>
  </si>
  <si>
    <t>部門</t>
    <phoneticPr fontId="18" type="noConversion"/>
  </si>
  <si>
    <t>代碼</t>
    <phoneticPr fontId="18" type="noConversion"/>
  </si>
  <si>
    <t>部門別</t>
  </si>
  <si>
    <t>人員代號</t>
  </si>
  <si>
    <t>售出工時</t>
  </si>
  <si>
    <t>所花費時間</t>
  </si>
  <si>
    <t>效率</t>
  </si>
  <si>
    <t>維修時間</t>
  </si>
  <si>
    <t>怠工時間</t>
  </si>
  <si>
    <t>上班時間</t>
  </si>
  <si>
    <t>利用率</t>
  </si>
  <si>
    <t>FRU</t>
    <phoneticPr fontId="18" type="noConversion"/>
  </si>
  <si>
    <t>數據日期_2</t>
  </si>
  <si>
    <t>噴漆部門</t>
    <phoneticPr fontId="18" type="noConversion"/>
  </si>
  <si>
    <t>板金部門</t>
    <phoneticPr fontId="18" type="noConversion"/>
  </si>
  <si>
    <t>引電部門</t>
    <phoneticPr fontId="18" type="noConversion"/>
  </si>
  <si>
    <t>M</t>
    <phoneticPr fontId="18" type="noConversion"/>
  </si>
  <si>
    <r>
      <rPr>
        <sz val="12"/>
        <color theme="1"/>
        <rFont val="新細明體"/>
        <family val="1"/>
        <charset val="136"/>
      </rPr>
      <t>查修團隊</t>
    </r>
    <r>
      <rPr>
        <sz val="12"/>
        <color theme="1"/>
        <rFont val="BMWTypeNext Latin TT Regular"/>
      </rPr>
      <t>A</t>
    </r>
    <phoneticPr fontId="18" type="noConversion"/>
  </si>
  <si>
    <t>團隊</t>
  </si>
  <si>
    <t>引電部門</t>
  </si>
  <si>
    <t>板金部門</t>
  </si>
  <si>
    <t>噴漆部門</t>
  </si>
  <si>
    <t>部門</t>
  </si>
  <si>
    <t>人員</t>
  </si>
  <si>
    <t>組別</t>
    <phoneticPr fontId="18" type="noConversion"/>
  </si>
  <si>
    <t>生產率</t>
    <phoneticPr fontId="18" type="noConversion"/>
  </si>
  <si>
    <t>上班與否</t>
    <phoneticPr fontId="18" type="noConversion"/>
  </si>
  <si>
    <t>上班與否</t>
  </si>
  <si>
    <t>列標籤</t>
  </si>
  <si>
    <t>總計</t>
  </si>
  <si>
    <t>加總 - 售出工時</t>
  </si>
  <si>
    <t>加總 - 上班時間</t>
  </si>
  <si>
    <t>加總 - 怠工時間</t>
  </si>
  <si>
    <t>加總 - 維修時間</t>
  </si>
  <si>
    <t>加總 - 所花費時間</t>
  </si>
  <si>
    <t>平均值 - FRU</t>
  </si>
  <si>
    <t>平均值 - 利用率</t>
  </si>
  <si>
    <t>平均值 - 生產率</t>
  </si>
  <si>
    <t>平均值 - 效率</t>
  </si>
  <si>
    <t>是</t>
  </si>
  <si>
    <t>1月2日</t>
  </si>
  <si>
    <t>1月5日</t>
  </si>
  <si>
    <t>1月8日</t>
  </si>
  <si>
    <t>1月9日</t>
  </si>
  <si>
    <t>1月12日</t>
  </si>
  <si>
    <t>1月13日</t>
  </si>
  <si>
    <t>1月15日</t>
  </si>
  <si>
    <t>1月16日</t>
  </si>
  <si>
    <t>1月17日</t>
  </si>
  <si>
    <t>1月18日</t>
  </si>
  <si>
    <t>1月19日</t>
  </si>
  <si>
    <t>1月22日</t>
  </si>
  <si>
    <t>1月23日</t>
  </si>
  <si>
    <t>1月27日</t>
  </si>
  <si>
    <t>1月29日</t>
  </si>
  <si>
    <t>2月2日</t>
  </si>
  <si>
    <t>2月3日</t>
  </si>
  <si>
    <t>2月5日</t>
  </si>
  <si>
    <t>2月17日</t>
  </si>
  <si>
    <t>2月19日</t>
  </si>
  <si>
    <t>2月20日</t>
  </si>
  <si>
    <t>2月21日</t>
  </si>
  <si>
    <t>2月22日</t>
  </si>
  <si>
    <t>2月23日</t>
  </si>
  <si>
    <t>2月24日</t>
  </si>
  <si>
    <t>2月26日</t>
  </si>
  <si>
    <t>2月28日</t>
  </si>
  <si>
    <t>3月1日</t>
  </si>
  <si>
    <t>3月4日</t>
  </si>
  <si>
    <t>3月5日</t>
  </si>
  <si>
    <t>3月6日</t>
  </si>
  <si>
    <t>3月7日</t>
  </si>
  <si>
    <t>3月9日</t>
  </si>
  <si>
    <t>3月11日</t>
  </si>
  <si>
    <t>3月18日</t>
  </si>
  <si>
    <t>3月21日</t>
  </si>
  <si>
    <t>3月22日</t>
  </si>
  <si>
    <t>3月23日</t>
  </si>
  <si>
    <t>3月25日</t>
  </si>
  <si>
    <t>3月27日</t>
  </si>
  <si>
    <t>3月30日</t>
  </si>
  <si>
    <t>1月4日</t>
  </si>
  <si>
    <t>1月6日</t>
  </si>
  <si>
    <t>1月11日</t>
  </si>
  <si>
    <t>1月24日</t>
  </si>
  <si>
    <t>1月25日</t>
  </si>
  <si>
    <t>2月15日</t>
  </si>
  <si>
    <t>3月12日</t>
  </si>
  <si>
    <t>3月13日</t>
  </si>
  <si>
    <t>1月3日</t>
  </si>
  <si>
    <t>1月26日</t>
  </si>
  <si>
    <t>2月1日</t>
  </si>
  <si>
    <t>2月6日</t>
  </si>
  <si>
    <t>2月7日</t>
  </si>
  <si>
    <t>2月16日</t>
  </si>
  <si>
    <t>2月27日</t>
  </si>
  <si>
    <t>3月2日</t>
  </si>
  <si>
    <t>3月14日</t>
  </si>
  <si>
    <t>3月16日</t>
  </si>
  <si>
    <t>3月20日</t>
  </si>
  <si>
    <t>3月26日</t>
  </si>
  <si>
    <t>3月28日</t>
  </si>
  <si>
    <t>1月31日</t>
  </si>
  <si>
    <t>3月8日</t>
  </si>
  <si>
    <t>3月15日</t>
  </si>
  <si>
    <t>1月30日</t>
  </si>
  <si>
    <t>3月29日</t>
  </si>
  <si>
    <t>1月10日</t>
  </si>
  <si>
    <t>3月19日</t>
  </si>
  <si>
    <t>2月29日</t>
  </si>
  <si>
    <t>1月1日</t>
  </si>
  <si>
    <t>2月8日</t>
  </si>
  <si>
    <t>噴漆維修組</t>
  </si>
  <si>
    <t>快速保養團隊A</t>
  </si>
  <si>
    <t>快速保養團隊B</t>
  </si>
  <si>
    <t>查修團隊A</t>
  </si>
  <si>
    <t>查修團隊B</t>
  </si>
  <si>
    <t>無效數據</t>
  </si>
  <si>
    <t>鈑金維修組</t>
  </si>
  <si>
    <t>噴漆維修組</t>
    <phoneticPr fontId="18" type="noConversion"/>
  </si>
  <si>
    <t>計數 - 上班與否</t>
  </si>
  <si>
    <t>BMW 車廠資料分析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</si>
</sst>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噴&quot;&quot;漆&quot;&quot;部&quot;&quot;門&quot;"/>
    <numFmt numFmtId="177" formatCode="0.00_);[Red]\(0.00\)"/>
  </numFmts>
  <fonts count="2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文鼎UD晶熙黑体PE1XG30_M"/>
      <family val="2"/>
      <charset val="136"/>
    </font>
    <font>
      <sz val="12"/>
      <color theme="1"/>
      <name val="BMWTypeNext Latin TT Regular"/>
    </font>
    <font>
      <sz val="12"/>
      <color theme="1"/>
      <name val="新細明體"/>
      <family val="1"/>
      <charset val="136"/>
    </font>
    <font>
      <sz val="12"/>
      <color theme="1"/>
      <name val="BMWTypeNext Latin TT Regular"/>
      <family val="1"/>
      <charset val="136"/>
    </font>
    <font>
      <sz val="3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002060"/>
      <name val="標楷體"/>
      <family val="4"/>
      <charset val="136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44F6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20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0" fillId="40" borderId="10" xfId="0" applyFont="1" applyFill="1" applyBorder="1">
      <alignment vertical="center"/>
    </xf>
    <xf numFmtId="0" fontId="20" fillId="38" borderId="11" xfId="0" applyFont="1" applyFill="1" applyBorder="1">
      <alignment vertical="center"/>
    </xf>
    <xf numFmtId="0" fontId="20" fillId="41" borderId="10" xfId="0" applyFont="1" applyFill="1" applyBorder="1">
      <alignment vertical="center"/>
    </xf>
    <xf numFmtId="0" fontId="20" fillId="37" borderId="11" xfId="0" applyFont="1" applyFill="1" applyBorder="1">
      <alignment vertical="center"/>
    </xf>
    <xf numFmtId="0" fontId="20" fillId="34" borderId="11" xfId="0" applyFont="1" applyFill="1" applyBorder="1">
      <alignment vertical="center"/>
    </xf>
    <xf numFmtId="0" fontId="20" fillId="40" borderId="12" xfId="0" applyFont="1" applyFill="1" applyBorder="1">
      <alignment vertical="center"/>
    </xf>
    <xf numFmtId="0" fontId="20" fillId="34" borderId="13" xfId="0" applyFont="1" applyFill="1" applyBorder="1">
      <alignment vertical="center"/>
    </xf>
    <xf numFmtId="0" fontId="20" fillId="36" borderId="11" xfId="0" applyFont="1" applyFill="1" applyBorder="1">
      <alignment vertical="center"/>
    </xf>
    <xf numFmtId="0" fontId="20" fillId="36" borderId="13" xfId="0" applyFont="1" applyFill="1" applyBorder="1">
      <alignment vertical="center"/>
    </xf>
    <xf numFmtId="0" fontId="20" fillId="35" borderId="11" xfId="0" applyFont="1" applyFill="1" applyBorder="1">
      <alignment vertical="center"/>
    </xf>
    <xf numFmtId="0" fontId="20" fillId="41" borderId="12" xfId="0" applyFont="1" applyFill="1" applyBorder="1">
      <alignment vertical="center"/>
    </xf>
    <xf numFmtId="0" fontId="20" fillId="35" borderId="13" xfId="0" applyFont="1" applyFill="1" applyBorder="1">
      <alignment vertical="center"/>
    </xf>
    <xf numFmtId="0" fontId="20" fillId="39" borderId="13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20" fillId="33" borderId="13" xfId="0" applyFont="1" applyFill="1" applyBorder="1">
      <alignment vertical="center"/>
    </xf>
    <xf numFmtId="0" fontId="22" fillId="0" borderId="0" xfId="0" applyFont="1">
      <alignment vertical="center"/>
    </xf>
    <xf numFmtId="177" fontId="0" fillId="0" borderId="0" xfId="0" applyNumberFormat="1">
      <alignment vertical="center"/>
    </xf>
    <xf numFmtId="177" fontId="17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13" fillId="42" borderId="14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16" fillId="41" borderId="15" xfId="0" applyFont="1" applyFill="1" applyBorder="1">
      <alignment vertical="center"/>
    </xf>
    <xf numFmtId="0" fontId="21" fillId="0" borderId="0" xfId="0" applyFont="1">
      <alignment vertical="center"/>
    </xf>
    <xf numFmtId="177" fontId="13" fillId="42" borderId="14" xfId="0" applyNumberFormat="1" applyFont="1" applyFill="1" applyBorder="1">
      <alignment vertical="center"/>
    </xf>
    <xf numFmtId="10" fontId="0" fillId="43" borderId="14" xfId="0" applyNumberFormat="1" applyFont="1" applyFill="1" applyBorder="1">
      <alignment vertical="center"/>
    </xf>
    <xf numFmtId="10" fontId="0" fillId="0" borderId="14" xfId="0" applyNumberFormat="1" applyFont="1" applyBorder="1">
      <alignment vertical="center"/>
    </xf>
    <xf numFmtId="0" fontId="16" fillId="41" borderId="16" xfId="0" applyFont="1" applyFill="1" applyBorder="1" applyAlignment="1">
      <alignment horizontal="left" vertical="center"/>
    </xf>
    <xf numFmtId="0" fontId="16" fillId="41" borderId="16" xfId="0" applyNumberFormat="1" applyFont="1" applyFill="1" applyBorder="1">
      <alignment vertical="center"/>
    </xf>
    <xf numFmtId="0" fontId="24" fillId="45" borderId="0" xfId="0" applyFont="1" applyFill="1">
      <alignment vertical="center"/>
    </xf>
    <xf numFmtId="0" fontId="25" fillId="45" borderId="0" xfId="0" applyFont="1" applyFill="1">
      <alignment vertical="center"/>
    </xf>
    <xf numFmtId="2" fontId="0" fillId="0" borderId="0" xfId="0" applyNumberFormat="1">
      <alignment vertical="center"/>
    </xf>
    <xf numFmtId="0" fontId="23" fillId="44" borderId="0" xfId="0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ill>
        <patternFill>
          <bgColor theme="4" tint="0.39994506668294322"/>
        </patternFill>
      </fill>
    </dxf>
    <dxf>
      <font>
        <color auto="1"/>
        <name val="微軟正黑體"/>
        <family val="2"/>
        <charset val="136"/>
        <scheme val="none"/>
      </font>
      <fill>
        <patternFill patternType="solid">
          <bgColor rgb="FF044F6F"/>
        </patternFill>
      </fill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</dxf>
    <dxf>
      <fill>
        <patternFill>
          <bgColor theme="4" tint="0.39994506668294322"/>
        </patternFill>
      </fill>
    </dxf>
    <dxf>
      <font>
        <color auto="1"/>
        <name val="微軟正黑體"/>
        <family val="2"/>
        <charset val="136"/>
        <scheme val="none"/>
      </font>
      <fill>
        <patternFill>
          <bgColor theme="3" tint="-0.49998474074526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ont>
        <color auto="1"/>
        <name val="微軟正黑體"/>
        <family val="2"/>
        <charset val="136"/>
        <scheme val="none"/>
      </font>
      <fill>
        <patternFill>
          <bgColor theme="3" tint="-0.49998474074526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ont>
        <color auto="1"/>
        <name val="微軟正黑體"/>
        <family val="2"/>
        <charset val="136"/>
        <scheme val="none"/>
      </font>
      <fill>
        <patternFill>
          <bgColor theme="3" tint="-0.49998474074526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ont>
        <color auto="1"/>
        <name val="微軟正黑體"/>
        <family val="2"/>
        <charset val="136"/>
        <scheme val="none"/>
      </font>
      <fill>
        <patternFill patternType="solid">
          <bgColor rgb="FF044F6F"/>
        </patternFill>
      </fill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</dxf>
  </dxfs>
  <tableStyles count="5" defaultTableStyle="TableStyleMedium2" defaultPivotStyle="PivotStyleLight16">
    <tableStyle name="交叉分析篩選器樣式 1" pivot="0" table="0" count="10" xr9:uid="{E210A48B-7ABD-425B-92F6-C699ABF86A38}">
      <tableStyleElement type="wholeTable" dxfId="18"/>
      <tableStyleElement type="headerRow" dxfId="17"/>
    </tableStyle>
    <tableStyle name="交叉分析篩選器樣式 1 2" pivot="0" table="0" count="10" xr9:uid="{BA121737-C22F-4389-9130-CB18E98310A6}">
      <tableStyleElement type="wholeTable" dxfId="16"/>
      <tableStyleElement type="headerRow" dxfId="15"/>
    </tableStyle>
    <tableStyle name="交叉分析篩選器樣式 1 3" pivot="0" table="0" count="10" xr9:uid="{9DF684DF-1B24-4C94-A32F-69052C883D60}">
      <tableStyleElement type="wholeTable" dxfId="14"/>
      <tableStyleElement type="headerRow" dxfId="13"/>
    </tableStyle>
    <tableStyle name="交叉分析篩選器樣式 1 4" pivot="0" table="0" count="10" xr9:uid="{21DBAF60-60B3-4A72-BD79-C138934E3751}">
      <tableStyleElement type="wholeTable" dxfId="12"/>
      <tableStyleElement type="headerRow" dxfId="11"/>
    </tableStyle>
    <tableStyle name="交叉分析篩選器樣式 1 5" pivot="0" table="0" count="10" xr9:uid="{7FA503E3-9AFA-494B-B9B8-82E2EA498ED8}">
      <tableStyleElement type="wholeTable" dxfId="10"/>
      <tableStyleElement type="headerRow" dxfId="9"/>
    </tableStyle>
  </tableStyles>
  <colors>
    <mruColors>
      <color rgb="FFDDDDDD"/>
      <color rgb="FFC0C0C0"/>
      <color rgb="FFEAEAEA"/>
      <color rgb="FF99CCFF"/>
      <color rgb="FFB2B2B2"/>
      <color rgb="FF044F6F"/>
    </mruColors>
  </colors>
  <extLst>
    <ext xmlns:x14="http://schemas.microsoft.com/office/spreadsheetml/2009/9/main" uri="{46F421CA-312F-682f-3DD2-61675219B42D}">
      <x14:dxfs count="40">
        <dxf>
          <fill>
            <patternFill>
              <bgColor theme="0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FFFF0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theme="4" tint="0.59996337778862885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4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theme="4" tint="0.59996337778862885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4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theme="4" tint="0.59996337778862885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4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4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交叉分析篩選器樣式 1 5">
        <x14:slicerStyle name="交叉分析篩選器樣式 1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交叉分析篩選器樣式 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交叉分析篩選器樣式 1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交叉分析篩選器樣式 1 4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交叉分析篩選器樣式 1 5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'交易處理資料 '!$N$1</c:f>
              <c:strCache>
                <c:ptCount val="1"/>
                <c:pt idx="0">
                  <c:v>上班與否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'交易處理資料 '!$A$2:$M$3535</c:f>
              <c:multiLvlStrCache>
                <c:ptCount val="64"/>
                <c:lvl>
                  <c:pt idx="0">
                    <c:v>噴漆維修組</c:v>
                  </c:pt>
                  <c:pt idx="1">
                    <c:v>噴漆維修組</c:v>
                  </c:pt>
                  <c:pt idx="2">
                    <c:v>噴漆維修組</c:v>
                  </c:pt>
                  <c:pt idx="3">
                    <c:v>噴漆維修組</c:v>
                  </c:pt>
                  <c:pt idx="4">
                    <c:v>噴漆維修組</c:v>
                  </c:pt>
                  <c:pt idx="5">
                    <c:v>噴漆維修組</c:v>
                  </c:pt>
                  <c:pt idx="6">
                    <c:v>噴漆維修組</c:v>
                  </c:pt>
                  <c:pt idx="7">
                    <c:v>噴漆維修組</c:v>
                  </c:pt>
                  <c:pt idx="8">
                    <c:v>噴漆維修組</c:v>
                  </c:pt>
                  <c:pt idx="9">
                    <c:v>噴漆維修組</c:v>
                  </c:pt>
                  <c:pt idx="10">
                    <c:v>噴漆維修組</c:v>
                  </c:pt>
                  <c:pt idx="11">
                    <c:v>噴漆維修組</c:v>
                  </c:pt>
                  <c:pt idx="12">
                    <c:v>噴漆維修組</c:v>
                  </c:pt>
                  <c:pt idx="13">
                    <c:v>噴漆維修組</c:v>
                  </c:pt>
                  <c:pt idx="14">
                    <c:v>噴漆維修組</c:v>
                  </c:pt>
                  <c:pt idx="15">
                    <c:v>噴漆維修組</c:v>
                  </c:pt>
                  <c:pt idx="16">
                    <c:v>噴漆維修組</c:v>
                  </c:pt>
                  <c:pt idx="17">
                    <c:v>噴漆維修組</c:v>
                  </c:pt>
                  <c:pt idx="18">
                    <c:v>噴漆維修組</c:v>
                  </c:pt>
                  <c:pt idx="19">
                    <c:v>噴漆維修組</c:v>
                  </c:pt>
                  <c:pt idx="20">
                    <c:v>噴漆維修組</c:v>
                  </c:pt>
                  <c:pt idx="21">
                    <c:v>噴漆維修組</c:v>
                  </c:pt>
                  <c:pt idx="22">
                    <c:v>噴漆維修組</c:v>
                  </c:pt>
                  <c:pt idx="23">
                    <c:v>噴漆維修組</c:v>
                  </c:pt>
                  <c:pt idx="24">
                    <c:v>噴漆維修組</c:v>
                  </c:pt>
                  <c:pt idx="25">
                    <c:v>噴漆維修組</c:v>
                  </c:pt>
                  <c:pt idx="26">
                    <c:v>噴漆維修組</c:v>
                  </c:pt>
                  <c:pt idx="27">
                    <c:v>噴漆維修組</c:v>
                  </c:pt>
                  <c:pt idx="28">
                    <c:v>噴漆維修組</c:v>
                  </c:pt>
                  <c:pt idx="29">
                    <c:v>噴漆維修組</c:v>
                  </c:pt>
                  <c:pt idx="30">
                    <c:v>噴漆維修組</c:v>
                  </c:pt>
                  <c:pt idx="31">
                    <c:v>噴漆維修組</c:v>
                  </c:pt>
                  <c:pt idx="32">
                    <c:v>噴漆維修組</c:v>
                  </c:pt>
                  <c:pt idx="33">
                    <c:v>噴漆維修組</c:v>
                  </c:pt>
                  <c:pt idx="34">
                    <c:v>噴漆維修組</c:v>
                  </c:pt>
                  <c:pt idx="35">
                    <c:v>噴漆維修組</c:v>
                  </c:pt>
                  <c:pt idx="36">
                    <c:v>噴漆維修組</c:v>
                  </c:pt>
                  <c:pt idx="37">
                    <c:v>噴漆維修組</c:v>
                  </c:pt>
                  <c:pt idx="38">
                    <c:v>噴漆維修組</c:v>
                  </c:pt>
                  <c:pt idx="39">
                    <c:v>噴漆維修組</c:v>
                  </c:pt>
                  <c:pt idx="40">
                    <c:v>噴漆維修組</c:v>
                  </c:pt>
                  <c:pt idx="41">
                    <c:v>噴漆維修組</c:v>
                  </c:pt>
                  <c:pt idx="42">
                    <c:v>噴漆維修組</c:v>
                  </c:pt>
                  <c:pt idx="43">
                    <c:v>噴漆維修組</c:v>
                  </c:pt>
                  <c:pt idx="44">
                    <c:v>噴漆維修組</c:v>
                  </c:pt>
                  <c:pt idx="45">
                    <c:v>噴漆維修組</c:v>
                  </c:pt>
                  <c:pt idx="46">
                    <c:v>噴漆維修組</c:v>
                  </c:pt>
                  <c:pt idx="47">
                    <c:v>噴漆維修組</c:v>
                  </c:pt>
                  <c:pt idx="48">
                    <c:v>噴漆維修組</c:v>
                  </c:pt>
                  <c:pt idx="49">
                    <c:v>噴漆維修組</c:v>
                  </c:pt>
                  <c:pt idx="50">
                    <c:v>噴漆維修組</c:v>
                  </c:pt>
                  <c:pt idx="51">
                    <c:v>噴漆維修組</c:v>
                  </c:pt>
                  <c:pt idx="52">
                    <c:v>噴漆維修組</c:v>
                  </c:pt>
                  <c:pt idx="53">
                    <c:v>噴漆維修組</c:v>
                  </c:pt>
                  <c:pt idx="54">
                    <c:v>噴漆維修組</c:v>
                  </c:pt>
                  <c:pt idx="55">
                    <c:v>噴漆維修組</c:v>
                  </c:pt>
                  <c:pt idx="56">
                    <c:v>噴漆維修組</c:v>
                  </c:pt>
                  <c:pt idx="57">
                    <c:v>噴漆維修組</c:v>
                  </c:pt>
                  <c:pt idx="58">
                    <c:v>噴漆維修組</c:v>
                  </c:pt>
                  <c:pt idx="59">
                    <c:v>噴漆維修組</c:v>
                  </c:pt>
                  <c:pt idx="60">
                    <c:v>噴漆維修組</c:v>
                  </c:pt>
                  <c:pt idx="61">
                    <c:v>噴漆維修組</c:v>
                  </c:pt>
                  <c:pt idx="62">
                    <c:v>噴漆維修組</c:v>
                  </c:pt>
                  <c:pt idx="63">
                    <c:v>噴漆維修組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44.52</c:v>
                  </c:pt>
                  <c:pt idx="3">
                    <c:v>0</c:v>
                  </c:pt>
                  <c:pt idx="4">
                    <c:v>30</c:v>
                  </c:pt>
                  <c:pt idx="5">
                    <c:v>38.52</c:v>
                  </c:pt>
                  <c:pt idx="6">
                    <c:v>68.16</c:v>
                  </c:pt>
                  <c:pt idx="7">
                    <c:v>0</c:v>
                  </c:pt>
                  <c:pt idx="8">
                    <c:v>0</c:v>
                  </c:pt>
                  <c:pt idx="9">
                    <c:v>37.56</c:v>
                  </c:pt>
                  <c:pt idx="10">
                    <c:v>0</c:v>
                  </c:pt>
                  <c:pt idx="11">
                    <c:v>58.56</c:v>
                  </c:pt>
                  <c:pt idx="12">
                    <c:v>0</c:v>
                  </c:pt>
                  <c:pt idx="13">
                    <c:v>48.96</c:v>
                  </c:pt>
                  <c:pt idx="14">
                    <c:v>0</c:v>
                  </c:pt>
                  <c:pt idx="15">
                    <c:v>0</c:v>
                  </c:pt>
                  <c:pt idx="16">
                    <c:v>36</c:v>
                  </c:pt>
                  <c:pt idx="17">
                    <c:v>0</c:v>
                  </c:pt>
                  <c:pt idx="18">
                    <c:v>15</c:v>
                  </c:pt>
                  <c:pt idx="19">
                    <c:v>0</c:v>
                  </c:pt>
                  <c:pt idx="20">
                    <c:v>31.32</c:v>
                  </c:pt>
                  <c:pt idx="21">
                    <c:v>47.52</c:v>
                  </c:pt>
                  <c:pt idx="22">
                    <c:v>0</c:v>
                  </c:pt>
                  <c:pt idx="23">
                    <c:v>0</c:v>
                  </c:pt>
                  <c:pt idx="24">
                    <c:v>49.92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40</c:v>
                  </c:pt>
                  <c:pt idx="36">
                    <c:v>36.56</c:v>
                  </c:pt>
                  <c:pt idx="37">
                    <c:v>0</c:v>
                  </c:pt>
                  <c:pt idx="38">
                    <c:v>86</c:v>
                  </c:pt>
                  <c:pt idx="39">
                    <c:v>0</c:v>
                  </c:pt>
                  <c:pt idx="40">
                    <c:v>0</c:v>
                  </c:pt>
                  <c:pt idx="41">
                    <c:v>39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23.52</c:v>
                  </c:pt>
                  <c:pt idx="47">
                    <c:v>0</c:v>
                  </c:pt>
                  <c:pt idx="48">
                    <c:v>46.8</c:v>
                  </c:pt>
                  <c:pt idx="49">
                    <c:v>68.04</c:v>
                  </c:pt>
                  <c:pt idx="50">
                    <c:v>0</c:v>
                  </c:pt>
                  <c:pt idx="51">
                    <c:v>0</c:v>
                  </c:pt>
                  <c:pt idx="52">
                    <c:v>86.6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43</c:v>
                  </c:pt>
                  <c:pt idx="57">
                    <c:v>18.72</c:v>
                  </c:pt>
                  <c:pt idx="58">
                    <c:v>27.56</c:v>
                  </c:pt>
                  <c:pt idx="59">
                    <c:v>0</c:v>
                  </c:pt>
                  <c:pt idx="60">
                    <c:v>63.04</c:v>
                  </c:pt>
                  <c:pt idx="61">
                    <c:v>64.32</c:v>
                  </c:pt>
                  <c:pt idx="62">
                    <c:v>0</c:v>
                  </c:pt>
                  <c:pt idx="63">
                    <c:v>0</c:v>
                  </c:pt>
                </c:lvl>
                <c:lvl>
                  <c:pt idx="0">
                    <c:v>2024/1/1</c:v>
                  </c:pt>
                  <c:pt idx="1">
                    <c:v>2024/1/2</c:v>
                  </c:pt>
                  <c:pt idx="2">
                    <c:v>2024/1/5</c:v>
                  </c:pt>
                  <c:pt idx="3">
                    <c:v>2024/1/7</c:v>
                  </c:pt>
                  <c:pt idx="4">
                    <c:v>2024/1/8</c:v>
                  </c:pt>
                  <c:pt idx="5">
                    <c:v>2024/1/9</c:v>
                  </c:pt>
                  <c:pt idx="6">
                    <c:v>2024/1/12</c:v>
                  </c:pt>
                  <c:pt idx="7">
                    <c:v>2024/1/13</c:v>
                  </c:pt>
                  <c:pt idx="8">
                    <c:v>2024/1/14</c:v>
                  </c:pt>
                  <c:pt idx="9">
                    <c:v>2024/1/15</c:v>
                  </c:pt>
                  <c:pt idx="10">
                    <c:v>2024/1/16</c:v>
                  </c:pt>
                  <c:pt idx="11">
                    <c:v>2024/1/17</c:v>
                  </c:pt>
                  <c:pt idx="12">
                    <c:v>2024/1/18</c:v>
                  </c:pt>
                  <c:pt idx="13">
                    <c:v>2024/1/19</c:v>
                  </c:pt>
                  <c:pt idx="14">
                    <c:v>2024/1/20</c:v>
                  </c:pt>
                  <c:pt idx="15">
                    <c:v>2024/1/21</c:v>
                  </c:pt>
                  <c:pt idx="16">
                    <c:v>2024/1/22</c:v>
                  </c:pt>
                  <c:pt idx="17">
                    <c:v>2024/1/23</c:v>
                  </c:pt>
                  <c:pt idx="18">
                    <c:v>2024/1/27</c:v>
                  </c:pt>
                  <c:pt idx="19">
                    <c:v>2024/1/28</c:v>
                  </c:pt>
                  <c:pt idx="20">
                    <c:v>2024/1/29</c:v>
                  </c:pt>
                  <c:pt idx="21">
                    <c:v>2024/2/2</c:v>
                  </c:pt>
                  <c:pt idx="22">
                    <c:v>2024/2/3</c:v>
                  </c:pt>
                  <c:pt idx="23">
                    <c:v>2024/2/4</c:v>
                  </c:pt>
                  <c:pt idx="24">
                    <c:v>2024/2/5</c:v>
                  </c:pt>
                  <c:pt idx="25">
                    <c:v>2024/2/8</c:v>
                  </c:pt>
                  <c:pt idx="26">
                    <c:v>2024/2/9</c:v>
                  </c:pt>
                  <c:pt idx="27">
                    <c:v>2024/2/10</c:v>
                  </c:pt>
                  <c:pt idx="28">
                    <c:v>2024/2/11</c:v>
                  </c:pt>
                  <c:pt idx="29">
                    <c:v>2024/2/12</c:v>
                  </c:pt>
                  <c:pt idx="30">
                    <c:v>2024/2/13</c:v>
                  </c:pt>
                  <c:pt idx="31">
                    <c:v>2024/2/14</c:v>
                  </c:pt>
                  <c:pt idx="32">
                    <c:v>2024/2/17</c:v>
                  </c:pt>
                  <c:pt idx="33">
                    <c:v>2024/2/18</c:v>
                  </c:pt>
                  <c:pt idx="34">
                    <c:v>2024/2/19</c:v>
                  </c:pt>
                  <c:pt idx="35">
                    <c:v>2024/2/20</c:v>
                  </c:pt>
                  <c:pt idx="36">
                    <c:v>2024/2/21</c:v>
                  </c:pt>
                  <c:pt idx="37">
                    <c:v>2024/2/22</c:v>
                  </c:pt>
                  <c:pt idx="38">
                    <c:v>2024/2/23</c:v>
                  </c:pt>
                  <c:pt idx="39">
                    <c:v>2024/2/24</c:v>
                  </c:pt>
                  <c:pt idx="40">
                    <c:v>2024/2/25</c:v>
                  </c:pt>
                  <c:pt idx="41">
                    <c:v>2024/2/26</c:v>
                  </c:pt>
                  <c:pt idx="42">
                    <c:v>2024/2/28</c:v>
                  </c:pt>
                  <c:pt idx="43">
                    <c:v>2024/3/1</c:v>
                  </c:pt>
                  <c:pt idx="44">
                    <c:v>2024/3/2</c:v>
                  </c:pt>
                  <c:pt idx="45">
                    <c:v>2024/3/3</c:v>
                  </c:pt>
                  <c:pt idx="46">
                    <c:v>2024/3/4</c:v>
                  </c:pt>
                  <c:pt idx="47">
                    <c:v>2024/3/5</c:v>
                  </c:pt>
                  <c:pt idx="48">
                    <c:v>2024/3/6</c:v>
                  </c:pt>
                  <c:pt idx="49">
                    <c:v>2024/3/7</c:v>
                  </c:pt>
                  <c:pt idx="50">
                    <c:v>2024/3/9</c:v>
                  </c:pt>
                  <c:pt idx="51">
                    <c:v>2024/3/10</c:v>
                  </c:pt>
                  <c:pt idx="52">
                    <c:v>2024/3/11</c:v>
                  </c:pt>
                  <c:pt idx="53">
                    <c:v>2024/3/16</c:v>
                  </c:pt>
                  <c:pt idx="54">
                    <c:v>2024/3/17</c:v>
                  </c:pt>
                  <c:pt idx="55">
                    <c:v>2024/3/18</c:v>
                  </c:pt>
                  <c:pt idx="56">
                    <c:v>2024/3/21</c:v>
                  </c:pt>
                  <c:pt idx="57">
                    <c:v>2024/3/22</c:v>
                  </c:pt>
                  <c:pt idx="58">
                    <c:v>2024/3/23</c:v>
                  </c:pt>
                  <c:pt idx="59">
                    <c:v>2024/3/24</c:v>
                  </c:pt>
                  <c:pt idx="60">
                    <c:v>2024/3/25</c:v>
                  </c:pt>
                  <c:pt idx="61">
                    <c:v>2024/3/27</c:v>
                  </c:pt>
                  <c:pt idx="62">
                    <c:v>2024/3/30</c:v>
                  </c:pt>
                  <c:pt idx="63">
                    <c:v>2024/3/31</c:v>
                  </c:pt>
                </c:lvl>
                <c:lvl>
                  <c:pt idx="0">
                    <c:v>0.00%</c:v>
                  </c:pt>
                  <c:pt idx="1">
                    <c:v>0.00%</c:v>
                  </c:pt>
                  <c:pt idx="2">
                    <c:v>46.49%</c:v>
                  </c:pt>
                  <c:pt idx="3">
                    <c:v>0.00%</c:v>
                  </c:pt>
                  <c:pt idx="4">
                    <c:v>23.61%</c:v>
                  </c:pt>
                  <c:pt idx="5">
                    <c:v>30.20%</c:v>
                  </c:pt>
                  <c:pt idx="6">
                    <c:v>71.18%</c:v>
                  </c:pt>
                  <c:pt idx="7">
                    <c:v>0.00%</c:v>
                  </c:pt>
                  <c:pt idx="8">
                    <c:v>0.00%</c:v>
                  </c:pt>
                  <c:pt idx="9">
                    <c:v>38.69%</c:v>
                  </c:pt>
                  <c:pt idx="10">
                    <c:v>0.00%</c:v>
                  </c:pt>
                  <c:pt idx="11">
                    <c:v>61.00%</c:v>
                  </c:pt>
                  <c:pt idx="12">
                    <c:v>0.00%</c:v>
                  </c:pt>
                  <c:pt idx="13">
                    <c:v>50.31%</c:v>
                  </c:pt>
                  <c:pt idx="14">
                    <c:v>0.00%</c:v>
                  </c:pt>
                  <c:pt idx="15">
                    <c:v>0.00%</c:v>
                  </c:pt>
                  <c:pt idx="16">
                    <c:v>37.17%</c:v>
                  </c:pt>
                  <c:pt idx="17">
                    <c:v>0.00%</c:v>
                  </c:pt>
                  <c:pt idx="18">
                    <c:v>15.78%</c:v>
                  </c:pt>
                  <c:pt idx="19">
                    <c:v>0.00%</c:v>
                  </c:pt>
                  <c:pt idx="20">
                    <c:v>32.71%</c:v>
                  </c:pt>
                  <c:pt idx="21">
                    <c:v>49.38%</c:v>
                  </c:pt>
                  <c:pt idx="22">
                    <c:v>0.00%</c:v>
                  </c:pt>
                  <c:pt idx="23">
                    <c:v>0.00%</c:v>
                  </c:pt>
                  <c:pt idx="24">
                    <c:v>52.33%</c:v>
                  </c:pt>
                  <c:pt idx="25">
                    <c:v>0.00%</c:v>
                  </c:pt>
                  <c:pt idx="26">
                    <c:v>0.00%</c:v>
                  </c:pt>
                  <c:pt idx="27">
                    <c:v>0.00%</c:v>
                  </c:pt>
                  <c:pt idx="28">
                    <c:v>0.00%</c:v>
                  </c:pt>
                  <c:pt idx="29">
                    <c:v>0.00%</c:v>
                  </c:pt>
                  <c:pt idx="30">
                    <c:v>0.00%</c:v>
                  </c:pt>
                  <c:pt idx="31">
                    <c:v>0.00%</c:v>
                  </c:pt>
                  <c:pt idx="32">
                    <c:v>0.00%</c:v>
                  </c:pt>
                  <c:pt idx="33">
                    <c:v>0.00%</c:v>
                  </c:pt>
                  <c:pt idx="34">
                    <c:v>0.00%</c:v>
                  </c:pt>
                  <c:pt idx="35">
                    <c:v>41.56%</c:v>
                  </c:pt>
                  <c:pt idx="36">
                    <c:v>27.50%</c:v>
                  </c:pt>
                  <c:pt idx="37">
                    <c:v>0.00%</c:v>
                  </c:pt>
                  <c:pt idx="38">
                    <c:v>89.25%</c:v>
                  </c:pt>
                  <c:pt idx="39">
                    <c:v>0.00%</c:v>
                  </c:pt>
                  <c:pt idx="40">
                    <c:v>0.00%</c:v>
                  </c:pt>
                  <c:pt idx="41">
                    <c:v>30.12%</c:v>
                  </c:pt>
                  <c:pt idx="42">
                    <c:v>0.00%</c:v>
                  </c:pt>
                  <c:pt idx="43">
                    <c:v>0.00%</c:v>
                  </c:pt>
                  <c:pt idx="44">
                    <c:v>0.00%</c:v>
                  </c:pt>
                  <c:pt idx="45">
                    <c:v>0.00%</c:v>
                  </c:pt>
                  <c:pt idx="46">
                    <c:v>24.97%</c:v>
                  </c:pt>
                  <c:pt idx="47">
                    <c:v>0.00%</c:v>
                  </c:pt>
                  <c:pt idx="48">
                    <c:v>34.24%</c:v>
                  </c:pt>
                  <c:pt idx="49">
                    <c:v>51.13%</c:v>
                  </c:pt>
                  <c:pt idx="50">
                    <c:v>0.00%</c:v>
                  </c:pt>
                  <c:pt idx="51">
                    <c:v>0.00%</c:v>
                  </c:pt>
                  <c:pt idx="52">
                    <c:v>69.26%</c:v>
                  </c:pt>
                  <c:pt idx="53">
                    <c:v>0.00%</c:v>
                  </c:pt>
                  <c:pt idx="54">
                    <c:v>0.00%</c:v>
                  </c:pt>
                  <c:pt idx="55">
                    <c:v>0.00%</c:v>
                  </c:pt>
                  <c:pt idx="56">
                    <c:v>33.84%</c:v>
                  </c:pt>
                  <c:pt idx="57">
                    <c:v>19.48%</c:v>
                  </c:pt>
                  <c:pt idx="58">
                    <c:v>28.93%</c:v>
                  </c:pt>
                  <c:pt idx="59">
                    <c:v>0.00%</c:v>
                  </c:pt>
                  <c:pt idx="60">
                    <c:v>66.41%</c:v>
                  </c:pt>
                  <c:pt idx="61">
                    <c:v>50.33%</c:v>
                  </c:pt>
                  <c:pt idx="62">
                    <c:v>0.00%</c:v>
                  </c:pt>
                  <c:pt idx="63">
                    <c:v>0.00%</c:v>
                  </c:pt>
                </c:lvl>
                <c:lvl>
                  <c:pt idx="0">
                    <c:v>0.00%</c:v>
                  </c:pt>
                  <c:pt idx="1">
                    <c:v>82.54%</c:v>
                  </c:pt>
                  <c:pt idx="2">
                    <c:v>89.72%</c:v>
                  </c:pt>
                  <c:pt idx="3">
                    <c:v>0.00%</c:v>
                  </c:pt>
                  <c:pt idx="4">
                    <c:v>78.66%</c:v>
                  </c:pt>
                  <c:pt idx="5">
                    <c:v>98.12%</c:v>
                  </c:pt>
                  <c:pt idx="6">
                    <c:v>97.12%</c:v>
                  </c:pt>
                  <c:pt idx="7">
                    <c:v>70.61%</c:v>
                  </c:pt>
                  <c:pt idx="8">
                    <c:v>0.00%</c:v>
                  </c:pt>
                  <c:pt idx="9">
                    <c:v>71.45%</c:v>
                  </c:pt>
                  <c:pt idx="10">
                    <c:v>97.44%</c:v>
                  </c:pt>
                  <c:pt idx="11">
                    <c:v>96.00%</c:v>
                  </c:pt>
                  <c:pt idx="12">
                    <c:v>96.60%</c:v>
                  </c:pt>
                  <c:pt idx="13">
                    <c:v>79.28%</c:v>
                  </c:pt>
                  <c:pt idx="14">
                    <c:v>0.00%</c:v>
                  </c:pt>
                  <c:pt idx="15">
                    <c:v>0.00%</c:v>
                  </c:pt>
                  <c:pt idx="16">
                    <c:v>97.89%</c:v>
                  </c:pt>
                  <c:pt idx="17">
                    <c:v>70.45%</c:v>
                  </c:pt>
                  <c:pt idx="18">
                    <c:v>90.53%</c:v>
                  </c:pt>
                  <c:pt idx="19">
                    <c:v>0.00%</c:v>
                  </c:pt>
                  <c:pt idx="20">
                    <c:v>87.34%</c:v>
                  </c:pt>
                  <c:pt idx="21">
                    <c:v>97.26%</c:v>
                  </c:pt>
                  <c:pt idx="22">
                    <c:v>94.36%</c:v>
                  </c:pt>
                  <c:pt idx="23">
                    <c:v>0.00%</c:v>
                  </c:pt>
                  <c:pt idx="24">
                    <c:v>97.48%</c:v>
                  </c:pt>
                  <c:pt idx="25">
                    <c:v>0.00%</c:v>
                  </c:pt>
                  <c:pt idx="26">
                    <c:v>0.00%</c:v>
                  </c:pt>
                  <c:pt idx="27">
                    <c:v>0.00%</c:v>
                  </c:pt>
                  <c:pt idx="28">
                    <c:v>0.00%</c:v>
                  </c:pt>
                  <c:pt idx="29">
                    <c:v>0.00%</c:v>
                  </c:pt>
                  <c:pt idx="30">
                    <c:v>0.00%</c:v>
                  </c:pt>
                  <c:pt idx="31">
                    <c:v>0.00%</c:v>
                  </c:pt>
                  <c:pt idx="32">
                    <c:v>97.52%</c:v>
                  </c:pt>
                  <c:pt idx="33">
                    <c:v>0.00%</c:v>
                  </c:pt>
                  <c:pt idx="34">
                    <c:v>95.30%</c:v>
                  </c:pt>
                  <c:pt idx="35">
                    <c:v>97.88%</c:v>
                  </c:pt>
                  <c:pt idx="36">
                    <c:v>99.64%</c:v>
                  </c:pt>
                  <c:pt idx="37">
                    <c:v>97.89%</c:v>
                  </c:pt>
                  <c:pt idx="38">
                    <c:v>99.25%</c:v>
                  </c:pt>
                  <c:pt idx="39">
                    <c:v>94.50%</c:v>
                  </c:pt>
                  <c:pt idx="40">
                    <c:v>0.00%</c:v>
                  </c:pt>
                  <c:pt idx="41">
                    <c:v>97.13%</c:v>
                  </c:pt>
                  <c:pt idx="42">
                    <c:v>82.91%</c:v>
                  </c:pt>
                  <c:pt idx="43">
                    <c:v>97.13%</c:v>
                  </c:pt>
                  <c:pt idx="44">
                    <c:v>0.00%</c:v>
                  </c:pt>
                  <c:pt idx="45">
                    <c:v>0.00%</c:v>
                  </c:pt>
                  <c:pt idx="46">
                    <c:v>97.20%</c:v>
                  </c:pt>
                  <c:pt idx="47">
                    <c:v>98.46%</c:v>
                  </c:pt>
                  <c:pt idx="48">
                    <c:v>99.39%</c:v>
                  </c:pt>
                  <c:pt idx="49">
                    <c:v>98.74%</c:v>
                  </c:pt>
                  <c:pt idx="50">
                    <c:v>51.92%</c:v>
                  </c:pt>
                  <c:pt idx="51">
                    <c:v>0.00%</c:v>
                  </c:pt>
                  <c:pt idx="52">
                    <c:v>98.46%</c:v>
                  </c:pt>
                  <c:pt idx="53">
                    <c:v>0.00%</c:v>
                  </c:pt>
                  <c:pt idx="54">
                    <c:v>0.00%</c:v>
                  </c:pt>
                  <c:pt idx="55">
                    <c:v>24.21%</c:v>
                  </c:pt>
                  <c:pt idx="56">
                    <c:v>98.11%</c:v>
                  </c:pt>
                  <c:pt idx="57">
                    <c:v>83.52%</c:v>
                  </c:pt>
                  <c:pt idx="58">
                    <c:v>70.28%</c:v>
                  </c:pt>
                  <c:pt idx="59">
                    <c:v>0.00%</c:v>
                  </c:pt>
                  <c:pt idx="60">
                    <c:v>88.87%</c:v>
                  </c:pt>
                  <c:pt idx="61">
                    <c:v>98.59%</c:v>
                  </c:pt>
                  <c:pt idx="62">
                    <c:v>78.26%</c:v>
                  </c:pt>
                  <c:pt idx="63">
                    <c:v>0.00%</c:v>
                  </c:pt>
                </c:lvl>
                <c:lvl>
                  <c:pt idx="0">
                    <c:v>0</c:v>
                  </c:pt>
                  <c:pt idx="1">
                    <c:v>8.02</c:v>
                  </c:pt>
                  <c:pt idx="2">
                    <c:v>7.98</c:v>
                  </c:pt>
                  <c:pt idx="3">
                    <c:v>0</c:v>
                  </c:pt>
                  <c:pt idx="4">
                    <c:v>10.59</c:v>
                  </c:pt>
                  <c:pt idx="5">
                    <c:v>10.63</c:v>
                  </c:pt>
                  <c:pt idx="6">
                    <c:v>7.98</c:v>
                  </c:pt>
                  <c:pt idx="7">
                    <c:v>8.03</c:v>
                  </c:pt>
                  <c:pt idx="8">
                    <c:v>0</c:v>
                  </c:pt>
                  <c:pt idx="9">
                    <c:v>8.09</c:v>
                  </c:pt>
                  <c:pt idx="10">
                    <c:v>10.54</c:v>
                  </c:pt>
                  <c:pt idx="11">
                    <c:v>8</c:v>
                  </c:pt>
                  <c:pt idx="12">
                    <c:v>10.58</c:v>
                  </c:pt>
                  <c:pt idx="13">
                    <c:v>8.11</c:v>
                  </c:pt>
                  <c:pt idx="14">
                    <c:v>0</c:v>
                  </c:pt>
                  <c:pt idx="15">
                    <c:v>0</c:v>
                  </c:pt>
                  <c:pt idx="16">
                    <c:v>8.07</c:v>
                  </c:pt>
                  <c:pt idx="17">
                    <c:v>8.02</c:v>
                  </c:pt>
                  <c:pt idx="18">
                    <c:v>7.92</c:v>
                  </c:pt>
                  <c:pt idx="19">
                    <c:v>0</c:v>
                  </c:pt>
                  <c:pt idx="20">
                    <c:v>7.98</c:v>
                  </c:pt>
                  <c:pt idx="21">
                    <c:v>8.02</c:v>
                  </c:pt>
                  <c:pt idx="22">
                    <c:v>7.98</c:v>
                  </c:pt>
                  <c:pt idx="23">
                    <c:v>0</c:v>
                  </c:pt>
                  <c:pt idx="24">
                    <c:v>7.95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8.05</c:v>
                  </c:pt>
                  <c:pt idx="33">
                    <c:v>0</c:v>
                  </c:pt>
                  <c:pt idx="34">
                    <c:v>7.66</c:v>
                  </c:pt>
                  <c:pt idx="35">
                    <c:v>8.02</c:v>
                  </c:pt>
                  <c:pt idx="36">
                    <c:v>11.08</c:v>
                  </c:pt>
                  <c:pt idx="37">
                    <c:v>10.43</c:v>
                  </c:pt>
                  <c:pt idx="38">
                    <c:v>8.03</c:v>
                  </c:pt>
                  <c:pt idx="39">
                    <c:v>8</c:v>
                  </c:pt>
                  <c:pt idx="40">
                    <c:v>0</c:v>
                  </c:pt>
                  <c:pt idx="41">
                    <c:v>10.79</c:v>
                  </c:pt>
                  <c:pt idx="42">
                    <c:v>9.01</c:v>
                  </c:pt>
                  <c:pt idx="43">
                    <c:v>8.01</c:v>
                  </c:pt>
                  <c:pt idx="44">
                    <c:v>0</c:v>
                  </c:pt>
                  <c:pt idx="45">
                    <c:v>0</c:v>
                  </c:pt>
                  <c:pt idx="46">
                    <c:v>7.85</c:v>
                  </c:pt>
                  <c:pt idx="47">
                    <c:v>11.02</c:v>
                  </c:pt>
                  <c:pt idx="48">
                    <c:v>11.39</c:v>
                  </c:pt>
                  <c:pt idx="49">
                    <c:v>11.09</c:v>
                  </c:pt>
                  <c:pt idx="50">
                    <c:v>8.32</c:v>
                  </c:pt>
                  <c:pt idx="51">
                    <c:v>0</c:v>
                  </c:pt>
                  <c:pt idx="52">
                    <c:v>10.42</c:v>
                  </c:pt>
                  <c:pt idx="53">
                    <c:v>0</c:v>
                  </c:pt>
                  <c:pt idx="54">
                    <c:v>0</c:v>
                  </c:pt>
                  <c:pt idx="55">
                    <c:v>7.93</c:v>
                  </c:pt>
                  <c:pt idx="56">
                    <c:v>10.59</c:v>
                  </c:pt>
                  <c:pt idx="57">
                    <c:v>8.01</c:v>
                  </c:pt>
                  <c:pt idx="58">
                    <c:v>7.94</c:v>
                  </c:pt>
                  <c:pt idx="59">
                    <c:v>0</c:v>
                  </c:pt>
                  <c:pt idx="60">
                    <c:v>7.91</c:v>
                  </c:pt>
                  <c:pt idx="61">
                    <c:v>10.65</c:v>
                  </c:pt>
                  <c:pt idx="62">
                    <c:v>8.14</c:v>
                  </c:pt>
                  <c:pt idx="63">
                    <c:v>0</c:v>
                  </c:pt>
                </c:lvl>
                <c:lvl>
                  <c:pt idx="0">
                    <c:v>0</c:v>
                  </c:pt>
                  <c:pt idx="1">
                    <c:v>1.4</c:v>
                  </c:pt>
                  <c:pt idx="2">
                    <c:v>0.82</c:v>
                  </c:pt>
                  <c:pt idx="3">
                    <c:v>0</c:v>
                  </c:pt>
                  <c:pt idx="4">
                    <c:v>2.26</c:v>
                  </c:pt>
                  <c:pt idx="5">
                    <c:v>0.2</c:v>
                  </c:pt>
                  <c:pt idx="6">
                    <c:v>0.23</c:v>
                  </c:pt>
                  <c:pt idx="7">
                    <c:v>2.36</c:v>
                  </c:pt>
                  <c:pt idx="8">
                    <c:v>0</c:v>
                  </c:pt>
                  <c:pt idx="9">
                    <c:v>2.31</c:v>
                  </c:pt>
                  <c:pt idx="10">
                    <c:v>0.27</c:v>
                  </c:pt>
                  <c:pt idx="11">
                    <c:v>0.32</c:v>
                  </c:pt>
                  <c:pt idx="12">
                    <c:v>0.36</c:v>
                  </c:pt>
                  <c:pt idx="13">
                    <c:v>1.68</c:v>
                  </c:pt>
                  <c:pt idx="14">
                    <c:v>0</c:v>
                  </c:pt>
                  <c:pt idx="15">
                    <c:v>0</c:v>
                  </c:pt>
                  <c:pt idx="16">
                    <c:v>0.17</c:v>
                  </c:pt>
                  <c:pt idx="17">
                    <c:v>2.37</c:v>
                  </c:pt>
                  <c:pt idx="18">
                    <c:v>0.75</c:v>
                  </c:pt>
                  <c:pt idx="19">
                    <c:v>0</c:v>
                  </c:pt>
                  <c:pt idx="20">
                    <c:v>1.01</c:v>
                  </c:pt>
                  <c:pt idx="21">
                    <c:v>0.22</c:v>
                  </c:pt>
                  <c:pt idx="22">
                    <c:v>0.45</c:v>
                  </c:pt>
                  <c:pt idx="23">
                    <c:v>0</c:v>
                  </c:pt>
                  <c:pt idx="24">
                    <c:v>0.2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0.2</c:v>
                  </c:pt>
                  <c:pt idx="33">
                    <c:v>0</c:v>
                  </c:pt>
                  <c:pt idx="34">
                    <c:v>0.36</c:v>
                  </c:pt>
                  <c:pt idx="35">
                    <c:v>0.17</c:v>
                  </c:pt>
                  <c:pt idx="36">
                    <c:v>0.04</c:v>
                  </c:pt>
                  <c:pt idx="37">
                    <c:v>0.22</c:v>
                  </c:pt>
                  <c:pt idx="38">
                    <c:v>0.06</c:v>
                  </c:pt>
                  <c:pt idx="39">
                    <c:v>0.44</c:v>
                  </c:pt>
                  <c:pt idx="40">
                    <c:v>0</c:v>
                  </c:pt>
                  <c:pt idx="41">
                    <c:v>0.31</c:v>
                  </c:pt>
                  <c:pt idx="42">
                    <c:v>1.54</c:v>
                  </c:pt>
                  <c:pt idx="43">
                    <c:v>0.23</c:v>
                  </c:pt>
                  <c:pt idx="44">
                    <c:v>0</c:v>
                  </c:pt>
                  <c:pt idx="45">
                    <c:v>0</c:v>
                  </c:pt>
                  <c:pt idx="46">
                    <c:v>0.22</c:v>
                  </c:pt>
                  <c:pt idx="47">
                    <c:v>0.17</c:v>
                  </c:pt>
                  <c:pt idx="48">
                    <c:v>0.07</c:v>
                  </c:pt>
                  <c:pt idx="49">
                    <c:v>0.14</c:v>
                  </c:pt>
                  <c:pt idx="50">
                    <c:v>4</c:v>
                  </c:pt>
                  <c:pt idx="51">
                    <c:v>0</c:v>
                  </c:pt>
                  <c:pt idx="52">
                    <c:v>0.16</c:v>
                  </c:pt>
                  <c:pt idx="53">
                    <c:v>0</c:v>
                  </c:pt>
                  <c:pt idx="54">
                    <c:v>0</c:v>
                  </c:pt>
                  <c:pt idx="55">
                    <c:v>6.01</c:v>
                  </c:pt>
                  <c:pt idx="56">
                    <c:v>0.2</c:v>
                  </c:pt>
                  <c:pt idx="57">
                    <c:v>1.32</c:v>
                  </c:pt>
                  <c:pt idx="58">
                    <c:v>2.36</c:v>
                  </c:pt>
                  <c:pt idx="59">
                    <c:v>0</c:v>
                  </c:pt>
                  <c:pt idx="60">
                    <c:v>0.88</c:v>
                  </c:pt>
                  <c:pt idx="61">
                    <c:v>0.15</c:v>
                  </c:pt>
                  <c:pt idx="62">
                    <c:v>1.77</c:v>
                  </c:pt>
                  <c:pt idx="63">
                    <c:v>0</c:v>
                  </c:pt>
                </c:lvl>
                <c:lvl>
                  <c:pt idx="0">
                    <c:v>0</c:v>
                  </c:pt>
                  <c:pt idx="1">
                    <c:v>6.62</c:v>
                  </c:pt>
                  <c:pt idx="2">
                    <c:v>7.16</c:v>
                  </c:pt>
                  <c:pt idx="3">
                    <c:v>0</c:v>
                  </c:pt>
                  <c:pt idx="4">
                    <c:v>8.33</c:v>
                  </c:pt>
                  <c:pt idx="5">
                    <c:v>10.43</c:v>
                  </c:pt>
                  <c:pt idx="6">
                    <c:v>7.75</c:v>
                  </c:pt>
                  <c:pt idx="7">
                    <c:v>5.67</c:v>
                  </c:pt>
                  <c:pt idx="8">
                    <c:v>0</c:v>
                  </c:pt>
                  <c:pt idx="9">
                    <c:v>5.78</c:v>
                  </c:pt>
                  <c:pt idx="10">
                    <c:v>10.27</c:v>
                  </c:pt>
                  <c:pt idx="11">
                    <c:v>7.68</c:v>
                  </c:pt>
                  <c:pt idx="12">
                    <c:v>10.22</c:v>
                  </c:pt>
                  <c:pt idx="13">
                    <c:v>6.43</c:v>
                  </c:pt>
                  <c:pt idx="14">
                    <c:v>0</c:v>
                  </c:pt>
                  <c:pt idx="15">
                    <c:v>0</c:v>
                  </c:pt>
                  <c:pt idx="16">
                    <c:v>7.9</c:v>
                  </c:pt>
                  <c:pt idx="17">
                    <c:v>5.65</c:v>
                  </c:pt>
                  <c:pt idx="18">
                    <c:v>7.17</c:v>
                  </c:pt>
                  <c:pt idx="19">
                    <c:v>0</c:v>
                  </c:pt>
                  <c:pt idx="20">
                    <c:v>6.97</c:v>
                  </c:pt>
                  <c:pt idx="21">
                    <c:v>7.8</c:v>
                  </c:pt>
                  <c:pt idx="22">
                    <c:v>7.53</c:v>
                  </c:pt>
                  <c:pt idx="23">
                    <c:v>0</c:v>
                  </c:pt>
                  <c:pt idx="24">
                    <c:v>7.75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7.85</c:v>
                  </c:pt>
                  <c:pt idx="33">
                    <c:v>0</c:v>
                  </c:pt>
                  <c:pt idx="34">
                    <c:v>7.3</c:v>
                  </c:pt>
                  <c:pt idx="35">
                    <c:v>7.85</c:v>
                  </c:pt>
                  <c:pt idx="36">
                    <c:v>11.04</c:v>
                  </c:pt>
                  <c:pt idx="37">
                    <c:v>10.21</c:v>
                  </c:pt>
                  <c:pt idx="38">
                    <c:v>7.97</c:v>
                  </c:pt>
                  <c:pt idx="39">
                    <c:v>7.56</c:v>
                  </c:pt>
                  <c:pt idx="40">
                    <c:v>0</c:v>
                  </c:pt>
                  <c:pt idx="41">
                    <c:v>10.48</c:v>
                  </c:pt>
                  <c:pt idx="42">
                    <c:v>7.47</c:v>
                  </c:pt>
                  <c:pt idx="43">
                    <c:v>7.78</c:v>
                  </c:pt>
                  <c:pt idx="44">
                    <c:v>0</c:v>
                  </c:pt>
                  <c:pt idx="45">
                    <c:v>0</c:v>
                  </c:pt>
                  <c:pt idx="46">
                    <c:v>7.63</c:v>
                  </c:pt>
                  <c:pt idx="47">
                    <c:v>10.85</c:v>
                  </c:pt>
                  <c:pt idx="48">
                    <c:v>11.32</c:v>
                  </c:pt>
                  <c:pt idx="49">
                    <c:v>10.95</c:v>
                  </c:pt>
                  <c:pt idx="50">
                    <c:v>4.32</c:v>
                  </c:pt>
                  <c:pt idx="51">
                    <c:v>0</c:v>
                  </c:pt>
                  <c:pt idx="52">
                    <c:v>10.26</c:v>
                  </c:pt>
                  <c:pt idx="53">
                    <c:v>0</c:v>
                  </c:pt>
                  <c:pt idx="54">
                    <c:v>0</c:v>
                  </c:pt>
                  <c:pt idx="55">
                    <c:v>1.92</c:v>
                  </c:pt>
                  <c:pt idx="56">
                    <c:v>10.39</c:v>
                  </c:pt>
                  <c:pt idx="57">
                    <c:v>6.69</c:v>
                  </c:pt>
                  <c:pt idx="58">
                    <c:v>5.58</c:v>
                  </c:pt>
                  <c:pt idx="59">
                    <c:v>0</c:v>
                  </c:pt>
                  <c:pt idx="60">
                    <c:v>7.03</c:v>
                  </c:pt>
                  <c:pt idx="61">
                    <c:v>10.5</c:v>
                  </c:pt>
                  <c:pt idx="62">
                    <c:v>6.37</c:v>
                  </c:pt>
                  <c:pt idx="63">
                    <c:v>0</c:v>
                  </c:pt>
                </c:lvl>
                <c:lvl>
                  <c:pt idx="0">
                    <c:v>0.00%</c:v>
                  </c:pt>
                  <c:pt idx="1">
                    <c:v>0.00%</c:v>
                  </c:pt>
                  <c:pt idx="2">
                    <c:v>59.64%</c:v>
                  </c:pt>
                  <c:pt idx="3">
                    <c:v>0.00%</c:v>
                  </c:pt>
                  <c:pt idx="4">
                    <c:v>51.22%</c:v>
                  </c:pt>
                  <c:pt idx="5">
                    <c:v>49.53%</c:v>
                  </c:pt>
                  <c:pt idx="6">
                    <c:v>106.16%</c:v>
                  </c:pt>
                  <c:pt idx="7">
                    <c:v>0.00%</c:v>
                  </c:pt>
                  <c:pt idx="8">
                    <c:v>0.00%</c:v>
                  </c:pt>
                  <c:pt idx="9">
                    <c:v>88.16%</c:v>
                  </c:pt>
                  <c:pt idx="10">
                    <c:v>0.00%</c:v>
                  </c:pt>
                  <c:pt idx="11">
                    <c:v>63.13%</c:v>
                  </c:pt>
                  <c:pt idx="12">
                    <c:v>0.00%</c:v>
                  </c:pt>
                  <c:pt idx="13">
                    <c:v>81.60%</c:v>
                  </c:pt>
                  <c:pt idx="14">
                    <c:v>0.00%</c:v>
                  </c:pt>
                  <c:pt idx="15">
                    <c:v>0.00%</c:v>
                  </c:pt>
                  <c:pt idx="16">
                    <c:v>79.57%</c:v>
                  </c:pt>
                  <c:pt idx="17">
                    <c:v>0.00%</c:v>
                  </c:pt>
                  <c:pt idx="18">
                    <c:v>48.08%</c:v>
                  </c:pt>
                  <c:pt idx="19">
                    <c:v>0.00%</c:v>
                  </c:pt>
                  <c:pt idx="20">
                    <c:v>94.22%</c:v>
                  </c:pt>
                  <c:pt idx="21">
                    <c:v>85.53%</c:v>
                  </c:pt>
                  <c:pt idx="22">
                    <c:v>0.00%</c:v>
                  </c:pt>
                  <c:pt idx="23">
                    <c:v>0.00%</c:v>
                  </c:pt>
                  <c:pt idx="24">
                    <c:v>113.04%</c:v>
                  </c:pt>
                  <c:pt idx="25">
                    <c:v>0.00%</c:v>
                  </c:pt>
                  <c:pt idx="26">
                    <c:v>0.00%</c:v>
                  </c:pt>
                  <c:pt idx="27">
                    <c:v>0.00%</c:v>
                  </c:pt>
                  <c:pt idx="28">
                    <c:v>0.00%</c:v>
                  </c:pt>
                  <c:pt idx="29">
                    <c:v>0.00%</c:v>
                  </c:pt>
                  <c:pt idx="30">
                    <c:v>0.00%</c:v>
                  </c:pt>
                  <c:pt idx="31">
                    <c:v>0.00%</c:v>
                  </c:pt>
                  <c:pt idx="32">
                    <c:v>0.00%</c:v>
                  </c:pt>
                  <c:pt idx="33">
                    <c:v>0.00%</c:v>
                  </c:pt>
                  <c:pt idx="34">
                    <c:v>0.00%</c:v>
                  </c:pt>
                  <c:pt idx="35">
                    <c:v>85.69%</c:v>
                  </c:pt>
                  <c:pt idx="36">
                    <c:v>61.30%</c:v>
                  </c:pt>
                  <c:pt idx="37">
                    <c:v>0.00%</c:v>
                  </c:pt>
                  <c:pt idx="38">
                    <c:v>123.56%</c:v>
                  </c:pt>
                  <c:pt idx="39">
                    <c:v>0.00%</c:v>
                  </c:pt>
                  <c:pt idx="40">
                    <c:v>0.00%</c:v>
                  </c:pt>
                  <c:pt idx="41">
                    <c:v>52.67%</c:v>
                  </c:pt>
                  <c:pt idx="42">
                    <c:v>0.00%</c:v>
                  </c:pt>
                  <c:pt idx="43">
                    <c:v>0.00%</c:v>
                  </c:pt>
                  <c:pt idx="44">
                    <c:v>0.00%</c:v>
                  </c:pt>
                  <c:pt idx="45">
                    <c:v>0.00%</c:v>
                  </c:pt>
                  <c:pt idx="46">
                    <c:v>71.79%</c:v>
                  </c:pt>
                  <c:pt idx="47">
                    <c:v>0.00%</c:v>
                  </c:pt>
                  <c:pt idx="48">
                    <c:v>41.49%</c:v>
                  </c:pt>
                  <c:pt idx="49">
                    <c:v>61.10%</c:v>
                  </c:pt>
                  <c:pt idx="50">
                    <c:v>0.00%</c:v>
                  </c:pt>
                  <c:pt idx="51">
                    <c:v>0.00%</c:v>
                  </c:pt>
                  <c:pt idx="52">
                    <c:v>81.00%</c:v>
                  </c:pt>
                  <c:pt idx="53">
                    <c:v>0.00%</c:v>
                  </c:pt>
                  <c:pt idx="54">
                    <c:v>0.00%</c:v>
                  </c:pt>
                  <c:pt idx="55">
                    <c:v>0.00%</c:v>
                  </c:pt>
                  <c:pt idx="56">
                    <c:v>179.17%</c:v>
                  </c:pt>
                  <c:pt idx="57">
                    <c:v>39.80%</c:v>
                  </c:pt>
                  <c:pt idx="58">
                    <c:v>46.68%</c:v>
                  </c:pt>
                  <c:pt idx="59">
                    <c:v>0.00%</c:v>
                  </c:pt>
                  <c:pt idx="60">
                    <c:v>79.24%</c:v>
                  </c:pt>
                  <c:pt idx="61">
                    <c:v>104.69%</c:v>
                  </c:pt>
                  <c:pt idx="62">
                    <c:v>0.00%</c:v>
                  </c:pt>
                  <c:pt idx="63">
                    <c:v>0.00%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6.22</c:v>
                  </c:pt>
                  <c:pt idx="3">
                    <c:v>0</c:v>
                  </c:pt>
                  <c:pt idx="4">
                    <c:v>4.88</c:v>
                  </c:pt>
                  <c:pt idx="5">
                    <c:v>6.48</c:v>
                  </c:pt>
                  <c:pt idx="6">
                    <c:v>5.35</c:v>
                  </c:pt>
                  <c:pt idx="7">
                    <c:v>0</c:v>
                  </c:pt>
                  <c:pt idx="8">
                    <c:v>0</c:v>
                  </c:pt>
                  <c:pt idx="9">
                    <c:v>3.55</c:v>
                  </c:pt>
                  <c:pt idx="10">
                    <c:v>0</c:v>
                  </c:pt>
                  <c:pt idx="11">
                    <c:v>7.73</c:v>
                  </c:pt>
                  <c:pt idx="12">
                    <c:v>0</c:v>
                  </c:pt>
                  <c:pt idx="13">
                    <c:v>5</c:v>
                  </c:pt>
                  <c:pt idx="14">
                    <c:v>0</c:v>
                  </c:pt>
                  <c:pt idx="15">
                    <c:v>0</c:v>
                  </c:pt>
                  <c:pt idx="16">
                    <c:v>3.77</c:v>
                  </c:pt>
                  <c:pt idx="17">
                    <c:v>0</c:v>
                  </c:pt>
                  <c:pt idx="18">
                    <c:v>2.6</c:v>
                  </c:pt>
                  <c:pt idx="19">
                    <c:v>0</c:v>
                  </c:pt>
                  <c:pt idx="20">
                    <c:v>2.77</c:v>
                  </c:pt>
                  <c:pt idx="21">
                    <c:v>4.63</c:v>
                  </c:pt>
                  <c:pt idx="22">
                    <c:v>0</c:v>
                  </c:pt>
                  <c:pt idx="23">
                    <c:v>0</c:v>
                  </c:pt>
                  <c:pt idx="24">
                    <c:v>3.68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3.89</c:v>
                  </c:pt>
                  <c:pt idx="36">
                    <c:v>4.97</c:v>
                  </c:pt>
                  <c:pt idx="37">
                    <c:v>0</c:v>
                  </c:pt>
                  <c:pt idx="38">
                    <c:v>5.8</c:v>
                  </c:pt>
                  <c:pt idx="39">
                    <c:v>0</c:v>
                  </c:pt>
                  <c:pt idx="40">
                    <c:v>0</c:v>
                  </c:pt>
                  <c:pt idx="41">
                    <c:v>6.17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2.73</c:v>
                  </c:pt>
                  <c:pt idx="47">
                    <c:v>0</c:v>
                  </c:pt>
                  <c:pt idx="48">
                    <c:v>9.4</c:v>
                  </c:pt>
                  <c:pt idx="49">
                    <c:v>9.28</c:v>
                  </c:pt>
                  <c:pt idx="50">
                    <c:v>0</c:v>
                  </c:pt>
                  <c:pt idx="51">
                    <c:v>0</c:v>
                  </c:pt>
                  <c:pt idx="52">
                    <c:v>8.91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2</c:v>
                  </c:pt>
                  <c:pt idx="57">
                    <c:v>3.92</c:v>
                  </c:pt>
                  <c:pt idx="58">
                    <c:v>4.92</c:v>
                  </c:pt>
                  <c:pt idx="59">
                    <c:v>0</c:v>
                  </c:pt>
                  <c:pt idx="60">
                    <c:v>6.63</c:v>
                  </c:pt>
                  <c:pt idx="61">
                    <c:v>5.12</c:v>
                  </c:pt>
                  <c:pt idx="62">
                    <c:v>0</c:v>
                  </c:pt>
                  <c:pt idx="63">
                    <c:v>0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3.71</c:v>
                  </c:pt>
                  <c:pt idx="3">
                    <c:v>0</c:v>
                  </c:pt>
                  <c:pt idx="4">
                    <c:v>2.5</c:v>
                  </c:pt>
                  <c:pt idx="5">
                    <c:v>3.21</c:v>
                  </c:pt>
                  <c:pt idx="6">
                    <c:v>5.68</c:v>
                  </c:pt>
                  <c:pt idx="7">
                    <c:v>0</c:v>
                  </c:pt>
                  <c:pt idx="8">
                    <c:v>0</c:v>
                  </c:pt>
                  <c:pt idx="9">
                    <c:v>3.13</c:v>
                  </c:pt>
                  <c:pt idx="10">
                    <c:v>0</c:v>
                  </c:pt>
                  <c:pt idx="11">
                    <c:v>4.88</c:v>
                  </c:pt>
                  <c:pt idx="12">
                    <c:v>0</c:v>
                  </c:pt>
                  <c:pt idx="13">
                    <c:v>4.08</c:v>
                  </c:pt>
                  <c:pt idx="14">
                    <c:v>0</c:v>
                  </c:pt>
                  <c:pt idx="15">
                    <c:v>0</c:v>
                  </c:pt>
                  <c:pt idx="16">
                    <c:v>3</c:v>
                  </c:pt>
                  <c:pt idx="17">
                    <c:v>0</c:v>
                  </c:pt>
                  <c:pt idx="18">
                    <c:v>1.25</c:v>
                  </c:pt>
                  <c:pt idx="19">
                    <c:v>0</c:v>
                  </c:pt>
                  <c:pt idx="20">
                    <c:v>2.61</c:v>
                  </c:pt>
                  <c:pt idx="21">
                    <c:v>3.96</c:v>
                  </c:pt>
                  <c:pt idx="22">
                    <c:v>0</c:v>
                  </c:pt>
                  <c:pt idx="23">
                    <c:v>0</c:v>
                  </c:pt>
                  <c:pt idx="24">
                    <c:v>4.16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3.333333333</c:v>
                  </c:pt>
                  <c:pt idx="36">
                    <c:v>3.046666667</c:v>
                  </c:pt>
                  <c:pt idx="37">
                    <c:v>0</c:v>
                  </c:pt>
                  <c:pt idx="38">
                    <c:v>7.166666667</c:v>
                  </c:pt>
                  <c:pt idx="39">
                    <c:v>0</c:v>
                  </c:pt>
                  <c:pt idx="40">
                    <c:v>0</c:v>
                  </c:pt>
                  <c:pt idx="41">
                    <c:v>3.25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1.96</c:v>
                  </c:pt>
                  <c:pt idx="47">
                    <c:v>0</c:v>
                  </c:pt>
                  <c:pt idx="48">
                    <c:v>3.9</c:v>
                  </c:pt>
                  <c:pt idx="49">
                    <c:v>5.67</c:v>
                  </c:pt>
                  <c:pt idx="50">
                    <c:v>0</c:v>
                  </c:pt>
                  <c:pt idx="51">
                    <c:v>0</c:v>
                  </c:pt>
                  <c:pt idx="52">
                    <c:v>7.216666667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3.583333333</c:v>
                  </c:pt>
                  <c:pt idx="57">
                    <c:v>1.56</c:v>
                  </c:pt>
                  <c:pt idx="58">
                    <c:v>2.296666667</c:v>
                  </c:pt>
                  <c:pt idx="59">
                    <c:v>0</c:v>
                  </c:pt>
                  <c:pt idx="60">
                    <c:v>5.253333333</c:v>
                  </c:pt>
                  <c:pt idx="61">
                    <c:v>5.36</c:v>
                  </c:pt>
                  <c:pt idx="62">
                    <c:v>0</c:v>
                  </c:pt>
                  <c:pt idx="63">
                    <c:v>0</c:v>
                  </c:pt>
                </c:lvl>
                <c:lvl>
                  <c:pt idx="0">
                    <c:v>AA002</c:v>
                  </c:pt>
                  <c:pt idx="1">
                    <c:v>AA002</c:v>
                  </c:pt>
                  <c:pt idx="2">
                    <c:v>AA002</c:v>
                  </c:pt>
                  <c:pt idx="3">
                    <c:v>AA002</c:v>
                  </c:pt>
                  <c:pt idx="4">
                    <c:v>AA002</c:v>
                  </c:pt>
                  <c:pt idx="5">
                    <c:v>AA002</c:v>
                  </c:pt>
                  <c:pt idx="6">
                    <c:v>AA002</c:v>
                  </c:pt>
                  <c:pt idx="7">
                    <c:v>AA002</c:v>
                  </c:pt>
                  <c:pt idx="8">
                    <c:v>AA002</c:v>
                  </c:pt>
                  <c:pt idx="9">
                    <c:v>AA002</c:v>
                  </c:pt>
                  <c:pt idx="10">
                    <c:v>AA002</c:v>
                  </c:pt>
                  <c:pt idx="11">
                    <c:v>AA002</c:v>
                  </c:pt>
                  <c:pt idx="12">
                    <c:v>AA002</c:v>
                  </c:pt>
                  <c:pt idx="13">
                    <c:v>AA002</c:v>
                  </c:pt>
                  <c:pt idx="14">
                    <c:v>AA002</c:v>
                  </c:pt>
                  <c:pt idx="15">
                    <c:v>AA002</c:v>
                  </c:pt>
                  <c:pt idx="16">
                    <c:v>AA002</c:v>
                  </c:pt>
                  <c:pt idx="17">
                    <c:v>AA002</c:v>
                  </c:pt>
                  <c:pt idx="18">
                    <c:v>AA002</c:v>
                  </c:pt>
                  <c:pt idx="19">
                    <c:v>AA002</c:v>
                  </c:pt>
                  <c:pt idx="20">
                    <c:v>AA002</c:v>
                  </c:pt>
                  <c:pt idx="21">
                    <c:v>AA002</c:v>
                  </c:pt>
                  <c:pt idx="22">
                    <c:v>AA002</c:v>
                  </c:pt>
                  <c:pt idx="23">
                    <c:v>AA002</c:v>
                  </c:pt>
                  <c:pt idx="24">
                    <c:v>AA002</c:v>
                  </c:pt>
                  <c:pt idx="25">
                    <c:v>AA002</c:v>
                  </c:pt>
                  <c:pt idx="26">
                    <c:v>AA002</c:v>
                  </c:pt>
                  <c:pt idx="27">
                    <c:v>AA002</c:v>
                  </c:pt>
                  <c:pt idx="28">
                    <c:v>AA002</c:v>
                  </c:pt>
                  <c:pt idx="29">
                    <c:v>AA002</c:v>
                  </c:pt>
                  <c:pt idx="30">
                    <c:v>AA002</c:v>
                  </c:pt>
                  <c:pt idx="31">
                    <c:v>AA002</c:v>
                  </c:pt>
                  <c:pt idx="32">
                    <c:v>AA002</c:v>
                  </c:pt>
                  <c:pt idx="33">
                    <c:v>AA002</c:v>
                  </c:pt>
                  <c:pt idx="34">
                    <c:v>AA002</c:v>
                  </c:pt>
                  <c:pt idx="35">
                    <c:v>AA002</c:v>
                  </c:pt>
                  <c:pt idx="36">
                    <c:v>AA002</c:v>
                  </c:pt>
                  <c:pt idx="37">
                    <c:v>AA002</c:v>
                  </c:pt>
                  <c:pt idx="38">
                    <c:v>AA002</c:v>
                  </c:pt>
                  <c:pt idx="39">
                    <c:v>AA002</c:v>
                  </c:pt>
                  <c:pt idx="40">
                    <c:v>AA002</c:v>
                  </c:pt>
                  <c:pt idx="41">
                    <c:v>AA002</c:v>
                  </c:pt>
                  <c:pt idx="42">
                    <c:v>AA002</c:v>
                  </c:pt>
                  <c:pt idx="43">
                    <c:v>AA002</c:v>
                  </c:pt>
                  <c:pt idx="44">
                    <c:v>AA002</c:v>
                  </c:pt>
                  <c:pt idx="45">
                    <c:v>AA002</c:v>
                  </c:pt>
                  <c:pt idx="46">
                    <c:v>AA002</c:v>
                  </c:pt>
                  <c:pt idx="47">
                    <c:v>AA002</c:v>
                  </c:pt>
                  <c:pt idx="48">
                    <c:v>AA002</c:v>
                  </c:pt>
                  <c:pt idx="49">
                    <c:v>AA002</c:v>
                  </c:pt>
                  <c:pt idx="50">
                    <c:v>AA002</c:v>
                  </c:pt>
                  <c:pt idx="51">
                    <c:v>AA002</c:v>
                  </c:pt>
                  <c:pt idx="52">
                    <c:v>AA002</c:v>
                  </c:pt>
                  <c:pt idx="53">
                    <c:v>AA002</c:v>
                  </c:pt>
                  <c:pt idx="54">
                    <c:v>AA002</c:v>
                  </c:pt>
                  <c:pt idx="55">
                    <c:v>AA002</c:v>
                  </c:pt>
                  <c:pt idx="56">
                    <c:v>AA002</c:v>
                  </c:pt>
                  <c:pt idx="57">
                    <c:v>AA002</c:v>
                  </c:pt>
                  <c:pt idx="58">
                    <c:v>AA002</c:v>
                  </c:pt>
                  <c:pt idx="59">
                    <c:v>AA002</c:v>
                  </c:pt>
                  <c:pt idx="60">
                    <c:v>AA002</c:v>
                  </c:pt>
                  <c:pt idx="61">
                    <c:v>AA002</c:v>
                  </c:pt>
                  <c:pt idx="62">
                    <c:v>AA002</c:v>
                  </c:pt>
                  <c:pt idx="63">
                    <c:v>AA002</c:v>
                  </c:pt>
                </c:lvl>
                <c:lvl>
                  <c:pt idx="0">
                    <c:v>噴漆部門</c:v>
                  </c:pt>
                  <c:pt idx="1">
                    <c:v>噴漆部門</c:v>
                  </c:pt>
                  <c:pt idx="2">
                    <c:v>噴漆部門</c:v>
                  </c:pt>
                  <c:pt idx="3">
                    <c:v>噴漆部門</c:v>
                  </c:pt>
                  <c:pt idx="4">
                    <c:v>噴漆部門</c:v>
                  </c:pt>
                  <c:pt idx="5">
                    <c:v>噴漆部門</c:v>
                  </c:pt>
                  <c:pt idx="6">
                    <c:v>噴漆部門</c:v>
                  </c:pt>
                  <c:pt idx="7">
                    <c:v>噴漆部門</c:v>
                  </c:pt>
                  <c:pt idx="8">
                    <c:v>噴漆部門</c:v>
                  </c:pt>
                  <c:pt idx="9">
                    <c:v>噴漆部門</c:v>
                  </c:pt>
                  <c:pt idx="10">
                    <c:v>噴漆部門</c:v>
                  </c:pt>
                  <c:pt idx="11">
                    <c:v>噴漆部門</c:v>
                  </c:pt>
                  <c:pt idx="12">
                    <c:v>噴漆部門</c:v>
                  </c:pt>
                  <c:pt idx="13">
                    <c:v>噴漆部門</c:v>
                  </c:pt>
                  <c:pt idx="14">
                    <c:v>噴漆部門</c:v>
                  </c:pt>
                  <c:pt idx="15">
                    <c:v>噴漆部門</c:v>
                  </c:pt>
                  <c:pt idx="16">
                    <c:v>噴漆部門</c:v>
                  </c:pt>
                  <c:pt idx="17">
                    <c:v>噴漆部門</c:v>
                  </c:pt>
                  <c:pt idx="18">
                    <c:v>噴漆部門</c:v>
                  </c:pt>
                  <c:pt idx="19">
                    <c:v>噴漆部門</c:v>
                  </c:pt>
                  <c:pt idx="20">
                    <c:v>噴漆部門</c:v>
                  </c:pt>
                  <c:pt idx="21">
                    <c:v>噴漆部門</c:v>
                  </c:pt>
                  <c:pt idx="22">
                    <c:v>噴漆部門</c:v>
                  </c:pt>
                  <c:pt idx="23">
                    <c:v>噴漆部門</c:v>
                  </c:pt>
                  <c:pt idx="24">
                    <c:v>噴漆部門</c:v>
                  </c:pt>
                  <c:pt idx="25">
                    <c:v>噴漆部門</c:v>
                  </c:pt>
                  <c:pt idx="26">
                    <c:v>噴漆部門</c:v>
                  </c:pt>
                  <c:pt idx="27">
                    <c:v>噴漆部門</c:v>
                  </c:pt>
                  <c:pt idx="28">
                    <c:v>噴漆部門</c:v>
                  </c:pt>
                  <c:pt idx="29">
                    <c:v>噴漆部門</c:v>
                  </c:pt>
                  <c:pt idx="30">
                    <c:v>噴漆部門</c:v>
                  </c:pt>
                  <c:pt idx="31">
                    <c:v>噴漆部門</c:v>
                  </c:pt>
                  <c:pt idx="32">
                    <c:v>噴漆部門</c:v>
                  </c:pt>
                  <c:pt idx="33">
                    <c:v>噴漆部門</c:v>
                  </c:pt>
                  <c:pt idx="34">
                    <c:v>噴漆部門</c:v>
                  </c:pt>
                  <c:pt idx="35">
                    <c:v>噴漆部門</c:v>
                  </c:pt>
                  <c:pt idx="36">
                    <c:v>噴漆部門</c:v>
                  </c:pt>
                  <c:pt idx="37">
                    <c:v>噴漆部門</c:v>
                  </c:pt>
                  <c:pt idx="38">
                    <c:v>噴漆部門</c:v>
                  </c:pt>
                  <c:pt idx="39">
                    <c:v>噴漆部門</c:v>
                  </c:pt>
                  <c:pt idx="40">
                    <c:v>噴漆部門</c:v>
                  </c:pt>
                  <c:pt idx="41">
                    <c:v>噴漆部門</c:v>
                  </c:pt>
                  <c:pt idx="42">
                    <c:v>噴漆部門</c:v>
                  </c:pt>
                  <c:pt idx="43">
                    <c:v>噴漆部門</c:v>
                  </c:pt>
                  <c:pt idx="44">
                    <c:v>噴漆部門</c:v>
                  </c:pt>
                  <c:pt idx="45">
                    <c:v>噴漆部門</c:v>
                  </c:pt>
                  <c:pt idx="46">
                    <c:v>噴漆部門</c:v>
                  </c:pt>
                  <c:pt idx="47">
                    <c:v>噴漆部門</c:v>
                  </c:pt>
                  <c:pt idx="48">
                    <c:v>噴漆部門</c:v>
                  </c:pt>
                  <c:pt idx="49">
                    <c:v>噴漆部門</c:v>
                  </c:pt>
                  <c:pt idx="50">
                    <c:v>噴漆部門</c:v>
                  </c:pt>
                  <c:pt idx="51">
                    <c:v>噴漆部門</c:v>
                  </c:pt>
                  <c:pt idx="52">
                    <c:v>噴漆部門</c:v>
                  </c:pt>
                  <c:pt idx="53">
                    <c:v>噴漆部門</c:v>
                  </c:pt>
                  <c:pt idx="54">
                    <c:v>噴漆部門</c:v>
                  </c:pt>
                  <c:pt idx="55">
                    <c:v>噴漆部門</c:v>
                  </c:pt>
                  <c:pt idx="56">
                    <c:v>噴漆部門</c:v>
                  </c:pt>
                  <c:pt idx="57">
                    <c:v>噴漆部門</c:v>
                  </c:pt>
                  <c:pt idx="58">
                    <c:v>噴漆部門</c:v>
                  </c:pt>
                  <c:pt idx="59">
                    <c:v>噴漆部門</c:v>
                  </c:pt>
                  <c:pt idx="60">
                    <c:v>噴漆部門</c:v>
                  </c:pt>
                  <c:pt idx="61">
                    <c:v>噴漆部門</c:v>
                  </c:pt>
                  <c:pt idx="62">
                    <c:v>噴漆部門</c:v>
                  </c:pt>
                  <c:pt idx="63">
                    <c:v>噴漆部門</c:v>
                  </c:pt>
                </c:lvl>
              </c:multiLvlStrCache>
            </c:multiLvlStrRef>
          </c:xVal>
          <c:yVal>
            <c:numRef>
              <c:f>'交易處理資料 '!$N$2:$N$3535</c:f>
              <c:numCache>
                <c:formatCode>General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2-4468-8E87-953861B3B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870143"/>
        <c:axId val="1015868223"/>
      </c:scatterChart>
      <c:valAx>
        <c:axId val="101587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5868223"/>
        <c:crosses val="autoZero"/>
        <c:crossBetween val="midCat"/>
      </c:valAx>
      <c:valAx>
        <c:axId val="10158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587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熱圖!$C$65</c:f>
              <c:strCache>
                <c:ptCount val="1"/>
                <c:pt idx="0">
                  <c:v>平均值 - 生產率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熱圖!$B$66:$B$114</c:f>
              <c:numCache>
                <c:formatCode>General</c:formatCode>
                <c:ptCount val="49"/>
                <c:pt idx="0">
                  <c:v>28.029268292780483</c:v>
                </c:pt>
                <c:pt idx="1">
                  <c:v>24.86476190485714</c:v>
                </c:pt>
                <c:pt idx="2">
                  <c:v>22.845454545272727</c:v>
                </c:pt>
                <c:pt idx="3">
                  <c:v>11.156000000099999</c:v>
                </c:pt>
                <c:pt idx="4">
                  <c:v>8.4779999999999998</c:v>
                </c:pt>
                <c:pt idx="5">
                  <c:v>8.2892307692307696</c:v>
                </c:pt>
                <c:pt idx="6">
                  <c:v>9.5473684209473682</c:v>
                </c:pt>
                <c:pt idx="7">
                  <c:v>10.430243902243904</c:v>
                </c:pt>
                <c:pt idx="8">
                  <c:v>8.0184615384615388</c:v>
                </c:pt>
                <c:pt idx="9">
                  <c:v>49.502222223733334</c:v>
                </c:pt>
                <c:pt idx="10">
                  <c:v>47.189189189189193</c:v>
                </c:pt>
                <c:pt idx="11">
                  <c:v>35.716190475428576</c:v>
                </c:pt>
                <c:pt idx="12">
                  <c:v>26.525000000999995</c:v>
                </c:pt>
                <c:pt idx="13">
                  <c:v>39.949387755918366</c:v>
                </c:pt>
                <c:pt idx="14">
                  <c:v>10.384727272363635</c:v>
                </c:pt>
                <c:pt idx="15">
                  <c:v>41.992340425787233</c:v>
                </c:pt>
                <c:pt idx="16">
                  <c:v>14.527142857285712</c:v>
                </c:pt>
                <c:pt idx="17">
                  <c:v>100.45684210105263</c:v>
                </c:pt>
                <c:pt idx="18">
                  <c:v>35.664545454545454</c:v>
                </c:pt>
                <c:pt idx="19">
                  <c:v>122.58260869617393</c:v>
                </c:pt>
                <c:pt idx="20">
                  <c:v>22.632999999900001</c:v>
                </c:pt>
                <c:pt idx="21">
                  <c:v>93.751219515512204</c:v>
                </c:pt>
                <c:pt idx="22">
                  <c:v>41.194893617106381</c:v>
                </c:pt>
                <c:pt idx="23">
                  <c:v>29.39744680851064</c:v>
                </c:pt>
                <c:pt idx="24">
                  <c:v>91.387368426947347</c:v>
                </c:pt>
                <c:pt idx="25">
                  <c:v>34.213953489767441</c:v>
                </c:pt>
                <c:pt idx="26">
                  <c:v>150.45142856714284</c:v>
                </c:pt>
                <c:pt idx="27">
                  <c:v>31.220363637818178</c:v>
                </c:pt>
                <c:pt idx="28">
                  <c:v>21.507555555200003</c:v>
                </c:pt>
                <c:pt idx="29">
                  <c:v>23.982040816408166</c:v>
                </c:pt>
                <c:pt idx="30">
                  <c:v>49.863414633073177</c:v>
                </c:pt>
                <c:pt idx="31">
                  <c:v>27.534358974153854</c:v>
                </c:pt>
                <c:pt idx="32">
                  <c:v>30.969999999749998</c:v>
                </c:pt>
                <c:pt idx="33">
                  <c:v>37.86883720967441</c:v>
                </c:pt>
                <c:pt idx="34">
                  <c:v>31.419047619428571</c:v>
                </c:pt>
                <c:pt idx="35">
                  <c:v>29.832941176235291</c:v>
                </c:pt>
                <c:pt idx="36">
                  <c:v>118.6399999968</c:v>
                </c:pt>
                <c:pt idx="37">
                  <c:v>85.60631579052631</c:v>
                </c:pt>
                <c:pt idx="38">
                  <c:v>24.637073171121948</c:v>
                </c:pt>
                <c:pt idx="39">
                  <c:v>59.767999999885703</c:v>
                </c:pt>
                <c:pt idx="40">
                  <c:v>95.854222226133345</c:v>
                </c:pt>
                <c:pt idx="41">
                  <c:v>32.184444444666667</c:v>
                </c:pt>
                <c:pt idx="42">
                  <c:v>87.592340427063831</c:v>
                </c:pt>
                <c:pt idx="43">
                  <c:v>97.175135140864896</c:v>
                </c:pt>
                <c:pt idx="44">
                  <c:v>66.759999999076939</c:v>
                </c:pt>
                <c:pt idx="45">
                  <c:v>152.69052631989473</c:v>
                </c:pt>
                <c:pt idx="46">
                  <c:v>96.27199999920002</c:v>
                </c:pt>
                <c:pt idx="47">
                  <c:v>110.73931033986206</c:v>
                </c:pt>
                <c:pt idx="48">
                  <c:v>108.765833331</c:v>
                </c:pt>
              </c:numCache>
            </c:numRef>
          </c:xVal>
          <c:yVal>
            <c:numRef>
              <c:f>熱圖!$C$66:$C$114</c:f>
              <c:numCache>
                <c:formatCode>General</c:formatCode>
                <c:ptCount val="49"/>
                <c:pt idx="0">
                  <c:v>0.88731951219512206</c:v>
                </c:pt>
                <c:pt idx="1">
                  <c:v>0.86844999999999994</c:v>
                </c:pt>
                <c:pt idx="2">
                  <c:v>0.82407954545454531</c:v>
                </c:pt>
                <c:pt idx="3">
                  <c:v>0.80313749999999984</c:v>
                </c:pt>
                <c:pt idx="4">
                  <c:v>0.73539999999999972</c:v>
                </c:pt>
                <c:pt idx="5">
                  <c:v>0.85135384615384624</c:v>
                </c:pt>
                <c:pt idx="6">
                  <c:v>0.86032368421052619</c:v>
                </c:pt>
                <c:pt idx="7">
                  <c:v>0.79190487804878029</c:v>
                </c:pt>
                <c:pt idx="8">
                  <c:v>0.85297948717948735</c:v>
                </c:pt>
                <c:pt idx="9">
                  <c:v>0.71126222222222235</c:v>
                </c:pt>
                <c:pt idx="10">
                  <c:v>0.66581081081081095</c:v>
                </c:pt>
                <c:pt idx="11">
                  <c:v>0.60415952380952387</c:v>
                </c:pt>
                <c:pt idx="12">
                  <c:v>0.61153750000000007</c:v>
                </c:pt>
                <c:pt idx="13">
                  <c:v>0.59890204081632648</c:v>
                </c:pt>
                <c:pt idx="14">
                  <c:v>0.38453999999999999</c:v>
                </c:pt>
                <c:pt idx="15">
                  <c:v>0.72672340425531923</c:v>
                </c:pt>
                <c:pt idx="16">
                  <c:v>0.38859999999999995</c:v>
                </c:pt>
                <c:pt idx="17">
                  <c:v>0.87082105263157916</c:v>
                </c:pt>
                <c:pt idx="18">
                  <c:v>0.7351545454545455</c:v>
                </c:pt>
                <c:pt idx="19">
                  <c:v>0.83319782608695636</c:v>
                </c:pt>
                <c:pt idx="20">
                  <c:v>0.87341999999999975</c:v>
                </c:pt>
                <c:pt idx="21">
                  <c:v>0.86043170731707319</c:v>
                </c:pt>
                <c:pt idx="22">
                  <c:v>0.75484468085106382</c:v>
                </c:pt>
                <c:pt idx="23">
                  <c:v>0.77616808510638302</c:v>
                </c:pt>
                <c:pt idx="24">
                  <c:v>0.92034210526315763</c:v>
                </c:pt>
                <c:pt idx="25">
                  <c:v>0.84962558139534861</c:v>
                </c:pt>
                <c:pt idx="26">
                  <c:v>0.86005238095238123</c:v>
                </c:pt>
                <c:pt idx="27">
                  <c:v>0.65745090909090886</c:v>
                </c:pt>
                <c:pt idx="28">
                  <c:v>0.66001777777777759</c:v>
                </c:pt>
                <c:pt idx="29">
                  <c:v>0.68951632653061201</c:v>
                </c:pt>
                <c:pt idx="30">
                  <c:v>0.88744390243902471</c:v>
                </c:pt>
                <c:pt idx="31">
                  <c:v>0.81016666666666659</c:v>
                </c:pt>
                <c:pt idx="32">
                  <c:v>0.85441874999999989</c:v>
                </c:pt>
                <c:pt idx="33">
                  <c:v>0.79380465116279086</c:v>
                </c:pt>
                <c:pt idx="34">
                  <c:v>0.78933809523809539</c:v>
                </c:pt>
                <c:pt idx="35">
                  <c:v>0.7419568627450982</c:v>
                </c:pt>
                <c:pt idx="36">
                  <c:v>0.83755749999999995</c:v>
                </c:pt>
                <c:pt idx="37">
                  <c:v>0.83509473684210511</c:v>
                </c:pt>
                <c:pt idx="38">
                  <c:v>0.75665609756097552</c:v>
                </c:pt>
                <c:pt idx="39">
                  <c:v>0.86699428571428583</c:v>
                </c:pt>
                <c:pt idx="40">
                  <c:v>0.84145333333333316</c:v>
                </c:pt>
                <c:pt idx="41">
                  <c:v>0.90797499999999987</c:v>
                </c:pt>
                <c:pt idx="42">
                  <c:v>0.74265319148936149</c:v>
                </c:pt>
                <c:pt idx="43">
                  <c:v>0.84346486486486472</c:v>
                </c:pt>
                <c:pt idx="44">
                  <c:v>0.8720256410256414</c:v>
                </c:pt>
                <c:pt idx="45">
                  <c:v>0.86902894736842107</c:v>
                </c:pt>
                <c:pt idx="46">
                  <c:v>0.8309740000000001</c:v>
                </c:pt>
                <c:pt idx="47">
                  <c:v>0.87143448275862079</c:v>
                </c:pt>
                <c:pt idx="48">
                  <c:v>0.84277916666666686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F-49FD-9A59-F8A790624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258815"/>
        <c:axId val="1016256415"/>
      </c:scatterChart>
      <c:valAx>
        <c:axId val="101625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6256415"/>
        <c:crosses val="autoZero"/>
        <c:crossBetween val="midCat"/>
      </c:valAx>
      <c:valAx>
        <c:axId val="10162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625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[視覺化final version .maybe.xlsx]樞紐!樞紐分析表18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5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人員效率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5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樞紐!$K$3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樞紐!$J$4:$J$53</c:f>
              <c:strCache>
                <c:ptCount val="49"/>
                <c:pt idx="0">
                  <c:v>AA002</c:v>
                </c:pt>
                <c:pt idx="1">
                  <c:v>AA015</c:v>
                </c:pt>
                <c:pt idx="2">
                  <c:v>AA020</c:v>
                </c:pt>
                <c:pt idx="3">
                  <c:v>AA023</c:v>
                </c:pt>
                <c:pt idx="4">
                  <c:v>AA024</c:v>
                </c:pt>
                <c:pt idx="5">
                  <c:v>AA025</c:v>
                </c:pt>
                <c:pt idx="6">
                  <c:v>AA026</c:v>
                </c:pt>
                <c:pt idx="7">
                  <c:v>AA027</c:v>
                </c:pt>
                <c:pt idx="8">
                  <c:v>AA028</c:v>
                </c:pt>
                <c:pt idx="9">
                  <c:v>AB002</c:v>
                </c:pt>
                <c:pt idx="10">
                  <c:v>AB004</c:v>
                </c:pt>
                <c:pt idx="11">
                  <c:v>AB007</c:v>
                </c:pt>
                <c:pt idx="12">
                  <c:v>AB010</c:v>
                </c:pt>
                <c:pt idx="13">
                  <c:v>AB011</c:v>
                </c:pt>
                <c:pt idx="14">
                  <c:v>AM001</c:v>
                </c:pt>
                <c:pt idx="15">
                  <c:v>AM002</c:v>
                </c:pt>
                <c:pt idx="16">
                  <c:v>AM003</c:v>
                </c:pt>
                <c:pt idx="17">
                  <c:v>AM005</c:v>
                </c:pt>
                <c:pt idx="18">
                  <c:v>AM007</c:v>
                </c:pt>
                <c:pt idx="19">
                  <c:v>AM009</c:v>
                </c:pt>
                <c:pt idx="20">
                  <c:v>AM011</c:v>
                </c:pt>
                <c:pt idx="21">
                  <c:v>AM013</c:v>
                </c:pt>
                <c:pt idx="22">
                  <c:v>AM016</c:v>
                </c:pt>
                <c:pt idx="23">
                  <c:v>AM018</c:v>
                </c:pt>
                <c:pt idx="24">
                  <c:v>AM021</c:v>
                </c:pt>
                <c:pt idx="25">
                  <c:v>AM022</c:v>
                </c:pt>
                <c:pt idx="26">
                  <c:v>AM028</c:v>
                </c:pt>
                <c:pt idx="27">
                  <c:v>AM029</c:v>
                </c:pt>
                <c:pt idx="28">
                  <c:v>AM035</c:v>
                </c:pt>
                <c:pt idx="29">
                  <c:v>AM051</c:v>
                </c:pt>
                <c:pt idx="30">
                  <c:v>AM065</c:v>
                </c:pt>
                <c:pt idx="31">
                  <c:v>AM070</c:v>
                </c:pt>
                <c:pt idx="32">
                  <c:v>AM102</c:v>
                </c:pt>
                <c:pt idx="33">
                  <c:v>AM104</c:v>
                </c:pt>
                <c:pt idx="34">
                  <c:v>AM105</c:v>
                </c:pt>
                <c:pt idx="35">
                  <c:v>AM116</c:v>
                </c:pt>
                <c:pt idx="36">
                  <c:v>AM120</c:v>
                </c:pt>
                <c:pt idx="37">
                  <c:v>AM121</c:v>
                </c:pt>
                <c:pt idx="38">
                  <c:v>AM122</c:v>
                </c:pt>
                <c:pt idx="39">
                  <c:v>AM126</c:v>
                </c:pt>
                <c:pt idx="40">
                  <c:v>AM129</c:v>
                </c:pt>
                <c:pt idx="41">
                  <c:v>AM131</c:v>
                </c:pt>
                <c:pt idx="42">
                  <c:v>AM137</c:v>
                </c:pt>
                <c:pt idx="43">
                  <c:v>AM139</c:v>
                </c:pt>
                <c:pt idx="44">
                  <c:v>AM145</c:v>
                </c:pt>
                <c:pt idx="45">
                  <c:v>AM146</c:v>
                </c:pt>
                <c:pt idx="46">
                  <c:v>AM151</c:v>
                </c:pt>
                <c:pt idx="47">
                  <c:v>AM152</c:v>
                </c:pt>
                <c:pt idx="48">
                  <c:v>AM157</c:v>
                </c:pt>
              </c:strCache>
            </c:strRef>
          </c:cat>
          <c:val>
            <c:numRef>
              <c:f>樞紐!$K$4:$K$53</c:f>
              <c:numCache>
                <c:formatCode>General</c:formatCode>
                <c:ptCount val="49"/>
                <c:pt idx="0">
                  <c:v>0.4751357034414635</c:v>
                </c:pt>
                <c:pt idx="1">
                  <c:v>0.37955866945714284</c:v>
                </c:pt>
                <c:pt idx="2">
                  <c:v>0.42300004090000004</c:v>
                </c:pt>
                <c:pt idx="3">
                  <c:v>0.14553193934999997</c:v>
                </c:pt>
                <c:pt idx="4">
                  <c:v>0.15915414735924999</c:v>
                </c:pt>
                <c:pt idx="5">
                  <c:v>0.44438420322307681</c:v>
                </c:pt>
                <c:pt idx="6">
                  <c:v>0.17856505961052629</c:v>
                </c:pt>
                <c:pt idx="7">
                  <c:v>0.16869031382317071</c:v>
                </c:pt>
                <c:pt idx="8">
                  <c:v>0.10967692607692306</c:v>
                </c:pt>
                <c:pt idx="9">
                  <c:v>1.5907659444444444</c:v>
                </c:pt>
                <c:pt idx="10">
                  <c:v>1.3038032633567567</c:v>
                </c:pt>
                <c:pt idx="11">
                  <c:v>1.0173779740714284</c:v>
                </c:pt>
                <c:pt idx="12">
                  <c:v>0.72392307893749996</c:v>
                </c:pt>
                <c:pt idx="13">
                  <c:v>0.86714518444285726</c:v>
                </c:pt>
                <c:pt idx="14">
                  <c:v>0.39183828724545461</c:v>
                </c:pt>
                <c:pt idx="15">
                  <c:v>1.2352743624797875</c:v>
                </c:pt>
                <c:pt idx="16">
                  <c:v>2.519238895408928</c:v>
                </c:pt>
                <c:pt idx="17">
                  <c:v>1.5515215789736845</c:v>
                </c:pt>
                <c:pt idx="18">
                  <c:v>0.91331898352727281</c:v>
                </c:pt>
                <c:pt idx="19">
                  <c:v>1.7058415794630437</c:v>
                </c:pt>
                <c:pt idx="20">
                  <c:v>0.54578006126</c:v>
                </c:pt>
                <c:pt idx="21">
                  <c:v>1.6144306133878048</c:v>
                </c:pt>
                <c:pt idx="22">
                  <c:v>0.87004619258297888</c:v>
                </c:pt>
                <c:pt idx="23">
                  <c:v>0.61131607655744691</c:v>
                </c:pt>
                <c:pt idx="24">
                  <c:v>1.4855496036157894</c:v>
                </c:pt>
                <c:pt idx="25">
                  <c:v>2.2097543335534882</c:v>
                </c:pt>
                <c:pt idx="26">
                  <c:v>1.9766522897619045</c:v>
                </c:pt>
                <c:pt idx="27">
                  <c:v>0.67578972595818187</c:v>
                </c:pt>
                <c:pt idx="28">
                  <c:v>2.882848235644444</c:v>
                </c:pt>
                <c:pt idx="29">
                  <c:v>0.53583855736040809</c:v>
                </c:pt>
                <c:pt idx="30">
                  <c:v>0.8319142574463414</c:v>
                </c:pt>
                <c:pt idx="31">
                  <c:v>0.71302163734102553</c:v>
                </c:pt>
                <c:pt idx="32">
                  <c:v>0.77645888091875004</c:v>
                </c:pt>
                <c:pt idx="33">
                  <c:v>1.9568145238186043</c:v>
                </c:pt>
                <c:pt idx="34">
                  <c:v>0.74036785895000001</c:v>
                </c:pt>
                <c:pt idx="35">
                  <c:v>2.1272571603235293</c:v>
                </c:pt>
                <c:pt idx="36">
                  <c:v>1.7079034981425003</c:v>
                </c:pt>
                <c:pt idx="37">
                  <c:v>1.2584998453842104</c:v>
                </c:pt>
                <c:pt idx="38">
                  <c:v>1.8466268143390248</c:v>
                </c:pt>
                <c:pt idx="39">
                  <c:v>1.1886125520628572</c:v>
                </c:pt>
                <c:pt idx="40">
                  <c:v>1.4192471130288886</c:v>
                </c:pt>
                <c:pt idx="41">
                  <c:v>0.74556616700555578</c:v>
                </c:pt>
                <c:pt idx="42">
                  <c:v>1.4113517902255324</c:v>
                </c:pt>
                <c:pt idx="43">
                  <c:v>1.5412515408783778</c:v>
                </c:pt>
                <c:pt idx="44">
                  <c:v>1.1341926984230766</c:v>
                </c:pt>
                <c:pt idx="45">
                  <c:v>1.935261078942105</c:v>
                </c:pt>
                <c:pt idx="46">
                  <c:v>1.3342703005200003</c:v>
                </c:pt>
                <c:pt idx="47">
                  <c:v>1.6622423430517237</c:v>
                </c:pt>
                <c:pt idx="48">
                  <c:v>1.5358204262958333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B-453F-BB2E-AD10A32BA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2933647"/>
        <c:axId val="2940367"/>
      </c:barChart>
      <c:catAx>
        <c:axId val="293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940367"/>
        <c:crosses val="autoZero"/>
        <c:auto val="1"/>
        <c:lblAlgn val="ctr"/>
        <c:lblOffset val="100"/>
        <c:noMultiLvlLbl val="0"/>
      </c:catAx>
      <c:valAx>
        <c:axId val="29403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93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solidFill>
            <a:schemeClr val="bg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[視覺化final version .maybe.xlsx]樞紐!樞紐分析表21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部門利用率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樞紐!$T$3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2-4BD8-BBDF-12A2C755242A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12-4BD8-BBDF-12A2C755242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2-4BD8-BBDF-12A2C755242A}"/>
              </c:ext>
            </c:extLst>
          </c:dPt>
          <c:cat>
            <c:strRef>
              <c:f>樞紐!$S$4:$S$7</c:f>
              <c:strCache>
                <c:ptCount val="3"/>
                <c:pt idx="0">
                  <c:v>引電部門</c:v>
                </c:pt>
                <c:pt idx="1">
                  <c:v>板金部門</c:v>
                </c:pt>
                <c:pt idx="2">
                  <c:v>噴漆部門</c:v>
                </c:pt>
              </c:strCache>
            </c:strRef>
          </c:cat>
          <c:val>
            <c:numRef>
              <c:f>樞紐!$T$4:$T$7</c:f>
              <c:numCache>
                <c:formatCode>General</c:formatCode>
                <c:ptCount val="3"/>
                <c:pt idx="0">
                  <c:v>0.58630457912457934</c:v>
                </c:pt>
                <c:pt idx="1">
                  <c:v>0.40146150234741784</c:v>
                </c:pt>
                <c:pt idx="2">
                  <c:v>0.14093928571428563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2-4BD8-BBDF-12A2C755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078863"/>
        <c:axId val="1166079343"/>
      </c:barChart>
      <c:catAx>
        <c:axId val="11660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166079343"/>
        <c:crosses val="autoZero"/>
        <c:auto val="1"/>
        <c:lblAlgn val="ctr"/>
        <c:lblOffset val="100"/>
        <c:noMultiLvlLbl val="0"/>
      </c:catAx>
      <c:valAx>
        <c:axId val="11660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1660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bg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[視覺化final version .maybe.xlsx]樞紐!樞紐分析表20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售出工時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樞紐!$Q$3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樞紐!$P$4:$P$76</c:f>
              <c:strCache>
                <c:ptCount val="72"/>
                <c:pt idx="0">
                  <c:v>1月1日</c:v>
                </c:pt>
                <c:pt idx="1">
                  <c:v>1月2日</c:v>
                </c:pt>
                <c:pt idx="2">
                  <c:v>1月3日</c:v>
                </c:pt>
                <c:pt idx="3">
                  <c:v>1月4日</c:v>
                </c:pt>
                <c:pt idx="4">
                  <c:v>1月5日</c:v>
                </c:pt>
                <c:pt idx="5">
                  <c:v>1月6日</c:v>
                </c:pt>
                <c:pt idx="6">
                  <c:v>1月8日</c:v>
                </c:pt>
                <c:pt idx="7">
                  <c:v>1月9日</c:v>
                </c:pt>
                <c:pt idx="8">
                  <c:v>1月10日</c:v>
                </c:pt>
                <c:pt idx="9">
                  <c:v>1月11日</c:v>
                </c:pt>
                <c:pt idx="10">
                  <c:v>1月12日</c:v>
                </c:pt>
                <c:pt idx="11">
                  <c:v>1月13日</c:v>
                </c:pt>
                <c:pt idx="12">
                  <c:v>1月15日</c:v>
                </c:pt>
                <c:pt idx="13">
                  <c:v>1月16日</c:v>
                </c:pt>
                <c:pt idx="14">
                  <c:v>1月17日</c:v>
                </c:pt>
                <c:pt idx="15">
                  <c:v>1月18日</c:v>
                </c:pt>
                <c:pt idx="16">
                  <c:v>1月19日</c:v>
                </c:pt>
                <c:pt idx="17">
                  <c:v>1月22日</c:v>
                </c:pt>
                <c:pt idx="18">
                  <c:v>1月23日</c:v>
                </c:pt>
                <c:pt idx="19">
                  <c:v>1月24日</c:v>
                </c:pt>
                <c:pt idx="20">
                  <c:v>1月25日</c:v>
                </c:pt>
                <c:pt idx="21">
                  <c:v>1月26日</c:v>
                </c:pt>
                <c:pt idx="22">
                  <c:v>1月27日</c:v>
                </c:pt>
                <c:pt idx="23">
                  <c:v>1月29日</c:v>
                </c:pt>
                <c:pt idx="24">
                  <c:v>1月30日</c:v>
                </c:pt>
                <c:pt idx="25">
                  <c:v>1月31日</c:v>
                </c:pt>
                <c:pt idx="26">
                  <c:v>2月1日</c:v>
                </c:pt>
                <c:pt idx="27">
                  <c:v>2月2日</c:v>
                </c:pt>
                <c:pt idx="28">
                  <c:v>2月3日</c:v>
                </c:pt>
                <c:pt idx="29">
                  <c:v>2月5日</c:v>
                </c:pt>
                <c:pt idx="30">
                  <c:v>2月6日</c:v>
                </c:pt>
                <c:pt idx="31">
                  <c:v>2月7日</c:v>
                </c:pt>
                <c:pt idx="32">
                  <c:v>2月8日</c:v>
                </c:pt>
                <c:pt idx="33">
                  <c:v>2月15日</c:v>
                </c:pt>
                <c:pt idx="34">
                  <c:v>2月16日</c:v>
                </c:pt>
                <c:pt idx="35">
                  <c:v>2月17日</c:v>
                </c:pt>
                <c:pt idx="36">
                  <c:v>2月19日</c:v>
                </c:pt>
                <c:pt idx="37">
                  <c:v>2月20日</c:v>
                </c:pt>
                <c:pt idx="38">
                  <c:v>2月21日</c:v>
                </c:pt>
                <c:pt idx="39">
                  <c:v>2月22日</c:v>
                </c:pt>
                <c:pt idx="40">
                  <c:v>2月23日</c:v>
                </c:pt>
                <c:pt idx="41">
                  <c:v>2月24日</c:v>
                </c:pt>
                <c:pt idx="42">
                  <c:v>2月26日</c:v>
                </c:pt>
                <c:pt idx="43">
                  <c:v>2月27日</c:v>
                </c:pt>
                <c:pt idx="44">
                  <c:v>2月28日</c:v>
                </c:pt>
                <c:pt idx="45">
                  <c:v>2月29日</c:v>
                </c:pt>
                <c:pt idx="46">
                  <c:v>3月1日</c:v>
                </c:pt>
                <c:pt idx="47">
                  <c:v>3月2日</c:v>
                </c:pt>
                <c:pt idx="48">
                  <c:v>3月4日</c:v>
                </c:pt>
                <c:pt idx="49">
                  <c:v>3月5日</c:v>
                </c:pt>
                <c:pt idx="50">
                  <c:v>3月6日</c:v>
                </c:pt>
                <c:pt idx="51">
                  <c:v>3月7日</c:v>
                </c:pt>
                <c:pt idx="52">
                  <c:v>3月8日</c:v>
                </c:pt>
                <c:pt idx="53">
                  <c:v>3月9日</c:v>
                </c:pt>
                <c:pt idx="54">
                  <c:v>3月11日</c:v>
                </c:pt>
                <c:pt idx="55">
                  <c:v>3月12日</c:v>
                </c:pt>
                <c:pt idx="56">
                  <c:v>3月13日</c:v>
                </c:pt>
                <c:pt idx="57">
                  <c:v>3月14日</c:v>
                </c:pt>
                <c:pt idx="58">
                  <c:v>3月15日</c:v>
                </c:pt>
                <c:pt idx="59">
                  <c:v>3月16日</c:v>
                </c:pt>
                <c:pt idx="60">
                  <c:v>3月18日</c:v>
                </c:pt>
                <c:pt idx="61">
                  <c:v>3月19日</c:v>
                </c:pt>
                <c:pt idx="62">
                  <c:v>3月20日</c:v>
                </c:pt>
                <c:pt idx="63">
                  <c:v>3月21日</c:v>
                </c:pt>
                <c:pt idx="64">
                  <c:v>3月22日</c:v>
                </c:pt>
                <c:pt idx="65">
                  <c:v>3月23日</c:v>
                </c:pt>
                <c:pt idx="66">
                  <c:v>3月25日</c:v>
                </c:pt>
                <c:pt idx="67">
                  <c:v>3月26日</c:v>
                </c:pt>
                <c:pt idx="68">
                  <c:v>3月27日</c:v>
                </c:pt>
                <c:pt idx="69">
                  <c:v>3月28日</c:v>
                </c:pt>
                <c:pt idx="70">
                  <c:v>3月29日</c:v>
                </c:pt>
                <c:pt idx="71">
                  <c:v>3月30日</c:v>
                </c:pt>
              </c:strCache>
            </c:strRef>
          </c:cat>
          <c:val>
            <c:numRef>
              <c:f>樞紐!$Q$4:$Q$76</c:f>
              <c:numCache>
                <c:formatCode>General</c:formatCode>
                <c:ptCount val="72"/>
                <c:pt idx="0">
                  <c:v>9.5500000000000007</c:v>
                </c:pt>
                <c:pt idx="1">
                  <c:v>131.55999999999997</c:v>
                </c:pt>
                <c:pt idx="2">
                  <c:v>164.13</c:v>
                </c:pt>
                <c:pt idx="3">
                  <c:v>144.31000000000003</c:v>
                </c:pt>
                <c:pt idx="4">
                  <c:v>132.43</c:v>
                </c:pt>
                <c:pt idx="5">
                  <c:v>66.569999999999993</c:v>
                </c:pt>
                <c:pt idx="6">
                  <c:v>140.60999999999999</c:v>
                </c:pt>
                <c:pt idx="7">
                  <c:v>112.76999999999998</c:v>
                </c:pt>
                <c:pt idx="8">
                  <c:v>113.82000000000001</c:v>
                </c:pt>
                <c:pt idx="9">
                  <c:v>133.66</c:v>
                </c:pt>
                <c:pt idx="10">
                  <c:v>93.11999999999999</c:v>
                </c:pt>
                <c:pt idx="11">
                  <c:v>24.75</c:v>
                </c:pt>
                <c:pt idx="12">
                  <c:v>110.74999999999999</c:v>
                </c:pt>
                <c:pt idx="13">
                  <c:v>117.33999999999997</c:v>
                </c:pt>
                <c:pt idx="14">
                  <c:v>151.78</c:v>
                </c:pt>
                <c:pt idx="15">
                  <c:v>125.29999999999997</c:v>
                </c:pt>
                <c:pt idx="16">
                  <c:v>110.42999999999998</c:v>
                </c:pt>
                <c:pt idx="17">
                  <c:v>113.94999999999999</c:v>
                </c:pt>
                <c:pt idx="18">
                  <c:v>146.92000000000004</c:v>
                </c:pt>
                <c:pt idx="19">
                  <c:v>146.350000005</c:v>
                </c:pt>
                <c:pt idx="20">
                  <c:v>114.92666666999999</c:v>
                </c:pt>
                <c:pt idx="21">
                  <c:v>127.45333333400001</c:v>
                </c:pt>
                <c:pt idx="22">
                  <c:v>82.139999997000004</c:v>
                </c:pt>
                <c:pt idx="23">
                  <c:v>132.106666668</c:v>
                </c:pt>
                <c:pt idx="24">
                  <c:v>146.30666666400001</c:v>
                </c:pt>
                <c:pt idx="25">
                  <c:v>94.703333342999997</c:v>
                </c:pt>
                <c:pt idx="26">
                  <c:v>106.58333333400002</c:v>
                </c:pt>
                <c:pt idx="27">
                  <c:v>130.42333333100001</c:v>
                </c:pt>
                <c:pt idx="28">
                  <c:v>72.256666670000001</c:v>
                </c:pt>
                <c:pt idx="29">
                  <c:v>138.15666666400003</c:v>
                </c:pt>
                <c:pt idx="30">
                  <c:v>133.29666666800003</c:v>
                </c:pt>
                <c:pt idx="31">
                  <c:v>112.17666666299999</c:v>
                </c:pt>
                <c:pt idx="32">
                  <c:v>30.016666667000003</c:v>
                </c:pt>
                <c:pt idx="33">
                  <c:v>121.60000000000001</c:v>
                </c:pt>
                <c:pt idx="34">
                  <c:v>159.92333333499997</c:v>
                </c:pt>
                <c:pt idx="35">
                  <c:v>192.90666667600001</c:v>
                </c:pt>
                <c:pt idx="36">
                  <c:v>99.60666666600001</c:v>
                </c:pt>
                <c:pt idx="37">
                  <c:v>127.15666666999999</c:v>
                </c:pt>
                <c:pt idx="38">
                  <c:v>171.03666665899999</c:v>
                </c:pt>
                <c:pt idx="39">
                  <c:v>126.386666658</c:v>
                </c:pt>
                <c:pt idx="40">
                  <c:v>112.90333334000002</c:v>
                </c:pt>
                <c:pt idx="41">
                  <c:v>75.943333335999995</c:v>
                </c:pt>
                <c:pt idx="42">
                  <c:v>116.29999999200001</c:v>
                </c:pt>
                <c:pt idx="43">
                  <c:v>169.06333334500002</c:v>
                </c:pt>
                <c:pt idx="44">
                  <c:v>26.379999998999999</c:v>
                </c:pt>
                <c:pt idx="45">
                  <c:v>102.85333333300001</c:v>
                </c:pt>
                <c:pt idx="46">
                  <c:v>103.81666667099999</c:v>
                </c:pt>
                <c:pt idx="47">
                  <c:v>96.733333331000011</c:v>
                </c:pt>
                <c:pt idx="48">
                  <c:v>154.87333333300003</c:v>
                </c:pt>
                <c:pt idx="49">
                  <c:v>124.50000001000001</c:v>
                </c:pt>
                <c:pt idx="50">
                  <c:v>179.72666666400008</c:v>
                </c:pt>
                <c:pt idx="51">
                  <c:v>96.303333339000005</c:v>
                </c:pt>
                <c:pt idx="52">
                  <c:v>145.66</c:v>
                </c:pt>
                <c:pt idx="53">
                  <c:v>81.82333333599999</c:v>
                </c:pt>
                <c:pt idx="54">
                  <c:v>158.82000000100001</c:v>
                </c:pt>
                <c:pt idx="55">
                  <c:v>118.77666665699999</c:v>
                </c:pt>
                <c:pt idx="56">
                  <c:v>174.29333333900004</c:v>
                </c:pt>
                <c:pt idx="57">
                  <c:v>156.68333333499999</c:v>
                </c:pt>
                <c:pt idx="58">
                  <c:v>147.95333333599996</c:v>
                </c:pt>
                <c:pt idx="59">
                  <c:v>108.49333333600001</c:v>
                </c:pt>
                <c:pt idx="60">
                  <c:v>119.75999999699998</c:v>
                </c:pt>
                <c:pt idx="61">
                  <c:v>163.94666666100002</c:v>
                </c:pt>
                <c:pt idx="62">
                  <c:v>135.90333333300001</c:v>
                </c:pt>
                <c:pt idx="63">
                  <c:v>170.18666667199997</c:v>
                </c:pt>
                <c:pt idx="64">
                  <c:v>67.57000000299999</c:v>
                </c:pt>
                <c:pt idx="65">
                  <c:v>78.003333334000004</c:v>
                </c:pt>
                <c:pt idx="66">
                  <c:v>150.726666666</c:v>
                </c:pt>
                <c:pt idx="67">
                  <c:v>165.50000000000006</c:v>
                </c:pt>
                <c:pt idx="68">
                  <c:v>179.59999999000001</c:v>
                </c:pt>
                <c:pt idx="69">
                  <c:v>102</c:v>
                </c:pt>
                <c:pt idx="70">
                  <c:v>114.62000000499998</c:v>
                </c:pt>
                <c:pt idx="71">
                  <c:v>88.126666666999995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0-49CA-AFDE-45653E12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94431"/>
        <c:axId val="148195391"/>
      </c:lineChart>
      <c:catAx>
        <c:axId val="14819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48195391"/>
        <c:crosses val="autoZero"/>
        <c:auto val="1"/>
        <c:lblAlgn val="ctr"/>
        <c:lblOffset val="100"/>
        <c:noMultiLvlLbl val="0"/>
      </c:catAx>
      <c:valAx>
        <c:axId val="1481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4819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bg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[視覺化final version .maybe.xlsx]樞紐!樞紐分析表22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/>
              <a:t>上班怠工總時長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DDDD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樞紐!$W$1</c:f>
              <c:strCache>
                <c:ptCount val="1"/>
                <c:pt idx="0">
                  <c:v>加總 - 怠工時間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樞紐!$V$2:$V$9</c:f>
              <c:strCache>
                <c:ptCount val="7"/>
                <c:pt idx="0">
                  <c:v>快速保養團隊A</c:v>
                </c:pt>
                <c:pt idx="1">
                  <c:v>快速保養團隊B</c:v>
                </c:pt>
                <c:pt idx="2">
                  <c:v>查修團隊A</c:v>
                </c:pt>
                <c:pt idx="3">
                  <c:v>查修團隊B</c:v>
                </c:pt>
                <c:pt idx="4">
                  <c:v>無效數據</c:v>
                </c:pt>
                <c:pt idx="5">
                  <c:v>鈑金維修組</c:v>
                </c:pt>
                <c:pt idx="6">
                  <c:v>噴漆維修組</c:v>
                </c:pt>
              </c:strCache>
            </c:strRef>
          </c:cat>
          <c:val>
            <c:numRef>
              <c:f>樞紐!$W$2:$W$9</c:f>
              <c:numCache>
                <c:formatCode>General</c:formatCode>
                <c:ptCount val="7"/>
                <c:pt idx="0">
                  <c:v>535.61000000000024</c:v>
                </c:pt>
                <c:pt idx="1">
                  <c:v>276.1100000000003</c:v>
                </c:pt>
                <c:pt idx="2">
                  <c:v>549.73999999999967</c:v>
                </c:pt>
                <c:pt idx="3">
                  <c:v>1466.690000000001</c:v>
                </c:pt>
                <c:pt idx="4">
                  <c:v>0</c:v>
                </c:pt>
                <c:pt idx="5">
                  <c:v>613.32000000000028</c:v>
                </c:pt>
                <c:pt idx="6">
                  <c:v>504.48999999999978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8-4453-BABE-5FE35C12EA93}"/>
            </c:ext>
          </c:extLst>
        </c:ser>
        <c:ser>
          <c:idx val="1"/>
          <c:order val="1"/>
          <c:tx>
            <c:strRef>
              <c:f>樞紐!$X$1</c:f>
              <c:strCache>
                <c:ptCount val="1"/>
                <c:pt idx="0">
                  <c:v>加總 - 上班時間</c:v>
                </c:pt>
              </c:strCache>
            </c:strRef>
          </c:tx>
          <c:spPr>
            <a:solidFill>
              <a:srgbClr val="DDDDDD"/>
            </a:solidFill>
            <a:ln>
              <a:noFill/>
            </a:ln>
            <a:effectLst/>
          </c:spPr>
          <c:invertIfNegative val="0"/>
          <c:cat>
            <c:strRef>
              <c:f>樞紐!$V$2:$V$9</c:f>
              <c:strCache>
                <c:ptCount val="7"/>
                <c:pt idx="0">
                  <c:v>快速保養團隊A</c:v>
                </c:pt>
                <c:pt idx="1">
                  <c:v>快速保養團隊B</c:v>
                </c:pt>
                <c:pt idx="2">
                  <c:v>查修團隊A</c:v>
                </c:pt>
                <c:pt idx="3">
                  <c:v>查修團隊B</c:v>
                </c:pt>
                <c:pt idx="4">
                  <c:v>無效數據</c:v>
                </c:pt>
                <c:pt idx="5">
                  <c:v>鈑金維修組</c:v>
                </c:pt>
                <c:pt idx="6">
                  <c:v>噴漆維修組</c:v>
                </c:pt>
              </c:strCache>
            </c:strRef>
          </c:cat>
          <c:val>
            <c:numRef>
              <c:f>樞紐!$X$2:$X$9</c:f>
              <c:numCache>
                <c:formatCode>General</c:formatCode>
                <c:ptCount val="7"/>
                <c:pt idx="0">
                  <c:v>3332.4700000000021</c:v>
                </c:pt>
                <c:pt idx="1">
                  <c:v>2179.8399999999997</c:v>
                </c:pt>
                <c:pt idx="2">
                  <c:v>2806.6999999999994</c:v>
                </c:pt>
                <c:pt idx="3">
                  <c:v>4561.04</c:v>
                </c:pt>
                <c:pt idx="4">
                  <c:v>0</c:v>
                </c:pt>
                <c:pt idx="5">
                  <c:v>1736.6099999999983</c:v>
                </c:pt>
                <c:pt idx="6">
                  <c:v>3177.01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8-4453-BABE-5FE35C12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679023"/>
        <c:axId val="916468207"/>
      </c:barChart>
      <c:catAx>
        <c:axId val="40467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916468207"/>
        <c:crosses val="autoZero"/>
        <c:auto val="1"/>
        <c:lblAlgn val="ctr"/>
        <c:lblOffset val="100"/>
        <c:noMultiLvlLbl val="0"/>
      </c:catAx>
      <c:valAx>
        <c:axId val="91646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40467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bg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[視覺化final version .maybe.xlsx]樞紐!樞紐分析表17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效率指標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DDDD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9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樞紐!$F$3</c:f>
              <c:strCache>
                <c:ptCount val="1"/>
                <c:pt idx="0">
                  <c:v>平均值 - 生產率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樞紐!$E$4:$E$10</c:f>
              <c:strCache>
                <c:ptCount val="6"/>
                <c:pt idx="0">
                  <c:v>快速保養團隊A</c:v>
                </c:pt>
                <c:pt idx="1">
                  <c:v>快速保養團隊B</c:v>
                </c:pt>
                <c:pt idx="2">
                  <c:v>查修團隊A</c:v>
                </c:pt>
                <c:pt idx="3">
                  <c:v>查修團隊B</c:v>
                </c:pt>
                <c:pt idx="4">
                  <c:v>鈑金維修組</c:v>
                </c:pt>
                <c:pt idx="5">
                  <c:v>噴漆維修組</c:v>
                </c:pt>
              </c:strCache>
            </c:strRef>
          </c:cat>
          <c:val>
            <c:numRef>
              <c:f>樞紐!$F$4:$F$10</c:f>
              <c:numCache>
                <c:formatCode>General</c:formatCode>
                <c:ptCount val="6"/>
                <c:pt idx="0">
                  <c:v>0.83381428571428517</c:v>
                </c:pt>
                <c:pt idx="1">
                  <c:v>0.86951700404858256</c:v>
                </c:pt>
                <c:pt idx="2">
                  <c:v>0.79736172839506125</c:v>
                </c:pt>
                <c:pt idx="3">
                  <c:v>0.67732098298676768</c:v>
                </c:pt>
                <c:pt idx="4">
                  <c:v>0.63767230046948331</c:v>
                </c:pt>
                <c:pt idx="5">
                  <c:v>0.83045439560439638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E-4C74-9A0A-47F8FE7C7B18}"/>
            </c:ext>
          </c:extLst>
        </c:ser>
        <c:ser>
          <c:idx val="1"/>
          <c:order val="1"/>
          <c:tx>
            <c:strRef>
              <c:f>樞紐!$G$3</c:f>
              <c:strCache>
                <c:ptCount val="1"/>
                <c:pt idx="0">
                  <c:v>平均值 - 利用率</c:v>
                </c:pt>
              </c:strCache>
            </c:strRef>
          </c:tx>
          <c:spPr>
            <a:solidFill>
              <a:srgbClr val="DDDDDD"/>
            </a:solidFill>
            <a:ln>
              <a:noFill/>
            </a:ln>
            <a:effectLst/>
          </c:spPr>
          <c:invertIfNegative val="0"/>
          <c:cat>
            <c:strRef>
              <c:f>樞紐!$E$4:$E$10</c:f>
              <c:strCache>
                <c:ptCount val="6"/>
                <c:pt idx="0">
                  <c:v>快速保養團隊A</c:v>
                </c:pt>
                <c:pt idx="1">
                  <c:v>快速保養團隊B</c:v>
                </c:pt>
                <c:pt idx="2">
                  <c:v>查修團隊A</c:v>
                </c:pt>
                <c:pt idx="3">
                  <c:v>查修團隊B</c:v>
                </c:pt>
                <c:pt idx="4">
                  <c:v>鈑金維修組</c:v>
                </c:pt>
                <c:pt idx="5">
                  <c:v>噴漆維修組</c:v>
                </c:pt>
              </c:strCache>
            </c:strRef>
          </c:cat>
          <c:val>
            <c:numRef>
              <c:f>樞紐!$G$4:$G$10</c:f>
              <c:numCache>
                <c:formatCode>General</c:formatCode>
                <c:ptCount val="6"/>
                <c:pt idx="0">
                  <c:v>1.0984433766233759</c:v>
                </c:pt>
                <c:pt idx="1">
                  <c:v>0.81201902834008055</c:v>
                </c:pt>
                <c:pt idx="2">
                  <c:v>0.32327345679012309</c:v>
                </c:pt>
                <c:pt idx="3">
                  <c:v>0.26928601134215513</c:v>
                </c:pt>
                <c:pt idx="4">
                  <c:v>0.40146150234741784</c:v>
                </c:pt>
                <c:pt idx="5">
                  <c:v>0.14093928571428563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E-4C74-9A0A-47F8FE7C7B18}"/>
            </c:ext>
          </c:extLst>
        </c:ser>
        <c:ser>
          <c:idx val="2"/>
          <c:order val="2"/>
          <c:tx>
            <c:strRef>
              <c:f>樞紐!$H$3</c:f>
              <c:strCache>
                <c:ptCount val="1"/>
                <c:pt idx="0">
                  <c:v>平均值 - 效率</c:v>
                </c:pt>
              </c:strCache>
            </c:strRef>
          </c:tx>
          <c:spPr>
            <a:solidFill>
              <a:srgbClr val="99CCFF"/>
            </a:solidFill>
            <a:ln>
              <a:noFill/>
            </a:ln>
            <a:effectLst/>
          </c:spPr>
          <c:invertIfNegative val="0"/>
          <c:cat>
            <c:strRef>
              <c:f>樞紐!$E$4:$E$10</c:f>
              <c:strCache>
                <c:ptCount val="6"/>
                <c:pt idx="0">
                  <c:v>快速保養團隊A</c:v>
                </c:pt>
                <c:pt idx="1">
                  <c:v>快速保養團隊B</c:v>
                </c:pt>
                <c:pt idx="2">
                  <c:v>查修團隊A</c:v>
                </c:pt>
                <c:pt idx="3">
                  <c:v>查修團隊B</c:v>
                </c:pt>
                <c:pt idx="4">
                  <c:v>鈑金維修組</c:v>
                </c:pt>
                <c:pt idx="5">
                  <c:v>噴漆維修組</c:v>
                </c:pt>
              </c:strCache>
            </c:strRef>
          </c:cat>
          <c:val>
            <c:numRef>
              <c:f>樞紐!$H$4:$H$10</c:f>
              <c:numCache>
                <c:formatCode>General</c:formatCode>
                <c:ptCount val="6"/>
                <c:pt idx="0">
                  <c:v>1.6160564867906495</c:v>
                </c:pt>
                <c:pt idx="1">
                  <c:v>1.4104174847076913</c:v>
                </c:pt>
                <c:pt idx="2">
                  <c:v>1.3706125314219131</c:v>
                </c:pt>
                <c:pt idx="3">
                  <c:v>1.1521077469476557</c:v>
                </c:pt>
                <c:pt idx="4">
                  <c:v>1.0986014100957746</c:v>
                </c:pt>
                <c:pt idx="5">
                  <c:v>0.27893305604648327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E-4C74-9A0A-47F8FE7C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340127"/>
        <c:axId val="876340607"/>
      </c:barChart>
      <c:catAx>
        <c:axId val="8763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876340607"/>
        <c:crosses val="autoZero"/>
        <c:auto val="1"/>
        <c:lblAlgn val="ctr"/>
        <c:lblOffset val="100"/>
        <c:noMultiLvlLbl val="0"/>
      </c:catAx>
      <c:valAx>
        <c:axId val="8763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87634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bg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313765</xdr:colOff>
      <xdr:row>15</xdr:row>
      <xdr:rowOff>186018</xdr:rowOff>
    </xdr:from>
    <xdr:to>
      <xdr:col>25</xdr:col>
      <xdr:colOff>459441</xdr:colOff>
      <xdr:row>33</xdr:row>
      <xdr:rowOff>201705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CBC06D4-F39B-C9A4-94D0-26BBEA55E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1355912</xdr:colOff>
      <xdr:row>73</xdr:row>
      <xdr:rowOff>0</xdr:rowOff>
    </xdr:from>
    <xdr:to>
      <xdr:col>15</xdr:col>
      <xdr:colOff>145677</xdr:colOff>
      <xdr:row>92</xdr:row>
      <xdr:rowOff>116542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7DAD6078-587D-4909-98A2-E330A4965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190500</xdr:rowOff>
    </xdr:from>
    <xdr:to>
      <xdr:col>92</xdr:col>
      <xdr:colOff>161924</xdr:colOff>
      <xdr:row>4</xdr:row>
      <xdr:rowOff>26669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210D375-57EF-49BB-BFC5-17D34060C987}"/>
            </a:ext>
          </a:extLst>
        </xdr:cNvPr>
        <xdr:cNvSpPr/>
      </xdr:nvSpPr>
      <xdr:spPr>
        <a:xfrm>
          <a:off x="0" y="819150"/>
          <a:ext cx="23802974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166453</xdr:colOff>
      <xdr:row>4</xdr:row>
      <xdr:rowOff>36913</xdr:rowOff>
    </xdr:from>
    <xdr:to>
      <xdr:col>17</xdr:col>
      <xdr:colOff>212172</xdr:colOff>
      <xdr:row>56</xdr:row>
      <xdr:rowOff>47628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08D916F-A926-4D01-9328-1BAD6E58DE2C}"/>
            </a:ext>
          </a:extLst>
        </xdr:cNvPr>
        <xdr:cNvSpPr/>
      </xdr:nvSpPr>
      <xdr:spPr>
        <a:xfrm rot="5400000">
          <a:off x="-892370" y="6305911"/>
          <a:ext cx="10907315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15</xdr:row>
      <xdr:rowOff>38100</xdr:rowOff>
    </xdr:from>
    <xdr:to>
      <xdr:col>17</xdr:col>
      <xdr:colOff>180975</xdr:colOff>
      <xdr:row>15</xdr:row>
      <xdr:rowOff>83819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F6BFF0A-0A43-4F80-88FE-BBE17EE932A4}"/>
            </a:ext>
          </a:extLst>
        </xdr:cNvPr>
        <xdr:cNvSpPr/>
      </xdr:nvSpPr>
      <xdr:spPr>
        <a:xfrm>
          <a:off x="0" y="3181350"/>
          <a:ext cx="4552950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56</xdr:row>
      <xdr:rowOff>8466</xdr:rowOff>
    </xdr:from>
    <xdr:to>
      <xdr:col>93</xdr:col>
      <xdr:colOff>0</xdr:colOff>
      <xdr:row>56</xdr:row>
      <xdr:rowOff>54185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EFB6B15-31BA-4DF4-BCAC-BF6B45871029}"/>
            </a:ext>
          </a:extLst>
        </xdr:cNvPr>
        <xdr:cNvSpPr/>
      </xdr:nvSpPr>
      <xdr:spPr>
        <a:xfrm>
          <a:off x="0" y="11861799"/>
          <a:ext cx="23611417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54</xdr:col>
      <xdr:colOff>71021</xdr:colOff>
      <xdr:row>3</xdr:row>
      <xdr:rowOff>189676</xdr:rowOff>
    </xdr:from>
    <xdr:to>
      <xdr:col>54</xdr:col>
      <xdr:colOff>116740</xdr:colOff>
      <xdr:row>56</xdr:row>
      <xdr:rowOff>19053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4B7706E9-754A-47D4-9760-67D2EEB16BBE}"/>
            </a:ext>
          </a:extLst>
        </xdr:cNvPr>
        <xdr:cNvSpPr/>
      </xdr:nvSpPr>
      <xdr:spPr>
        <a:xfrm rot="5400000">
          <a:off x="8513567" y="6263230"/>
          <a:ext cx="10935527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92</xdr:col>
      <xdr:colOff>142879</xdr:colOff>
      <xdr:row>0</xdr:row>
      <xdr:rowOff>2</xdr:rowOff>
    </xdr:from>
    <xdr:to>
      <xdr:col>92</xdr:col>
      <xdr:colOff>188598</xdr:colOff>
      <xdr:row>56</xdr:row>
      <xdr:rowOff>19052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B3B64C2C-8B06-4A33-8673-DE4816902ACF}"/>
            </a:ext>
          </a:extLst>
        </xdr:cNvPr>
        <xdr:cNvSpPr/>
      </xdr:nvSpPr>
      <xdr:spPr>
        <a:xfrm rot="5400000" flipV="1">
          <a:off x="17929864" y="5854067"/>
          <a:ext cx="11753850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92</xdr:col>
      <xdr:colOff>190500</xdr:colOff>
      <xdr:row>0</xdr:row>
      <xdr:rowOff>0</xdr:rowOff>
    </xdr:from>
    <xdr:to>
      <xdr:col>99</xdr:col>
      <xdr:colOff>38100</xdr:colOff>
      <xdr:row>58</xdr:row>
      <xdr:rowOff>28575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8427BF7C-6464-9FED-8EB9-8C8E1BB2BD18}"/>
            </a:ext>
          </a:extLst>
        </xdr:cNvPr>
        <xdr:cNvSpPr/>
      </xdr:nvSpPr>
      <xdr:spPr>
        <a:xfrm>
          <a:off x="23831550" y="0"/>
          <a:ext cx="1647825" cy="12182475"/>
        </a:xfrm>
        <a:prstGeom prst="rect">
          <a:avLst/>
        </a:prstGeom>
        <a:solidFill>
          <a:srgbClr val="044F6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8</xdr:col>
      <xdr:colOff>238125</xdr:colOff>
      <xdr:row>9</xdr:row>
      <xdr:rowOff>171449</xdr:rowOff>
    </xdr:from>
    <xdr:to>
      <xdr:col>16</xdr:col>
      <xdr:colOff>9525</xdr:colOff>
      <xdr:row>14</xdr:row>
      <xdr:rowOff>104774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部門別">
              <a:extLst>
                <a:ext uri="{FF2B5EF4-FFF2-40B4-BE49-F238E27FC236}">
                  <a16:creationId xmlns:a16="http://schemas.microsoft.com/office/drawing/2014/main" id="{CD9BE3A9-90E2-46D3-896D-71D91311DE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別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5525" y="2057399"/>
              <a:ext cx="1828800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228600</xdr:colOff>
      <xdr:row>4</xdr:row>
      <xdr:rowOff>152401</xdr:rowOff>
    </xdr:from>
    <xdr:to>
      <xdr:col>16</xdr:col>
      <xdr:colOff>0</xdr:colOff>
      <xdr:row>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月 (數據日期_2)">
              <a:extLst>
                <a:ext uri="{FF2B5EF4-FFF2-40B4-BE49-F238E27FC236}">
                  <a16:creationId xmlns:a16="http://schemas.microsoft.com/office/drawing/2014/main" id="{B8287847-7CBF-491D-BD1C-1EDA3955F2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 (數據日期_2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990601"/>
              <a:ext cx="1828800" cy="981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171449</xdr:colOff>
      <xdr:row>4</xdr:row>
      <xdr:rowOff>152400</xdr:rowOff>
    </xdr:from>
    <xdr:to>
      <xdr:col>7</xdr:col>
      <xdr:colOff>200025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組別">
              <a:extLst>
                <a:ext uri="{FF2B5EF4-FFF2-40B4-BE49-F238E27FC236}">
                  <a16:creationId xmlns:a16="http://schemas.microsoft.com/office/drawing/2014/main" id="{ABE87BEC-03E8-4A1E-BCC9-1B9BC15F60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組別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49" y="990600"/>
              <a:ext cx="1828801" cy="202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180975</xdr:colOff>
      <xdr:row>16</xdr:row>
      <xdr:rowOff>28575</xdr:rowOff>
    </xdr:from>
    <xdr:to>
      <xdr:col>17</xdr:col>
      <xdr:colOff>47625</xdr:colOff>
      <xdr:row>54</xdr:row>
      <xdr:rowOff>180975</xdr:rowOff>
    </xdr:to>
    <xdr:graphicFrame macro="">
      <xdr:nvGraphicFramePr>
        <xdr:cNvPr id="21" name="圖表 20">
          <a:extLst>
            <a:ext uri="{FF2B5EF4-FFF2-40B4-BE49-F238E27FC236}">
              <a16:creationId xmlns:a16="http://schemas.microsoft.com/office/drawing/2014/main" id="{602B5C5C-44EE-4814-9285-B1D5604EF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114300</xdr:colOff>
      <xdr:row>34</xdr:row>
      <xdr:rowOff>84666</xdr:rowOff>
    </xdr:from>
    <xdr:to>
      <xdr:col>53</xdr:col>
      <xdr:colOff>190499</xdr:colOff>
      <xdr:row>55</xdr:row>
      <xdr:rowOff>114299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D1FB9A45-4F9E-49DF-97E0-8B97938E9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77930</xdr:colOff>
      <xdr:row>10</xdr:row>
      <xdr:rowOff>105832</xdr:rowOff>
    </xdr:from>
    <xdr:to>
      <xdr:col>53</xdr:col>
      <xdr:colOff>190500</xdr:colOff>
      <xdr:row>32</xdr:row>
      <xdr:rowOff>132602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E8F7655C-0F70-4E1E-B9E2-6F2236BF9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209548</xdr:colOff>
      <xdr:row>4</xdr:row>
      <xdr:rowOff>112059</xdr:rowOff>
    </xdr:from>
    <xdr:to>
      <xdr:col>92</xdr:col>
      <xdr:colOff>44824</xdr:colOff>
      <xdr:row>30</xdr:row>
      <xdr:rowOff>123264</xdr:rowOff>
    </xdr:to>
    <xdr:graphicFrame macro="">
      <xdr:nvGraphicFramePr>
        <xdr:cNvPr id="24" name="圖表 23">
          <a:extLst>
            <a:ext uri="{FF2B5EF4-FFF2-40B4-BE49-F238E27FC236}">
              <a16:creationId xmlns:a16="http://schemas.microsoft.com/office/drawing/2014/main" id="{B27A1785-ABA3-4CB8-AE9E-631314E8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220757</xdr:colOff>
      <xdr:row>31</xdr:row>
      <xdr:rowOff>67235</xdr:rowOff>
    </xdr:from>
    <xdr:to>
      <xdr:col>92</xdr:col>
      <xdr:colOff>44824</xdr:colOff>
      <xdr:row>55</xdr:row>
      <xdr:rowOff>112058</xdr:rowOff>
    </xdr:to>
    <xdr:graphicFrame macro="">
      <xdr:nvGraphicFramePr>
        <xdr:cNvPr id="25" name="圖表 24">
          <a:extLst>
            <a:ext uri="{FF2B5EF4-FFF2-40B4-BE49-F238E27FC236}">
              <a16:creationId xmlns:a16="http://schemas.microsoft.com/office/drawing/2014/main" id="{03744D64-238C-4089-B018-3433624FC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195417</xdr:colOff>
      <xdr:row>33</xdr:row>
      <xdr:rowOff>41275</xdr:rowOff>
    </xdr:from>
    <xdr:to>
      <xdr:col>54</xdr:col>
      <xdr:colOff>81117</xdr:colOff>
      <xdr:row>33</xdr:row>
      <xdr:rowOff>85749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828B00E9-D7F5-4231-8E99-61464A6700C9}"/>
            </a:ext>
          </a:extLst>
        </xdr:cNvPr>
        <xdr:cNvSpPr/>
      </xdr:nvSpPr>
      <xdr:spPr>
        <a:xfrm>
          <a:off x="4513417" y="7026275"/>
          <a:ext cx="9283700" cy="4447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201084</xdr:colOff>
      <xdr:row>9</xdr:row>
      <xdr:rowOff>165099</xdr:rowOff>
    </xdr:from>
    <xdr:to>
      <xdr:col>54</xdr:col>
      <xdr:colOff>95251</xdr:colOff>
      <xdr:row>10</xdr:row>
      <xdr:rowOff>21166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C50F3290-8DED-4361-8F16-80A9C23AACBC}"/>
            </a:ext>
          </a:extLst>
        </xdr:cNvPr>
        <xdr:cNvSpPr/>
      </xdr:nvSpPr>
      <xdr:spPr>
        <a:xfrm>
          <a:off x="4519084" y="2070099"/>
          <a:ext cx="9292167" cy="67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248708</xdr:colOff>
      <xdr:row>3</xdr:row>
      <xdr:rowOff>185208</xdr:rowOff>
    </xdr:from>
    <xdr:to>
      <xdr:col>25</xdr:col>
      <xdr:colOff>209550</xdr:colOff>
      <xdr:row>5</xdr:row>
      <xdr:rowOff>190499</xdr:rowOff>
    </xdr:to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9594CD71-F4CD-DAAF-0086-998F5A8D950B}"/>
            </a:ext>
          </a:extLst>
        </xdr:cNvPr>
        <xdr:cNvSpPr txBox="1"/>
      </xdr:nvSpPr>
      <xdr:spPr>
        <a:xfrm>
          <a:off x="4620683" y="813858"/>
          <a:ext cx="2018242" cy="424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zh-TW" altLang="en-US" sz="1800" b="1">
              <a:ln>
                <a:noFill/>
              </a:ln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總採計上班次數</a:t>
          </a:r>
        </a:p>
      </xdr:txBody>
    </xdr:sp>
    <xdr:clientData/>
  </xdr:twoCellAnchor>
  <xdr:twoCellAnchor>
    <xdr:from>
      <xdr:col>27</xdr:col>
      <xdr:colOff>67733</xdr:colOff>
      <xdr:row>3</xdr:row>
      <xdr:rowOff>170391</xdr:rowOff>
    </xdr:from>
    <xdr:to>
      <xdr:col>33</xdr:col>
      <xdr:colOff>210766</xdr:colOff>
      <xdr:row>6</xdr:row>
      <xdr:rowOff>32425</xdr:rowOff>
    </xdr:to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3D525A01-1C38-4E2B-B765-3D4B0F77054D}"/>
            </a:ext>
          </a:extLst>
        </xdr:cNvPr>
        <xdr:cNvSpPr txBox="1"/>
      </xdr:nvSpPr>
      <xdr:spPr>
        <a:xfrm>
          <a:off x="6196159" y="802689"/>
          <a:ext cx="1504905" cy="494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 b="1">
              <a:ln>
                <a:noFill/>
              </a:ln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總售出工時</a:t>
          </a:r>
        </a:p>
      </xdr:txBody>
    </xdr:sp>
    <xdr:clientData/>
  </xdr:twoCellAnchor>
  <xdr:twoCellAnchor>
    <xdr:from>
      <xdr:col>27</xdr:col>
      <xdr:colOff>9525</xdr:colOff>
      <xdr:row>4</xdr:row>
      <xdr:rowOff>9527</xdr:rowOff>
    </xdr:from>
    <xdr:to>
      <xdr:col>27</xdr:col>
      <xdr:colOff>55244</xdr:colOff>
      <xdr:row>10</xdr:row>
      <xdr:rowOff>1189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65C5FD57-7718-480D-B0AF-1884CCB2A8DB}"/>
            </a:ext>
          </a:extLst>
        </xdr:cNvPr>
        <xdr:cNvSpPr/>
      </xdr:nvSpPr>
      <xdr:spPr>
        <a:xfrm rot="5400000">
          <a:off x="6351629" y="1449348"/>
          <a:ext cx="1248962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36</xdr:col>
      <xdr:colOff>66675</xdr:colOff>
      <xdr:row>4</xdr:row>
      <xdr:rowOff>28580</xdr:rowOff>
    </xdr:from>
    <xdr:to>
      <xdr:col>36</xdr:col>
      <xdr:colOff>112394</xdr:colOff>
      <xdr:row>10</xdr:row>
      <xdr:rowOff>20242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807BF4C2-0C10-45FE-98D6-7D8D52E7DE52}"/>
            </a:ext>
          </a:extLst>
        </xdr:cNvPr>
        <xdr:cNvSpPr/>
      </xdr:nvSpPr>
      <xdr:spPr>
        <a:xfrm rot="5400000">
          <a:off x="8723354" y="1468401"/>
          <a:ext cx="1248962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45</xdr:col>
      <xdr:colOff>104777</xdr:colOff>
      <xdr:row>3</xdr:row>
      <xdr:rowOff>190502</xdr:rowOff>
    </xdr:from>
    <xdr:to>
      <xdr:col>45</xdr:col>
      <xdr:colOff>150496</xdr:colOff>
      <xdr:row>9</xdr:row>
      <xdr:rowOff>182164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57FCDFAD-414B-4293-9DFD-7A02C89436F5}"/>
            </a:ext>
          </a:extLst>
        </xdr:cNvPr>
        <xdr:cNvSpPr/>
      </xdr:nvSpPr>
      <xdr:spPr>
        <a:xfrm rot="5400000">
          <a:off x="11076031" y="1420773"/>
          <a:ext cx="1248962" cy="457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36</xdr:col>
      <xdr:colOff>105832</xdr:colOff>
      <xdr:row>3</xdr:row>
      <xdr:rowOff>170391</xdr:rowOff>
    </xdr:from>
    <xdr:to>
      <xdr:col>42</xdr:col>
      <xdr:colOff>194553</xdr:colOff>
      <xdr:row>6</xdr:row>
      <xdr:rowOff>32425</xdr:rowOff>
    </xdr:to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DE242A7-7A03-4230-8A49-8001E23DAA34}"/>
            </a:ext>
          </a:extLst>
        </xdr:cNvPr>
        <xdr:cNvSpPr txBox="1"/>
      </xdr:nvSpPr>
      <xdr:spPr>
        <a:xfrm>
          <a:off x="8277066" y="802689"/>
          <a:ext cx="1450593" cy="494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 b="1">
              <a:ln>
                <a:noFill/>
              </a:ln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總上班時長</a:t>
          </a:r>
        </a:p>
      </xdr:txBody>
    </xdr:sp>
    <xdr:clientData/>
  </xdr:twoCellAnchor>
  <xdr:twoCellAnchor>
    <xdr:from>
      <xdr:col>45</xdr:col>
      <xdr:colOff>134408</xdr:colOff>
      <xdr:row>3</xdr:row>
      <xdr:rowOff>170390</xdr:rowOff>
    </xdr:from>
    <xdr:to>
      <xdr:col>52</xdr:col>
      <xdr:colOff>64851</xdr:colOff>
      <xdr:row>5</xdr:row>
      <xdr:rowOff>178339</xdr:rowOff>
    </xdr:to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C248BC87-6220-4DD9-B46E-EEEE519A1A73}"/>
            </a:ext>
          </a:extLst>
        </xdr:cNvPr>
        <xdr:cNvSpPr txBox="1"/>
      </xdr:nvSpPr>
      <xdr:spPr>
        <a:xfrm>
          <a:off x="10348451" y="802688"/>
          <a:ext cx="1519294" cy="429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 b="1">
              <a:ln>
                <a:noFill/>
              </a:ln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總怠工時長</a:t>
          </a:r>
        </a:p>
      </xdr:txBody>
    </xdr:sp>
    <xdr:clientData/>
  </xdr:twoCellAnchor>
  <xdr:twoCellAnchor>
    <xdr:from>
      <xdr:col>17</xdr:col>
      <xdr:colOff>209550</xdr:colOff>
      <xdr:row>4</xdr:row>
      <xdr:rowOff>200025</xdr:rowOff>
    </xdr:from>
    <xdr:to>
      <xdr:col>27</xdr:col>
      <xdr:colOff>9525</xdr:colOff>
      <xdr:row>9</xdr:row>
      <xdr:rowOff>152400</xdr:rowOff>
    </xdr:to>
    <xdr:sp macro="" textlink="樞紐!Z2">
      <xdr:nvSpPr>
        <xdr:cNvPr id="39" name="文字方塊 38">
          <a:extLst>
            <a:ext uri="{FF2B5EF4-FFF2-40B4-BE49-F238E27FC236}">
              <a16:creationId xmlns:a16="http://schemas.microsoft.com/office/drawing/2014/main" id="{DF38F3D2-83DE-4740-8B9C-9E854F6E7DF9}"/>
            </a:ext>
          </a:extLst>
        </xdr:cNvPr>
        <xdr:cNvSpPr txBox="1"/>
      </xdr:nvSpPr>
      <xdr:spPr>
        <a:xfrm>
          <a:off x="4581525" y="1038225"/>
          <a:ext cx="2371725" cy="1000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C31633D-84A8-408B-A8D9-63B01902850C}" type="TxLink">
            <a:rPr lang="en-US" altLang="en-US" sz="3200" b="0" i="0" u="none" strike="noStrike">
              <a:ln>
                <a:noFill/>
              </a:ln>
              <a:solidFill>
                <a:srgbClr val="FFFF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pPr marL="0" indent="0" algn="ctr"/>
            <a:t>2062</a:t>
          </a:fld>
          <a:endParaRPr lang="zh-TW" altLang="en-US" sz="4400" b="1">
            <a:ln>
              <a:noFill/>
            </a:ln>
            <a:solidFill>
              <a:srgbClr val="FFFF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27</xdr:col>
      <xdr:colOff>47625</xdr:colOff>
      <xdr:row>5</xdr:row>
      <xdr:rowOff>9526</xdr:rowOff>
    </xdr:from>
    <xdr:to>
      <xdr:col>36</xdr:col>
      <xdr:colOff>104775</xdr:colOff>
      <xdr:row>9</xdr:row>
      <xdr:rowOff>161926</xdr:rowOff>
    </xdr:to>
    <xdr:sp macro="" textlink="樞紐!Z3">
      <xdr:nvSpPr>
        <xdr:cNvPr id="40" name="文字方塊 39">
          <a:extLst>
            <a:ext uri="{FF2B5EF4-FFF2-40B4-BE49-F238E27FC236}">
              <a16:creationId xmlns:a16="http://schemas.microsoft.com/office/drawing/2014/main" id="{455DE706-0871-4E86-AD46-3B066DF63114}"/>
            </a:ext>
          </a:extLst>
        </xdr:cNvPr>
        <xdr:cNvSpPr txBox="1"/>
      </xdr:nvSpPr>
      <xdr:spPr>
        <a:xfrm>
          <a:off x="6991350" y="1057276"/>
          <a:ext cx="2371725" cy="990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105543D-B565-45B9-A035-7AA985D5DE9C}" type="TxLink">
            <a:rPr lang="en-US" altLang="en-US" sz="3200" b="0" i="0" u="none" strike="noStrike">
              <a:ln>
                <a:noFill/>
              </a:ln>
              <a:solidFill>
                <a:srgbClr val="FFFF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pPr marL="0" indent="0" algn="ctr"/>
            <a:t>8697.11</a:t>
          </a:fld>
          <a:endParaRPr lang="zh-TW" altLang="en-US" sz="3200" b="0" i="0" u="none" strike="noStrike">
            <a:ln>
              <a:noFill/>
            </a:ln>
            <a:solidFill>
              <a:srgbClr val="FFFF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36</xdr:col>
      <xdr:colOff>76200</xdr:colOff>
      <xdr:row>4</xdr:row>
      <xdr:rowOff>190500</xdr:rowOff>
    </xdr:from>
    <xdr:to>
      <xdr:col>45</xdr:col>
      <xdr:colOff>133350</xdr:colOff>
      <xdr:row>9</xdr:row>
      <xdr:rowOff>161925</xdr:rowOff>
    </xdr:to>
    <xdr:sp macro="" textlink="樞紐!Z4">
      <xdr:nvSpPr>
        <xdr:cNvPr id="41" name="文字方塊 40">
          <a:extLst>
            <a:ext uri="{FF2B5EF4-FFF2-40B4-BE49-F238E27FC236}">
              <a16:creationId xmlns:a16="http://schemas.microsoft.com/office/drawing/2014/main" id="{125B3D7D-1E01-4A47-A875-3320FF8FC6FC}"/>
            </a:ext>
          </a:extLst>
        </xdr:cNvPr>
        <xdr:cNvSpPr txBox="1"/>
      </xdr:nvSpPr>
      <xdr:spPr>
        <a:xfrm>
          <a:off x="9334500" y="1028700"/>
          <a:ext cx="2371725" cy="1019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55C65C0-9F36-47A4-8C3E-67217403A3CD}" type="TxLink">
            <a:rPr lang="en-US" altLang="en-US" sz="3200" b="0" i="0" u="none" strike="noStrike">
              <a:ln>
                <a:noFill/>
              </a:ln>
              <a:solidFill>
                <a:srgbClr val="FFFF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pPr marL="0" indent="0" algn="ctr"/>
            <a:t>17793.67</a:t>
          </a:fld>
          <a:endParaRPr lang="zh-TW" altLang="en-US" sz="3200" b="0" i="0" u="none" strike="noStrike">
            <a:ln>
              <a:noFill/>
            </a:ln>
            <a:solidFill>
              <a:srgbClr val="FFFF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45</xdr:col>
      <xdr:colOff>38100</xdr:colOff>
      <xdr:row>5</xdr:row>
      <xdr:rowOff>9524</xdr:rowOff>
    </xdr:from>
    <xdr:to>
      <xdr:col>54</xdr:col>
      <xdr:colOff>95250</xdr:colOff>
      <xdr:row>9</xdr:row>
      <xdr:rowOff>152399</xdr:rowOff>
    </xdr:to>
    <xdr:sp macro="" textlink="樞紐!Z5">
      <xdr:nvSpPr>
        <xdr:cNvPr id="42" name="文字方塊 41">
          <a:extLst>
            <a:ext uri="{FF2B5EF4-FFF2-40B4-BE49-F238E27FC236}">
              <a16:creationId xmlns:a16="http://schemas.microsoft.com/office/drawing/2014/main" id="{5DA4BB25-BE25-4891-A457-D7D50D506A1D}"/>
            </a:ext>
          </a:extLst>
        </xdr:cNvPr>
        <xdr:cNvSpPr txBox="1"/>
      </xdr:nvSpPr>
      <xdr:spPr>
        <a:xfrm>
          <a:off x="11610975" y="1057274"/>
          <a:ext cx="237172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B4F4A10-5F7C-4924-9DF0-0E9975464C79}" type="TxLink">
            <a:rPr lang="en-US" altLang="en-US" sz="3200" b="0" i="0" u="none" strike="noStrike">
              <a:ln>
                <a:noFill/>
              </a:ln>
              <a:solidFill>
                <a:srgbClr val="FFFF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pPr marL="0" indent="0" algn="ctr"/>
            <a:t>3945.96</a:t>
          </a:fld>
          <a:endParaRPr lang="zh-TW" altLang="en-US" sz="3200" b="0" i="0" u="none" strike="noStrike">
            <a:ln>
              <a:noFill/>
            </a:ln>
            <a:solidFill>
              <a:srgbClr val="FFFF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謝向威" refreshedDate="45460.892102083337" createdVersion="8" refreshedVersion="8" minRefreshableVersion="3" recordCount="3534" xr:uid="{B04B46E6-8385-41B6-BA11-2CA0CCF8E532}">
  <cacheSource type="worksheet">
    <worksheetSource name="交易處理資料__3"/>
  </cacheSource>
  <cacheFields count="16">
    <cacheField name="部門別" numFmtId="0">
      <sharedItems count="3">
        <s v="噴漆部門"/>
        <s v="板金部門"/>
        <s v="引電部門"/>
      </sharedItems>
    </cacheField>
    <cacheField name="人員代號" numFmtId="0">
      <sharedItems count="51">
        <s v="AA023"/>
        <s v="AA026"/>
        <s v="AA025"/>
        <s v="AA024"/>
        <s v="AA015"/>
        <s v="AA028"/>
        <s v="AA002"/>
        <s v="AA027"/>
        <s v="AA020"/>
        <s v="AB007"/>
        <s v="AB002"/>
        <s v="AB004"/>
        <s v="AB011"/>
        <s v="AB010"/>
        <s v="AM009"/>
        <s v="AM011"/>
        <s v="AM102"/>
        <s v="AM001"/>
        <s v="AM002"/>
        <s v="AM152"/>
        <s v="AM013"/>
        <s v="AM157"/>
        <s v="AM104"/>
        <s v="AM003"/>
        <s v="AM145"/>
        <s v="AM151"/>
        <s v="AM105"/>
        <s v="AM005"/>
        <s v="AM162"/>
        <s v="AM139"/>
        <s v="AM121"/>
        <s v="AM129"/>
        <s v="AM051"/>
        <s v="AM116"/>
        <s v="AM016"/>
        <s v="AM146"/>
        <s v="AM122"/>
        <s v="AM070"/>
        <s v="AM028"/>
        <s v="AM137"/>
        <s v="AM018"/>
        <s v="AM126"/>
        <s v="AM120"/>
        <s v="AM007"/>
        <s v="AM029"/>
        <s v="AM035"/>
        <s v="AM131"/>
        <s v="AM021"/>
        <s v="AM159"/>
        <s v="AM022"/>
        <s v="AM065"/>
      </sharedItems>
    </cacheField>
    <cacheField name="售出工時" numFmtId="0">
      <sharedItems containsSemiMixedTypes="0" containsString="0" containsNumber="1" minValue="0" maxValue="27.5" count="877">
        <n v="0"/>
        <n v="1.99"/>
        <n v="1.2"/>
        <n v="1.5"/>
        <n v="1"/>
        <n v="1.58"/>
        <n v="0.7"/>
        <n v="0.25"/>
        <n v="0.19"/>
        <n v="0.04"/>
        <n v="10.1"/>
        <n v="0.75"/>
        <n v="2.85"/>
        <n v="0.63"/>
        <n v="9.8699999999999992"/>
        <n v="3.58"/>
        <n v="5.1100000000000003"/>
        <n v="9.75"/>
        <n v="4.8499999999999996"/>
        <n v="8.25"/>
        <n v="9.41"/>
        <n v="1.78"/>
        <n v="3"/>
        <n v="15.83"/>
        <n v="2.5"/>
        <n v="9"/>
        <n v="2.91"/>
        <n v="8.99"/>
        <n v="5.58"/>
        <n v="2"/>
        <n v="2.5499999999999998"/>
        <n v="11.56"/>
        <n v="3.35"/>
        <n v="2.08"/>
        <n v="3.08"/>
        <n v="8.64"/>
        <n v="6.18"/>
        <n v="12.91"/>
        <n v="0.21"/>
        <n v="8.8699999999999992"/>
        <n v="13.75"/>
        <n v="2.9"/>
        <n v="6.91"/>
        <n v="6.73"/>
        <n v="1.83"/>
        <n v="0.5"/>
        <n v="2.72"/>
        <n v="2.58"/>
        <n v="4.33"/>
        <n v="22.08"/>
        <n v="8.41"/>
        <n v="11"/>
        <n v="2.33"/>
        <n v="2.25"/>
        <n v="5.5"/>
        <n v="8"/>
        <n v="1.79"/>
        <n v="7.58"/>
        <n v="3.5"/>
        <n v="2.2000000000000002"/>
        <n v="5.96"/>
        <n v="5.33"/>
        <n v="0.73"/>
        <n v="1.97"/>
        <n v="14.97"/>
        <n v="1.3"/>
        <n v="13.87"/>
        <n v="7.34"/>
        <n v="0.83"/>
        <n v="5.7"/>
        <n v="4.41"/>
        <n v="22.33"/>
        <n v="13.25"/>
        <n v="5"/>
        <n v="4.5"/>
        <n v="2.21"/>
        <n v="4.3"/>
        <n v="3.71"/>
        <n v="5.16"/>
        <n v="1.37"/>
        <n v="0.93"/>
        <n v="7.89"/>
        <n v="0.99"/>
        <n v="6.83"/>
        <n v="4.83"/>
        <n v="16.93"/>
        <n v="1.26"/>
        <n v="4.07"/>
        <n v="21.5"/>
        <n v="1.24"/>
        <n v="10"/>
        <n v="5.46"/>
        <n v="5.75"/>
        <n v="3.41"/>
        <n v="4.12"/>
        <n v="7.17"/>
        <n v="6.36"/>
        <n v="5.82"/>
        <n v="6.97"/>
        <n v="4.66"/>
        <n v="4.08"/>
        <n v="6.27"/>
        <n v="9.8000000000000007"/>
        <n v="2.3199999999999998"/>
        <n v="1.01"/>
        <n v="3.7"/>
        <n v="2.63"/>
        <n v="1.31"/>
        <n v="3.31"/>
        <n v="17.53"/>
        <n v="5.41"/>
        <n v="7.91"/>
        <n v="6.79"/>
        <n v="4.58"/>
        <n v="8.7899999999999991"/>
        <n v="10.47"/>
        <n v="12"/>
        <n v="11.83"/>
        <n v="0.57999999999999996"/>
        <n v="3.91"/>
        <n v="7.38"/>
        <n v="2.4300000000000002"/>
        <n v="1.33"/>
        <n v="2.16"/>
        <n v="0.16"/>
        <n v="1.04"/>
        <n v="3.21"/>
        <n v="0.05"/>
        <n v="8.32"/>
        <n v="1.08"/>
        <n v="12.16"/>
        <n v="2.29"/>
        <n v="1.95"/>
        <n v="1.66"/>
        <n v="14.91"/>
        <n v="0.33"/>
        <n v="13.41"/>
        <n v="9.52"/>
        <n v="1.91"/>
        <n v="6.42"/>
        <n v="2.77"/>
        <n v="7.28"/>
        <n v="6"/>
        <n v="4.25"/>
        <n v="17.989999999999998"/>
        <n v="10.08"/>
        <n v="3.83"/>
        <n v="0.92"/>
        <n v="11.58"/>
        <n v="4.99"/>
        <n v="4.16"/>
        <n v="6.82"/>
        <n v="2.2200000000000002"/>
        <n v="2.76"/>
        <n v="4.4800000000000004"/>
        <n v="1.41"/>
        <n v="6.9"/>
        <n v="5.91"/>
        <n v="2.64"/>
        <n v="6.17"/>
        <n v="11.35"/>
        <n v="1.61"/>
        <n v="6.5"/>
        <n v="16.170000000000002"/>
        <n v="6.08"/>
        <n v="3.16"/>
        <n v="6.78"/>
        <n v="7.72"/>
        <n v="6.66"/>
        <n v="1.72"/>
        <n v="8.08"/>
        <n v="21.33"/>
        <n v="5.47"/>
        <n v="5.66"/>
        <n v="5.68"/>
        <n v="2.02"/>
        <n v="0.71"/>
        <n v="4.13"/>
        <n v="1.18"/>
        <n v="12.13"/>
        <n v="3.25"/>
        <n v="1.25"/>
        <n v="16.829999999999998"/>
        <n v="6.58"/>
        <n v="3.95"/>
        <n v="3.03"/>
        <n v="3.75"/>
        <n v="1.4"/>
        <n v="2.42"/>
        <n v="3.13"/>
        <n v="3.89"/>
        <n v="3.86"/>
        <n v="9.69"/>
        <n v="0.74"/>
        <n v="8.2799999999999994"/>
        <n v="3.96"/>
        <n v="3.37"/>
        <n v="5.0199999999999996"/>
        <n v="6.65"/>
        <n v="0.91"/>
        <n v="12.08"/>
        <n v="0.59"/>
        <n v="2.83"/>
        <n v="10.38"/>
        <n v="3.2"/>
        <n v="11.02"/>
        <n v="0.55000000000000004"/>
        <n v="9.08"/>
        <n v="11.73"/>
        <n v="11.16"/>
        <n v="27.5"/>
        <n v="6.43"/>
        <n v="1.1599999999999999"/>
        <n v="0.65"/>
        <n v="2.04"/>
        <n v="4.88"/>
        <n v="8.33"/>
        <n v="5.04"/>
        <n v="4.0199999999999996"/>
        <n v="3.93"/>
        <n v="3.29"/>
        <n v="12.77"/>
        <n v="6.75"/>
        <n v="8.91"/>
        <n v="6.33"/>
        <n v="22.25"/>
        <n v="0.42"/>
        <n v="3.57"/>
        <n v="1.29"/>
        <n v="4.09"/>
        <n v="2.56"/>
        <n v="7.75"/>
        <n v="2.2400000000000002"/>
        <n v="8.75"/>
        <n v="13.51"/>
        <n v="2.2599999999999998"/>
        <n v="13.43"/>
        <n v="3.33"/>
        <n v="13.66"/>
        <n v="1.32"/>
        <n v="3.52"/>
        <n v="3.15"/>
        <n v="10.33"/>
        <n v="2.69"/>
        <n v="7.25"/>
        <n v="4.74"/>
        <n v="23.15"/>
        <n v="14.41"/>
        <n v="7.32"/>
        <n v="3.09"/>
        <n v="0.08"/>
        <n v="10.66"/>
        <n v="12.29"/>
        <n v="7.87"/>
        <n v="9.3800000000000008"/>
        <n v="5.34"/>
        <n v="8.1999999999999993"/>
        <n v="16.05"/>
        <n v="2.75"/>
        <n v="9.4600000000000009"/>
        <n v="4"/>
        <n v="10.41"/>
        <n v="10.57"/>
        <n v="21.08"/>
        <n v="3.59"/>
        <n v="9.82"/>
        <n v="6.77"/>
        <n v="8.16"/>
        <n v="8.1666666669999994"/>
        <n v="0.9"/>
        <n v="2.67"/>
        <n v="17.86"/>
        <n v="1.933333333"/>
        <n v="5.4166666670000003"/>
        <n v="7.07"/>
        <n v="6.67"/>
        <n v="3.6666666669999999"/>
        <n v="11.096666669999999"/>
        <n v="6.25"/>
        <n v="1.75"/>
        <n v="9.81"/>
        <n v="6.4166666670000003"/>
        <n v="4.9166666670000003"/>
        <n v="4.63"/>
        <n v="4.45"/>
        <n v="4.4166666670000003"/>
        <n v="1.53"/>
        <n v="6.45"/>
        <n v="2.38"/>
        <n v="3.0833333330000001"/>
        <n v="8.58"/>
        <n v="7.5833333329999997"/>
        <n v="4.76"/>
        <n v="11.176666669999999"/>
        <n v="5.25"/>
        <n v="11.45333333"/>
        <n v="6.3333333329999997"/>
        <n v="2.2966666670000002"/>
        <n v="16"/>
        <n v="11.66666667"/>
        <n v="1.286666667"/>
        <n v="2.4166666669999999"/>
        <n v="2.17"/>
        <n v="5.1666666670000003"/>
        <n v="17.84333333"/>
        <n v="1.9166666670000001"/>
        <n v="5.5833333329999997"/>
        <n v="0.33333333300000001"/>
        <n v="9.4166666669999994"/>
        <n v="7.95"/>
        <n v="9.8333333330000006"/>
        <n v="3.26"/>
        <n v="10.58333333"/>
        <n v="3.746666667"/>
        <n v="8.8966666669999999"/>
        <n v="17.916666670000001"/>
        <n v="10.08666667"/>
        <n v="1.3333333329999999"/>
        <n v="3.9"/>
        <n v="4.4000000000000004"/>
        <n v="8.4166666669999994"/>
        <n v="5.3533333330000001"/>
        <n v="1.9566666669999999"/>
        <n v="5.42"/>
        <n v="6.6766666670000001"/>
        <n v="13.83333333"/>
        <n v="6.94"/>
        <n v="6.0833333329999997"/>
        <n v="4.8333333329999997"/>
        <n v="4.22"/>
        <n v="2.61"/>
        <n v="2.5833333330000001"/>
        <n v="2.34"/>
        <n v="5.0766666669999996"/>
        <n v="0.66666666699999999"/>
        <n v="1.5833333329999999"/>
        <n v="14.71666667"/>
        <n v="10.16"/>
        <n v="8.5"/>
        <n v="8.06"/>
        <n v="5.9333333330000002"/>
        <n v="1.4766666669999999"/>
        <n v="4.1666666670000003"/>
        <n v="13.08333333"/>
        <n v="3.38"/>
        <n v="0.91666666699999999"/>
        <n v="4.1066666669999998"/>
        <n v="2.13"/>
        <n v="9.1666666669999994"/>
        <n v="2.23"/>
        <n v="7.26"/>
        <n v="2.8933333330000002"/>
        <n v="0.96"/>
        <n v="1.9866666669999999"/>
        <n v="9.91"/>
        <n v="4.8866666670000001"/>
        <n v="14.02333333"/>
        <n v="11.41666667"/>
        <n v="20"/>
        <n v="14.33333333"/>
        <n v="1.1100000000000001"/>
        <n v="6.1633333329999997"/>
        <n v="5.85"/>
        <n v="12.16666667"/>
        <n v="0.83333333300000001"/>
        <n v="3.9166666669999999"/>
        <n v="10.37"/>
        <n v="14.16666667"/>
        <n v="1.1666666670000001"/>
        <n v="0.8"/>
        <n v="7.7233333330000002"/>
        <n v="12.48666667"/>
        <n v="2.9166666669999999"/>
        <n v="9.64"/>
        <n v="2.1666666669999999"/>
        <n v="3.3333333330000001"/>
        <n v="4.0833333329999997"/>
        <n v="10.33333333"/>
        <n v="1.17"/>
        <n v="7.6266666670000003"/>
        <n v="3.1666666669999999"/>
        <n v="1.0833333329999999"/>
        <n v="15.91666667"/>
        <n v="12.926666669999999"/>
        <n v="5.6666666670000003"/>
        <n v="3.11"/>
        <n v="0.67"/>
        <n v="2.99"/>
        <n v="3.01"/>
        <n v="14.66666667"/>
        <n v="6.1766666670000001"/>
        <n v="10.01"/>
        <n v="7.62"/>
        <n v="8.3333332999999996E-2"/>
        <n v="7.67"/>
        <n v="2.7266666669999999"/>
        <n v="3.47"/>
        <n v="14.08333333"/>
        <n v="7.8333333329999997"/>
        <n v="3.6966666670000001"/>
        <n v="10.92333333"/>
        <n v="4.3333333329999997"/>
        <n v="6.8333333329999997"/>
        <n v="4.2966666670000002"/>
        <n v="6.11"/>
        <n v="8.5833333330000006"/>
        <n v="6.54"/>
        <n v="8.7200000000000006"/>
        <n v="5.9166666670000003"/>
        <n v="2.8333333330000001"/>
        <n v="13.41666667"/>
        <n v="3.2966666670000002"/>
        <n v="5.596666667"/>
        <n v="11.54"/>
        <n v="6.6366666670000001"/>
        <n v="9.6333333329999995"/>
        <n v="6.4366666669999999"/>
        <n v="8.98"/>
        <n v="6.6666666670000003"/>
        <n v="3.88"/>
        <n v="12.08333333"/>
        <n v="3.996666667"/>
        <n v="5.8333333329999997"/>
        <n v="4.1399999999999997"/>
        <n v="9.1266666670000003"/>
        <n v="8.61"/>
        <n v="7.06"/>
        <n v="10.573333330000001"/>
        <n v="7.3166666669999998"/>
        <n v="4.9933333329999998"/>
        <n v="3.4166666669999999"/>
        <n v="8.6666666669999994"/>
        <n v="7.29"/>
        <n v="5.0833333329999997"/>
        <n v="1.1399999999999999"/>
        <n v="3.98"/>
        <n v="9.99"/>
        <n v="11.893333330000001"/>
        <n v="9.8566666670000007"/>
        <n v="9.1366666670000001"/>
        <n v="13.41333333"/>
        <n v="7.8833333330000004"/>
        <n v="7.1733333330000004"/>
        <n v="11.39666667"/>
        <n v="6.4566666670000004"/>
        <n v="4.2033333329999998"/>
        <n v="5.57"/>
        <n v="3.12"/>
        <n v="2.27"/>
        <n v="7.1666666670000003"/>
        <n v="3.5833333330000001"/>
        <n v="14.46"/>
        <n v="4.556666667"/>
        <n v="7.3433333330000004"/>
        <n v="2.39"/>
        <n v="8.0833333330000006"/>
        <n v="2.35"/>
        <n v="9.9166666669999994"/>
        <n v="5.84"/>
        <n v="1.57"/>
        <n v="2.94"/>
        <n v="8.59"/>
        <n v="9.85"/>
        <n v="0.49"/>
        <n v="13.98666667"/>
        <n v="9.5666666669999998"/>
        <n v="6.4066666669999996"/>
        <n v="12.75"/>
        <n v="5.28"/>
        <n v="4.6666666670000003"/>
        <n v="2.6766666670000001"/>
        <n v="5.0533333330000003"/>
        <n v="0.78"/>
        <n v="2.0833333330000001"/>
        <n v="9.39"/>
        <n v="11.24333333"/>
        <n v="10.48"/>
        <n v="11.78333333"/>
        <n v="11.926666669999999"/>
        <n v="12.096666669999999"/>
        <n v="2.06"/>
        <n v="3.06"/>
        <n v="17.666666670000001"/>
        <n v="13.91666667"/>
        <n v="8.4233333330000004"/>
        <n v="12.98666667"/>
        <n v="3.8333333330000001"/>
        <n v="3.42"/>
        <n v="10.07"/>
        <n v="1.28"/>
        <n v="17.25"/>
        <n v="0.01"/>
        <n v="6.096666667"/>
        <n v="9.5"/>
        <n v="9.3333333000000004E-2"/>
        <n v="3.5866666669999998"/>
        <n v="1.51"/>
        <n v="3.73"/>
        <n v="2.36"/>
        <n v="5.3333333329999997"/>
        <n v="10.41666667"/>
        <n v="8.1066666670000007"/>
        <n v="6.59"/>
        <n v="3.36"/>
        <n v="6.13"/>
        <n v="7.8166666669999998"/>
        <n v="5.37"/>
        <n v="6.1266666670000003"/>
        <n v="3.6066666669999998"/>
        <n v="8.8333333330000006"/>
        <n v="8.9633333329999996"/>
        <n v="9.7899999999999991"/>
        <n v="5.6033333330000001"/>
        <n v="2.0299999999999998"/>
        <n v="3.0466666670000002"/>
        <n v="11.91333333"/>
        <n v="3.1"/>
        <n v="5.5033333329999996"/>
        <n v="9.6133333329999999"/>
        <n v="7.99"/>
        <n v="9.17"/>
        <n v="1.4266666670000001"/>
        <n v="4.54"/>
        <n v="21.333333329999999"/>
        <n v="9.0833333330000006"/>
        <n v="4.903333333"/>
        <n v="12.25"/>
        <n v="4.5833333329999997"/>
        <n v="6.5833333329999997"/>
        <n v="11.553333329999999"/>
        <n v="5.0633333330000001"/>
        <n v="11.213333329999999"/>
        <n v="2.6666666669999999"/>
        <n v="7.21"/>
        <n v="10.19"/>
        <n v="10.75"/>
        <n v="2.4"/>
        <n v="8.0633333329999992"/>
        <n v="7.4933333329999998"/>
        <n v="7.46"/>
        <n v="14.196666670000001"/>
        <n v="1.35"/>
        <n v="15.66666667"/>
        <n v="4.75"/>
        <n v="1.34"/>
        <n v="5.27"/>
        <n v="6.0366666670000004"/>
        <n v="7.2633333330000003"/>
        <n v="2.4700000000000002"/>
        <n v="7.65"/>
        <n v="11.91666667"/>
        <n v="2.82"/>
        <n v="2.3333333330000001"/>
        <n v="7.9533333329999998"/>
        <n v="2.4900000000000002"/>
        <n v="2.88"/>
        <n v="2.9366666669999999"/>
        <n v="4.17"/>
        <n v="5.69"/>
        <n v="0.56000000000000005"/>
        <n v="2.9333333330000002"/>
        <n v="4.4966666670000004"/>
        <n v="3.2566666670000002"/>
        <n v="8.5333333329999999"/>
        <n v="5.62"/>
        <n v="3.153333333"/>
        <n v="13.33333333"/>
        <n v="8.3333333330000006"/>
        <n v="3.8533333330000001"/>
        <n v="15.16666667"/>
        <n v="2.4500000000000002"/>
        <n v="4.2366666669999997"/>
        <n v="7.79"/>
        <n v="4.0066666670000002"/>
        <n v="7.9566666670000004"/>
        <n v="5.1566666669999996"/>
        <n v="1.693333333"/>
        <n v="16.166666670000001"/>
        <n v="12.66666667"/>
        <n v="1.05"/>
        <n v="7"/>
        <n v="3.6833333330000002"/>
        <n v="2.8"/>
        <n v="2.57"/>
        <n v="6.653333333"/>
        <n v="4.3733333329999997"/>
        <n v="6.4533333329999998"/>
        <n v="1.19"/>
        <n v="8.056666667"/>
        <n v="8.2100000000000009"/>
        <n v="1.423333333"/>
        <n v="7.66"/>
        <n v="10.81"/>
        <n v="2.5299999999999998"/>
        <n v="7.0833333329999997"/>
        <n v="8.2133333329999996"/>
        <n v="1.6666666670000001"/>
        <n v="2.14"/>
        <n v="1.4166666670000001"/>
        <n v="10.83333333"/>
        <n v="1.8333333329999999"/>
        <n v="10.66666667"/>
        <n v="3.74"/>
        <n v="0.22"/>
        <n v="5.4366666669999999"/>
        <n v="4.59"/>
        <n v="7.6666666670000003"/>
        <n v="0.15"/>
        <n v="9.1966666670000006"/>
        <n v="2.44"/>
        <n v="16.873333330000001"/>
        <n v="17.256666670000001"/>
        <n v="2.5099999999999998"/>
        <n v="7.7533333329999996"/>
        <n v="2.41"/>
        <n v="12.463333329999999"/>
        <n v="6.2433333329999998"/>
        <n v="6.5266666669999998"/>
        <n v="5.9766666669999999"/>
        <n v="2.1"/>
        <n v="10.91666667"/>
        <n v="5.93"/>
        <n v="1.96"/>
        <n v="9.4466666670000006"/>
        <n v="4.04"/>
        <n v="0.52"/>
        <n v="11.5"/>
        <n v="2.09"/>
        <n v="1.3733333329999999"/>
        <n v="8.4766666669999999"/>
        <n v="5.5066666670000002"/>
        <n v="8.1733333330000004"/>
        <n v="10.65666667"/>
        <n v="4.38"/>
        <n v="7.1433333330000002"/>
        <n v="1.64"/>
        <n v="0.86"/>
        <n v="9.5833333330000006"/>
        <n v="6.37"/>
        <n v="6.153333333"/>
        <n v="10.99666667"/>
        <n v="10.25"/>
        <n v="4.71"/>
        <n v="5.76"/>
        <n v="7.4166666670000003"/>
        <n v="0.62"/>
        <n v="7.3333333329999997"/>
        <n v="3.3366666669999998"/>
        <n v="2.9466666670000001"/>
        <n v="15.5"/>
        <n v="5.24"/>
        <n v="1.7833333330000001"/>
        <n v="15.82"/>
        <n v="1.52"/>
        <n v="4.2"/>
        <n v="4.0766666669999996"/>
        <n v="5.74"/>
        <n v="4.91"/>
        <n v="10.28"/>
        <n v="0.32"/>
        <n v="5.67"/>
        <n v="0.18"/>
        <n v="12.91666667"/>
        <n v="4.51"/>
        <n v="9.3333333330000006"/>
        <n v="18.25"/>
        <n v="3.0433333330000001"/>
        <n v="5.0999999999999996"/>
        <n v="1.88"/>
        <n v="9.7066666670000004"/>
        <n v="10.286666670000001"/>
        <n v="1.49"/>
        <n v="11.33333333"/>
        <n v="11.71666667"/>
        <n v="7.02"/>
        <n v="3.9266666670000001"/>
        <n v="12.58333333"/>
        <n v="15.473333330000001"/>
        <n v="4.346666667"/>
        <n v="1.6"/>
        <n v="4.47"/>
        <n v="4.9000000000000004"/>
        <n v="3.76"/>
        <n v="12.186666669999999"/>
        <n v="3.7833333329999999"/>
        <n v="3.23"/>
        <n v="5.3666666669999996"/>
        <n v="3.97"/>
        <n v="5.55"/>
        <n v="7.2166666670000001"/>
        <n v="4.37"/>
        <n v="6.86"/>
        <n v="7.2866666670000004"/>
        <n v="6.1666666670000003"/>
        <n v="9.5399999999999991"/>
        <n v="9.443333333"/>
        <n v="1.76"/>
        <n v="15.08333333"/>
        <n v="1.74"/>
        <n v="10.963333329999999"/>
        <n v="4.0433333329999996"/>
        <n v="1.92"/>
        <n v="2.19"/>
        <n v="5.3633333329999999"/>
        <n v="15.83333333"/>
        <n v="1.7"/>
        <n v="8.1633333330000006"/>
        <n v="0.3"/>
        <n v="3.43"/>
        <n v="5.23"/>
        <n v="0.51"/>
        <n v="6.7566666670000002"/>
        <n v="2.78"/>
        <n v="6.55"/>
        <n v="4.1100000000000003"/>
        <n v="8.943333333"/>
        <n v="7.5"/>
        <n v="4.7866666670000004"/>
        <n v="7.47"/>
        <n v="12.963333329999999"/>
        <n v="1.1033333329999999"/>
        <n v="3.3433333329999999"/>
        <n v="6.57"/>
        <n v="10.16666667"/>
        <n v="5.97"/>
        <n v="15.456666670000001"/>
        <n v="12.6"/>
        <n v="4.6333333330000004"/>
        <n v="17.68"/>
        <n v="11.16666667"/>
        <n v="16.329999999999998"/>
        <n v="1.67"/>
        <n v="1.71"/>
        <n v="1.89"/>
        <n v="11.876666670000001"/>
        <n v="2.46"/>
        <n v="5.2133333329999996"/>
        <n v="0.46"/>
        <n v="6.3766666670000003"/>
        <n v="2.71"/>
        <n v="7.903333333"/>
        <n v="18.09333333"/>
        <n v="11.206666670000001"/>
        <n v="18"/>
        <n v="0.85"/>
        <n v="13.096666669999999"/>
        <n v="11.233333330000001"/>
        <n v="7.266666667"/>
        <n v="9.8366666669999994"/>
        <n v="9.4700000000000006"/>
        <n v="8.1233333329999997"/>
        <n v="3.49"/>
        <n v="7.0133333330000003"/>
        <n v="10.31666667"/>
        <n v="5.5233333330000001"/>
        <n v="5.1266666670000003"/>
        <n v="6.88"/>
        <n v="11.58333333"/>
        <n v="0.6"/>
        <n v="10.14"/>
        <n v="9.25"/>
        <n v="1.48"/>
        <n v="1.03"/>
        <n v="12.95333333"/>
        <n v="0.23"/>
        <n v="15.41666667"/>
        <n v="3.28"/>
        <n v="2.2999999999999998"/>
        <n v="3.3"/>
        <n v="4.4366666669999999"/>
        <n v="7.3366666670000003"/>
        <n v="13.31"/>
        <n v="2.48"/>
        <n v="12.10333333"/>
        <n v="11.01"/>
        <n v="12.653333330000001"/>
        <n v="1.4466666669999999"/>
        <n v="14.05666667"/>
        <n v="9.3133333329999992"/>
        <n v="4.5199999999999996"/>
        <n v="11.25"/>
        <n v="6.1"/>
        <n v="3.9933333329999998"/>
        <n v="1.153333333"/>
        <n v="4.1866666669999999"/>
        <n v="5.09"/>
        <n v="6.2966666670000002"/>
        <n v="6.8033333330000003"/>
        <n v="1.973333333"/>
        <n v="0.16666666699999999"/>
        <n v="3.79"/>
        <n v="16.583333329999999"/>
        <n v="6.3733333329999997"/>
        <n v="4.3266666669999996"/>
        <n v="0.2"/>
        <n v="0.64"/>
        <n v="7.1"/>
        <n v="8.6066666670000007"/>
        <n v="10.81666667"/>
        <n v="7.9166666670000003"/>
        <n v="3.24"/>
        <n v="1.596666667"/>
        <n v="3.4866666670000002"/>
        <n v="24"/>
        <n v="1.56"/>
        <n v="3.253333333"/>
        <n v="14.5"/>
        <n v="2.12"/>
        <n v="7.11"/>
        <n v="0.95"/>
        <n v="7.31"/>
        <n v="2.0466666670000002"/>
        <n v="7.88"/>
        <n v="5.3"/>
        <n v="9.19"/>
        <n v="1.6966666669999999"/>
        <n v="5.2633333330000003"/>
        <n v="7.16"/>
        <n v="5.2533333329999996"/>
        <n v="11.82"/>
        <n v="6.5433333329999996"/>
        <n v="11.83333333"/>
        <n v="10.446666670000001"/>
        <n v="2.8633333329999999"/>
        <n v="9.6666666669999994"/>
        <n v="6.5633333330000001"/>
        <n v="4.95"/>
        <n v="5.3766666670000003"/>
        <n v="3.923333333"/>
        <n v="2.98"/>
        <n v="1.606666667"/>
        <n v="5.52"/>
        <n v="3.92"/>
        <n v="10.5"/>
        <n v="13.473333330000001"/>
        <n v="7.8133333330000001"/>
        <n v="8.9166666669999994"/>
        <n v="11.483333330000001"/>
        <n v="21.166666670000001"/>
        <n v="2.4133333330000002"/>
        <n v="4.3899999999999997"/>
        <n v="13.286666670000001"/>
        <n v="5.8533333330000001"/>
        <n v="1.503333333"/>
        <n v="2.1800000000000002"/>
        <n v="5.4"/>
        <n v="5.36"/>
        <n v="5.26"/>
        <n v="13.16666667"/>
        <n v="0.72"/>
        <n v="9.8766666670000003"/>
        <n v="9.2433333330000007"/>
        <n v="8.5133333330000003"/>
        <n v="1.1333333329999999"/>
        <n v="14.10333333"/>
        <n v="17.333333329999999"/>
        <n v="4.1966666669999997"/>
        <n v="5.0666666669999998"/>
        <n v="1.02"/>
        <n v="5.1366666670000001"/>
        <n v="6.3433333330000004"/>
        <n v="10.32"/>
        <n v="13.5"/>
        <n v="5.5733333329999999"/>
        <n v="23.213333330000001"/>
        <n v="1.59"/>
        <n v="2.74"/>
        <n v="2.96"/>
        <n v="16.323333330000001"/>
        <n v="9.9333333330000002"/>
        <n v="14.91666667"/>
        <n v="7.2033333329999998"/>
        <n v="0.4"/>
        <n v="3.8033333329999999"/>
        <n v="10.18"/>
        <n v="4.9366666669999999"/>
        <n v="7.5733333329999999"/>
      </sharedItems>
    </cacheField>
    <cacheField name="所花費時間" numFmtId="0">
      <sharedItems containsSemiMixedTypes="0" containsString="0" containsNumber="1" minValue="0" maxValue="11.38"/>
    </cacheField>
    <cacheField name="效率" numFmtId="10">
      <sharedItems containsSemiMixedTypes="0" containsString="0" containsNumber="1" minValue="0" maxValue="75" count="1554">
        <n v="0"/>
        <n v="1.3841999999999999"/>
        <n v="0.70779999999999998"/>
        <n v="0.9677"/>
        <n v="0.65349999999999997"/>
        <n v="1.0347999999999999"/>
        <n v="0.41859999999999997"/>
        <n v="1.1094999999999999"/>
        <n v="0.20319999999999999"/>
        <n v="3.1666000000000003"/>
        <n v="8.5099999999999995E-2"/>
        <n v="8.8800000000000004E-2"/>
        <n v="1.5084"/>
        <n v="0.35710000000000003"/>
        <n v="0.75769999999999993"/>
        <n v="0.33329999999999999"/>
        <n v="1.6048"/>
        <n v="0.48549999999999999"/>
        <n v="1.1279999999999999"/>
        <n v="1.5209999999999999"/>
        <n v="1.2746999999999999"/>
        <n v="1.5625"/>
        <n v="1.4805999999999999"/>
        <n v="0.45640000000000003"/>
        <n v="0.74620000000000009"/>
        <n v="3.1105999999999998"/>
        <n v="0.94689999999999996"/>
        <n v="1.2328000000000001"/>
        <n v="0.97870000000000001"/>
        <n v="2.6362999999999999"/>
        <n v="1.1754"/>
        <n v="0.74900000000000011"/>
        <n v="0.96709999999999996"/>
        <n v="2.1811000000000003"/>
        <n v="0.48969999999999997"/>
        <n v="0.55459999999999998"/>
        <n v="0.70879999999999999"/>
        <n v="1.7419"/>
        <n v="0.79530000000000001"/>
        <n v="1.5674999999999999"/>
        <n v="0.14779999999999999"/>
        <n v="0.92430000000000012"/>
        <n v="2.2688999999999999"/>
        <n v="0.68629999999999991"/>
        <n v="1.3833000000000002"/>
        <n v="0.83329999999999993"/>
        <n v="1.0802"/>
        <n v="1.1027"/>
        <n v="0.68659999999999999"/>
        <n v="0.65780000000000005"/>
        <n v="0.46810000000000002"/>
        <n v="1.0544"/>
        <n v="0.89159999999999995"/>
        <n v="2.7642000000000002"/>
        <n v="1.2426999999999999"/>
        <n v="0.51019999999999999"/>
        <n v="1.4705000000000001"/>
        <n v="1.5988"/>
        <n v="3.0302999999999995"/>
        <n v="0.88930000000000009"/>
        <n v="1.0515999999999999"/>
        <n v="2.1135000000000002"/>
        <n v="1.0256000000000001"/>
        <n v="0.52349999999999997"/>
        <n v="0.44520000000000004"/>
        <n v="1.0017"/>
        <n v="1.5418000000000001"/>
        <n v="1.0831999999999999"/>
        <n v="1.7886000000000002"/>
        <n v="1.7897000000000001"/>
        <n v="1.4611000000000001"/>
        <n v="0.31780000000000003"/>
        <n v="0.61860000000000004"/>
        <n v="2.6266000000000003"/>
        <n v="1.6752"/>
        <n v="1.0869"/>
        <n v="1.5116000000000001"/>
        <n v="1.2916999999999998"/>
        <n v="1.0678000000000001"/>
        <n v="0.40649999999999997"/>
        <n v="0.77340000000000009"/>
        <n v="4.0895000000000001"/>
        <n v="2.5522999999999998"/>
        <n v="1.8377000000000001"/>
        <n v="1.3368"/>
        <n v="0.4914"/>
        <n v="0.86870000000000003"/>
        <n v="0.82400000000000007"/>
        <n v="0.54400000000000004"/>
        <n v="0.48100000000000004"/>
        <n v="0.59640000000000004"/>
        <n v="1.5422"/>
        <n v="0.74860000000000004"/>
        <n v="0.46600000000000003"/>
        <n v="0.4113"/>
        <n v="1.6108000000000002"/>
        <n v="1.2658"/>
        <n v="1.1926999999999999"/>
        <n v="1.1332"/>
        <n v="0.8276"/>
        <n v="1.7753000000000001"/>
        <n v="1.4728000000000001"/>
        <n v="0.40329999999999999"/>
        <n v="0.76930000000000009"/>
        <n v="3.0452999999999997"/>
        <n v="0.85510000000000008"/>
        <n v="1.3641999999999999"/>
        <n v="0.82950000000000002"/>
        <n v="0.43219999999999997"/>
        <n v="1.4341999999999999"/>
        <n v="0.9597"/>
        <n v="0.51619999999999999"/>
        <n v="0.4672"/>
        <n v="1.4783000000000002"/>
        <n v="1.3536000000000001"/>
        <n v="1.0004999999999999"/>
        <n v="0.99879999999999991"/>
        <n v="0.9706999999999999"/>
        <n v="0.77900000000000003"/>
        <n v="0.79900000000000004"/>
        <n v="1.1645999999999999"/>
        <n v="0.81640000000000001"/>
        <n v="1.6129"/>
        <n v="1.5204"/>
        <n v="0.4128"/>
        <n v="0.51219999999999999"/>
        <n v="0.41220000000000001"/>
        <n v="1.0192000000000001"/>
        <n v="0.88560000000000005"/>
        <n v="0.95620000000000005"/>
        <n v="0.61070000000000002"/>
        <n v="2.2507000000000001"/>
        <n v="0.74069999999999991"/>
        <n v="0.91489999999999994"/>
        <n v="1.0201"/>
        <n v="1.5069999999999999"/>
        <n v="0.74280000000000002"/>
        <n v="1.2150000000000001"/>
        <n v="1.2869999999999999"/>
        <n v="1.7241"/>
        <n v="0.27500000000000002"/>
        <n v="1.5772999999999999"/>
        <n v="1.5630999999999999"/>
        <n v="0.31019999999999998"/>
        <n v="1.0078"/>
        <n v="0.5595"/>
        <n v="1.6288999999999998"/>
        <n v="1.5384"/>
        <n v="1.1531"/>
        <n v="0.59549999999999992"/>
        <n v="0.78430000000000011"/>
        <n v="0.3821"/>
        <n v="2.4300000000000002E-2"/>
        <n v="0.13570000000000002"/>
        <n v="0.49530000000000002"/>
        <n v="1.5424"/>
        <n v="0.1142"/>
        <n v="7.46E-2"/>
        <n v="1.4944999999999999"/>
        <n v="0.5494"/>
        <n v="1.5412999999999999"/>
        <n v="1.8"/>
        <n v="1.6508"/>
        <n v="1.1494"/>
        <n v="1.1340000000000001"/>
        <n v="1.4362000000000001"/>
        <n v="0.26280000000000003"/>
        <n v="1.0615000000000001"/>
        <n v="2.2984"/>
        <n v="2.0640999999999998"/>
        <n v="0.83650000000000002"/>
        <n v="0.5353"/>
        <n v="0.86069999999999991"/>
        <n v="0.79849999999999999"/>
        <n v="0.37030000000000002"/>
        <n v="1.6735"/>
        <n v="0.88099999999999989"/>
        <n v="0.96030000000000004"/>
        <n v="0.45789999999999997"/>
        <n v="2.1214"/>
        <n v="1.5656999999999999"/>
        <n v="0.72459999999999991"/>
        <n v="0.58219999999999994"/>
        <n v="1.3972"/>
        <n v="1.4306999999999999"/>
        <n v="0.77439999999999998"/>
        <n v="1.0524"/>
        <n v="1.3372999999999999"/>
        <n v="1.1129"/>
        <n v="1.3225"/>
        <n v="0.38909999999999995"/>
        <n v="1.0989"/>
        <n v="50"/>
        <n v="2.2622"/>
        <n v="0.78569999999999995"/>
        <n v="0.84019999999999995"/>
        <n v="0.65489999999999993"/>
        <n v="2"/>
        <n v="0.65620000000000001"/>
        <n v="1.8311000000000002"/>
        <n v="0.50890000000000002"/>
        <n v="0.96599999999999997"/>
        <n v="0.82689999999999997"/>
        <n v="1.5569"/>
        <n v="0.87650000000000006"/>
        <n v="0.18479999999999999"/>
        <n v="1.0051999999999999"/>
        <n v="0.71340000000000003"/>
        <n v="0.89060000000000006"/>
        <n v="1.2614000000000001"/>
        <n v="1.0928"/>
        <n v="0.29399999999999998"/>
        <n v="0.96109999999999995"/>
        <n v="0.65049999999999997"/>
        <n v="4.9382000000000001"/>
        <n v="1.1254999999999999"/>
        <n v="0.51249999999999996"/>
        <n v="1.1698999999999999"/>
        <n v="0.86680000000000001"/>
        <n v="1.0619000000000001"/>
        <n v="1.0615999999999999"/>
        <n v="2.2444000000000002"/>
        <n v="4.7332999999999998"/>
        <n v="0.52570000000000006"/>
        <n v="0.90760000000000007"/>
        <n v="1.9665999999999999"/>
        <n v="1.7503"/>
        <n v="1.9480000000000002"/>
        <n v="0.46539999999999998"/>
        <n v="1.3761000000000001"/>
        <n v="0.49159999999999998"/>
        <n v="1.02"/>
        <n v="0.71420000000000006"/>
        <n v="0.45549999999999996"/>
        <n v="2.7914999999999996"/>
        <n v="1.266"/>
        <n v="1.0415999999999999"/>
        <n v="1.2987"/>
        <n v="0.63290000000000002"/>
        <n v="0.88159999999999994"/>
        <n v="0.6875"/>
        <n v="0.92220000000000002"/>
        <n v="0.46090000000000003"/>
        <n v="1.3772"/>
        <n v="1.2037"/>
        <n v="0.42549999999999999"/>
        <n v="4.7618999999999998"/>
        <n v="1.5"/>
        <n v="0.51849999999999996"/>
        <n v="0.63719999999999999"/>
        <n v="0.85099999999999998"/>
        <n v="2.1415000000000002"/>
        <n v="1.0585"/>
        <n v="2.3473999999999999"/>
        <n v="1.1857"/>
        <n v="0.89329999999999998"/>
        <n v="0.94409999999999994"/>
        <n v="0.80079999999999996"/>
        <n v="1.6422999999999999"/>
        <n v="0.38939999999999997"/>
        <n v="1.3741999999999999"/>
        <n v="1.2551999999999999"/>
        <n v="1.4240000000000002"/>
        <n v="1.1086"/>
        <n v="0.62290000000000001"/>
        <n v="1.486"/>
        <n v="1.8069"/>
        <n v="0.87840000000000007"/>
        <n v="0.77680000000000005"/>
        <n v="0.29339999999999999"/>
        <n v="0.52700000000000002"/>
        <n v="1.2679"/>
        <n v="1.7512999999999999"/>
        <n v="1.0273000000000001"/>
        <n v="0.23879999999999998"/>
        <n v="2.9761000000000002"/>
        <n v="0.39240000000000003"/>
        <n v="0.23670000000000002"/>
        <n v="0.47609999999999997"/>
        <n v="1.4833000000000001"/>
        <n v="0.41509999999999997"/>
        <n v="0.62250000000000005"/>
        <n v="1.8784000000000001"/>
        <n v="0.57889999999999997"/>
        <n v="1.1936"/>
        <n v="0.5464"/>
        <n v="1.2218"/>
        <n v="1.9681999999999999"/>
        <n v="1.1377999999999999"/>
        <n v="2.8292000000000002"/>
        <n v="0.70019999999999993"/>
        <n v="1.1384999999999998"/>
        <n v="0.84629999999999994"/>
        <n v="0.4975"/>
        <n v="0.95489999999999997"/>
        <n v="0.36810000000000004"/>
        <n v="0.1459"/>
        <n v="0.36109999999999998"/>
        <n v="0.41259999999999997"/>
        <n v="0.14599999999999999"/>
        <n v="0.63129999999999997"/>
        <n v="0.36020000000000002"/>
        <n v="0.40350000000000003"/>
        <n v="1.1990000000000001"/>
        <n v="0.67110000000000003"/>
        <n v="0.50819999999999999"/>
        <n v="1.3309"/>
        <n v="0.87019999999999997"/>
        <n v="1.0204"/>
        <n v="0.6633"/>
        <n v="1.2950999999999999"/>
        <n v="1.6875"/>
        <n v="0.27229999999999999"/>
        <n v="1.43"/>
        <n v="1.155"/>
        <n v="1.135"/>
        <n v="0.14480000000000001"/>
        <n v="0.75370000000000004"/>
        <n v="2.7674000000000003"/>
        <n v="0.8076000000000001"/>
        <n v="0.87419999999999998"/>
        <n v="1.3600999999999999"/>
        <n v="0.58799999999999997"/>
        <n v="1.0563"/>
        <n v="0.45229999999999998"/>
        <n v="1.8608000000000002"/>
        <n v="0.34490000000000004"/>
        <n v="0.80290000000000006"/>
        <n v="5.9428000000000001"/>
        <n v="2.7157"/>
        <n v="1.4818"/>
        <n v="2.0177"/>
        <n v="1.3043"/>
        <n v="0.98799999999999999"/>
        <n v="0.47729999999999995"/>
        <n v="0.89590000000000003"/>
        <n v="3.1564999999999999"/>
        <n v="0.4496"/>
        <n v="0.2959"/>
        <n v="1.3608000000000002"/>
        <n v="1.4422999999999999"/>
        <n v="1.9584000000000001"/>
        <n v="0.9556"/>
        <n v="0.73129999999999995"/>
        <n v="0.37340000000000001"/>
        <n v="1.1152"/>
        <n v="0.35020000000000001"/>
        <n v="1.3409"/>
        <n v="1.2174"/>
        <n v="0.79549999999999998"/>
        <n v="0.95779999999999998"/>
        <n v="2.0337000000000001"/>
        <n v="0.57210000000000005"/>
        <n v="0.63919999999999999"/>
        <n v="0.34729999999999994"/>
        <n v="0.81599999999999995"/>
        <n v="0.64190000000000003"/>
        <n v="1.1871"/>
        <n v="1.2706999999999999"/>
        <n v="1.26"/>
        <n v="1.8612"/>
        <n v="0.41749999999999998"/>
        <n v="0.9756999999999999"/>
        <n v="0.59520000000000006"/>
        <n v="0.78739999999999999"/>
        <n v="0.85470000000000002"/>
        <n v="0.62529999999999997"/>
        <n v="2.1635"/>
        <n v="1.9350999999999998"/>
        <n v="1.0431999999999999"/>
        <n v="0.40159999999999996"/>
        <n v="0.62470000000000003"/>
        <n v="0.41420000000000001"/>
        <n v="0.79569999999999996"/>
        <n v="1.1006"/>
        <n v="0.41950000000000004"/>
        <n v="0.8911"/>
        <n v="0.04"/>
        <n v="1.9322999999999999"/>
        <n v="1.9487000000000001"/>
        <n v="0.55869999999999997"/>
        <n v="0.82299999999999995"/>
        <n v="1.2404000000000002"/>
        <n v="1.0704"/>
        <n v="1.5227000000000002"/>
        <n v="1.4225000000000001"/>
        <n v="0.6331"/>
        <n v="0.1666"/>
        <n v="2.0238"/>
        <n v="0.29359999999999997"/>
        <n v="1.1594"/>
        <n v="0.70489999999999997"/>
        <n v="1.1314"/>
        <n v="0.92390000000000005"/>
        <n v="0.3337"/>
        <n v="0.88650000000000007"/>
        <n v="1.6597"/>
        <n v="0.42109999999999997"/>
        <n v="2.0565000000000002"/>
        <n v="1.4134"/>
        <n v="1.18"/>
        <n v="1.7325999999999999"/>
        <n v="1.2370999999999999"/>
        <n v="1.028"/>
        <n v="1.8588"/>
        <n v="2.0766"/>
        <n v="2.0116999999999998"/>
        <n v="0.4924"/>
        <n v="0.60970000000000002"/>
        <n v="1.6878"/>
        <n v="0.84770000000000001"/>
        <n v="1.0745"/>
        <n v="1.0832999999999999"/>
        <n v="0.6119"/>
        <n v="1.3771"/>
        <n v="1.4136000000000002"/>
        <n v="0.2159763314"/>
        <n v="4.4626593809999999"/>
        <n v="0.42857142860000003"/>
        <n v="0.38417266189999999"/>
        <n v="1.6506469500000001"/>
        <n v="0.3153887983"/>
        <n v="1.1475988700000002"/>
        <n v="1.214776632"/>
        <n v="2.696629213"/>
        <n v="0.18030513179999999"/>
        <n v="0.84860050889999994"/>
        <n v="1.0388739950000001"/>
        <n v="0.83144368859999995"/>
        <n v="1.7726304579999999"/>
        <n v="0.75392038600000011"/>
        <n v="0.67567567569999998"/>
        <n v="2.2397260270000001"/>
        <n v="1.697530864"/>
        <n v="1.0974702379999999"/>
        <n v="0.62567567570000004"/>
        <n v="0.81651376149999999"/>
        <n v="0.803030303"/>
        <n v="0.79274611399999995"/>
        <n v="0.70093457939999992"/>
        <n v="1.1856617649999999"/>
        <n v="0.69444444439999997"/>
        <n v="0.63806970509999994"/>
        <n v="0.50546448089999996"/>
        <n v="0.58139534879999999"/>
        <n v="0.85543369889999998"/>
        <n v="1.501650165"/>
        <n v="0.89776951670000005"/>
        <n v="1.233160622"/>
        <n v="1.2322675490000001"/>
        <n v="1.1066666669999998"/>
        <n v="0.30120481929999998"/>
        <n v="1.164079823"/>
        <n v="0.7142857143000001"/>
        <n v="1.98497978"/>
        <n v="1.5261044179999999"/>
        <n v="0.56089743589999996"/>
        <n v="0.49819233549999997"/>
        <n v="1.617795753"/>
        <n v="0.41984732819999998"/>
        <n v="1.9188596490000001"/>
        <n v="0.3829365079"/>
        <n v="0.88848039220000008"/>
        <n v="0.49407114620000003"/>
        <n v="0.13698630140000001"/>
        <n v="0.2960436562"/>
        <n v="1.5063168120000001"/>
        <n v="0.81429780029999999"/>
        <n v="2.5710854949999997"/>
        <n v="1.140873016"/>
        <n v="0.80220306510000006"/>
        <n v="0.49751243780000004"/>
        <n v="1.270805218"/>
        <n v="1.132478632"/>
        <n v="1.241582492"/>
        <n v="1.006711409"/>
        <n v="0.42838370570000001"/>
        <n v="2.0470664090000001"/>
        <n v="0.4219219219"/>
        <n v="1.3520770010000001"/>
        <n v="2.3512685909999997"/>
        <n v="0.18796992479999999"/>
        <n v="1.5686884399999999"/>
        <n v="1.111111111"/>
        <n v="0.4807692308"/>
        <n v="1.068493151"/>
        <n v="1.2256267409999999"/>
        <n v="0.72463768119999994"/>
        <n v="1.26566416"/>
        <n v="1.4162257500000002"/>
        <n v="1.262365591"/>
        <n v="0.98366606169999993"/>
        <n v="0.98621368779999996"/>
        <n v="1.11509434"/>
        <n v="2.8116531170000001"/>
        <n v="0.93178621660000005"/>
        <n v="0.96255201109999999"/>
        <n v="1.395259939"/>
        <n v="1.093514329"/>
        <n v="0.35014005599999998"/>
        <n v="0.94407158839999994"/>
        <n v="0.94223826710000003"/>
        <n v="0.9326113117"/>
        <n v="0.97087378639999999"/>
        <n v="0.62734584449999997"/>
        <n v="0.72131147539999996"/>
        <n v="1.003293808"/>
        <n v="0.28735632179999998"/>
        <n v="0.52083333330000003"/>
        <n v="1.9237472769999999"/>
        <n v="1.4853801170000001"/>
        <n v="0.84459459460000008"/>
        <n v="1.6666666670000001"/>
        <n v="1.391162029"/>
        <n v="0.70974057759999998"/>
        <n v="1.4140350879999999"/>
        <n v="0.81501831499999999"/>
        <n v="1.5350877190000001"/>
        <n v="0.69930069930000005"/>
        <n v="0.60519125679999997"/>
        <n v="1.352813853"/>
        <n v="2.4228395059999999"/>
        <n v="1.367041199"/>
        <n v="0.71008403360000005"/>
        <n v="1.2057877809999999"/>
        <n v="0.58386411890000001"/>
        <n v="0.69815668200000003"/>
        <n v="0.54307116099999997"/>
        <n v="0.7777777777999999"/>
        <n v="0.29218106999999999"/>
        <n v="2.2357723580000002"/>
        <n v="0.68827160489999994"/>
        <n v="0.58035714290000007"/>
        <n v="1.4786150710000001"/>
        <n v="0.36439966409999996"/>
        <n v="0.17679558010000002"/>
        <n v="0.60240963859999996"/>
        <n v="0.56924546320000002"/>
        <n v="1.6407284770000001"/>
        <n v="0.67340067340000009"/>
        <n v="1.1918699189999999"/>
        <n v="1.6814548360000001"/>
        <n v="1.4080338269999999"/>
        <n v="1.5262923349999999"/>
        <n v="0.40899795500000002"/>
        <n v="0.79594790160000006"/>
        <n v="2.0576131690000001"/>
        <n v="1.4345331250000002"/>
        <n v="0.82499999999999996"/>
        <n v="1.5008725999999999"/>
        <n v="0.95628415300000003"/>
        <n v="0.33944954129999999"/>
        <n v="1.4959546929999998"/>
        <n v="0.69832402230000001"/>
        <n v="0.61774023229999997"/>
        <n v="1.567869416"/>
        <n v="1.073619632"/>
        <n v="0.55555555560000003"/>
        <n v="1.638772664"/>
        <n v="1.8888888890000002"/>
        <n v="1.6845025759999999"/>
        <n v="0.53030303030000003"/>
        <n v="0.11627906980000001"/>
        <n v="1.1193236709999999"/>
        <n v="1.479750779"/>
        <n v="1.5627868169999999"/>
        <n v="6.7069081150000001E-2"/>
        <n v="0.36733837110000001"/>
        <n v="1.361581921"/>
        <n v="0.35002692510000005"/>
        <n v="0.38921282800000001"/>
        <n v="0.84716459200000005"/>
        <n v="1.789366053"/>
        <n v="1.6196447230000002"/>
        <n v="0.7222222222000001"/>
        <n v="8.7719298250000008E-2"/>
        <n v="1.0577901060000001"/>
        <n v="0.88888888890000006"/>
        <n v="1.315789474"/>
        <n v="0.96544715449999996"/>
        <n v="0.22951977400000001"/>
        <n v="0.61037639880000005"/>
        <n v="2.904501217"/>
        <n v="0.63829787230000001"/>
        <n v="0.98039215690000003"/>
        <n v="1.7873406190000001"/>
        <n v="1.0448717949999999"/>
        <n v="0.81300813009999995"/>
        <n v="0.72832369940000008"/>
        <n v="1.6467091300000001"/>
        <n v="0.76888285839999992"/>
        <n v="0.87114845939999996"/>
        <n v="0.13871635609999999"/>
        <n v="0.48070739549999997"/>
        <n v="0.8552915767"/>
        <n v="0.48006379590000003"/>
        <n v="1.817430814"/>
        <n v="0.32707622299999994"/>
        <n v="0.81486367630000001"/>
        <n v="0.895140665"/>
        <n v="1.662790698"/>
        <n v="1.1407185629999999"/>
        <n v="0.4346182918"/>
        <n v="8.3333333330000006"/>
        <n v="0.94574599260000003"/>
        <n v="1.1553672319999999"/>
        <n v="0.8341346154"/>
        <n v="1.7648287389999999"/>
        <n v="0.71251548949999999"/>
        <n v="1.0416666669999999"/>
        <n v="0.6192071468"/>
        <n v="1.8055096420000001"/>
        <n v="0.90252707580000002"/>
        <n v="0.61428571430000001"/>
        <n v="0.54713804710000002"/>
        <n v="1.3319502069999998"/>
        <n v="2.3482245129999999"/>
        <n v="1.227619048"/>
        <n v="1.414351852"/>
        <n v="1.748133062"/>
        <n v="0.73529411760000007"/>
        <n v="1.5835351090000001"/>
        <n v="1.4155844160000002"/>
        <n v="1.9722222220000001"/>
        <n v="0.85085085090000012"/>
        <n v="2.199453552"/>
        <n v="1.318666667"/>
        <n v="0.17605633800000001"/>
        <n v="1.0721583649999999"/>
        <n v="1.1304347830000001"/>
        <n v="0.17771509170000002"/>
        <n v="2.024561404"/>
        <n v="1.7238095240000002"/>
        <n v="0.63311688310000003"/>
        <n v="1.4421157679999999"/>
        <n v="0.65726681129999998"/>
        <n v="1.7830101569999999"/>
        <n v="0.90996168580000003"/>
        <n v="1.499165275"/>
        <n v="1.538461538"/>
        <n v="0.9144947417"/>
        <n v="0.69909909910000001"/>
        <n v="0.43103448280000001"/>
        <n v="2.7100270999999996"/>
        <n v="1.612903226"/>
        <n v="1.743626744"/>
        <n v="1.4011799410000001"/>
        <n v="0.94039215690000011"/>
        <n v="1.2554585149999999"/>
        <n v="1.447477254"/>
        <n v="0.54617414250000007"/>
        <n v="1.451869531"/>
        <n v="1.2660619800000001"/>
        <n v="0.19921875"/>
        <n v="1.18409294"/>
        <n v="2.077431539"/>
        <n v="0.89285714290000007"/>
        <n v="0.29599271399999999"/>
        <n v="1.202459376"/>
        <n v="1.0746147610000001"/>
        <n v="0.6837606838000001"/>
        <n v="1.1109677419999999"/>
        <n v="2.1232876709999999"/>
        <n v="1.0474777450000001"/>
        <n v="1.2337611819999998"/>
        <n v="1.6116005870000001"/>
        <n v="1.3605812900000001"/>
        <n v="1.0683760680000001"/>
        <n v="1.2765957450000001"/>
        <n v="0.79828660439999988"/>
        <n v="1.2345679010000001"/>
        <n v="1.2971530250000001"/>
        <n v="1.088050314"/>
        <n v="1.0245901639999999"/>
        <n v="0.44326241129999999"/>
        <n v="0.96457938010000011"/>
        <n v="0.29381443299999999"/>
        <n v="0.49814814810000002"/>
        <n v="0.56695156699999993"/>
        <n v="1.746503497"/>
        <n v="0.74429223739999995"/>
        <n v="1.6093820479999998"/>
        <n v="1.6292011020000001"/>
        <n v="1.219848687"/>
        <n v="2.1190100050000003"/>
        <n v="1.733193277"/>
        <n v="1.2375719519999999"/>
        <n v="0.9759637188000001"/>
        <n v="2.0325203250000001"/>
        <n v="1.4069958849999999"/>
        <n v="0.78431372550000011"/>
        <n v="1.8290840420000001"/>
        <n v="1.273737374"/>
        <n v="1.3925729440000001"/>
        <n v="1.7570977920000002"/>
        <n v="1.1555555560000002"/>
        <n v="0.65417867439999999"/>
        <n v="2.3497267759999998"/>
        <n v="12.797619050000002"/>
        <n v="3.5268292680000002"/>
        <n v="0.97573162030000005"/>
        <n v="0.60695538059999998"/>
        <n v="1.1011419250000001"/>
        <n v="1.2681159420000001"/>
        <n v="1.2195467419999999"/>
        <n v="0.46583850929999998"/>
        <n v="1.416122004"/>
        <n v="1.370024876"/>
        <n v="2.5714285710000002"/>
        <n v="0.61282051279999994"/>
        <n v="0.84761904759999995"/>
        <n v="1.4925373129999999"/>
        <n v="1.9656019660000001"/>
        <n v="1.557482338"/>
        <n v="2.2771317830000002"/>
        <n v="0.69732937689999996"/>
        <n v="0.78075207140000003"/>
        <n v="2.2537878789999999"/>
        <n v="1.5748031499999999"/>
        <n v="0.98648648650000004"/>
        <n v="0.27173913039999997"/>
        <n v="0.53418803420000005"/>
        <n v="0.19748427670000002"/>
        <n v="0.36981132080000001"/>
        <n v="1.1026957640000001"/>
        <n v="1.1024327780000001"/>
        <n v="1.3699582749999999"/>
        <n v="1.53125"/>
        <n v="1.6019417480000002"/>
        <n v="2.1288685950000001"/>
        <n v="1.5306666670000002"/>
        <n v="0.74404761899999994"/>
        <n v="1.6990291260000001"/>
        <n v="1.1157024790000001"/>
        <n v="1.605680869"/>
        <n v="1.4715947980000001"/>
        <n v="0.75493612080000005"/>
        <n v="1.7769607840000001"/>
        <n v="0.9678942398"/>
        <n v="1.5124555159999999"/>
        <n v="0.89340101520000004"/>
        <n v="1.710199005"/>
        <n v="0.75960679180000001"/>
        <n v="0.90968161140000003"/>
        <n v="1.3185550079999999"/>
        <n v="0.86087450309999991"/>
        <n v="1.244444444"/>
        <n v="0.20689655170000001"/>
        <n v="10.714285709999999"/>
        <n v="2.3674242419999998"/>
        <n v="1.605128205"/>
        <n v="0.76291079809999995"/>
        <n v="0.93569131830000007"/>
        <n v="1.762277952"/>
        <n v="1.9699248119999999"/>
        <n v="1.5711111109999998"/>
        <n v="1.0132774279999999"/>
        <n v="1.5503875970000001"/>
        <n v="2.1184132619999998"/>
        <n v="1.5064342049999999"/>
        <n v="1.0899470899999999"/>
        <n v="1.507389163"/>
        <n v="2.2900763359999998"/>
        <n v="2.5980392160000001"/>
        <n v="2.887139108"/>
        <n v="1.4619883039999999"/>
        <n v="2.2851669399999999"/>
        <n v="1.733196159"/>
        <n v="1.3979591840000001"/>
        <n v="0.85386819479999998"/>
        <n v="1.7431767339999999"/>
        <n v="0.66899360090000004"/>
        <n v="0.79529737209999996"/>
        <n v="1.096153846"/>
        <n v="1.4765395889999999"/>
        <n v="0.32241813600000002"/>
        <n v="1.9230769230000002"/>
        <n v="1.045883941"/>
        <n v="2.5517751479999999"/>
        <n v="0.14285714289999998"/>
        <n v="1.7886178860000002"/>
        <n v="0.82947845799999997"/>
        <n v="1.415797317"/>
        <n v="0.16666666670000002"/>
        <n v="0.76511627910000002"/>
        <n v="1.207386364"/>
        <n v="1.186868687"/>
        <n v="0.83333333330000003"/>
        <n v="0.49403122129999999"/>
        <n v="1.2152777779999999"/>
        <n v="1.6319444440000002"/>
        <n v="1.815920398"/>
        <n v="0.61382113820000006"/>
        <n v="0.87149532709999999"/>
        <n v="1.875"/>
        <n v="0.84382871539999993"/>
        <n v="0.80098582870000001"/>
        <n v="0.85689802910000001"/>
        <n v="0.7352024922"/>
        <n v="1.651186791"/>
        <n v="0.36945812810000001"/>
        <n v="0.45238095239999998"/>
        <n v="1.6747052519999999"/>
        <n v="1.1531531529999999"/>
        <n v="1.0030441399999999"/>
        <n v="1.106500692"/>
        <n v="0.8771929825"/>
        <n v="1.1389830510000001"/>
        <n v="0.93302891929999998"/>
        <n v="1.2668827659999999"/>
        <n v="0.9258620689999999"/>
        <n v="1.547138047"/>
        <n v="1.3297872340000001"/>
        <n v="0.89053497940000004"/>
        <n v="0.74850299399999998"/>
        <n v="1.3047759719999998"/>
        <n v="1.5977421269999998"/>
        <n v="0.78171091450000008"/>
        <n v="1.300132802"/>
        <n v="1.9940688019999999"/>
        <n v="0.17854001759999999"/>
        <n v="0.53652392949999994"/>
        <n v="0.61301140170000001"/>
        <n v="1.481203008"/>
        <n v="1.7914786970000001"/>
        <n v="0.3270348837"/>
        <n v="0.74879227049999997"/>
        <n v="2.5"/>
        <n v="1.930994152"/>
        <n v="1.5320388349999998"/>
        <n v="0.58565153729999997"/>
        <n v="0.21645021650000001"/>
        <n v="2.1602373890000002"/>
        <n v="1.7574649600000001"/>
        <n v="1.7072649569999998"/>
        <n v="1.720450281"/>
        <n v="1.122222222"/>
        <n v="0.750877193"/>
        <n v="1.140703518"/>
        <n v="0.50877192979999997"/>
        <n v="2.690205969"/>
        <n v="1.566091954"/>
        <n v="0.64432763910000002"/>
        <n v="1.7727930540000001"/>
        <n v="1.4876449819999999"/>
        <n v="0.98195329090000005"/>
        <n v="0.41279669759999998"/>
        <n v="0.71530758230000002"/>
        <n v="1.0938743040000001"/>
        <n v="2.907801418"/>
        <n v="1.193693694"/>
        <n v="0.8983890954"/>
        <n v="0.82321899740000004"/>
        <n v="0.85386943360000001"/>
        <n v="1.522178305"/>
        <n v="0.90416666670000001"/>
        <n v="1.3526336950000002"/>
        <n v="0.5453306067"/>
        <n v="1.0344332860000001"/>
        <n v="1.3901773529999999"/>
        <n v="1.2493354600000002"/>
        <n v="0.80882352940000002"/>
        <n v="0.78656462590000009"/>
        <n v="1.037906137"/>
        <n v="2.2210743800000001"/>
        <n v="1.1284722220000001"/>
        <n v="2.281746032"/>
        <n v="0.54945054949999994"/>
        <n v="1.235632184"/>
        <n v="0.75757575759999995"/>
        <n v="4.4444444440000002"/>
        <n v="0.57831325300000003"/>
        <n v="1.2984433709999998"/>
        <n v="0.64102564099999992"/>
        <n v="1.25"/>
        <n v="0.17879948909999999"/>
        <n v="0.53240740740000003"/>
        <n v="1.3774509800000001"/>
        <n v="1.5932475880000001"/>
        <n v="1.865"/>
        <n v="1.7723678730000001"/>
        <n v="0.25665399239999998"/>
        <n v="0.68640350880000001"/>
        <n v="0.94786729859999996"/>
        <n v="2.8330319470000003"/>
        <n v="1.496138996"/>
        <n v="0.38247566059999999"/>
        <n v="0.41841004179999997"/>
        <n v="1.0016025639999999"/>
        <n v="1.7210144930000002"/>
        <n v="0.8121212121000001"/>
        <n v="0.88127090300000011"/>
        <n v="1.207333333"/>
        <n v="1.2025386310000001"/>
        <n v="0.74174174169999996"/>
        <n v="1.1200585649999999"/>
        <n v="2.0163564579999997"/>
        <n v="1.010752688"/>
        <n v="1.1725293130000001"/>
        <n v="1.2745726500000001"/>
        <n v="0.74328358210000001"/>
        <n v="0.93506493509999999"/>
        <n v="1.2201453789999999"/>
        <n v="0.95656894679999993"/>
        <n v="0.56199460919999999"/>
        <n v="0.52674230150000001"/>
        <n v="2.4532710280000001"/>
        <n v="0.9133226324"/>
        <n v="0.53333333329999999"/>
        <n v="0.88366890379999996"/>
        <n v="0.66971080670000005"/>
        <n v="0.76866096870000011"/>
        <n v="0.2884615385"/>
        <n v="1.2568807339999999"/>
        <n v="0.63236245949999992"/>
        <n v="3.1840796019999997"/>
        <n v="1.6289855069999999"/>
        <n v="1.8117647059999999"/>
        <n v="1.642036125"/>
        <n v="1.9900497509999999"/>
        <n v="1.2"/>
        <n v="0.69764011800000003"/>
        <n v="2.0020020020000002"/>
        <n v="1.693766938"/>
        <n v="1.2038834950000001"/>
        <n v="1.171225937"/>
        <n v="2.606732348"/>
        <n v="0.68238213400000003"/>
        <n v="0.3816793893"/>
        <n v="0.79534662870000006"/>
        <n v="0.99466278509999995"/>
        <n v="1.2048192769999999"/>
        <n v="2.1759923479999999"/>
        <n v="1.611842105"/>
        <n v="1.6185567009999999"/>
        <n v="0.98987538939999997"/>
        <n v="0.74703760949999998"/>
        <n v="0.27434842249999997"/>
        <n v="2.709359606"/>
        <n v="2.2336448600000001"/>
        <n v="1.232594937"/>
        <n v="0.11666666669999999"/>
        <n v="0.6514905149000001"/>
        <n v="1.3101265820000001"/>
        <n v="1.0144927539999999"/>
        <n v="1.2073849269999999"/>
        <n v="0.94444444439999997"/>
        <n v="1.2731829569999999"/>
        <n v="1.01590106"/>
        <n v="0.76183844010000001"/>
        <n v="2.4420946630000002"/>
        <n v="0.41240045510000001"/>
        <n v="2.4035420620000001"/>
        <n v="2.0404663919999999"/>
        <n v="0.375"/>
        <n v="1.3592233010000001"/>
        <n v="0.67296678119999997"/>
        <n v="0.65714285709999998"/>
        <n v="14.285714290000001"/>
        <n v="1.10701107"/>
        <n v="0.93723494489999992"/>
        <n v="0.96551724140000006"/>
        <n v="1.7857142859999999"/>
        <n v="0.87118644070000006"/>
        <n v="1.014227642"/>
        <n v="0.85250162439999999"/>
        <n v="0.96590909089999999"/>
        <n v="0.82735042739999998"/>
        <n v="1.1666666669999999"/>
        <n v="1.0028653300000001"/>
        <n v="1.4438470729999999"/>
        <n v="1.153089888"/>
        <n v="0.18777484609999998"/>
        <n v="1.418518519"/>
        <n v="1.5118881120000001"/>
        <n v="1.5333333329999999"/>
        <n v="1.122556788"/>
        <n v="1.27388535"/>
        <n v="1.5917312659999998"/>
        <n v="0.625"/>
        <n v="1.028806584"/>
        <n v="0.39051094890000004"/>
        <n v="2.5247175139999998"/>
        <n v="0.2933057281"/>
        <n v="1.245210728"/>
        <n v="2.6960784310000001"/>
        <n v="1.4571949000000002"/>
        <n v="0.69387755100000004"/>
        <n v="0.33112582779999999"/>
        <n v="0.32835820900000001"/>
        <n v="0.80543209880000011"/>
        <n v="0.84686346860000006"/>
        <n v="1.4567307690000002"/>
        <n v="1.631079478"/>
        <n v="0.17355371900000002"/>
        <n v="0.75016307889999989"/>
        <n v="1.3604536490000001"/>
        <n v="0.38915470489999998"/>
        <n v="2.3599067599999999"/>
        <n v="1.7325970550000001"/>
        <n v="2.3602033410000001"/>
        <n v="0.4442477876"/>
        <n v="1.0477477479999999"/>
        <n v="1.518602885"/>
        <n v="0.80872483220000002"/>
        <n v="1.5657453939999999"/>
        <n v="1.0617913830000001"/>
        <n v="1.4197530860000001"/>
        <n v="1.3079492319999999"/>
        <n v="2.1367521370000002"/>
        <n v="1.0672619050000001"/>
        <n v="0.67307692309999989"/>
        <n v="0.72274143300000004"/>
        <n v="1.64160401"/>
        <n v="1.0067911709999999"/>
        <n v="0.40867093109999997"/>
        <n v="0.71794871790000003"/>
        <n v="0.4260869565"/>
        <n v="0.62222222220000001"/>
        <n v="1.7628205130000001"/>
        <n v="2.151860289"/>
        <n v="0.50563204009999996"/>
        <n v="0.53061224490000003"/>
        <n v="2.2549019609999998"/>
        <n v="0.4394224733"/>
        <n v="0.57260273969999997"/>
        <n v="1.596899225"/>
        <n v="2.1726495729999997"/>
        <n v="1.253944773"/>
        <n v="1.0259631489999999"/>
        <n v="0.1923076923"/>
        <n v="1.5635838150000001"/>
        <n v="1.359670782"/>
        <n v="1.3268398269999999"/>
        <n v="1.3786114699999998"/>
        <n v="0.83621683970000005"/>
        <n v="1.2971698110000001"/>
        <n v="0.86111111109999994"/>
        <n v="0.85134250159999991"/>
        <n v="1.694619147"/>
        <n v="3.1311637080000003"/>
        <n v="1.147798742"/>
        <n v="0.81716417910000005"/>
        <n v="0.9642857143000001"/>
        <n v="0.84876543209999999"/>
        <n v="1.0185185189999999"/>
        <n v="0.57142857139999992"/>
        <n v="1.1787678769999999"/>
        <n v="0.32914572860000002"/>
        <n v="1.2913385830000002"/>
        <n v="1.2835820899999999"/>
        <n v="1.607941834"/>
        <n v="2.3121387279999999"/>
        <n v="1.5806451609999999"/>
        <n v="1.161220044"/>
        <n v="0.98139287609999992"/>
        <n v="1.591413411"/>
        <n v="1.3851351349999999"/>
        <n v="1.093613298"/>
        <n v="1.098804501"/>
        <n v="2.0042194090000001"/>
        <n v="1.0397350990000001"/>
        <n v="1.522435897"/>
        <n v="1.2549019610000001"/>
        <n v="1.122037317"/>
        <n v="0.47404844289999998"/>
        <n v="0.43661971830000001"/>
        <n v="0.41489361700000005"/>
        <n v="0.36619718310000005"/>
        <n v="1.8471872379999998"/>
        <n v="0.68655692729999995"/>
        <n v="0.50804597699999998"/>
        <n v="2.5963149080000001"/>
        <n v="1.1054852320000002"/>
        <n v="0.84946236559999999"/>
        <n v="1.6709237970000002"/>
        <n v="2.8763440859999996"/>
        <n v="2.020434227"/>
        <n v="0.71614583330000003"/>
        <n v="0.73863636359999996"/>
        <n v="0.59748427669999993"/>
        <n v="4.4117647060000005"/>
        <n v="1.50408998"/>
        <n v="0.59375"/>
        <n v="0.60258249640000006"/>
        <n v="0.61500615009999993"/>
        <n v="0.89035614249999995"/>
        <n v="1.4377934269999999"/>
        <n v="1.2466870539999999"/>
        <n v="0.50156739809999995"/>
        <n v="1.581267218"/>
        <n v="2.0446096650000003"/>
        <n v="0.53946621240000003"/>
        <n v="1.1036036040000001"/>
        <n v="1.298701299"/>
        <n v="1.123569794"/>
        <n v="2.0038986350000001"/>
        <n v="0.26041666670000002"/>
        <n v="9.0140845070000003E-2"/>
        <n v="0.61099137930000003"/>
        <n v="8.7804878049999993E-2"/>
        <n v="0.66462167689999996"/>
        <n v="0.90909090910000001"/>
        <n v="0.88911704310000006"/>
        <n v="1.3741134750000001"/>
        <n v="1.1417721520000002"/>
        <n v="1.4227642280000001"/>
        <n v="1.6949152540000001"/>
        <n v="0.49415992809999998"/>
        <n v="75"/>
        <n v="1.1032863849999999"/>
        <n v="1.8231768230000001"/>
        <n v="2.1071234369999998"/>
        <n v="1.179586563"/>
        <n v="0.68181818179999998"/>
        <n v="0.33812949640000001"/>
        <n v="1.433430515"/>
        <n v="1.32423829"/>
        <n v="1.3154305199999998"/>
        <n v="0.56870229010000006"/>
        <n v="1.7145738779999999"/>
        <n v="0.31230283910000001"/>
        <n v="2.03116305"/>
        <n v="2.0555555559999998"/>
        <n v="0.98457222999999994"/>
        <n v="8.1699346409999998E-2"/>
        <n v="0.79487179490000004"/>
        <n v="1.172707889"/>
        <n v="1.5868011770000001"/>
        <n v="1.590163934"/>
        <n v="0.88481338480000005"/>
        <n v="0.74257425740000005"/>
        <n v="2.0332895309999999"/>
        <n v="0.61728395059999996"/>
        <n v="0.95741556529999994"/>
        <n v="1.028225806"/>
        <n v="1.415929204"/>
        <n v="2.0318930040000001"/>
        <n v="1.2605042020000001"/>
        <n v="0.86964980540000003"/>
        <n v="0.86419753089999995"/>
        <n v="1.0726851850000001"/>
        <n v="1.065155807"/>
        <n v="2.2484624850000001"/>
        <n v="2.3809523809999997"/>
        <n v="0.71383647800000005"/>
        <n v="0.70833333330000003"/>
        <n v="1.1065292100000002"/>
        <n v="0.67460317459999997"/>
        <n v="3.4126984129999998"/>
        <n v="1.1688668869999999"/>
        <n v="1.0231958759999999"/>
        <n v="0.1712230216"/>
        <n v="0.125"/>
        <n v="0.65992865640000009"/>
        <n v="0.80995136550000002"/>
        <n v="0.342351717"/>
        <n v="0.70144462279999997"/>
        <n v="1.080314961"/>
        <n v="2.4136716000000003"/>
        <n v="0.43066322139999996"/>
        <n v="0.30864197529999998"/>
        <n v="1.3471177940000001"/>
        <n v="1.2413401479999999"/>
        <n v="1.7320736429999999"/>
        <n v="1.2682926829999999"/>
        <n v="1.1003757380000001"/>
        <n v="1.176844784"/>
        <n v="2.0126582279999998"/>
        <n v="1.742312423"/>
        <n v="0.1910219675"/>
        <n v="0.80733944949999992"/>
        <n v="1.2753319359999999"/>
        <n v="2.0775941229999999"/>
        <n v="1.1418853259999999"/>
        <n v="0.80930232559999993"/>
        <n v="1.242307692"/>
        <n v="1.370416667"/>
        <n v="0.87145969500000009"/>
        <n v="1.125"/>
        <n v="0.96730462520000005"/>
        <n v="0.34285714290000002"/>
        <n v="0.33472367050000001"/>
        <n v="0.88833746899999999"/>
        <n v="0.56153846149999997"/>
        <n v="2.4534686969999999"/>
        <n v="1.559108527"/>
        <n v="0.83942558750000007"/>
        <n v="2.3953605649999998"/>
        <n v="0.38503850389999994"/>
        <n v="1.6504854370000002"/>
        <n v="2.2522522519999999"/>
        <n v="1.180997877"/>
        <n v="1.074122807"/>
        <n v="0.1515151515"/>
        <n v="0.64959568730000006"/>
        <n v="1.6740521910000001"/>
        <n v="1.19047619"/>
        <n v="1.1859410429999999"/>
        <n v="0.63749999999999996"/>
        <n v="1.2352224250000001"/>
        <n v="0.8"/>
        <n v="0.97833333330000005"/>
        <n v="0.27201565559999996"/>
        <n v="0.35919540230000002"/>
        <n v="0.2725490196"/>
        <n v="1.069321534"/>
        <n v="1.048"/>
        <n v="0.95804195800000003"/>
        <n v="2.2261072259999999"/>
        <n v="0.75384615379999997"/>
        <n v="0.77519379840000002"/>
        <n v="0.38240917779999994"/>
        <n v="1.5915119360000001"/>
        <n v="1.6027479090000001"/>
        <n v="1.5597920279999999"/>
        <n v="0.37083811709999998"/>
        <n v="1.6891891889999999"/>
        <n v="0.79249448119999999"/>
        <n v="1.3988764040000001"/>
        <n v="1.174214976"/>
        <n v="1.095947064"/>
        <n v="0.11825652019999999"/>
        <n v="0.41480562450000003"/>
        <n v="1.824387947"/>
        <n v="1.1190786610000001"/>
        <n v="0.1833030853"/>
        <n v="1.2610364680000001"/>
        <n v="1.784605835"/>
        <n v="1.460823373"/>
        <n v="0.38496376809999999"/>
        <n v="1.4065573769999999"/>
        <n v="1.4061779619999999"/>
        <n v="0.48898678410000002"/>
        <n v="1.724137931"/>
        <n v="1.230492197"/>
        <n v="0.84203102959999998"/>
        <n v="2.5297326789999999"/>
        <n v="0.37147102529999998"/>
        <n v="1.141552511"/>
        <n v="0.78034682079999995"/>
        <n v="1.507537688"/>
        <n v="2.0621931259999999"/>
        <n v="0.97543859649999998"/>
        <n v="0.68906115420000003"/>
        <n v="1.1259124090000001"/>
        <n v="2.0082226439999999"/>
        <n v="1.005025126"/>
        <n v="1.9154929580000002"/>
        <n v="1.5794436590000001"/>
        <n v="0.72368421049999998"/>
        <n v="0.1454545455"/>
        <n v="0.89820359280000006"/>
        <n v="2.7631133670000003"/>
        <n v="1.5151515150000001"/>
        <n v="1.2102351310000001"/>
        <n v="0.41439205960000003"/>
        <n v="1.6919191920000001"/>
        <n v="0.76"/>
        <n v="0.32128514060000002"/>
        <n v="0.52066115699999993"/>
        <n v="1.0507246379999999"/>
        <n v="1.528013582"/>
        <n v="1.7595061730000001"/>
        <n v="2.8604651159999999"/>
        <n v="0.86744315029999997"/>
        <n v="0.29677419350000001"/>
        <n v="0.23705324579999998"/>
        <n v="0.981025641"/>
        <n v="0.4856630824"/>
        <n v="1.5966329970000002"/>
        <n v="1.132897603"/>
        <n v="2.4318996419999999"/>
        <n v="1.6288759690000001"/>
        <n v="0.80971659919999994"/>
        <n v="2.4590163930000002"/>
        <n v="1.4245014249999999"/>
        <n v="1.4035087720000001"/>
        <n v="0.53125"/>
        <n v="1.3992165240000001"/>
        <n v="1.480017567"/>
        <n v="1.14978903"/>
        <n v="2.478017586"/>
        <n v="1.403233476"/>
        <n v="1.168379834"/>
        <n v="1.5007923930000002"/>
        <n v="1.4326866549999999"/>
        <n v="1.0475297059999999"/>
        <n v="0.65233644859999995"/>
        <n v="1.6310077519999999"/>
        <n v="1.30952381"/>
        <n v="1.5061728400000001"/>
        <n v="1.9502205420000001"/>
        <n v="1.3947811450000001"/>
        <n v="0.68529411760000003"/>
        <n v="0.45475216009999997"/>
        <n v="1.081730769"/>
        <n v="1.028277635"/>
        <n v="1.416206262"/>
        <n v="1.8544474389999999"/>
        <n v="1.8098958329999999"/>
        <n v="0.47244094489999999"/>
        <n v="0.9259259259"/>
        <n v="1.4674384950000001"/>
        <n v="1.6726943940000001"/>
        <n v="0.85057471259999995"/>
        <n v="0.44396551719999999"/>
        <n v="1.609109731"/>
        <n v="0.42285714290000004"/>
        <n v="0.11979166669999999"/>
        <n v="1.9198837689999999"/>
        <n v="1.3085399449999999"/>
        <n v="0.96470588239999999"/>
        <n v="1.4896373059999999"/>
        <n v="0.82406262880000003"/>
        <n v="0.67647058819999994"/>
        <n v="5.2631578950000009"/>
        <n v="0.21470019340000002"/>
        <n v="0.56122448980000006"/>
        <n v="1.3165182989999999"/>
        <n v="1.2207432059999999"/>
        <n v="2.5065913370000001"/>
        <n v="0.34364261169999999"/>
        <n v="1.6986301370000001"/>
        <n v="1.9334398300000002"/>
        <n v="0.81647058819999996"/>
        <n v="1.068181818"/>
        <n v="1.0505725189999999"/>
        <n v="1.613262127"/>
        <n v="1.877349159"/>
        <n v="1.4360841419999999"/>
        <n v="0.49039548019999996"/>
        <n v="0.73191489360000006"/>
        <n v="1.455141477"/>
        <n v="0.53191489359999999"/>
        <n v="1.2095238100000001"/>
        <n v="0.80858676210000002"/>
        <n v="1.956521739"/>
        <n v="0.32051282049999996"/>
        <n v="0.56216931219999999"/>
        <n v="0.93129770989999994"/>
        <n v="1.8291905669999999"/>
        <n v="0.5929690809"/>
        <n v="12.5"/>
        <n v="0.74193548390000008"/>
        <n v="0.75488342790000007"/>
        <n v="0.50539083559999998"/>
        <n v="2.0464601769999997"/>
        <n v="0.2428070175"/>
        <n v="2.1821305839999998"/>
        <n v="1.030927835"/>
        <n v="0.88075880760000003"/>
        <n v="1.9748427670000002"/>
        <n v="0.89929328620000004"/>
        <n v="3.703703704"/>
        <n v="0.82633420820000003"/>
        <n v="0.9541841982"/>
        <n v="0.71321321319999997"/>
        <n v="0.51255411260000006"/>
        <n v="1.036036036"/>
        <n v="0.94321766559999998"/>
        <n v="1.809015421"/>
        <n v="1.6277939749999999"/>
        <n v="2.3836477990000002"/>
        <n v="2.2593097179999999"/>
        <n v="1.9005847950000001"/>
        <n v="0.44378698219999996"/>
        <n v="1.9854620980000002"/>
        <n v="1.232166018"/>
        <n v="0.59595959600000004"/>
        <n v="1.7916666670000001"/>
        <n v="0.37735849059999999"/>
        <n v="0.54045307440000001"/>
        <n v="1.5820456219999999"/>
        <n v="1.0362694299999999"/>
        <n v="1.523809524"/>
        <n v="0.89420654909999997"/>
        <n v="1.8591140160000001"/>
        <n v="0.57291666669999997"/>
        <n v="0.8064516129"/>
        <n v="1.8914473680000001"/>
        <n v="1.3302421430000002"/>
        <n v="0.67204301079999995"/>
        <n v="2.3065476190000003"/>
        <n v="0.83029566630000007"/>
        <n v="0.8240297714"/>
        <n v="2.9380341879999996"/>
        <n v="1.369198312"/>
        <n v="1.2086513990000001"/>
        <n v="0.59523809520000004"/>
        <n v="0.53820598009999998"/>
        <n v="0.67086834730000011"/>
        <n v="0.95525114160000002"/>
        <n v="0.69269521410000001"/>
        <n v="1.27688172"/>
        <n v="0.36363636360000001"/>
        <n v="3.22147651"/>
        <n v="0.88862559239999994"/>
        <n v="0.62977957709999999"/>
        <n v="0.46064139939999998"/>
        <n v="0.39795918370000005"/>
        <n v="3.8204393510000001"/>
        <n v="0.96825396829999999"/>
        <n v="0.41891891889999999"/>
        <n v="1.957070707"/>
        <n v="1.56402737"/>
        <n v="1.972789116"/>
        <n v="1.9754768390000002"/>
        <n v="0.54429429429999998"/>
        <n v="0.45106382979999998"/>
        <n v="0.46680216799999996"/>
        <n v="1.116169545"/>
        <n v="0.57575757579999998"/>
        <n v="1.3653483990000002"/>
        <n v="2.5821596240000004"/>
        <n v="1.136858476"/>
        <n v="1.1546589819999999"/>
        <n v="1.6506410260000002"/>
        <n v="0.53022452499999995"/>
        <n v="1.1921331319999999"/>
        <n v="2.2058823530000002"/>
        <n v="1.440217391"/>
        <n v="1.351470588"/>
        <n v="0.79283489099999993"/>
        <n v="1.6396677049999999"/>
        <n v="0.2006125574"/>
        <n v="1.203361345"/>
        <n v="0.79235796879999998"/>
        <n v="1.4952153109999999"/>
        <n v="1.7155297530000002"/>
        <n v="1.2463492060000001"/>
        <n v="2.0472895040000001"/>
        <n v="1.382765531"/>
        <n v="1.9203431370000001"/>
        <n v="0.45977011490000003"/>
        <n v="1.0488400489999998"/>
        <n v="1.444942701"/>
        <n v="1.713664056"/>
        <n v="0.82362728790000006"/>
        <n v="1.583820663"/>
        <n v="0.44117647060000004"/>
        <n v="0.54254961319999995"/>
        <n v="0.54691075509999998"/>
        <n v="1.4760837069999999"/>
        <n v="0.2824858757"/>
        <n v="0.89573820400000004"/>
        <n v="1.0279965"/>
        <n v="0.38651102459999997"/>
        <n v="0.81405312769999993"/>
        <n v="0.35233918129999997"/>
        <n v="1.171974522"/>
        <n v="0.38596491229999996"/>
        <n v="0.89928057550000007"/>
        <n v="0.28244274810000003"/>
        <n v="0.48140900199999997"/>
        <n v="1.1457725949999999"/>
        <n v="1.653846154"/>
        <n v="1.120448179"/>
        <n v="0.66216216220000002"/>
        <n v="2.0547945209999998"/>
        <n v="0.24096385540000001"/>
        <n v="16.666666669999998"/>
        <n v="2.0445118870000001"/>
        <n v="1.1340106430000001"/>
        <n v="1.849930844"/>
        <n v="0.8227176221000001"/>
        <n v="2.2516339869999999"/>
        <n v="1.402697495"/>
        <n v="2.3007246380000002"/>
        <n v="0.3062605753"/>
        <n v="0.58455392809999995"/>
        <n v="2.2751141549999998"/>
        <n v="1.736894164"/>
        <n v="1.273148148"/>
        <n v="0.34639016900000003"/>
        <n v="1.035196687"/>
        <n v="0.79280821919999989"/>
        <n v="0.33604336039999999"/>
        <n v="1.0850694439999999"/>
        <n v="0.31091370560000003"/>
        <n v="0.37716262980000004"/>
        <n v="1.0505836580000001"/>
        <n v="1.046875"/>
        <n v="1.108870968"/>
        <n v="0.94265232970000001"/>
        <n v="2.5223499359999999"/>
        <n v="0.67289719629999989"/>
        <n v="1.023573201"/>
        <n v="2.1464646460000001"/>
        <n v="0.70821529750000001"/>
        <n v="1.4192139739999998"/>
        <n v="1.567724868"/>
        <n v="1.186563971"/>
        <n v="1.2612345679999999"/>
        <n v="0.23176550779999999"/>
        <n v="0.9929906542000001"/>
        <n v="1.812767781"/>
        <n v="0.25575447570000004"/>
        <n v="2.080832333"/>
        <n v="1.738897806"/>
        <n v="0.50890207720000002"/>
        <n v="2.9761904759999998"/>
        <n v="0.61813186809999998"/>
        <n v="1.0210867800000001"/>
        <n v="0.72916666669999997"/>
        <n v="0.95417451349999993"/>
        <n v="0.23569794049999998"/>
        <n v="0.23678160919999999"/>
        <n v="0.23556581990000003"/>
        <n v="4.352441614"/>
        <n v="1.806784661"/>
        <n v="0.9156268568"/>
        <n v="2.1746694500000001"/>
        <n v="1.224581725"/>
        <n v="1.6726094"/>
        <n v="1.9396551719999999"/>
        <n v="0.82202556540000005"/>
        <n v="0.73717948719999993"/>
        <n v="2.5565345079999999"/>
        <n v="0.25521526849999998"/>
        <n v="0.65011820330000003"/>
        <n v="0.28752260400000001"/>
        <n v="0.38108484009999999"/>
        <n v="5.0520833329999997"/>
        <n v="0.3859191656"/>
        <n v="0.5756756757"/>
        <n v="0.92112838229999994"/>
        <n v="2.338586437"/>
        <n v="0.61781609199999998"/>
        <n v="1.501766784"/>
        <n v="1.6111111109999998"/>
        <n v="1.3496376810000001"/>
        <n v="1.3888888890000002"/>
        <n v="0.59210526320000001"/>
        <n v="1.970497578"/>
        <n v="1.955002184"/>
        <n v="4.5897435900000003"/>
        <n v="1.4194756550000001"/>
        <n v="1.611796982"/>
        <n v="1.3449612400000002"/>
        <n v="2.0522317189999999"/>
        <n v="0.37037037040000004"/>
        <n v="1.0179028130000001"/>
        <n v="1.036330609"/>
        <n v="0.89667896680000003"/>
        <n v="1.382585752"/>
        <n v="0.71250000000000002"/>
        <n v="1.8817005549999999"/>
        <n v="1.086350975"/>
        <n v="1.097037037"/>
        <n v="1.8817204300000001"/>
        <n v="1.8984812149999999"/>
        <n v="1.8729641690000001"/>
        <n v="1.555099247"/>
      </sharedItems>
    </cacheField>
    <cacheField name="維修時間" numFmtId="0">
      <sharedItems containsSemiMixedTypes="0" containsString="0" containsNumber="1" minValue="0" maxValue="12.76"/>
    </cacheField>
    <cacheField name="怠工時間" numFmtId="0">
      <sharedItems containsSemiMixedTypes="0" containsString="0" containsNumber="1" minValue="0" maxValue="11.13"/>
    </cacheField>
    <cacheField name="上班時間" numFmtId="0">
      <sharedItems containsSemiMixedTypes="0" containsString="0" containsNumber="1" minValue="0" maxValue="13.54"/>
    </cacheField>
    <cacheField name="生產率" numFmtId="10">
      <sharedItems containsSemiMixedTypes="0" containsString="0" containsNumber="1" minValue="0" maxValue="0.99829999999999997" count="1564">
        <n v="0"/>
        <n v="0.22579999999999997"/>
        <n v="0.43049999999999999"/>
        <n v="0.23680000000000001"/>
        <n v="0.23710000000000001"/>
        <n v="0.42810000000000004"/>
        <n v="0.2228"/>
        <n v="0.89480000000000004"/>
        <n v="0.92110000000000003"/>
        <n v="0.89219999999999999"/>
        <n v="0.82540000000000002"/>
        <n v="0.56930000000000003"/>
        <n v="0.7702"/>
        <n v="0.71389999999999998"/>
        <n v="0.82550000000000001"/>
        <n v="0.47520000000000001"/>
        <n v="0.86069999999999991"/>
        <n v="0.85919999999999996"/>
        <n v="0.93059999999999998"/>
        <n v="0.58930000000000005"/>
        <n v="0.85209999999999997"/>
        <n v="0.53290000000000004"/>
        <n v="0.85250000000000004"/>
        <n v="0.98010000000000008"/>
        <n v="0.90329999999999999"/>
        <n v="0.73699999999999999"/>
        <n v="0.98019999999999996"/>
        <n v="0.80379999999999996"/>
        <n v="0.78069999999999995"/>
        <n v="0.62290000000000001"/>
        <n v="0.73340000000000005"/>
        <n v="0.71260000000000001"/>
        <n v="0.92669999999999997"/>
        <n v="0.7399"/>
        <n v="0.82830000000000004"/>
        <n v="0.61209999999999998"/>
        <n v="0.83420000000000005"/>
        <n v="0.96200000000000008"/>
        <n v="0.49329999999999996"/>
        <n v="0.37459999999999999"/>
        <n v="8.9399999999999993E-2"/>
        <n v="0.93159999999999998"/>
        <n v="0.91220000000000001"/>
        <n v="0.72719999999999996"/>
        <n v="0.94650000000000001"/>
        <n v="0.82959999999999989"/>
        <n v="0.73569999999999991"/>
        <n v="0.53469999999999995"/>
        <n v="0.48950000000000005"/>
        <n v="0.877"/>
        <n v="0.5776"/>
        <n v="0.9002"/>
        <n v="0.89139999999999997"/>
        <n v="0.92680000000000007"/>
        <n v="0.95319999999999994"/>
        <n v="0.84470000000000001"/>
        <n v="0.76670000000000005"/>
        <n v="0.95040000000000002"/>
        <n v="0.9423999999999999"/>
        <n v="0.88069999999999993"/>
        <n v="0.79220000000000002"/>
        <n v="0.84549999999999992"/>
        <n v="0.90370000000000006"/>
        <n v="0.79760000000000009"/>
        <n v="0.8859999999999999"/>
        <n v="0.84459999999999991"/>
        <n v="0.84379999999999999"/>
        <n v="0.95169999999999999"/>
        <n v="0.8609"/>
        <n v="0.90110000000000001"/>
        <n v="0.73790000000000011"/>
        <n v="0.44369999999999998"/>
        <n v="0.98140000000000005"/>
        <n v="0.95310000000000006"/>
        <n v="0.90049999999999997"/>
        <n v="0.88680000000000003"/>
        <n v="0.97180000000000011"/>
        <n v="0.97060000000000002"/>
        <n v="0.87409999999999999"/>
        <n v="0.97170000000000001"/>
        <n v="0.87549999999999994"/>
        <n v="0.80720000000000003"/>
        <n v="0.91700000000000004"/>
        <n v="0.38569999999999999"/>
        <n v="0.47149999999999997"/>
        <n v="0.47399999999999998"/>
        <n v="0.92989999999999995"/>
        <n v="0.94120000000000004"/>
        <n v="0.58289999999999997"/>
        <n v="0.89989999999999992"/>
        <n v="0.88829999999999998"/>
        <n v="0.66670000000000007"/>
        <n v="0.11689999999999999"/>
        <n v="0.9466"/>
        <n v="0.9887999999999999"/>
        <n v="0.4985"/>
        <n v="0.93959999999999999"/>
        <n v="0.8155"/>
        <n v="0.90439999999999998"/>
        <n v="0.96589999999999998"/>
        <n v="0.96700000000000008"/>
        <n v="0.72959999999999992"/>
        <n v="0.45779999999999998"/>
        <n v="0.66090000000000004"/>
        <n v="0.97319999999999995"/>
        <n v="0.9645999999999999"/>
        <n v="0.94550000000000001"/>
        <n v="0.9043000000000001"/>
        <n v="0.92799999999999994"/>
        <n v="0.90410000000000001"/>
        <n v="0.89390000000000003"/>
        <n v="0.93040000000000012"/>
        <n v="0.8972"/>
        <n v="0.85930000000000006"/>
        <n v="0.80319999999999991"/>
        <n v="0.58040000000000003"/>
        <n v="0.8123999999999999"/>
        <n v="0.38650000000000001"/>
        <n v="0.31900000000000001"/>
        <n v="0.82930000000000004"/>
        <n v="0.87439999999999996"/>
        <n v="0.43670000000000003"/>
        <n v="0.93700000000000006"/>
        <n v="0.65560000000000007"/>
        <n v="0.79339999999999999"/>
        <n v="0.90839999999999999"/>
        <n v="0.53259999999999996"/>
        <n v="0.57420000000000004"/>
        <n v="0.94920000000000004"/>
        <n v="0.91209999999999991"/>
        <n v="0.88430000000000009"/>
        <n v="0.9153"/>
        <n v="0.5534"/>
        <n v="0.48899999999999999"/>
        <n v="0.95829999999999993"/>
        <n v="0.75129999999999997"/>
        <n v="0.98199999999999998"/>
        <n v="0.8085"/>
        <n v="0.94040000000000001"/>
        <n v="0.7863"/>
        <n v="0.60630000000000006"/>
        <n v="0.6604000000000001"/>
        <n v="0.58850000000000002"/>
        <n v="0.5917"/>
        <n v="0.64829999999999999"/>
        <n v="0.54259999999999997"/>
        <n v="0.50939999999999996"/>
        <n v="0.38850000000000001"/>
        <n v="0.80920000000000003"/>
        <n v="0.61880000000000002"/>
        <n v="0.9506"/>
        <n v="0.98290000000000011"/>
        <n v="0.94440000000000002"/>
        <n v="0.78659999999999997"/>
        <n v="0.98299999999999998"/>
        <n v="0.95269999999999999"/>
        <n v="0.91359999999999997"/>
        <n v="0.78129999999999999"/>
        <n v="0.86030000000000006"/>
        <n v="0.3931"/>
        <n v="0.3921"/>
        <n v="0.3911"/>
        <n v="0.88019999999999998"/>
        <n v="0.89239999999999997"/>
        <n v="0.5171"/>
        <n v="0.77099999999999991"/>
        <n v="0.83189999999999997"/>
        <n v="0.97400000000000009"/>
        <n v="0.96"/>
        <n v="0.87540000000000007"/>
        <n v="0.99299999999999999"/>
        <n v="0.53280000000000005"/>
        <n v="0.8377"/>
        <n v="0.87809999999999999"/>
        <n v="0.94279999999999997"/>
        <n v="0.65269999999999995"/>
        <n v="0.90139999999999998"/>
        <n v="0.93709999999999993"/>
        <n v="0.93370000000000009"/>
        <n v="0.55479999999999996"/>
        <n v="0.9405"/>
        <n v="0.90590000000000004"/>
        <n v="0.93849999999999989"/>
        <n v="0.88959999999999995"/>
        <n v="0.62529999999999997"/>
        <n v="0.50240000000000007"/>
        <n v="0.96310000000000007"/>
        <n v="0.93940000000000001"/>
        <n v="0.92969999999999997"/>
        <n v="0.87580000000000002"/>
        <n v="0.97549999999999992"/>
        <n v="0.97640000000000005"/>
        <n v="0.88800000000000001"/>
        <n v="0.98120000000000007"/>
        <n v="0.97650000000000003"/>
        <n v="0.95860000000000001"/>
        <n v="0.73719999999999997"/>
        <n v="0.87250000000000005"/>
        <n v="0.49880000000000002"/>
        <n v="0.49810000000000004"/>
        <n v="0.94530000000000003"/>
        <n v="0.88239999999999996"/>
        <n v="0.7964"/>
        <n v="0.81349999999999989"/>
        <n v="0.30320000000000003"/>
        <n v="0.99239999999999995"/>
        <n v="0.87950000000000006"/>
        <n v="0.38880000000000003"/>
        <n v="0.99430000000000007"/>
        <n v="0.93840000000000001"/>
        <n v="0.442"/>
        <n v="0.95739999999999992"/>
        <n v="0.746"/>
        <n v="0.99099999999999999"/>
        <n v="0.74099999999999999"/>
        <n v="0.92269999999999996"/>
        <n v="0.98419999999999996"/>
        <n v="0.95849999999999991"/>
        <n v="0.73060000000000003"/>
        <n v="0.81889999999999996"/>
        <n v="0.69569999999999999"/>
        <n v="0.95019999999999993"/>
        <n v="0.93379999999999996"/>
        <n v="0.66579999999999995"/>
        <n v="0.97499999999999998"/>
        <n v="0.8649"/>
        <n v="0.95369999999999999"/>
        <n v="0.77349999999999997"/>
        <n v="0.28050000000000003"/>
        <n v="0.95480000000000009"/>
        <n v="0.9476"/>
        <n v="0.48420000000000002"/>
        <n v="0.89729999999999999"/>
        <n v="0.88939999999999997"/>
        <n v="0.90639999999999998"/>
        <n v="0.92519999999999991"/>
        <n v="0.76430000000000009"/>
        <n v="0.82579999999999998"/>
        <n v="0.86930000000000007"/>
        <n v="0.93279999999999996"/>
        <n v="0.95200000000000007"/>
        <n v="0.85439999999999994"/>
        <n v="0.85159999999999991"/>
        <n v="0.2253"/>
        <n v="0.97730000000000006"/>
        <n v="0.84689999999999999"/>
        <n v="0.20120000000000002"/>
        <n v="0.81209999999999993"/>
        <n v="0.879"/>
        <n v="0.62419999999999998"/>
        <n v="0.82680000000000009"/>
        <n v="0.77180000000000004"/>
        <n v="0.9618000000000001"/>
        <n v="0.91280000000000006"/>
        <n v="0.51319999999999999"/>
        <n v="0.68709999999999993"/>
        <n v="0.85489999999999999"/>
        <n v="0.93870000000000009"/>
        <n v="0.83849999999999991"/>
        <n v="0.76349999999999996"/>
        <n v="0.7389"/>
        <n v="0.98750000000000004"/>
        <n v="0.7601"/>
        <n v="0.97120000000000006"/>
        <n v="0.38140000000000002"/>
        <n v="0.75029999999999997"/>
        <n v="0.78799999999999992"/>
        <n v="0.64390000000000003"/>
        <n v="7.2400000000000006E-2"/>
        <n v="0.88419999999999999"/>
        <n v="0.70940000000000003"/>
        <n v="0.21249999999999999"/>
        <n v="0.73349999999999993"/>
        <n v="0.73609999999999998"/>
        <n v="0.8508"/>
        <n v="0.72340000000000004"/>
        <n v="0.77910000000000001"/>
        <n v="0.84010000000000007"/>
        <n v="0.88090000000000002"/>
        <n v="0.96640000000000004"/>
        <n v="0.79769999999999996"/>
        <n v="0.87560000000000004"/>
        <n v="0.89489999999999992"/>
        <n v="0.70450000000000002"/>
        <n v="0.71140000000000003"/>
        <n v="0.70609999999999995"/>
        <n v="0.85309999999999997"/>
        <n v="0.49530000000000002"/>
        <n v="0.58810000000000007"/>
        <n v="0.53790000000000004"/>
        <n v="0.39159999999999995"/>
        <n v="0.58750000000000002"/>
        <n v="0.6583"/>
        <n v="0.61729999999999996"/>
        <n v="0.55110000000000003"/>
        <n v="0.51259999999999994"/>
        <n v="0.74129999999999996"/>
        <n v="0.92870000000000008"/>
        <n v="0.92749999999999999"/>
        <n v="0.71450000000000002"/>
        <n v="0.92760000000000009"/>
        <n v="0.92599999999999993"/>
        <n v="0.77010000000000001"/>
        <n v="0.85499999999999998"/>
        <n v="0.90689999999999993"/>
        <n v="0.72970000000000002"/>
        <n v="0.72519999999999996"/>
        <n v="0.6826000000000001"/>
        <n v="0.27940000000000004"/>
        <n v="0.86180000000000012"/>
        <n v="0.67620000000000002"/>
        <n v="0.63300000000000001"/>
        <n v="0.68530000000000002"/>
        <n v="0.94330000000000003"/>
        <n v="0.72099999999999997"/>
        <n v="0.92459999999999998"/>
        <n v="0.84069999999999989"/>
        <n v="0.66159999999999997"/>
        <n v="0.6"/>
        <n v="0.873"/>
        <n v="0.96550000000000002"/>
        <n v="0.83599999999999997"/>
        <n v="0.79830000000000001"/>
        <n v="0.65410000000000001"/>
        <n v="0.55490000000000006"/>
        <n v="0.95700000000000007"/>
        <n v="0.70930000000000004"/>
        <n v="0.67540000000000011"/>
        <n v="0.88819999999999988"/>
        <n v="0.94359999999999999"/>
        <n v="0.86640000000000006"/>
        <n v="0.87780000000000002"/>
        <n v="0.96519999999999995"/>
        <n v="0.97439999999999993"/>
        <n v="0.87930000000000008"/>
        <n v="0.97629999999999995"/>
        <n v="0.57299999999999995"/>
        <n v="0.1326"/>
        <n v="0.1898"/>
        <n v="0.95609999999999995"/>
        <n v="0.20379999999999998"/>
        <n v="0.83660000000000001"/>
        <n v="0.24929999999999999"/>
        <n v="0.90810000000000002"/>
        <n v="0.96010000000000006"/>
        <n v="0.97299999999999998"/>
        <n v="0.91520000000000001"/>
        <n v="0.95400000000000007"/>
        <n v="0.91980000000000006"/>
        <n v="0.93310000000000004"/>
        <n v="0.57789999999999997"/>
        <n v="0.58310000000000006"/>
        <n v="0.6925"/>
        <n v="0.9020999999999999"/>
        <n v="0.96499999999999997"/>
        <n v="0.96489999999999998"/>
        <n v="0.47439999999999999"/>
        <n v="0.96250000000000002"/>
        <n v="0.96739999999999993"/>
        <n v="0.47320000000000001"/>
        <n v="0.92779999999999996"/>
        <n v="0.85109999999999997"/>
        <n v="0.64610000000000001"/>
        <n v="0.28550000000000003"/>
        <n v="0.84560000000000002"/>
        <n v="0.93650000000000011"/>
        <n v="0.1133"/>
        <n v="0.86620000000000008"/>
        <n v="0.9668000000000001"/>
        <n v="0.94129999999999991"/>
        <n v="0.85959999999999992"/>
        <n v="0.91870000000000007"/>
        <n v="0.93"/>
        <n v="0.88739999999999997"/>
        <n v="0.91819999999999991"/>
        <n v="0.59030000000000005"/>
        <n v="0.72219999999999995"/>
        <n v="0.88969999999999994"/>
        <n v="0.93150000000000011"/>
        <n v="0.93480000000000008"/>
        <n v="0.97049999999999992"/>
        <n v="0.74739999999999995"/>
        <n v="0.31809999999999999"/>
        <n v="0.4249"/>
        <n v="0.93810000000000004"/>
        <n v="0.94159999999999999"/>
        <n v="0.96599999999999997"/>
        <n v="0.89800000000000002"/>
        <n v="0.95950000000000002"/>
        <n v="0.90290000000000004"/>
        <n v="0.95569999999999988"/>
        <n v="0.94720000000000004"/>
        <n v="0.67980000000000007"/>
        <n v="0.81359999999999999"/>
        <n v="0.74970000000000003"/>
        <n v="0.75120000000000009"/>
        <n v="0.88500000000000001"/>
        <n v="0.87170000000000003"/>
        <n v="0.96030000000000004"/>
        <n v="0.44719999999999999"/>
        <n v="0.74049999999999994"/>
        <n v="0.88670000000000004"/>
        <n v="0.71"/>
        <n v="0.49570000000000003"/>
        <n v="0.84099999999999997"/>
        <n v="0.68510000000000004"/>
        <n v="0.83930000000000005"/>
        <n v="0.27300000000000002"/>
        <n v="0.72870000000000001"/>
        <n v="0.66370000000000007"/>
        <n v="0.68379999999999996"/>
        <n v="0.63"/>
        <n v="0.99809999999999999"/>
        <n v="0.75139999999999996"/>
        <n v="0.6633"/>
        <n v="0.97799999999999998"/>
        <n v="0.85970000000000002"/>
        <n v="0.62480000000000002"/>
        <n v="0.43560000000000004"/>
        <n v="0.79379999999999995"/>
        <n v="0.79280000000000006"/>
        <n v="0.86340000000000006"/>
        <n v="0.77269999999999994"/>
        <n v="0.84060000000000001"/>
        <n v="0.73540000000000005"/>
        <n v="0.55079999999999996"/>
        <n v="0.79390000000000005"/>
        <n v="0.70219999999999994"/>
        <n v="0.39049999999999996"/>
        <n v="0.80269999999999997"/>
        <n v="0.29480000000000001"/>
        <n v="0.86569999999999991"/>
        <n v="0.67720000000000002"/>
        <n v="0.73769999999999991"/>
        <n v="0.55909999999999993"/>
        <n v="0.2656"/>
        <n v="0.90749999999999997"/>
        <n v="0.65339999999999998"/>
        <n v="0.65300000000000002"/>
        <n v="0.90769999999999995"/>
        <n v="0.97889999999999999"/>
        <n v="0.9083"/>
        <n v="0.77170000000000005"/>
        <n v="0.31269999999999998"/>
        <n v="0.1202"/>
        <n v="0.31509999999999999"/>
        <n v="0.76080000000000003"/>
        <n v="0.23519999999999999"/>
        <n v="0.88280000000000003"/>
        <n v="0.88980000000000004"/>
        <n v="0.26300000000000001"/>
        <n v="0.70900000000000007"/>
        <n v="0.87849999999999995"/>
        <n v="0.89659999999999995"/>
        <n v="0.92349999999999999"/>
        <n v="0.67790000000000006"/>
        <n v="0.84699999999999998"/>
        <n v="0.9104000000000001"/>
        <n v="0.56810000000000005"/>
        <n v="0.79330000000000001"/>
        <n v="0.70469999999999999"/>
        <n v="0.98730000000000007"/>
        <n v="0.85750000000000004"/>
        <n v="0.98230000000000006"/>
        <n v="0.96870000000000001"/>
        <n v="0.40049999999999997"/>
        <n v="0.89209999999999989"/>
        <n v="0.86959999999999993"/>
        <n v="0.79349999999999998"/>
        <n v="0.62190000000000001"/>
        <n v="0.55279999999999996"/>
        <n v="0.4012"/>
        <n v="0.98470000000000002"/>
        <n v="0.80779999999999996"/>
        <n v="0.74029999999999996"/>
        <n v="0.1555"/>
        <n v="0.90780000000000005"/>
        <n v="0.92689999999999995"/>
        <n v="0.82389999999999997"/>
        <n v="0.98909999999999998"/>
        <n v="0.84250000000000003"/>
        <n v="0.95799999999999996"/>
        <n v="0.71019999999999994"/>
        <n v="0.79180000000000006"/>
        <n v="0.51350000000000007"/>
        <n v="0.77760000000000007"/>
        <n v="0.6623"/>
        <n v="0.87379999999999991"/>
        <n v="0.95330000000000004"/>
        <n v="0.495"/>
        <n v="0.85360000000000003"/>
        <n v="0.52229999999999999"/>
        <n v="0.2079"/>
        <n v="0.98239999999999994"/>
        <n v="0.95629999999999993"/>
        <n v="0.96730000000000005"/>
        <n v="7.3899999999999993E-2"/>
        <n v="0.80610000000000004"/>
        <n v="0.91590000000000005"/>
        <n v="0.94319999999999993"/>
        <n v="0.1754"/>
        <n v="0.99010000000000009"/>
        <n v="0.94069999999999998"/>
        <n v="0.8095"/>
        <n v="0.7419"/>
        <n v="0.96810000000000007"/>
        <n v="0.89180000000000004"/>
        <n v="0.91639999999999999"/>
        <n v="0.99109999999999998"/>
        <n v="0.49009999999999998"/>
        <n v="0.90029999999999999"/>
        <n v="0.95510000000000006"/>
        <n v="0.9728"/>
        <n v="0.95940000000000003"/>
        <n v="0.75219999999999998"/>
        <n v="0.76090000000000002"/>
        <n v="0.98769999999999991"/>
        <n v="0.77790000000000004"/>
        <n v="0.79400000000000004"/>
        <n v="0.68559999999999999"/>
        <n v="0.68980000000000008"/>
        <n v="0.97409999999999997"/>
        <n v="0.54679999999999995"/>
        <n v="0.90170000000000006"/>
        <n v="0.92859999999999998"/>
        <n v="0.88359999999999994"/>
        <n v="0.92319999999999991"/>
        <n v="0.52710000000000001"/>
        <n v="0.91579999999999995"/>
        <n v="0.90969999999999995"/>
        <n v="0.8798999999999999"/>
        <n v="0.91449999999999998"/>
        <n v="0.86980000000000002"/>
        <n v="0.48070000000000002"/>
        <n v="0.62549999999999994"/>
        <n v="0.86730000000000007"/>
        <n v="0.30430000000000001"/>
        <n v="0.81640000000000001"/>
        <n v="0.55430000000000001"/>
        <n v="0.3296"/>
        <n v="0.52390000000000003"/>
        <n v="0.1484"/>
        <n v="0.67059999999999997"/>
        <n v="0.9587"/>
        <n v="0.49890000000000001"/>
        <n v="0.24329999999999999"/>
        <n v="0.79969999999999997"/>
        <n v="0.8417"/>
        <n v="0.41289999999999999"/>
        <n v="0.67680000000000007"/>
        <n v="0.99"/>
        <n v="0.9052"/>
        <n v="0.90529999999999999"/>
        <n v="0.81540000000000001"/>
        <n v="0.70430000000000004"/>
        <n v="0.3624"/>
        <n v="0.92280000000000006"/>
        <n v="0.72689999999999999"/>
        <n v="0.54569999999999996"/>
        <n v="0.83"/>
        <n v="0.67519999999999991"/>
        <n v="0.92030000000000001"/>
        <n v="0.81730000000000003"/>
        <n v="0.50509999999999999"/>
        <n v="0.56230000000000002"/>
        <n v="0.87609999999999999"/>
        <n v="0.87470000000000003"/>
        <n v="0.87590000000000001"/>
        <n v="0.87340000000000007"/>
        <n v="0.87659999999999993"/>
        <n v="0.75620000000000009"/>
        <n v="0.46289999999999998"/>
        <n v="0.70760000000000001"/>
        <n v="0.94180000000000008"/>
        <n v="0.79200000000000004"/>
        <n v="0.72150000000000003"/>
        <n v="0.81870000000000009"/>
        <n v="0.87629999999999997"/>
        <n v="0.86499999999999999"/>
        <n v="2.1499999999999998E-2"/>
        <n v="0.75249999999999995"/>
        <n v="0.84079999999999999"/>
        <n v="0.82750000000000001"/>
        <n v="0.70200000000000007"/>
        <n v="0.8528"/>
        <n v="0.27910000000000001"/>
        <n v="0.89280000000000004"/>
        <n v="0.86159999999999992"/>
        <n v="0.87870000000000004"/>
        <n v="0.72989999999999999"/>
        <n v="0.86349999999999993"/>
        <n v="0.69969999999999999"/>
        <n v="0.23379999999999998"/>
        <n v="0.91420000000000001"/>
        <n v="0.52950000000000008"/>
        <n v="0.91680000000000006"/>
        <n v="0.95540000000000003"/>
        <n v="0.92700000000000005"/>
        <n v="0.97829999999999995"/>
        <n v="0.97659999999999991"/>
        <n v="0.81430000000000002"/>
        <n v="0.7923"/>
        <n v="0.69420000000000004"/>
        <n v="0.69169999999999998"/>
        <n v="0.95239999999999991"/>
        <n v="0.25129999999999997"/>
        <n v="0.92830000000000001"/>
        <n v="0.80620000000000003"/>
        <n v="0.90879999999999994"/>
        <n v="0.96760000000000002"/>
        <n v="0.94230000000000003"/>
        <n v="0.91370000000000007"/>
        <n v="0.97129999999999994"/>
        <n v="0.93879999999999997"/>
        <n v="0.84889999999999999"/>
        <n v="0.89739999999999998"/>
        <n v="0.84209999999999996"/>
        <n v="0.90760000000000007"/>
        <n v="0.99659999999999993"/>
        <n v="0.96389999999999998"/>
        <n v="0.89190000000000003"/>
        <n v="0.9698"/>
        <n v="0.52510000000000001"/>
        <n v="0.78989999999999994"/>
        <n v="0.93389999999999995"/>
        <n v="0.9677"/>
        <n v="0.91720000000000002"/>
        <n v="0.9163"/>
        <n v="0.68689999999999996"/>
        <n v="0.23100000000000001"/>
        <n v="0.89119999999999999"/>
        <n v="0.81900000000000006"/>
        <n v="0.91790000000000005"/>
        <n v="0.37310000000000004"/>
        <n v="0.89569999999999994"/>
        <n v="0.92449999999999999"/>
        <n v="0.74"/>
        <n v="0.57030000000000003"/>
        <n v="0.90229999999999999"/>
        <n v="0.90790000000000004"/>
        <n v="0.81379999999999997"/>
        <n v="0.7288"/>
        <n v="0.85430000000000006"/>
        <n v="0.97040000000000004"/>
        <n v="0.89"/>
        <n v="0.98170000000000002"/>
        <n v="0.98180000000000012"/>
        <n v="0.97930000000000006"/>
        <n v="0.89049999999999996"/>
        <n v="0.74280000000000002"/>
        <n v="0.44209999999999999"/>
        <n v="0.61270000000000002"/>
        <n v="0.61099999999999999"/>
        <n v="0.6502"/>
        <n v="0.8024"/>
        <n v="0.33329999999999999"/>
        <n v="0.79500000000000004"/>
        <n v="0.86540000000000006"/>
        <n v="0.78920000000000001"/>
        <n v="0.8216"/>
        <n v="0.69440000000000002"/>
        <n v="0.89560000000000006"/>
        <n v="0.76939999999999997"/>
        <n v="0.8831"/>
        <n v="0.83700000000000008"/>
        <n v="0.76590000000000003"/>
        <n v="0.73599999999999999"/>
        <n v="0.98250000000000004"/>
        <n v="0.89599999999999991"/>
        <n v="0.87390000000000001"/>
        <n v="0.88560000000000005"/>
        <n v="0.98640000000000005"/>
        <n v="0.88639999999999997"/>
        <n v="0.98760000000000003"/>
        <n v="0.97260000000000002"/>
        <n v="0.88890000000000002"/>
        <n v="0.77670000000000006"/>
        <n v="0.88590000000000002"/>
        <n v="0.6522"/>
        <n v="0.78510000000000002"/>
        <n v="0.74780000000000002"/>
        <n v="0.97620000000000007"/>
        <n v="0.87309999999999999"/>
        <n v="0.79319999999999991"/>
        <n v="0.85099999999999998"/>
        <n v="0.92549999999999999"/>
        <n v="0.32869999999999999"/>
        <n v="0.88159999999999994"/>
        <n v="0.84439999999999993"/>
        <n v="0.74069999999999991"/>
        <n v="0.59260000000000002"/>
        <n v="0.83290000000000008"/>
        <n v="0.57979999999999998"/>
        <n v="0.54349999999999998"/>
        <n v="0.57879999999999998"/>
        <n v="0.73019999999999996"/>
        <n v="0.93209999999999993"/>
        <n v="0.95180000000000009"/>
        <n v="0.73129999999999995"/>
        <n v="0.73260000000000003"/>
        <n v="0.49380000000000002"/>
        <n v="0.81849999999999989"/>
        <n v="0.69180000000000008"/>
        <n v="0.80819999999999992"/>
        <n v="0.70099999999999996"/>
        <n v="0.64890000000000003"/>
        <n v="0.73849999999999993"/>
        <n v="0.98560000000000003"/>
        <n v="0.7026"/>
        <n v="0.77200000000000002"/>
        <n v="0.87269999999999992"/>
        <n v="0.64439999999999997"/>
        <n v="0.41259999999999997"/>
        <n v="0.755"/>
        <n v="0.96479999999999999"/>
        <n v="0.63180000000000003"/>
        <n v="0.9748"/>
        <n v="0.63019999999999998"/>
        <n v="0.48310000000000003"/>
        <n v="0.45429999999999998"/>
        <n v="0.95909999999999995"/>
        <n v="0.94930000000000003"/>
        <n v="0.73659999999999992"/>
        <n v="0.71569999999999989"/>
        <n v="0.81659999999999999"/>
        <n v="0.84510000000000007"/>
        <n v="0.93230000000000002"/>
        <n v="0.80909999999999993"/>
        <n v="0.87049999999999994"/>
        <n v="0.92249999999999999"/>
        <n v="0.82010000000000005"/>
        <n v="0.60589999999999999"/>
        <n v="0.95760000000000001"/>
        <n v="0.62840000000000007"/>
        <n v="0.81069999999999998"/>
        <n v="0.95069999999999988"/>
        <n v="0.9526"/>
        <n v="0.875"/>
        <n v="0.4224"/>
        <n v="0.96750000000000003"/>
        <n v="0.43109999999999998"/>
        <n v="0.36759999999999998"/>
        <n v="0.36670000000000003"/>
        <n v="0.26350000000000001"/>
        <n v="0.39090000000000003"/>
        <n v="0.94400000000000006"/>
        <n v="0.95900000000000007"/>
        <n v="0.92040000000000011"/>
        <n v="0.9756999999999999"/>
        <n v="8.8000000000000009E-2"/>
        <n v="0.73370000000000002"/>
        <n v="0.9224"/>
        <n v="0.8395999999999999"/>
        <n v="0.7298"/>
        <n v="0.79669999999999996"/>
        <n v="0.57090000000000007"/>
        <n v="0.76419999999999999"/>
        <n v="0.81840000000000002"/>
        <n v="0.8165"/>
        <n v="0.72829999999999995"/>
        <n v="0.64060000000000006"/>
        <n v="0.63880000000000003"/>
        <n v="0.96129999999999993"/>
        <n v="0.97150000000000003"/>
        <n v="0.37939999999999996"/>
        <n v="0.71799999999999997"/>
        <n v="0.8637999999999999"/>
        <n v="0.7913"/>
        <n v="0.59430000000000005"/>
        <n v="0.52810000000000001"/>
        <n v="0.47240000000000004"/>
        <n v="0.7359"/>
        <n v="0.379"/>
        <n v="0.55810000000000004"/>
        <n v="0.57909999999999995"/>
        <n v="0.43149999999999999"/>
        <n v="0.43869999999999998"/>
        <n v="0.46140000000000003"/>
        <n v="0.38750000000000001"/>
        <n v="0.32729999999999998"/>
        <n v="0.21960000000000002"/>
        <n v="0.49310000000000004"/>
        <n v="0.46789999999999998"/>
        <n v="0.68840000000000001"/>
        <n v="0.77500000000000002"/>
        <n v="0.86780000000000002"/>
        <n v="0.8418000000000001"/>
        <n v="0.52990000000000004"/>
        <n v="0.69640000000000002"/>
        <n v="0.67590000000000006"/>
        <n v="0.9081999999999999"/>
        <n v="0.73860000000000003"/>
        <n v="0.8479000000000001"/>
        <n v="0.97089999999999999"/>
        <n v="0.68519999999999992"/>
        <n v="0.6734"/>
        <n v="0.62639999999999996"/>
        <n v="0.92909999999999993"/>
        <n v="0.85569999999999991"/>
        <n v="0.6008"/>
        <n v="0.9667"/>
        <n v="0.95879999999999999"/>
        <n v="0.60509999999999997"/>
        <n v="0.63890000000000002"/>
        <n v="0.48130000000000001"/>
        <n v="0.85870000000000002"/>
        <n v="0.84750000000000003"/>
        <n v="0.9778"/>
        <n v="0.87620000000000009"/>
        <n v="0.97510000000000008"/>
        <n v="0.87840000000000007"/>
        <n v="0.55889999999999995"/>
        <n v="0.79359999999999997"/>
        <n v="0.79480000000000006"/>
        <n v="0.68330000000000002"/>
        <n v="0.89069999999999994"/>
        <n v="0.91409999999999991"/>
        <n v="0.79980000000000007"/>
        <n v="0.80549999999999999"/>
        <n v="0.90930000000000011"/>
        <n v="0.4153"/>
        <n v="0.8327"/>
        <n v="0.63029999999999997"/>
        <n v="0.91900000000000004"/>
        <n v="0.77950000000000008"/>
        <n v="0.87749999999999995"/>
        <n v="0.87970000000000004"/>
        <n v="0.72049999999999992"/>
        <n v="0.78610000000000002"/>
        <n v="0.78090000000000004"/>
        <n v="0.94840000000000002"/>
        <n v="0.95450000000000002"/>
        <n v="0.96420000000000006"/>
        <n v="0.84409999999999996"/>
        <n v="0.80019999999999991"/>
        <n v="0.84930000000000005"/>
        <n v="0.97519999999999996"/>
        <n v="0.83129999999999993"/>
        <n v="0.84349999999999992"/>
        <n v="0.79930000000000012"/>
        <n v="0.69469999999999998"/>
        <n v="0.53459999999999996"/>
        <n v="0.73230000000000006"/>
        <n v="0.79530000000000001"/>
        <n v="0.16159999999999999"/>
        <n v="0.57799999999999996"/>
        <n v="0.83939999999999992"/>
        <n v="0.83609999999999995"/>
        <n v="0.8337"/>
        <n v="0.92290000000000005"/>
        <n v="0.70920000000000005"/>
        <n v="0.72129999999999994"/>
        <n v="0.81200000000000006"/>
        <n v="0.62659999999999993"/>
        <n v="0.87519999999999998"/>
        <n v="0.69940000000000002"/>
        <n v="0.64119999999999999"/>
        <n v="0.4254"/>
        <n v="0.83540000000000003"/>
        <n v="0.66480000000000006"/>
        <n v="0.76549999999999996"/>
        <n v="0.95129999999999992"/>
        <n v="0.8125"/>
        <n v="0.86230000000000007"/>
        <n v="0.61770000000000003"/>
        <n v="0.9556"/>
        <n v="0.95299999999999996"/>
        <n v="0.86250000000000004"/>
        <n v="0.42"/>
        <n v="0.43329999999999996"/>
        <n v="0.27029999999999998"/>
        <n v="0.27100000000000002"/>
        <n v="0.91349999999999998"/>
        <n v="0.60429999999999995"/>
        <n v="0.68150000000000011"/>
        <n v="0.85829999999999995"/>
        <n v="0.83579999999999999"/>
        <n v="0.9154000000000001"/>
        <n v="0.12640000000000001"/>
        <n v="0.878"/>
        <n v="0.90269999999999995"/>
        <n v="0.88150000000000006"/>
        <n v="0.60030000000000006"/>
        <n v="0.65529999999999999"/>
        <n v="0.91189999999999993"/>
        <n v="0.75890000000000002"/>
        <n v="0.69930000000000003"/>
        <n v="0.93540000000000001"/>
        <n v="0.7087"/>
        <n v="0.83510000000000006"/>
        <n v="0.95519999999999994"/>
        <n v="0.81059999999999999"/>
        <n v="0.86680000000000001"/>
        <n v="0.9788"/>
        <n v="0.89900000000000002"/>
        <n v="0.90489999999999993"/>
        <n v="0.43209999999999998"/>
        <n v="0.45189999999999997"/>
        <n v="0.62250000000000005"/>
        <n v="0.92579999999999996"/>
        <n v="0.91830000000000001"/>
        <n v="0.93220000000000003"/>
        <n v="0.81010000000000004"/>
        <n v="0.84660000000000002"/>
        <n v="0.85939999999999994"/>
        <n v="0.97010000000000007"/>
        <n v="0.94290000000000007"/>
        <n v="0.72599999999999998"/>
        <n v="0.74930000000000008"/>
        <n v="0.65129999999999999"/>
        <n v="0.84050000000000002"/>
        <n v="0.82310000000000005"/>
        <n v="0.94110000000000005"/>
        <n v="0.82940000000000003"/>
        <n v="0.90159999999999996"/>
        <n v="0.81330000000000002"/>
        <n v="0.97809999999999997"/>
        <n v="0.99199999999999999"/>
        <n v="0.96689999999999998"/>
        <n v="0.99739999999999995"/>
        <n v="0.94079999999999997"/>
        <n v="0.99639999999999995"/>
        <n v="0.29880000000000001"/>
        <n v="0.65659999999999996"/>
        <n v="0.91879999999999995"/>
        <n v="0.93799999999999994"/>
        <n v="0.1215"/>
        <n v="0.90379999999999994"/>
        <n v="0.74730000000000008"/>
        <n v="0.85150000000000003"/>
        <n v="0.94430000000000003"/>
        <n v="0.75239999999999996"/>
        <n v="0.97209999999999996"/>
        <n v="0.91459999999999997"/>
        <n v="0.99760000000000004"/>
        <n v="0.83569999999999989"/>
        <n v="0.83519999999999994"/>
        <n v="0.89090000000000003"/>
        <n v="0.90540000000000009"/>
        <n v="0.76269999999999993"/>
        <n v="0.96290000000000009"/>
        <n v="0.93920000000000003"/>
        <n v="0.85560000000000003"/>
        <n v="0.75659999999999994"/>
        <n v="0.93489999999999995"/>
        <n v="0.88190000000000002"/>
        <n v="0.97909999999999997"/>
        <n v="0.88709999999999989"/>
        <n v="0.88470000000000004"/>
        <n v="0.65839999999999999"/>
        <n v="0.79659999999999997"/>
        <n v="0.38939999999999997"/>
        <n v="0.88300000000000001"/>
        <n v="0.96400000000000008"/>
        <n v="0.98360000000000003"/>
        <n v="0.95930000000000004"/>
        <n v="0.94989999999999997"/>
        <n v="0.16350000000000001"/>
        <n v="0.94099999999999995"/>
        <n v="0.84239999999999993"/>
        <n v="0.98699999999999999"/>
        <n v="0.97819999999999996"/>
        <n v="0.7659999999999999"/>
        <n v="0.80799999999999994"/>
        <n v="0.97219999999999995"/>
        <n v="0.73809999999999998"/>
        <n v="0.68940000000000001"/>
        <n v="0.91769999999999996"/>
        <n v="0.96409999999999996"/>
        <n v="0.82090000000000007"/>
        <n v="0.82510000000000006"/>
        <n v="0.99250000000000005"/>
        <n v="0.82079999999999997"/>
        <n v="0.83440000000000003"/>
        <n v="0.45240000000000002"/>
        <n v="0.8076000000000001"/>
        <n v="0.95109999999999995"/>
        <n v="0.91139999999999999"/>
        <n v="0.57109999999999994"/>
        <n v="0.93120000000000003"/>
        <n v="0.62309999999999999"/>
        <n v="0.14649999999999999"/>
        <n v="0.6613"/>
        <n v="0.72889999999999999"/>
        <n v="0.60240000000000005"/>
        <n v="0.77749999999999997"/>
        <n v="0.95340000000000003"/>
        <n v="0.85609999999999997"/>
        <n v="0.70989999999999998"/>
        <n v="0.46049999999999996"/>
        <n v="0.80730000000000002"/>
        <n v="0.91269999999999996"/>
        <n v="0.94609999999999994"/>
        <n v="0.94499999999999995"/>
        <n v="0.4496"/>
        <n v="0.77"/>
        <n v="0.41670000000000001"/>
        <n v="0.68640000000000001"/>
        <n v="0.67310000000000003"/>
        <n v="0.66749999999999998"/>
        <n v="0.55730000000000002"/>
        <n v="0.75599999999999989"/>
        <n v="0.74170000000000003"/>
        <n v="0.51649999999999996"/>
        <n v="0.75700000000000001"/>
        <n v="0.64500000000000002"/>
        <n v="0.61009999999999998"/>
        <n v="0.64170000000000005"/>
        <n v="0.5635"/>
        <n v="0.48249999999999998"/>
        <n v="0.84089999999999998"/>
        <n v="0.1182"/>
        <n v="0.83219999999999994"/>
        <n v="0.75470000000000004"/>
        <n v="0.9214"/>
        <n v="0.80629999999999991"/>
        <n v="0.17420000000000002"/>
        <n v="0.87180000000000002"/>
        <n v="0.91749999999999998"/>
        <n v="0.85049999999999992"/>
        <n v="0.98809999999999998"/>
        <n v="0.83779999999999999"/>
        <n v="0.70829999999999993"/>
        <n v="0.68859999999999999"/>
        <n v="0.82099999999999995"/>
        <n v="0.79599999999999993"/>
        <n v="0.76529999999999998"/>
        <n v="0.91260000000000008"/>
        <n v="0.76849999999999996"/>
        <n v="0.5827"/>
        <n v="0.93680000000000008"/>
        <n v="0.39850000000000002"/>
        <n v="0.39750000000000002"/>
        <n v="0.86719999999999997"/>
        <n v="0.90069999999999995"/>
        <n v="0.26019999999999999"/>
        <n v="0.67330000000000001"/>
        <n v="0.75959999999999994"/>
        <n v="0.34189999999999998"/>
        <n v="0.79059999999999997"/>
        <n v="0.9326000000000001"/>
        <n v="0.1628"/>
        <n v="0.8911"/>
        <n v="0.80689999999999995"/>
        <n v="0.88790000000000002"/>
        <n v="0.95640000000000003"/>
        <n v="0.97310000000000008"/>
        <n v="0.51990000000000003"/>
        <n v="0.91110000000000002"/>
        <n v="0.75609999999999999"/>
        <n v="0.71719999999999995"/>
        <n v="0.6470999999999999"/>
        <n v="0.95079999999999998"/>
        <n v="0.89469999999999994"/>
        <n v="0.74230000000000007"/>
        <n v="0.72680000000000011"/>
        <n v="0.93659999999999999"/>
        <n v="0.75459999999999994"/>
        <n v="0.82819999999999994"/>
        <n v="0.82909999999999995"/>
        <n v="0.72430000000000005"/>
        <n v="0.86849999999999994"/>
        <n v="0.61309999999999998"/>
        <n v="0.65469999999999995"/>
        <n v="0.71519999999999995"/>
        <n v="0.72230000000000005"/>
        <n v="0.84849999999999992"/>
        <n v="0.96230000000000004"/>
        <n v="0.42570000000000002"/>
        <n v="0.56259999999999999"/>
        <n v="0.91400000000000003"/>
        <n v="0.88879999999999992"/>
        <n v="0.89939999999999998"/>
        <n v="0.84420000000000006"/>
        <n v="0.92890000000000006"/>
        <n v="0.84319999999999995"/>
        <n v="0.55049999999999999"/>
        <n v="0.90060000000000007"/>
        <n v="0.80040000000000011"/>
        <n v="0.92299999999999993"/>
        <n v="0.91920000000000002"/>
        <n v="0.67079999999999995"/>
        <n v="0.93200000000000005"/>
        <n v="0.96879999999999999"/>
        <n v="0.93180000000000007"/>
        <n v="0.95579999999999998"/>
        <n v="0.37590000000000001"/>
        <n v="0.62090000000000001"/>
        <n v="0.66500000000000004"/>
        <n v="0.94169999999999998"/>
        <n v="0.9173"/>
        <n v="0.15710000000000002"/>
        <n v="0.79010000000000002"/>
        <n v="0.85239999999999994"/>
        <n v="0.92730000000000001"/>
        <n v="0.98319999999999996"/>
        <n v="0.7823"/>
        <n v="0.6905"/>
        <n v="0.97099999999999997"/>
        <n v="0.92569999999999997"/>
        <n v="0.995"/>
        <n v="0.77379999999999993"/>
        <n v="0.37790000000000001"/>
        <n v="0.57020000000000004"/>
        <n v="0.71730000000000005"/>
        <n v="0.36969999999999997"/>
        <n v="0.57069999999999999"/>
        <n v="0.54339999999999999"/>
        <n v="0.71250000000000002"/>
        <n v="0.48139999999999999"/>
        <n v="0.62159999999999993"/>
        <n v="0.38659999999999994"/>
        <n v="0.39779999999999999"/>
        <n v="0.6543000000000001"/>
        <n v="0.52549999999999997"/>
        <n v="0.9706999999999999"/>
        <n v="0.97199999999999998"/>
        <n v="0.96939999999999993"/>
        <n v="0.96060000000000001"/>
        <n v="0.74299999999999999"/>
        <n v="0.76700000000000002"/>
        <n v="0.62360000000000004"/>
        <n v="0.62170000000000003"/>
        <n v="0.73750000000000004"/>
        <n v="0.88489999999999991"/>
        <n v="0.88450000000000006"/>
        <n v="0.63800000000000001"/>
        <n v="0.87909999999999999"/>
        <n v="0.91159999999999997"/>
        <n v="0.79469999999999996"/>
        <n v="0.82810000000000006"/>
        <n v="0.92390000000000005"/>
        <n v="0.92010000000000003"/>
        <n v="0.872"/>
        <n v="0.9022"/>
        <n v="0.69079999999999997"/>
        <n v="0.79620000000000002"/>
        <n v="0.91290000000000004"/>
        <n v="0.84640000000000004"/>
        <n v="0.87829999999999997"/>
        <n v="0.83860000000000001"/>
        <n v="0.85709999999999997"/>
        <n v="0.9819"/>
        <n v="0.85730000000000006"/>
        <n v="0.98459999999999992"/>
        <n v="0.93599999999999994"/>
        <n v="0.85659999999999992"/>
        <n v="0.82030000000000003"/>
        <n v="0.74849999999999994"/>
        <n v="0.83209999999999995"/>
        <n v="0.79549999999999998"/>
        <n v="0.62909999999999999"/>
        <n v="0.88060000000000005"/>
        <n v="0.89810000000000001"/>
        <n v="0.85580000000000001"/>
        <n v="0.78790000000000004"/>
        <n v="0.77819999999999989"/>
        <n v="0.82650000000000001"/>
        <n v="0.70319999999999994"/>
        <n v="0.64249999999999996"/>
        <n v="0.79159999999999997"/>
        <n v="0.59279999999999999"/>
        <n v="0.99209999999999998"/>
        <n v="0.99040000000000006"/>
        <n v="0.99390000000000001"/>
        <n v="0.95840000000000003"/>
        <n v="0.65400000000000003"/>
        <n v="0.8044"/>
        <n v="0.91849999999999998"/>
        <n v="0.98659999999999992"/>
        <n v="0.8992"/>
        <n v="0.81810000000000005"/>
        <n v="0.83879999999999999"/>
        <n v="0.86900000000000011"/>
        <n v="0.49200000000000005"/>
        <n v="0.88049999999999995"/>
        <n v="0.87529999999999997"/>
        <n v="0.98409999999999997"/>
        <n v="0.64159999999999995"/>
        <n v="0.95010000000000006"/>
        <n v="0.75709999999999988"/>
        <n v="0.94510000000000005"/>
        <n v="0.84620000000000006"/>
        <n v="0.82900000000000007"/>
        <n v="0.90659999999999996"/>
        <n v="0.81"/>
        <n v="0.9133"/>
        <n v="0.93629999999999991"/>
        <n v="0.85640000000000005"/>
        <n v="0.98739999999999994"/>
        <n v="0.95030000000000003"/>
        <n v="0.94640000000000002"/>
        <n v="0.86670000000000003"/>
        <n v="0.78339999999999999"/>
        <n v="0.56789999999999996"/>
        <n v="0.11259999999999999"/>
        <n v="0.46689999999999998"/>
        <n v="0.9284"/>
        <n v="0.97230000000000005"/>
        <n v="0.69590000000000007"/>
        <n v="0.96239999999999992"/>
        <n v="0.59740000000000004"/>
        <n v="0.73549999999999993"/>
        <n v="0.94299999999999995"/>
        <n v="0.91200000000000003"/>
        <n v="0.83019999999999994"/>
        <n v="0.85760000000000003"/>
        <n v="0.1741"/>
        <n v="0.17600000000000002"/>
        <n v="0.17350000000000002"/>
        <n v="0.9355"/>
        <n v="0.93559999999999999"/>
        <n v="0.84739999999999993"/>
        <n v="0.23129999999999998"/>
        <n v="0.86950000000000005"/>
        <n v="0.37609999999999999"/>
        <n v="0.83730000000000004"/>
        <n v="0.86260000000000003"/>
        <n v="0.78049999999999997"/>
        <n v="0.95379999999999998"/>
        <n v="0.53139999999999998"/>
        <n v="0.78159999999999996"/>
        <n v="0.73959999999999992"/>
        <n v="0.99129999999999996"/>
        <n v="0.51739999999999997"/>
        <n v="0.51919999999999999"/>
        <n v="0.59699999999999998"/>
        <n v="0.55399999999999994"/>
        <n v="0.44729999999999998"/>
        <n v="0.52910000000000001"/>
        <n v="0.77139999999999997"/>
        <n v="0.7340000000000001"/>
        <n v="0.44909999999999994"/>
        <n v="0.5413"/>
        <n v="0.48920000000000002"/>
        <n v="0.70599999999999996"/>
        <n v="0.65910000000000002"/>
        <n v="0.65180000000000005"/>
        <n v="0.72360000000000002"/>
        <n v="0.69790000000000008"/>
        <n v="0.34090000000000004"/>
        <n v="0.41060000000000002"/>
        <n v="0.71700000000000008"/>
        <n v="0.98650000000000004"/>
        <n v="0.98870000000000002"/>
        <n v="0.99120000000000008"/>
        <n v="0.67799999999999994"/>
        <n v="0.44380000000000003"/>
        <n v="0.7903"/>
        <n v="0.97540000000000004"/>
        <n v="0.67989999999999995"/>
        <n v="0.61619999999999997"/>
        <n v="0.89450000000000007"/>
        <n v="0.86299999999999999"/>
        <n v="0.86519999999999997"/>
        <n v="0.20469999999999999"/>
        <n v="0.78110000000000002"/>
        <n v="0.64729999999999999"/>
        <n v="0.95090000000000008"/>
        <n v="0.82950000000000002"/>
        <n v="0.49420000000000003"/>
        <n v="0.2011"/>
        <n v="0.93290000000000006"/>
        <n v="0.78689999999999993"/>
        <n v="0.80659999999999998"/>
        <n v="0.90510000000000002"/>
        <n v="0.56399999999999995"/>
        <n v="0.35289999999999999"/>
        <n v="0.98819999999999997"/>
        <n v="0.99180000000000001"/>
        <n v="0.94700000000000006"/>
        <n v="0.86939999999999995"/>
        <n v="0.87719999999999998"/>
        <n v="0.93689999999999996"/>
        <n v="0.89359999999999995"/>
        <n v="0.79370000000000007"/>
        <n v="0.78299999999999992"/>
        <n v="0.94409999999999994"/>
        <n v="0.85519999999999996"/>
        <n v="0.74829999999999997"/>
        <n v="0.86040000000000005"/>
        <n v="0.8952"/>
        <n v="0.87980000000000003"/>
        <n v="0.79459999999999997"/>
        <n v="0.98510000000000009"/>
        <n v="0.92959999999999998"/>
        <n v="0.99719999999999998"/>
        <n v="0.20600000000000002"/>
        <n v="0.8387"/>
        <n v="0.96439999999999992"/>
        <n v="0.97019999999999995"/>
        <n v="0.85540000000000005"/>
        <n v="0.45500000000000002"/>
        <n v="0.86450000000000005"/>
        <n v="0.94790000000000008"/>
        <n v="0.8456999999999999"/>
        <n v="0.84860000000000002"/>
        <n v="0.65989999999999993"/>
        <n v="0.93359999999999999"/>
        <n v="0.87400000000000011"/>
        <n v="0.89650000000000007"/>
        <n v="0.35270000000000001"/>
        <n v="0.94830000000000003"/>
        <n v="0.91510000000000002"/>
        <n v="0.99060000000000004"/>
        <n v="0.99159999999999993"/>
        <n v="0.92590000000000006"/>
        <n v="8.6400000000000005E-2"/>
        <n v="0.61799999999999999"/>
        <n v="0.90319999999999989"/>
        <n v="0.97680000000000011"/>
        <n v="0.63340000000000007"/>
        <n v="0.95120000000000005"/>
        <n v="0.88540000000000008"/>
        <n v="0.79610000000000003"/>
        <n v="0.8488"/>
        <n v="0.86709999999999998"/>
        <n v="0.88370000000000004"/>
        <n v="0.96719999999999995"/>
        <n v="0.94450000000000001"/>
        <n v="0.67469999999999997"/>
        <n v="0.74430000000000007"/>
        <n v="0.60860000000000003"/>
        <n v="0.9889"/>
        <n v="0.4864"/>
        <n v="0.75529999999999997"/>
        <n v="0.77280000000000004"/>
        <n v="0.77410000000000001"/>
        <n v="0.73970000000000002"/>
        <n v="0.99829999999999997"/>
        <n v="0.4425"/>
        <n v="0.5081"/>
        <n v="0.63850000000000007"/>
        <n v="0.83979999999999999"/>
        <n v="0.98620000000000008"/>
        <n v="0.89819999999999989"/>
        <n v="0.63439999999999996"/>
        <n v="0.54249999999999998"/>
        <n v="0.79449999999999998"/>
        <n v="0.51229999999999998"/>
        <n v="0.83620000000000005"/>
        <n v="0.79849999999999999"/>
        <n v="0.77700000000000002"/>
        <n v="0.7965000000000001"/>
        <n v="0.74529999999999996"/>
        <n v="0.45289999999999997"/>
        <n v="0.61460000000000004"/>
        <n v="0.52670000000000006"/>
        <n v="0.60919999999999996"/>
        <n v="0.50560000000000005"/>
        <n v="0.6079"/>
        <n v="0.57820000000000005"/>
        <n v="0.53349999999999997"/>
        <n v="0.72420000000000007"/>
        <n v="0.59829999999999994"/>
        <n v="0.62960000000000005"/>
        <n v="0.42130000000000001"/>
        <n v="0.5998"/>
        <n v="0.49180000000000001"/>
        <n v="0.15340000000000001"/>
        <n v="0.24210000000000001"/>
        <n v="0.60049999999999992"/>
        <n v="0.59520000000000006"/>
        <n v="0.44600000000000001"/>
        <n v="0.89980000000000004"/>
        <n v="0.49030000000000001"/>
        <n v="0.48450000000000004"/>
        <n v="0.9123"/>
        <n v="0.94819999999999993"/>
        <n v="0.78500000000000003"/>
        <n v="0.41409999999999997"/>
        <n v="0.89829999999999999"/>
        <n v="0.84989999999999999"/>
        <n v="0.76379999999999992"/>
        <n v="0.9647"/>
        <n v="0.63060000000000005"/>
        <n v="0.91390000000000005"/>
        <n v="0.68870000000000009"/>
        <n v="0.68230000000000002"/>
        <n v="0.84819999999999995"/>
        <n v="0.92069999999999996"/>
        <n v="0.76819999999999988"/>
        <n v="0.89690000000000003"/>
        <n v="0.98129999999999995"/>
        <n v="0.99150000000000005"/>
        <n v="0.2087"/>
        <n v="0.76580000000000004"/>
        <n v="0.96069999999999989"/>
        <n v="0.82569999999999988"/>
        <n v="0.90239999999999998"/>
        <n v="0.38500000000000001"/>
        <n v="0.91020000000000001"/>
        <n v="0.86329999999999996"/>
        <n v="0.82290000000000008"/>
        <n v="0.88900000000000001"/>
        <n v="0.95730000000000004"/>
        <n v="0.71340000000000003"/>
        <n v="0.9376000000000001"/>
        <n v="0.81569999999999998"/>
        <n v="0.49439999999999995"/>
        <n v="0.93269999999999997"/>
        <n v="0.90480000000000005"/>
        <n v="0.89760000000000006"/>
        <n v="0.94010000000000005"/>
        <n v="0.56590000000000007"/>
        <n v="0.93859999999999999"/>
        <n v="0.93430000000000002"/>
        <n v="0.89529999999999998"/>
        <n v="0.91739999999999999"/>
        <n v="0.86309999999999998"/>
        <n v="0.91379999999999995"/>
        <n v="0.89870000000000005"/>
        <n v="0.93790000000000007"/>
        <n v="0.76680000000000004"/>
        <n v="0.97719999999999996"/>
        <n v="0.92379999999999995"/>
        <n v="0.98109999999999997"/>
        <n v="0.96609999999999996"/>
        <n v="0.82019999999999993"/>
        <n v="0.56169999999999998"/>
        <n v="0.92230000000000001"/>
        <n v="0.94310000000000005"/>
        <n v="0.7006"/>
        <n v="0.91239999999999999"/>
        <n v="0.96379999999999999"/>
        <n v="0.88170000000000004"/>
        <n v="0.7387999999999999"/>
        <n v="0.70140000000000002"/>
        <n v="0.90180000000000005"/>
        <n v="0.90280000000000005"/>
        <n v="0.79559999999999997"/>
        <n v="0.87890000000000001"/>
        <n v="0.94489999999999996"/>
        <n v="0.56540000000000001"/>
        <n v="0.46579999999999999"/>
        <n v="0.83900000000000008"/>
        <n v="0.46639999999999998"/>
        <n v="0.80569999999999997"/>
        <n v="0.91"/>
        <n v="0.91610000000000003"/>
        <n v="0.68340000000000001"/>
        <n v="0.70279999999999998"/>
        <n v="0.70030000000000003"/>
        <n v="0.74650000000000005"/>
        <n v="0.68469999999999998"/>
        <n v="0.76290000000000002"/>
        <n v="0.73159999999999992"/>
        <n v="0.76489999999999991"/>
        <n v="0.61890000000000001"/>
        <n v="0.75939999999999996"/>
        <n v="0.65239999999999998"/>
        <n v="0.75309999999999999"/>
        <n v="0.79299999999999993"/>
        <n v="0.76230000000000009"/>
        <n v="0.7591"/>
        <n v="0.46929999999999999"/>
        <n v="0.87090000000000001"/>
        <n v="0.75760000000000005"/>
        <n v="0.75439999999999996"/>
        <n v="0.88870000000000005"/>
        <n v="0.91489999999999994"/>
        <n v="0.74060000000000004"/>
        <n v="0.9042"/>
        <n v="0.91569999999999996"/>
        <n v="0.78239999999999998"/>
        <n v="0.88120000000000009"/>
        <n v="0.96329999999999993"/>
        <n v="0.89200000000000002"/>
        <n v="0.71290000000000009"/>
        <n v="0.8306"/>
        <n v="0.97189999999999999"/>
        <n v="0.70480000000000009"/>
        <n v="0.7772"/>
        <n v="0.95779999999999998"/>
        <n v="0.93969999999999998"/>
        <n v="0.86129999999999995"/>
        <n v="0.97"/>
        <n v="0.81620000000000004"/>
        <n v="0.84389999999999998"/>
        <n v="0.7722"/>
        <n v="0.81140000000000001"/>
        <n v="0.96970000000000001"/>
        <n v="0.91049999999999998"/>
        <n v="0.56059999999999999"/>
        <n v="0.89849999999999997"/>
        <n v="0.95140000000000002"/>
        <n v="0.84150000000000003"/>
        <n v="0.98370000000000002"/>
        <n v="0.93459999999999999"/>
        <n v="0.64069999999999994"/>
        <n v="0.92480000000000007"/>
        <n v="0.94459999999999988"/>
        <n v="0.82400000000000007"/>
        <n v="0.92370000000000008"/>
        <n v="0.91339999999999999"/>
        <n v="0.89349999999999996"/>
        <n v="0.98"/>
        <n v="0.91079999999999994"/>
        <n v="0.84799999999999998"/>
        <n v="0.9345"/>
        <n v="0.70840000000000003"/>
        <n v="0.88139999999999996"/>
        <n v="0.98680000000000012"/>
        <n v="0.8748999999999999"/>
        <n v="0.99690000000000001"/>
        <n v="0.9859"/>
        <n v="0.95709999999999995"/>
        <n v="0.505"/>
        <n v="0.81090000000000007"/>
        <n v="0.91090000000000004"/>
        <n v="0.96360000000000001"/>
        <n v="0.98980000000000001"/>
        <n v="0.8145"/>
        <n v="0.75769999999999993"/>
        <n v="0.96340000000000003"/>
        <n v="0.84140000000000004"/>
        <n v="0.89170000000000005"/>
        <n v="0.81980000000000008"/>
        <n v="0.74950000000000006"/>
        <n v="0.90859999999999996"/>
        <n v="0.89629999999999999"/>
        <n v="0.89510000000000001"/>
        <n v="0.97030000000000005"/>
        <n v="0.99230000000000007"/>
        <n v="0.98580000000000001"/>
        <n v="0.98709999999999998"/>
        <n v="0.93779999999999997"/>
        <n v="0.93090000000000006"/>
        <n v="0.39899999999999997"/>
        <n v="0.44439999999999996"/>
        <n v="0.92500000000000004"/>
        <n v="0.98329999999999995"/>
        <n v="0.93420000000000003"/>
        <n v="0.95590000000000008"/>
        <n v="0.83260000000000001"/>
        <n v="0.77659999999999996"/>
        <n v="0.9012"/>
        <n v="0.79900000000000004"/>
        <n v="0.97430000000000005"/>
        <n v="0.1875"/>
        <n v="0.84260000000000002"/>
        <n v="0.76890000000000003"/>
        <n v="0.62939999999999996"/>
        <n v="0.4289"/>
        <n v="0.74719999999999998"/>
        <n v="0.56909999999999994"/>
        <n v="0.8506999999999999"/>
        <n v="0.84400000000000008"/>
        <n v="0.78260000000000007"/>
        <n v="0.8529000000000001"/>
        <n v="0.54830000000000001"/>
        <n v="0.6966"/>
        <n v="0.49560000000000004"/>
        <n v="0.40549999999999997"/>
        <n v="0.45760000000000001"/>
        <n v="0.51429999999999998"/>
        <n v="0.51500000000000001"/>
        <n v="0.45079999999999998"/>
        <n v="0.4476"/>
        <n v="0.55899999999999994"/>
        <n v="0.50619999999999998"/>
        <n v="0.51929999999999998"/>
        <n v="0.70730000000000004"/>
        <n v="0.60719999999999996"/>
      </sharedItems>
    </cacheField>
    <cacheField name="利用率" numFmtId="10">
      <sharedItems containsSemiMixedTypes="0" containsString="0" containsNumber="1" minValue="0" maxValue="2.6175999999999999" count="1507">
        <n v="0"/>
        <n v="0.2382"/>
        <n v="0.14429999999999998"/>
        <n v="0.1794"/>
        <n v="0.1198"/>
        <n v="0.18960000000000002"/>
        <n v="8.43E-2"/>
        <n v="0.19"/>
        <n v="3.0899999999999997E-2"/>
        <n v="2.3399999999999997E-2"/>
        <n v="5.0000000000000001E-3"/>
        <n v="1.0996999999999999"/>
        <n v="8.1900000000000001E-2"/>
        <n v="0.35399999999999998"/>
        <n v="7.0300000000000001E-2"/>
        <n v="1.2478"/>
        <n v="0.4536"/>
        <n v="0.50900000000000001"/>
        <n v="1.1934"/>
        <n v="0.48180000000000001"/>
        <n v="0.8176000000000001"/>
        <n v="1.1935"/>
        <n v="0.19059999999999999"/>
        <n v="0.28739999999999999"/>
        <n v="1.3497999999999999"/>
        <n v="0.31409999999999999"/>
        <n v="0.90359999999999996"/>
        <n v="0.36729999999999996"/>
        <n v="1.1126"/>
        <n v="0.70680000000000009"/>
        <n v="0.223"/>
        <n v="2.3900000000000001E-2"/>
        <n v="0.31759999999999999"/>
        <n v="1.4288999999999998"/>
        <n v="0.41720000000000002"/>
        <n v="0.25900000000000001"/>
        <n v="0.38350000000000001"/>
        <n v="1.0693000000000001"/>
        <n v="0.76390000000000002"/>
        <n v="1.1595"/>
        <n v="2.1700000000000001E-2"/>
        <n v="0.7087"/>
        <n v="1.1401000000000001"/>
        <n v="0.28920000000000001"/>
        <n v="0.6631999999999999"/>
        <n v="0.24690000000000001"/>
        <n v="0.66700000000000004"/>
        <n v="0.45689999999999997"/>
        <n v="0.16699999999999998"/>
        <n v="5.1200000000000002E-2"/>
        <n v="0.26929999999999998"/>
        <n v="0.23039999999999999"/>
        <n v="0.51590000000000003"/>
        <n v="2.4218000000000002"/>
        <n v="1.0898000000000001"/>
        <n v="0.35710000000000003"/>
        <n v="8.0500000000000002E-2"/>
        <n v="1.1506000000000001"/>
        <n v="0.28839999999999999"/>
        <n v="0.27810000000000001"/>
        <n v="0.69530000000000003"/>
        <n v="0.3614"/>
        <n v="0.98640000000000005"/>
        <n v="0.25509999999999999"/>
        <n v="0.22020000000000001"/>
        <n v="0.94319999999999993"/>
        <n v="0.43259999999999998"/>
        <n v="0.99840000000000007"/>
        <n v="0.27190000000000003"/>
        <n v="0.73760000000000003"/>
        <n v="0.59329999999999994"/>
        <n v="0.28010000000000002"/>
        <n v="7.3399999999999993E-2"/>
        <n v="0.24350000000000002"/>
        <n v="1.4062999999999999"/>
        <n v="0.30530000000000002"/>
        <n v="0.13100000000000001"/>
        <n v="1.1948999999999999"/>
        <n v="0.58630000000000004"/>
        <n v="8.3900000000000002E-2"/>
        <n v="0.71069999999999989"/>
        <n v="0.5413"/>
        <n v="1.9022999999999999"/>
        <n v="1.6177999999999999"/>
        <n v="0.50249999999999995"/>
        <n v="0.24809999999999999"/>
        <n v="0.55279999999999996"/>
        <n v="0.2697"/>
        <n v="0.42609999999999998"/>
        <n v="0.22170000000000001"/>
        <n v="0.4632"/>
        <n v="0.46490000000000004"/>
        <n v="0.63939999999999997"/>
        <n v="0.1736"/>
        <n v="0.1149"/>
        <n v="0.3579"/>
        <n v="0.74049999999999994"/>
        <n v="0.10210000000000001"/>
        <n v="0.12179999999999999"/>
        <n v="0.84470000000000001"/>
        <n v="0.59450000000000003"/>
        <n v="1.5903"/>
        <n v="1.2067000000000001"/>
        <n v="0.15579999999999999"/>
        <n v="0.5252"/>
        <n v="2.3243"/>
        <n v="0.158"/>
        <n v="1.2579"/>
        <n v="0.67159999999999997"/>
        <n v="0.64969999999999994"/>
        <n v="0.36810000000000004"/>
        <n v="0.62369999999999992"/>
        <n v="0.41869999999999996"/>
        <n v="0.43049999999999999"/>
        <n v="6.4199999999999993E-2"/>
        <n v="0.89629999999999999"/>
        <n v="0.63880000000000003"/>
        <n v="0.7984"/>
        <n v="0.71889999999999998"/>
        <n v="0.87560000000000004"/>
        <n v="0.58409999999999995"/>
        <n v="0.51170000000000004"/>
        <n v="0.60640000000000005"/>
        <n v="0.78379999999999994"/>
        <n v="0.62659999999999993"/>
        <n v="1.2137"/>
        <n v="0.28639999999999999"/>
        <n v="0.2361"/>
        <n v="0.12560000000000002"/>
        <n v="0.45740000000000003"/>
        <n v="0.32420000000000004"/>
        <n v="0.16149999999999998"/>
        <n v="0.40710000000000002"/>
        <n v="1.736"/>
        <n v="9.8699999999999996E-2"/>
        <n v="0.67040000000000011"/>
        <n v="0.73919999999999997"/>
        <n v="0.8034"/>
        <n v="0.47009999999999996"/>
        <n v="0.87439999999999996"/>
        <n v="1.0434999999999999"/>
        <n v="1.3158000000000001"/>
        <n v="8.6800000000000002E-2"/>
        <n v="0.44209999999999999"/>
        <n v="0.94889999999999997"/>
        <n v="0.63090000000000002"/>
        <n v="0.36849999999999999"/>
        <n v="0.88450000000000006"/>
        <n v="0.12269999999999999"/>
        <n v="0.73510000000000009"/>
        <n v="0.30109999999999998"/>
        <n v="0.16500000000000001"/>
        <n v="0.2175"/>
        <n v="1.5100000000000001E-2"/>
        <n v="0.10310000000000001"/>
        <n v="0.30199999999999999"/>
        <n v="9.849999999999999E-2"/>
        <n v="1.4850999999999999"/>
        <n v="6.1999999999999998E-3"/>
        <n v="0.69969999999999999"/>
        <n v="0.12520000000000001"/>
        <n v="0.92379999999999995"/>
        <n v="0.12689999999999999"/>
        <n v="1.4519"/>
        <n v="0.1215"/>
        <n v="0.218"/>
        <n v="0.97870000000000001"/>
        <n v="0.2286"/>
        <n v="0.16800000000000001"/>
        <n v="1.3402000000000001"/>
        <n v="5.0499999999999996E-2"/>
        <n v="1.6302000000000001"/>
        <n v="0.82209999999999994"/>
        <n v="0.22870000000000001"/>
        <n v="0.22949999999999998"/>
        <n v="0.78010000000000002"/>
        <n v="0.34409999999999996"/>
        <n v="0.9043000000000001"/>
        <n v="0.71340000000000003"/>
        <n v="0.67299999999999993"/>
        <n v="0.42159999999999997"/>
        <n v="2.0327999999999999"/>
        <n v="1.2297"/>
        <n v="0.47979999999999995"/>
        <n v="9.1199999999999989E-2"/>
        <n v="1.1149"/>
        <n v="0.56869999999999998"/>
        <n v="0.41249999999999998"/>
        <n v="0.67319999999999991"/>
        <n v="0.23850000000000002"/>
        <n v="0.53799999999999992"/>
        <n v="0.55010000000000003"/>
        <n v="0.1721"/>
        <n v="5.8299999999999998E-2"/>
        <n v="0.84349999999999992"/>
        <n v="0.7278"/>
        <n v="0.26950000000000002"/>
        <n v="0.5837"/>
        <n v="9.3900000000000011E-2"/>
        <n v="7.8100000000000003E-2"/>
        <n v="1.2517"/>
        <n v="0.49509999999999998"/>
        <n v="0.19440000000000002"/>
        <n v="0.80349999999999999"/>
        <n v="1.5377000000000001"/>
        <n v="0.72160000000000002"/>
        <n v="0.12"/>
        <n v="0.37829999999999997"/>
        <n v="0.51950000000000007"/>
        <n v="0.64819999999999989"/>
        <n v="0.72420000000000007"/>
        <n v="0.82299999999999995"/>
        <n v="0.20670000000000002"/>
        <n v="0.81319999999999992"/>
        <n v="0.42680000000000001"/>
        <n v="2.6175999999999999"/>
        <n v="0.51359999999999995"/>
        <n v="0.28160000000000002"/>
        <n v="0.54820000000000002"/>
        <n v="0.26829999999999998"/>
        <n v="0.70930000000000004"/>
        <n v="0.7118000000000001"/>
        <n v="0.25090000000000001"/>
        <n v="8.8200000000000001E-2"/>
        <n v="0.2823"/>
        <n v="0.48530000000000001"/>
        <n v="0.14230000000000001"/>
        <n v="1.0889"/>
        <n v="0.19039999999999999"/>
        <n v="0.21940000000000001"/>
        <n v="1.2592000000000001"/>
        <n v="0.39159999999999995"/>
        <n v="0.69090000000000007"/>
        <n v="0.16010000000000002"/>
        <n v="0.41020000000000001"/>
        <n v="1.9084999999999999"/>
        <n v="0.81680000000000008"/>
        <n v="0.17010000000000003"/>
        <n v="0.27889999999999998"/>
        <n v="0.71160000000000001"/>
        <n v="0.31679999999999997"/>
        <n v="0.74080000000000001"/>
        <n v="0.28289999999999998"/>
        <n v="0.25"/>
        <n v="0.41880000000000001"/>
        <n v="0.92590000000000006"/>
        <n v="0.18590000000000001"/>
        <n v="0.32659999999999995"/>
        <n v="0.5"/>
        <n v="0.60199999999999998"/>
        <n v="0.38689999999999997"/>
        <n v="0.4829"/>
        <n v="0.60829999999999995"/>
        <n v="0.37170000000000003"/>
        <n v="0.64489999999999992"/>
        <n v="0.47149999999999997"/>
        <n v="0.46729999999999999"/>
        <n v="1.3647999999999998"/>
        <n v="9.2799999999999994E-2"/>
        <n v="0.87409999999999999"/>
        <n v="0.49209999999999998"/>
        <n v="0.28089999999999998"/>
        <n v="0.24170000000000003"/>
        <n v="0.42499999999999999"/>
        <n v="0.83120000000000005"/>
        <n v="0.63109999999999999"/>
        <n v="0.73080000000000001"/>
        <n v="0.1157"/>
        <n v="7.9000000000000001E-2"/>
        <n v="0.20610000000000001"/>
        <n v="1.1325000000000001"/>
        <n v="1.1455"/>
        <n v="0.47289999999999999"/>
        <n v="5.7699999999999994E-2"/>
        <n v="9.11E-2"/>
        <n v="0.1168"/>
        <n v="7.2700000000000001E-2"/>
        <n v="0.31269999999999998"/>
        <n v="1.0129999999999999"/>
        <n v="0.1343"/>
        <n v="0.39600000000000002"/>
        <n v="1.4490000000000001"/>
        <n v="5.2699999999999997E-2"/>
        <n v="1.0839000000000001"/>
        <n v="0.37409999999999999"/>
        <n v="1.1741999999999999"/>
        <n v="1.371"/>
        <n v="0.50149999999999995"/>
        <n v="2.1842999999999999"/>
        <n v="0.40369999999999995"/>
        <n v="0.39049999999999996"/>
        <n v="0.49349999999999999"/>
        <n v="0.13619999999999999"/>
        <n v="0.82950000000000002"/>
        <n v="0.3201"/>
        <n v="0.1263"/>
        <n v="0.1454"/>
        <n v="8.1099999999999992E-2"/>
        <n v="0.25579999999999997"/>
        <n v="0.61"/>
        <n v="0.15570000000000001"/>
        <n v="0.34369999999999995"/>
        <n v="1.0339"/>
        <n v="0.62149999999999994"/>
        <n v="0.49689999999999995"/>
        <n v="1.1572"/>
        <n v="0.50950000000000006"/>
        <n v="0.40110000000000001"/>
        <n v="1.2459"/>
        <n v="0.76190000000000002"/>
        <n v="0.2339"/>
        <n v="0.1663"/>
        <n v="0.67500000000000004"/>
        <n v="1.1034999999999999"/>
        <n v="0.61670000000000003"/>
        <n v="0.13009999999999999"/>
        <n v="0.3846"/>
        <n v="1.8297999999999999"/>
        <n v="5.2300000000000006E-2"/>
        <n v="0.61870000000000003"/>
        <n v="0.62580000000000002"/>
        <n v="0.44969999999999999"/>
        <n v="0.46009999999999995"/>
        <n v="0.71510000000000007"/>
        <n v="0.1585"/>
        <n v="0.18049999999999999"/>
        <n v="0.16059999999999999"/>
        <n v="0.65709999999999991"/>
        <n v="0.25679999999999997"/>
        <n v="0.31969999999999998"/>
        <n v="0.50619999999999998"/>
        <n v="1.0417000000000001"/>
        <n v="0.16300000000000001"/>
        <n v="8.9200000000000002E-2"/>
        <n v="0.2762"/>
        <n v="0.84150000000000003"/>
        <n v="0.3901"/>
        <n v="0.125"/>
        <n v="0.24030000000000001"/>
        <n v="0.9798"/>
        <n v="8.2899999999999988E-2"/>
        <n v="1.5184"/>
        <n v="0.43590000000000001"/>
        <n v="0.29620000000000002"/>
        <n v="0.317"/>
        <n v="0.74860000000000004"/>
        <n v="0.1186"/>
        <n v="1.3019999999999998"/>
        <n v="0.53170000000000006"/>
        <n v="0.36909999999999998"/>
        <n v="9.9700000000000011E-2"/>
        <n v="1.3638999999999999"/>
        <n v="0.4269"/>
        <n v="0.55899999999999994"/>
        <n v="0.16200000000000001"/>
        <n v="0.50369999999999993"/>
        <n v="0.50309999999999999"/>
        <n v="0.56940000000000002"/>
        <n v="0.52929999999999999"/>
        <n v="0.43729999999999997"/>
        <n v="0.39130000000000004"/>
        <n v="1.2644"/>
        <n v="0.32969999999999999"/>
        <n v="0.88959999999999995"/>
        <n v="0.3987"/>
        <n v="0.12240000000000001"/>
        <n v="0.1225"/>
        <n v="0.4778"/>
        <n v="2.0596000000000001"/>
        <n v="1.7733000000000001"/>
        <n v="0.92349999999999999"/>
        <n v="0.20420000000000002"/>
        <n v="0.49859999999999999"/>
        <n v="0.38100000000000001"/>
        <n v="0.37219999999999998"/>
        <n v="0.28949999999999998"/>
        <n v="0.1648"/>
        <n v="0.59929999999999994"/>
        <n v="9.4999999999999998E-3"/>
        <n v="1.2991999999999999"/>
        <n v="1.2756000000000001"/>
        <n v="0.3876"/>
        <n v="0.23170000000000002"/>
        <n v="0.97970000000000002"/>
        <n v="1.0515000000000001"/>
        <n v="0.9323999999999999"/>
        <n v="1.3137000000000001"/>
        <n v="0.35729999999999995"/>
        <n v="4.9800000000000004E-2"/>
        <n v="0.1888"/>
        <n v="0.16339999999999999"/>
        <n v="0.67890000000000006"/>
        <n v="1.0078"/>
        <n v="0.55979999999999996"/>
        <n v="0.30099999999999999"/>
        <n v="0.51759999999999995"/>
        <n v="1.5387999999999999"/>
        <n v="0.32429999999999998"/>
        <n v="1.1579000000000002"/>
        <n v="0.44400000000000001"/>
        <n v="0.25989999999999996"/>
        <n v="0.49450000000000005"/>
        <n v="1.0283"/>
        <n v="0.64549999999999996"/>
        <n v="0.81720000000000004"/>
        <n v="0.85799999999999998"/>
        <n v="2.0118"/>
        <n v="0.32669999999999999"/>
        <n v="0.44780000000000003"/>
        <n v="1.3028"/>
        <n v="0.79590000000000005"/>
        <n v="0.98159999999999992"/>
        <n v="0.39829999999999999"/>
        <n v="0.34049999999999997"/>
        <n v="0.4022"/>
        <n v="0.38950000000000001"/>
        <n v="9.06E-2"/>
        <n v="1.0106999999999999"/>
        <n v="0.1115"/>
        <n v="0.33039999999999997"/>
        <n v="1.5708000000000002"/>
        <n v="0.2349"/>
        <n v="0.66459999999999997"/>
        <n v="0.61909999999999998"/>
        <n v="1.1753"/>
        <n v="0.15509999999999999"/>
        <n v="0.66239999999999999"/>
        <n v="0.80900000000000005"/>
        <n v="0.45270000000000005"/>
        <n v="1.3549"/>
        <n v="0.75029999999999997"/>
        <n v="0.2145"/>
        <n v="0.92370000000000008"/>
        <n v="0.7548999999999999"/>
        <n v="0.56950000000000001"/>
        <n v="0.44020000000000004"/>
        <n v="0.54390000000000005"/>
        <n v="0.21190000000000001"/>
        <n v="0.56179999999999997"/>
        <n v="0.79730000000000001"/>
        <n v="0.49259999999999998"/>
        <n v="0.2964"/>
        <n v="0.28029999999999999"/>
        <n v="0.20449999999999999"/>
        <n v="0.81480000000000008"/>
        <n v="0.94090000000000007"/>
        <n v="0.5978"/>
        <n v="0.59060000000000001"/>
        <n v="1.1132"/>
        <n v="0.1002"/>
        <n v="0.1232"/>
        <n v="0.501"/>
        <n v="9.64E-2"/>
        <n v="1.1109"/>
        <n v="0.60840000000000005"/>
        <n v="0.51719999999999999"/>
        <n v="0.27239999999999998"/>
        <n v="1.4311"/>
        <n v="0.27529999999999999"/>
        <n v="1.4106999999999998"/>
        <n v="0.15279999999999999"/>
        <n v="0.29189999999999999"/>
        <n v="0.309"/>
        <n v="6.3200000000000006E-2"/>
        <n v="0.27429999999999999"/>
        <n v="0.64749999999999996"/>
        <n v="0.79709999999999992"/>
        <n v="2.2138"/>
        <n v="0.20829999999999999"/>
        <n v="0.62109999999999999"/>
        <n v="3.7200000000000004E-2"/>
        <n v="1.1740999999999999"/>
        <n v="0.7770999999999999"/>
        <n v="1.2306999999999999"/>
        <n v="0.33479999999999999"/>
        <n v="0.36380000000000001"/>
        <n v="1.3246"/>
        <n v="0.39229999999999998"/>
        <n v="1.1052"/>
        <n v="2.0547"/>
        <n v="0.18230000000000002"/>
        <n v="1.2545999999999999"/>
        <n v="0.1578"/>
        <n v="0.49490000000000001"/>
        <n v="0.55630000000000002"/>
        <n v="0.18940000000000001"/>
        <n v="1.0654000000000001"/>
        <n v="0.67680000000000007"/>
        <n v="0.24829999999999999"/>
        <n v="0.68779999999999997"/>
        <n v="0.8345999999999999"/>
        <n v="0.75290000000000001"/>
        <n v="1.7511000000000001"/>
        <n v="0.86860000000000004"/>
        <n v="0.77200000000000002"/>
        <n v="0.6149"/>
        <n v="0.15659999999999999"/>
        <n v="0.52880000000000005"/>
        <n v="0.3271"/>
        <n v="0.15679999999999999"/>
        <n v="0.12380000000000001"/>
        <n v="0.28999999999999998"/>
        <n v="0.38170000000000004"/>
        <n v="0.64340000000000008"/>
        <n v="8.0799999999999997E-2"/>
        <n v="0.16219999999999998"/>
        <n v="1.6780999999999999"/>
        <n v="1.27"/>
        <n v="0.3397"/>
        <n v="7.1800000000000003E-2"/>
        <n v="1.0731999999999999"/>
        <n v="0.60119999999999996"/>
        <n v="1.0075000000000001"/>
        <n v="0.81019999999999992"/>
        <n v="0.10220000000000001"/>
        <n v="0.1825"/>
        <n v="0.71230000000000004"/>
        <n v="1.3229"/>
        <n v="0.62139999999999995"/>
        <n v="0.42619999999999997"/>
        <n v="0.46880000000000005"/>
        <n v="0.1103"/>
        <n v="0.3821"/>
        <n v="0.29949999999999999"/>
        <n v="0.51659999999999995"/>
        <n v="0.19219999999999998"/>
        <n v="0.19190000000000002"/>
        <n v="1.1331"/>
        <n v="0.27500000000000002"/>
        <n v="0.1603"/>
        <n v="0.95150000000000001"/>
        <n v="0.26500000000000001"/>
        <n v="8.3800000000000013E-2"/>
        <n v="5.5199999999999999E-2"/>
        <n v="0.1925"/>
        <n v="0.88639999999999997"/>
        <n v="0.60729999999999995"/>
        <n v="0.48580000000000001"/>
        <n v="1.3291999999999999"/>
        <n v="0.65879999999999994"/>
        <n v="0.17469999999999999"/>
        <n v="0.50509999999999999"/>
        <n v="1.9455"/>
        <n v="1.0393000000000001"/>
        <n v="4.0500000000000001E-2"/>
        <n v="1.2741"/>
        <n v="0.215"/>
        <n v="0.1288"/>
        <n v="0.76469999999999994"/>
        <n v="0.30980000000000002"/>
        <n v="0.58379999999999999"/>
        <n v="1.0971"/>
        <n v="0.54069999999999996"/>
        <n v="0.14699999999999999"/>
        <n v="0.45329999999999998"/>
        <n v="0.91120000000000001"/>
        <n v="1.4927999999999999"/>
        <n v="8.7499999999999994E-2"/>
        <n v="0.79790000000000005"/>
        <n v="0.19600000000000001"/>
        <n v="1.3528"/>
        <n v="3.6400000000000002E-2"/>
        <n v="0.36549999999999999"/>
        <n v="1.1381000000000001"/>
        <n v="0.26719999999999999"/>
        <n v="0.35200000000000004"/>
        <n v="0.26750000000000002"/>
        <n v="0.33460000000000001"/>
        <n v="0.40630000000000005"/>
        <n v="0.26419999999999999"/>
        <n v="1.2773000000000001"/>
        <n v="0.13930000000000001"/>
        <n v="4.9400000000000006E-2"/>
        <n v="0.95930000000000004"/>
        <n v="0.18729999999999999"/>
        <n v="0.71430000000000005"/>
        <n v="0.39090000000000003"/>
        <n v="0.10390000000000001"/>
        <n v="0.58030000000000004"/>
        <n v="1.9722999999999999"/>
        <n v="0.14369999999999999"/>
        <n v="0.19159999999999999"/>
        <n v="1.2838999999999998"/>
        <n v="0.40100000000000002"/>
        <n v="0.1235"/>
        <n v="0.15049999999999999"/>
        <n v="1.6118000000000001"/>
        <n v="0.60539999999999994"/>
        <n v="0.38679999999999998"/>
        <n v="8.3100000000000007E-2"/>
        <n v="0.37329999999999997"/>
        <n v="8.3199999999999996E-2"/>
        <n v="0.49380000000000002"/>
        <n v="0.36749999999999999"/>
        <n v="0.18629999999999999"/>
        <n v="0.24840000000000001"/>
        <n v="1.6369"/>
        <n v="0.2402"/>
        <n v="0.79189999999999994"/>
        <n v="0.43859999999999999"/>
        <n v="1.2435"/>
        <n v="0.9706999999999999"/>
        <n v="0.24600000000000002"/>
        <n v="1.0500000000000001E-2"/>
        <n v="0.94"/>
        <n v="0.27289999999999998"/>
        <n v="0.33990000000000004"/>
        <n v="1.7175"/>
        <n v="0.24480000000000002"/>
        <n v="0.95879999999999999"/>
        <n v="0.46210000000000001"/>
        <n v="1.337"/>
        <n v="0.62740000000000007"/>
        <n v="0.55130000000000001"/>
        <n v="0.52210000000000001"/>
        <n v="0.39729999999999999"/>
        <n v="0.87950000000000006"/>
        <n v="0.53310000000000002"/>
        <n v="0.7581"/>
        <n v="1.0636000000000001"/>
        <n v="0.81040000000000001"/>
        <n v="1.0805"/>
        <n v="0.73319999999999996"/>
        <n v="0.35109999999999997"/>
        <n v="1.6605000000000001"/>
        <n v="0.40850000000000003"/>
        <n v="0.15920000000000001"/>
        <n v="0.70400000000000007"/>
        <n v="0.52329999999999999"/>
        <n v="1.4443000000000001"/>
        <n v="0.8306"/>
        <n v="0.24410000000000001"/>
        <n v="1.1952"/>
        <n v="0.37450000000000006"/>
        <n v="0.80359999999999998"/>
        <n v="0.27539999999999998"/>
        <n v="1.1128"/>
        <n v="1.2563"/>
        <n v="0.82609999999999995"/>
        <n v="0.1484"/>
        <n v="0.77069999999999994"/>
        <n v="0.1211"/>
        <n v="1.5199"/>
        <n v="0.78480000000000005"/>
        <n v="0.45779999999999998"/>
        <n v="0.70469999999999999"/>
        <n v="0.72730000000000006"/>
        <n v="0.51049999999999995"/>
        <n v="0.75950000000000006"/>
        <n v="0.58650000000000002"/>
        <n v="0.1913"/>
        <n v="0.54869999999999997"/>
        <n v="1.8107"/>
        <n v="0.24909999999999999"/>
        <n v="0.13470000000000001"/>
        <n v="1.1171"/>
        <n v="0.53600000000000003"/>
        <n v="0.4"/>
        <n v="0.90629999999999999"/>
        <n v="0.97"/>
        <n v="0.88470000000000004"/>
        <n v="1.1118000000000001"/>
        <n v="0.91799999999999993"/>
        <n v="0.62649999999999995"/>
        <n v="0.50380000000000003"/>
        <n v="0.26319999999999999"/>
        <n v="0.40200000000000002"/>
        <n v="1.0608"/>
        <n v="0.91579999999999995"/>
        <n v="1.0812999999999999"/>
        <n v="0.15629999999999999"/>
        <n v="0.31170000000000003"/>
        <n v="0.48320000000000002"/>
        <n v="0.14180000000000001"/>
        <n v="0.14199999999999999"/>
        <n v="0.49439999999999995"/>
        <n v="1.2409999999999999"/>
        <n v="0.40500000000000003"/>
        <n v="1.4866999999999999"/>
        <n v="1.2243999999999999"/>
        <n v="1.2198"/>
        <n v="1.6766999999999999"/>
        <n v="1.03"/>
        <n v="0.9637"/>
        <n v="0.88019999999999998"/>
        <n v="1.4957"/>
        <n v="1.3009999999999999"/>
        <n v="0.48960000000000004"/>
        <n v="0.78930000000000011"/>
        <n v="0.46450000000000002"/>
        <n v="0.64260000000000006"/>
        <n v="0.68090000000000006"/>
        <n v="0.37819999999999998"/>
        <n v="0.28199999999999997"/>
        <n v="0.90150000000000008"/>
        <n v="0.4496"/>
        <n v="1.8143"/>
        <n v="0.57389999999999997"/>
        <n v="0.85340000000000005"/>
        <n v="0.15090000000000001"/>
        <n v="1.0844"/>
        <n v="0.2802"/>
        <n v="0.27989999999999998"/>
        <n v="0.92599999999999993"/>
        <n v="0.56820000000000004"/>
        <n v="0.26530000000000004"/>
        <n v="0.185"/>
        <n v="0.1295"/>
        <n v="1.0126999999999999"/>
        <n v="6.2300000000000001E-2"/>
        <n v="1.0231999999999999"/>
        <n v="0.39880000000000004"/>
        <n v="0.23710000000000001"/>
        <n v="0.52549999999999997"/>
        <n v="1.2553000000000001"/>
        <n v="0.24879999999999999"/>
        <n v="0.75159999999999993"/>
        <n v="6.25E-2"/>
        <n v="0.35310000000000002"/>
        <n v="0.19579999999999997"/>
        <n v="1.0618000000000001"/>
        <n v="1.0643"/>
        <n v="1.1998"/>
        <n v="0.12369999999999999"/>
        <n v="4.0599999999999997E-2"/>
        <n v="1.0073000000000001"/>
        <n v="1.7593000000000001"/>
        <n v="0.96930000000000005"/>
        <n v="0.12890000000000001"/>
        <n v="0.42630000000000001"/>
        <n v="0.81230000000000002"/>
        <n v="0.80180000000000007"/>
        <n v="0.87930000000000008"/>
        <n v="0.26329999999999998"/>
        <n v="1.2229999999999999"/>
        <n v="0.8145"/>
        <n v="1.2905000000000002"/>
        <n v="0.66170000000000007"/>
        <n v="1.1137999999999999"/>
        <n v="0.114"/>
        <n v="0.5776"/>
        <n v="0.3367"/>
        <n v="0.63890000000000002"/>
        <n v="0.47"/>
        <n v="9.74E-2"/>
        <n v="9.7100000000000006E-2"/>
        <n v="0.37079999999999996"/>
        <n v="0.25719999999999998"/>
        <n v="1.0387"/>
        <n v="0.60250000000000004"/>
        <n v="0.36329999999999996"/>
        <n v="0.26940000000000003"/>
        <n v="0.41759999999999997"/>
        <n v="1.4678"/>
        <n v="1.2906"/>
        <n v="5.57E-2"/>
        <n v="1.4511000000000001"/>
        <n v="0.22370000000000001"/>
        <n v="1.504"/>
        <n v="1.5064"/>
        <n v="0.22940000000000002"/>
        <n v="0.34189999999999998"/>
        <n v="0.37590000000000001"/>
        <n v="2.2974000000000001"/>
        <n v="0.43909999999999999"/>
        <n v="9.8299999999999998E-2"/>
        <n v="1.6627000000000001"/>
        <n v="1.1113"/>
        <n v="0.15259999999999999"/>
        <n v="0.66299999999999992"/>
        <n v="1.6173"/>
        <n v="0.39319999999999999"/>
        <n v="0.64249999999999996"/>
        <n v="6.2E-2"/>
        <n v="0.42700000000000005"/>
        <n v="1.1238999999999999"/>
        <n v="5.5800000000000002E-2"/>
        <n v="0.16930000000000001"/>
        <n v="0.20030000000000001"/>
        <n v="0.16670000000000001"/>
        <n v="0.34399999999999997"/>
        <n v="2.3311000000000002"/>
        <n v="1.4000000000000002E-3"/>
        <n v="1.4986000000000002"/>
        <n v="0.81400000000000006"/>
        <n v="1.296"/>
        <n v="1.2699999999999999E-2"/>
        <n v="0.43630000000000002"/>
        <n v="0.57430000000000003"/>
        <n v="0.31290000000000001"/>
        <n v="6.6900000000000001E-2"/>
        <n v="0.47320000000000001"/>
        <n v="0.15289999999999998"/>
        <n v="1.0613999999999999"/>
        <n v="0.83329999999999993"/>
        <n v="0.20269999999999999"/>
        <n v="0.4914"/>
        <n v="0.60809999999999997"/>
        <n v="0.44140000000000001"/>
        <n v="0.57169999999999999"/>
        <n v="0.41560000000000002"/>
        <n v="0.29139999999999999"/>
        <n v="0.6552"/>
        <n v="6.8600000000000008E-2"/>
        <n v="0.39140000000000003"/>
        <n v="1.1823999999999999"/>
        <n v="1.1213"/>
        <n v="0.8126000000000001"/>
        <n v="0.99750000000000005"/>
        <n v="0.18260000000000001"/>
        <n v="0.41840000000000005"/>
        <n v="0.75769999999999993"/>
        <n v="0.97340000000000004"/>
        <n v="0.63850000000000007"/>
        <n v="0.76300000000000001"/>
        <n v="0.45079999999999998"/>
        <n v="0.35609999999999997"/>
        <n v="0.10439999999999999"/>
        <n v="0.99140000000000006"/>
        <n v="1.1025"/>
        <n v="0.53539999999999999"/>
        <n v="0.97609999999999997"/>
        <n v="0.5615"/>
        <n v="0.17679999999999998"/>
        <n v="0.1852"/>
        <n v="0.2432"/>
        <n v="1.1657"/>
        <n v="0.25030000000000002"/>
        <n v="0.29670000000000002"/>
        <n v="0.1167"/>
        <n v="0.65359999999999996"/>
        <n v="0.9587"/>
        <n v="0.39329999999999998"/>
        <n v="0.1081"/>
        <n v="0.88139999999999996"/>
        <n v="1.1723999999999999"/>
        <n v="0.96970000000000001"/>
        <n v="0.92159999999999997"/>
        <n v="1.0177"/>
        <n v="0.1241"/>
        <n v="0.46759999999999996"/>
        <n v="0.23649999999999999"/>
        <n v="1.99"/>
        <n v="1.0476999999999999"/>
        <n v="0.51019999999999999"/>
        <n v="1.4195"/>
        <n v="1.1073999999999999"/>
        <n v="0.38020000000000004"/>
        <n v="0.15909999999999999"/>
        <n v="0.65620000000000001"/>
        <n v="0.56380000000000008"/>
        <n v="0.67459999999999998"/>
        <n v="0.45909999999999995"/>
        <n v="0.75760000000000005"/>
        <n v="0.40149999999999997"/>
        <n v="0.57399999999999995"/>
        <n v="1.4569000000000001"/>
        <n v="0.46799999999999997"/>
        <n v="1.2202"/>
        <n v="0.2422"/>
        <n v="0.85019999999999996"/>
        <n v="0.94349999999999989"/>
        <n v="0.94720000000000004"/>
        <n v="0.27979999999999999"/>
        <n v="0.30680000000000002"/>
        <n v="1.1484999999999999"/>
        <n v="0.8417"/>
        <n v="0.42080000000000001"/>
        <n v="0.1193"/>
        <n v="0.40049999999999997"/>
        <n v="0.89249999999999996"/>
        <n v="0.72109999999999996"/>
        <n v="0.2959"/>
        <n v="1.0117"/>
        <n v="0.14599999999999999"/>
        <n v="5.9900000000000002E-2"/>
        <n v="0.13830000000000001"/>
        <n v="0.23629999999999998"/>
        <n v="0.93779999999999997"/>
        <n v="1.0123"/>
        <n v="0.79700000000000004"/>
        <n v="1.7658"/>
        <n v="0.13350000000000001"/>
        <n v="0.34360000000000002"/>
        <n v="1.5541999999999998"/>
        <n v="0.97849999999999993"/>
        <n v="0.33950000000000002"/>
        <n v="0.24390000000000001"/>
        <n v="5.9800000000000006E-2"/>
        <n v="0.52149999999999996"/>
        <n v="0.80920000000000003"/>
        <n v="0.33840000000000003"/>
        <n v="0.66370000000000007"/>
        <n v="0.77099999999999991"/>
        <n v="0.92169999999999996"/>
        <n v="0.31420000000000003"/>
        <n v="0.97199999999999998"/>
        <n v="1.5161000000000002"/>
        <n v="0.35880000000000001"/>
        <n v="0.2969"/>
        <n v="1.0119"/>
        <n v="0.3664"/>
        <n v="0.99159999999999993"/>
        <n v="0.37310000000000004"/>
        <n v="0.38650000000000001"/>
        <n v="0.30120000000000002"/>
        <n v="0.63479999999999992"/>
        <n v="0.68640000000000001"/>
        <n v="6.7599999999999993E-2"/>
        <n v="0.82389999999999997"/>
        <n v="0.37799999999999995"/>
        <n v="0.42909999999999998"/>
        <n v="7.3800000000000004E-2"/>
        <n v="0.1573"/>
        <n v="0.40159999999999996"/>
        <n v="6.8699999999999997E-2"/>
        <n v="0.84819999999999995"/>
        <n v="0.68290000000000006"/>
        <n v="0.83440000000000003"/>
        <n v="0.13109999999999999"/>
        <n v="0.1229"/>
        <n v="0.31879999999999997"/>
        <n v="1.6688000000000001"/>
        <n v="1.0429999999999999"/>
        <n v="0.1207"/>
        <n v="0.46929999999999999"/>
        <n v="1.2495000000000001"/>
        <n v="0.24420000000000003"/>
        <n v="0.5786"/>
        <n v="0.8478"/>
        <n v="0.62029999999999996"/>
        <n v="1.8794"/>
        <n v="0.30210000000000004"/>
        <n v="0.1943"/>
        <n v="0.52239999999999998"/>
        <n v="0.59520000000000006"/>
        <n v="0.32280000000000003"/>
        <n v="1.4249000000000001"/>
        <n v="0.89510000000000001"/>
        <n v="0.99620000000000009"/>
        <n v="5.74E-2"/>
        <n v="1.0588"/>
        <n v="0.28489999999999999"/>
        <n v="0.97989999999999999"/>
        <n v="0.64300000000000002"/>
        <n v="0.21299999999999999"/>
        <n v="0.73530000000000006"/>
        <n v="0.67530000000000001"/>
        <n v="1.6496999999999999"/>
        <n v="0.30670000000000003"/>
        <n v="1.3418000000000001"/>
        <n v="1.2681"/>
        <n v="0.12920000000000001"/>
        <n v="0.88829999999999998"/>
        <n v="0.4768"/>
        <n v="0.12330000000000001"/>
        <n v="0.76340000000000008"/>
        <n v="0.46920000000000001"/>
        <n v="0.35580000000000001"/>
        <n v="0.47409999999999997"/>
        <n v="0.32490000000000002"/>
        <n v="0.8508"/>
        <n v="0.55359999999999998"/>
        <n v="0.32479999999999998"/>
        <n v="0.71540000000000004"/>
        <n v="0.1099"/>
        <n v="0.38079999999999997"/>
        <n v="0.79610000000000003"/>
        <n v="1.0263"/>
        <n v="0.14859999999999998"/>
        <n v="0.93989999999999996"/>
        <n v="1.3263999999999998"/>
        <n v="0.22789999999999999"/>
        <n v="0.70760000000000001"/>
        <n v="1.0038"/>
        <n v="1.0241"/>
        <n v="0.188"/>
        <n v="0.214"/>
        <n v="1.4802999999999999"/>
        <n v="0.1545"/>
        <n v="1.0832999999999999"/>
        <n v="0.97950000000000004"/>
        <n v="0.10050000000000001"/>
        <n v="2.6200000000000001E-2"/>
        <n v="0.67870000000000008"/>
        <n v="0.59150000000000003"/>
        <n v="1.1473"/>
        <n v="0.1598"/>
        <n v="0.7451000000000001"/>
        <n v="1.2117"/>
        <n v="1.1851"/>
        <n v="0.28600000000000003"/>
        <n v="2.1065"/>
        <n v="1.7257"/>
        <n v="4.1299999999999996E-2"/>
        <n v="1.3391"/>
        <n v="0.311"/>
        <n v="0.96310000000000007"/>
        <n v="0.29899999999999999"/>
        <n v="1.5463"/>
        <n v="0.77459999999999996"/>
        <n v="0.95"/>
        <n v="0.80980000000000008"/>
        <n v="0.51700000000000002"/>
        <n v="0.73970000000000002"/>
        <n v="0.26019999999999999"/>
        <n v="0.28749999999999998"/>
        <n v="1.3527"/>
        <n v="0.73659999999999992"/>
        <n v="0.23780000000000001"/>
        <n v="0.24969999999999998"/>
        <n v="0.24940000000000001"/>
        <n v="0.25319999999999998"/>
        <n v="1.1853"/>
        <n v="0.42930000000000001"/>
        <n v="5.5300000000000002E-2"/>
        <n v="1.4393"/>
        <n v="0.2306"/>
        <n v="0.1691"/>
        <n v="1.0556000000000001"/>
        <n v="0.41710000000000003"/>
        <n v="2.4700000000000003E-2"/>
        <n v="0.68650000000000011"/>
        <n v="0.69700000000000006"/>
        <n v="1.0371999999999999"/>
        <n v="1.3507"/>
        <n v="0.28670000000000001"/>
        <n v="1.0085999999999999"/>
        <n v="0.16469999999999999"/>
        <n v="0.31010000000000004"/>
        <n v="0.42399999999999999"/>
        <n v="0.76760000000000006"/>
        <n v="1.7908000000000002"/>
        <n v="0.77"/>
        <n v="0.55579999999999996"/>
        <n v="0.82420000000000004"/>
        <n v="0.1094"/>
        <n v="0.11169999999999999"/>
        <n v="0.2555"/>
        <n v="0.90769999999999995"/>
        <n v="0.1182"/>
        <n v="0.1183"/>
        <n v="0.20319999999999999"/>
        <n v="0.1066"/>
        <n v="1.1491"/>
        <n v="1.9827000000000001"/>
        <n v="0.77590000000000003"/>
        <n v="0.6492"/>
        <n v="0.66020000000000001"/>
        <n v="1.3427"/>
        <n v="1.2797000000000001"/>
        <n v="0.29799999999999999"/>
        <n v="0.98180000000000012"/>
        <n v="1.2143999999999999"/>
        <n v="0.4607"/>
        <n v="0.70669999999999999"/>
        <n v="0.89359999999999995"/>
        <n v="5.4299999999999994E-2"/>
        <n v="0.34240000000000004"/>
        <n v="5.4199999999999998E-2"/>
        <n v="0.12300000000000001"/>
        <n v="0.73549999999999993"/>
        <n v="0.41039999999999999"/>
        <n v="1.8925999999999998"/>
        <n v="0.60719999999999996"/>
        <n v="0.73260000000000003"/>
        <n v="1.2852000000000001"/>
        <n v="0.18809999999999999"/>
        <n v="1.4238999999999999"/>
        <n v="9.1700000000000004E-2"/>
        <n v="6.5099999999999991E-2"/>
        <n v="0.16600000000000001"/>
        <n v="0.15859999999999999"/>
        <n v="0.51829999999999998"/>
        <n v="0.1522"/>
        <n v="0.41920000000000002"/>
        <n v="0.51649999999999996"/>
        <n v="0.74239999999999995"/>
        <n v="0.50519999999999998"/>
        <n v="0.31900000000000001"/>
        <n v="0.64280000000000004"/>
        <n v="1.3431"/>
        <n v="0.33229999999999998"/>
        <n v="1.0170000000000001"/>
        <n v="0.1"/>
        <n v="0.5131"/>
        <n v="1.2849999999999999"/>
        <n v="0.2475"/>
        <n v="3.3399999999999999E-2"/>
        <n v="3.1899999999999998E-2"/>
        <n v="0.51129999999999998"/>
        <n v="2.2400000000000003E-2"/>
        <n v="0.1326"/>
        <n v="1.3596000000000001"/>
        <n v="0.44650000000000001"/>
        <n v="0.97530000000000006"/>
        <n v="0.8234999999999999"/>
        <n v="9.3200000000000005E-2"/>
        <n v="0.96349999999999991"/>
        <n v="1.7331000000000001"/>
        <n v="1.5713999999999999"/>
        <n v="0.43700000000000006"/>
        <n v="0.63429999999999997"/>
        <n v="0.23300000000000001"/>
        <n v="1.214"/>
        <n v="1.2043000000000001"/>
        <n v="1.2746999999999999"/>
        <n v="0.18190000000000001"/>
        <n v="1.4363999999999999"/>
        <n v="0.12089999999999999"/>
        <n v="1.5227000000000002"/>
        <n v="1.4663999999999999"/>
        <n v="0.73049999999999993"/>
        <n v="1.01E-2"/>
        <n v="0.47770000000000001"/>
        <n v="0.6765000000000001"/>
        <n v="1.5308000000000002"/>
        <n v="0.35659999999999997"/>
        <n v="0.56240000000000001"/>
        <n v="0.63790000000000002"/>
        <n v="1.8986000000000001"/>
        <n v="0.30559999999999998"/>
        <n v="0.53200000000000003"/>
        <n v="0.63670000000000004"/>
        <n v="0.19350000000000001"/>
        <n v="0.82909999999999995"/>
        <n v="0.38119999999999998"/>
        <n v="0.56799999999999995"/>
        <n v="0.66670000000000007"/>
        <n v="0.96909999999999996"/>
        <n v="0.47840000000000005"/>
        <n v="1.5485"/>
        <n v="1.1648000000000001"/>
        <n v="0.47950000000000004"/>
        <n v="0.68370000000000009"/>
        <n v="0.17910000000000001"/>
        <n v="0.45419999999999999"/>
        <n v="0.89780000000000004"/>
        <n v="0.11460000000000001"/>
        <n v="0.11449999999999999"/>
        <n v="0.53210000000000002"/>
        <n v="0.1148"/>
        <n v="0.6926000000000001"/>
        <n v="0.32040000000000002"/>
        <n v="0.41619999999999996"/>
        <n v="0.85750000000000004"/>
        <n v="1.4253"/>
        <n v="0.20499999999999999"/>
        <n v="0.1245"/>
        <n v="0.127"/>
        <n v="0.90029999999999999"/>
        <n v="0.89959999999999996"/>
        <n v="1.5008000000000001"/>
        <n v="0.85950000000000004"/>
        <n v="0.76319999999999988"/>
        <n v="1.2015"/>
        <n v="1.1923000000000001"/>
        <n v="7.0800000000000002E-2"/>
        <n v="0.316"/>
        <n v="0.60960000000000003"/>
        <n v="1.5159"/>
        <n v="0.49390000000000001"/>
        <n v="0.22140000000000001"/>
        <n v="0.3236"/>
        <n v="1.3687"/>
        <n v="0.50670000000000004"/>
        <n v="0.1744"/>
        <n v="0.2913"/>
        <n v="0.33740000000000003"/>
        <n v="0.27310000000000001"/>
        <n v="0.45729999999999998"/>
        <n v="0.66709999999999992"/>
        <n v="0.63159999999999994"/>
        <n v="1.9965999999999999"/>
        <n v="0.126"/>
        <n v="1.3559000000000001"/>
        <n v="0.92480000000000007"/>
        <n v="0.9919"/>
        <n v="2.7000000000000003E-2"/>
        <n v="0.26600000000000001"/>
        <n v="6.59E-2"/>
        <n v="1.1769000000000001"/>
        <n v="1.1680999999999999"/>
        <n v="0.64729999999999999"/>
        <n v="6.3E-2"/>
        <n v="0.83310000000000006"/>
        <n v="0.11119999999999999"/>
        <n v="0.23829999999999998"/>
        <n v="0.26280000000000003"/>
        <n v="0.11939999999999999"/>
        <n v="0.29980000000000001"/>
        <n v="0.81059999999999999"/>
        <n v="0.50800000000000001"/>
        <n v="1.9554"/>
        <n v="6.0899999999999996E-2"/>
        <n v="3.4799999999999998E-2"/>
        <n v="0.2281"/>
        <n v="0.6129"/>
        <n v="0.77969999999999995"/>
        <n v="1.3846000000000001"/>
        <n v="0.33789999999999998"/>
        <n v="0.92359999999999998"/>
        <n v="0.58450000000000002"/>
        <n v="0.73450000000000004"/>
        <n v="1.1253"/>
        <n v="1.0732999999999999"/>
        <n v="0.1152"/>
        <n v="0.3599"/>
        <n v="1.1481000000000001"/>
        <n v="0.87760000000000005"/>
        <n v="0.10970000000000001"/>
        <n v="0.81920000000000004"/>
        <n v="1.1574"/>
        <n v="0.4521"/>
        <n v="1.0698000000000001"/>
        <n v="1.2521"/>
        <n v="0.27410000000000001"/>
        <n v="0.92180000000000006"/>
        <n v="0.73790000000000011"/>
        <n v="1.8941999999999999"/>
        <n v="0.26400000000000001"/>
        <n v="0.15210000000000001"/>
        <n v="0.73209999999999997"/>
        <n v="0.66520000000000001"/>
        <n v="1.4583000000000002"/>
        <n v="0.45289999999999997"/>
        <n v="0.27050000000000002"/>
        <n v="0.11289999999999999"/>
        <n v="0.6139"/>
        <n v="1.3147"/>
        <n v="1.7557"/>
        <n v="1.1693"/>
        <n v="0.28859999999999997"/>
        <n v="1.9099999999999999E-2"/>
        <n v="1.8165"/>
        <n v="0.7319"/>
        <n v="0.20620000000000002"/>
        <n v="0.57210000000000005"/>
        <n v="0.21109999999999998"/>
        <n v="0.22559999999999999"/>
        <n v="0.60040000000000004"/>
        <n v="1.1166"/>
        <n v="1.4753999999999998"/>
        <n v="0.30519999999999997"/>
        <n v="0.65249999999999997"/>
        <n v="5.7099999999999998E-2"/>
        <n v="0.1231"/>
        <n v="0.7863"/>
        <n v="0.33659999999999995"/>
        <n v="0.97329999999999994"/>
        <n v="1.0901000000000001"/>
        <n v="2.2200000000000002"/>
        <n v="1.3800999999999999"/>
        <n v="1.8692"/>
        <n v="0.625"/>
        <n v="0.49810000000000004"/>
        <n v="0.1042"/>
        <n v="1.3019000000000001"/>
        <n v="1.3919999999999999"/>
        <n v="0.46409999999999996"/>
        <n v="0.90159999999999996"/>
        <n v="1.2189000000000001"/>
        <n v="0.98840000000000006"/>
        <n v="1.1749000000000001"/>
        <n v="1.0041"/>
        <n v="0.69269999999999998"/>
        <n v="0.433"/>
        <n v="0.8701000000000001"/>
        <n v="0.91099999999999992"/>
        <n v="1.2614000000000001"/>
        <n v="1.2751999999999999"/>
        <n v="0.68189999999999995"/>
        <n v="0.28870000000000001"/>
        <n v="0.28270000000000001"/>
        <n v="0.99010000000000009"/>
        <n v="0.59960000000000002"/>
        <n v="0.71219999999999994"/>
        <n v="1.139"/>
        <n v="7.6299999999999993E-2"/>
        <n v="1.2659"/>
        <n v="0.19800000000000001"/>
        <n v="0.15460000000000002"/>
        <n v="0.1072"/>
        <n v="1.3606"/>
        <n v="9.4E-2"/>
        <n v="2.8799999999999999E-2"/>
        <n v="1.6177000000000001"/>
        <n v="0.40079999999999999"/>
        <n v="0.40749999999999997"/>
        <n v="1.3855000000000002"/>
        <n v="0.82200000000000006"/>
        <n v="0.2104"/>
        <n v="0.40939999999999999"/>
        <n v="0.55110000000000003"/>
        <n v="0.90910000000000002"/>
        <n v="1.5997999999999999"/>
        <n v="7.46E-2"/>
        <n v="0.29210000000000003"/>
        <n v="1.266"/>
        <n v="0.42320000000000002"/>
        <n v="0.99639999999999995"/>
        <n v="1.2329999999999999"/>
        <n v="0.1162"/>
        <n v="1.1451"/>
        <n v="0.1447"/>
        <n v="0.51290000000000002"/>
        <n v="1.1714"/>
        <n v="5.9500000000000004E-2"/>
        <n v="1.1427"/>
        <n v="0.46990000000000004"/>
        <n v="1.2784"/>
        <n v="0.1024"/>
        <n v="0.30969999999999998"/>
        <n v="0.67330000000000001"/>
        <n v="0.58260000000000001"/>
        <n v="0.12390000000000001"/>
        <n v="0.4985"/>
        <n v="0.4647"/>
        <n v="1.1505000000000001"/>
        <n v="0.1429"/>
        <n v="1.3262"/>
        <n v="0.26850000000000002"/>
        <n v="0.4113"/>
        <n v="0.64349999999999996"/>
        <n v="0.62780000000000002"/>
        <n v="0.85150000000000003"/>
        <n v="0.20350000000000001"/>
        <n v="0.19649999999999998"/>
        <n v="0.93610000000000004"/>
        <n v="0.36869999999999997"/>
        <n v="0.99970000000000003"/>
        <n v="1.0351999999999999"/>
        <n v="1.3924000000000001"/>
        <n v="1.67E-2"/>
        <n v="0.41200000000000003"/>
        <n v="1.8426"/>
        <n v="6.2600000000000003E-2"/>
        <n v="0.13769999999999999"/>
        <n v="0.19399999999999998"/>
        <n v="0.79069999999999996"/>
        <n v="0.40909999999999996"/>
        <n v="0.53949999999999998"/>
        <n v="2.4799999999999999E-2"/>
        <n v="0.14880000000000002"/>
        <n v="0.88260000000000005"/>
        <n v="0.98769999999999991"/>
        <n v="7.8899999999999998E-2"/>
        <n v="0.87549999999999994"/>
        <n v="1.0495999999999999"/>
        <n v="0.27449999999999997"/>
        <n v="7.8799999999999995E-2"/>
        <n v="1.6396999999999999"/>
        <n v="1.0395000000000001"/>
        <n v="0.30409999999999998"/>
        <n v="0.27079999999999999"/>
        <n v="0.6875"/>
        <n v="1.3521000000000001"/>
        <n v="0.74400000000000011"/>
        <n v="0.17530000000000001"/>
        <n v="0.2011"/>
        <n v="0.34850000000000003"/>
        <n v="0.69220000000000004"/>
        <n v="0.21260000000000001"/>
        <n v="2.2599"/>
        <n v="0.45899999999999996"/>
        <n v="0.58119999999999994"/>
        <n v="0.39250000000000002"/>
        <n v="0.1948"/>
        <n v="1.6584000000000001"/>
        <n v="0.40509999999999996"/>
        <n v="9.2200000000000004E-2"/>
        <n v="1.6146"/>
        <n v="1.335"/>
        <n v="0.59299999999999997"/>
        <n v="1.8331"/>
        <n v="0.29870000000000002"/>
        <n v="0.26700000000000002"/>
        <n v="0.2893"/>
        <n v="0.88879999999999992"/>
        <n v="0.1192"/>
        <n v="0.91079999999999994"/>
        <n v="0.68659999999999999"/>
        <n v="0.90920000000000001"/>
        <n v="0.504"/>
        <n v="1.077"/>
        <n v="0.2581"/>
        <n v="0.98750000000000004"/>
        <n v="0.18840000000000001"/>
        <n v="0.66500000000000004"/>
        <n v="1.1559999999999999"/>
        <n v="0.21289999999999998"/>
        <n v="0.6604000000000001"/>
        <n v="0.16539999999999999"/>
        <n v="0.16519999999999999"/>
        <n v="0.90749999999999997"/>
        <n v="0.16579999999999998"/>
        <n v="0.66409999999999991"/>
        <n v="0.77829999999999999"/>
        <n v="1.4701"/>
        <n v="0.82310000000000005"/>
        <n v="1.4206000000000001"/>
        <n v="0.61719999999999997"/>
        <n v="1.4838999999999998"/>
        <n v="6.4699999999999994E-2"/>
        <n v="0.35930000000000001"/>
        <n v="1.1802999999999999"/>
        <n v="0.82140000000000002"/>
        <n v="0.44390000000000002"/>
        <n v="0.56310000000000004"/>
        <n v="0.21820000000000001"/>
        <n v="0.52049999999999996"/>
        <n v="0.23879999999999998"/>
        <n v="0.69299999999999995"/>
        <n v="0.18920000000000001"/>
        <n v="0.44679999999999997"/>
        <n v="0.97189999999999999"/>
        <n v="0.37579999999999997"/>
        <n v="0.3881"/>
        <n v="0.18379999999999999"/>
        <n v="0.6873999999999999"/>
        <n v="0.22519999999999998"/>
        <n v="0.48080000000000001"/>
        <n v="0.1008"/>
        <n v="0.24399999999999999"/>
        <n v="1.3271999999999999"/>
        <n v="0.75120000000000009"/>
        <n v="0.48340000000000005"/>
        <n v="1.1640999999999999"/>
        <n v="1.9199999999999998E-2"/>
        <n v="0.11960000000000001"/>
        <n v="1.2844"/>
        <n v="0.91379999999999995"/>
        <n v="0.49109999999999998"/>
        <n v="1.4372"/>
        <n v="0.85450000000000004"/>
        <n v="2.0550000000000002"/>
        <n v="0.29580000000000001"/>
        <n v="1.3613"/>
        <n v="0.62939999999999996"/>
        <n v="0.80310000000000004"/>
        <n v="0.14710000000000001"/>
        <n v="0.16289999999999999"/>
        <n v="0.57799999999999996"/>
        <n v="0.32219999999999999"/>
        <n v="0.51"/>
        <n v="0.23139999999999999"/>
        <n v="0.20550000000000002"/>
        <n v="0.55840000000000001"/>
        <n v="0.50329999999999997"/>
        <n v="0.26390000000000002"/>
        <n v="0.64379999999999993"/>
        <n v="1.6294999999999999"/>
        <n v="1"/>
        <n v="0.89849999999999997"/>
        <n v="0.63780000000000003"/>
        <n v="0.67920000000000003"/>
        <n v="1.1445000000000001"/>
        <n v="1.1454"/>
        <n v="1.0602"/>
        <n v="0.54700000000000004"/>
        <n v="1.4480000000000002"/>
        <n v="1.9324000000000001"/>
        <n v="1.3458000000000001"/>
        <n v="0.41830000000000001"/>
        <n v="1.3337000000000001"/>
        <n v="0.47220000000000001"/>
        <n v="3.6699999999999997E-2"/>
        <n v="0.53939999999999999"/>
        <n v="0.57679999999999998"/>
        <n v="0.52180000000000004"/>
        <n v="0.85199999999999998"/>
        <n v="1.0195999999999998"/>
        <n v="1.2549999999999999"/>
        <n v="0.81640000000000001"/>
        <n v="1.0771999999999999"/>
        <n v="1.7002999999999999"/>
        <n v="0.63840000000000008"/>
        <n v="2.4986999999999999"/>
        <n v="0.23370000000000002"/>
        <n v="0.44929999999999998"/>
        <n v="0.34079999999999999"/>
        <n v="0.99549999999999994"/>
        <n v="0.36270000000000002"/>
        <n v="0.52290000000000003"/>
        <n v="2.0455000000000001"/>
        <n v="1.0454999999999999"/>
        <n v="1.2055"/>
        <n v="0.1472"/>
        <n v="0.27879999999999999"/>
        <n v="1.6556"/>
        <n v="1.8906000000000001"/>
        <n v="1.8715999999999999"/>
        <n v="0.93459999999999999"/>
        <n v="0.48899999999999999"/>
        <n v="0.86319999999999997"/>
        <n v="0.8970999999999999"/>
        <n v="0.47420000000000001"/>
        <n v="0.30260000000000004"/>
        <n v="0.65010000000000001"/>
        <n v="0.2132"/>
        <n v="1.2677"/>
        <n v="0.48630000000000001"/>
        <n v="0.61329999999999996"/>
        <n v="0.58189999999999997"/>
        <n v="0.9859"/>
        <n v="0.71609999999999996"/>
        <n v="0.94430000000000003"/>
      </sharedItems>
    </cacheField>
    <cacheField name="數據日期_2" numFmtId="14">
      <sharedItems containsSemiMixedTypes="0" containsNonDate="0" containsDate="1" containsString="0" minDate="2024-01-01T00:00:00" maxDate="2024-04-01T00:00:00" count="9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  <fieldGroup par="15"/>
    </cacheField>
    <cacheField name="FRU" numFmtId="0">
      <sharedItems containsSemiMixedTypes="0" containsString="0" containsNumber="1" minValue="0" maxValue="330"/>
    </cacheField>
    <cacheField name="組別" numFmtId="0">
      <sharedItems count="7">
        <s v="噴漆維修組"/>
        <s v="鈑金維修組"/>
        <s v="快速保養團隊A"/>
        <s v="查修團隊B"/>
        <s v="查修團隊A"/>
        <s v="快速保養團隊B"/>
        <s v="無效數據"/>
      </sharedItems>
    </cacheField>
    <cacheField name="上班與否" numFmtId="0">
      <sharedItems count="2">
        <s v="否"/>
        <s v="是"/>
      </sharedItems>
    </cacheField>
    <cacheField name="天 (數據日期_2)" numFmtId="0" databaseField="0">
      <fieldGroup base="10">
        <rangePr groupBy="days" startDate="2024-01-01T00:00:00" endDate="2024-04-01T00:00:00"/>
        <groupItems count="368">
          <s v="&lt;2024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4/4/1"/>
        </groupItems>
      </fieldGroup>
    </cacheField>
    <cacheField name="月 (數據日期_2)" numFmtId="0" databaseField="0">
      <fieldGroup base="10">
        <rangePr groupBy="months" startDate="2024-01-01T00:00:00" endDate="2024-04-01T00:00:00"/>
        <groupItems count="14">
          <s v="&lt;2024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4/1"/>
        </groupItems>
      </fieldGroup>
    </cacheField>
  </cacheFields>
  <extLst>
    <ext xmlns:x14="http://schemas.microsoft.com/office/spreadsheetml/2009/9/main" uri="{725AE2AE-9491-48be-B2B4-4EB974FC3084}">
      <x14:pivotCacheDefinition pivotCacheId="727646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4">
  <r>
    <x v="0"/>
    <x v="0"/>
    <x v="0"/>
    <n v="0"/>
    <x v="0"/>
    <n v="0"/>
    <n v="0"/>
    <n v="0"/>
    <x v="0"/>
    <x v="0"/>
    <x v="0"/>
    <n v="0"/>
    <x v="0"/>
    <x v="0"/>
  </r>
  <r>
    <x v="0"/>
    <x v="1"/>
    <x v="0"/>
    <n v="0"/>
    <x v="0"/>
    <n v="0"/>
    <n v="0"/>
    <n v="0"/>
    <x v="0"/>
    <x v="0"/>
    <x v="0"/>
    <n v="0"/>
    <x v="0"/>
    <x v="0"/>
  </r>
  <r>
    <x v="0"/>
    <x v="2"/>
    <x v="0"/>
    <n v="0"/>
    <x v="0"/>
    <n v="0"/>
    <n v="0"/>
    <n v="0"/>
    <x v="0"/>
    <x v="0"/>
    <x v="0"/>
    <n v="0"/>
    <x v="0"/>
    <x v="0"/>
  </r>
  <r>
    <x v="0"/>
    <x v="3"/>
    <x v="0"/>
    <n v="0"/>
    <x v="0"/>
    <n v="0"/>
    <n v="0"/>
    <n v="0"/>
    <x v="0"/>
    <x v="0"/>
    <x v="0"/>
    <n v="0"/>
    <x v="0"/>
    <x v="0"/>
  </r>
  <r>
    <x v="0"/>
    <x v="4"/>
    <x v="0"/>
    <n v="0"/>
    <x v="0"/>
    <n v="0"/>
    <n v="0"/>
    <n v="0"/>
    <x v="0"/>
    <x v="0"/>
    <x v="0"/>
    <n v="0"/>
    <x v="0"/>
    <x v="0"/>
  </r>
  <r>
    <x v="0"/>
    <x v="5"/>
    <x v="0"/>
    <n v="0"/>
    <x v="0"/>
    <n v="0"/>
    <n v="0"/>
    <n v="0"/>
    <x v="0"/>
    <x v="0"/>
    <x v="0"/>
    <n v="0"/>
    <x v="0"/>
    <x v="0"/>
  </r>
  <r>
    <x v="0"/>
    <x v="6"/>
    <x v="0"/>
    <n v="0"/>
    <x v="0"/>
    <n v="0"/>
    <n v="0"/>
    <n v="0"/>
    <x v="0"/>
    <x v="0"/>
    <x v="0"/>
    <n v="0"/>
    <x v="0"/>
    <x v="0"/>
  </r>
  <r>
    <x v="0"/>
    <x v="7"/>
    <x v="0"/>
    <n v="0"/>
    <x v="0"/>
    <n v="0"/>
    <n v="0"/>
    <n v="0"/>
    <x v="0"/>
    <x v="0"/>
    <x v="0"/>
    <n v="0"/>
    <x v="0"/>
    <x v="0"/>
  </r>
  <r>
    <x v="0"/>
    <x v="8"/>
    <x v="0"/>
    <n v="0"/>
    <x v="0"/>
    <n v="0"/>
    <n v="0"/>
    <n v="0"/>
    <x v="0"/>
    <x v="0"/>
    <x v="0"/>
    <n v="0"/>
    <x v="0"/>
    <x v="0"/>
  </r>
  <r>
    <x v="1"/>
    <x v="9"/>
    <x v="0"/>
    <n v="0"/>
    <x v="0"/>
    <n v="0"/>
    <n v="0"/>
    <n v="0"/>
    <x v="0"/>
    <x v="0"/>
    <x v="0"/>
    <n v="0"/>
    <x v="1"/>
    <x v="0"/>
  </r>
  <r>
    <x v="1"/>
    <x v="10"/>
    <x v="0"/>
    <n v="0"/>
    <x v="0"/>
    <n v="0"/>
    <n v="0"/>
    <n v="0"/>
    <x v="0"/>
    <x v="0"/>
    <x v="0"/>
    <n v="0"/>
    <x v="1"/>
    <x v="0"/>
  </r>
  <r>
    <x v="1"/>
    <x v="11"/>
    <x v="0"/>
    <n v="0"/>
    <x v="0"/>
    <n v="0"/>
    <n v="0"/>
    <n v="0"/>
    <x v="0"/>
    <x v="0"/>
    <x v="0"/>
    <n v="0"/>
    <x v="1"/>
    <x v="0"/>
  </r>
  <r>
    <x v="1"/>
    <x v="12"/>
    <x v="0"/>
    <n v="0"/>
    <x v="0"/>
    <n v="0"/>
    <n v="0"/>
    <n v="0"/>
    <x v="0"/>
    <x v="0"/>
    <x v="0"/>
    <n v="0"/>
    <x v="1"/>
    <x v="0"/>
  </r>
  <r>
    <x v="1"/>
    <x v="13"/>
    <x v="0"/>
    <n v="0"/>
    <x v="0"/>
    <n v="0"/>
    <n v="0"/>
    <n v="0"/>
    <x v="0"/>
    <x v="0"/>
    <x v="0"/>
    <n v="0"/>
    <x v="1"/>
    <x v="0"/>
  </r>
  <r>
    <x v="2"/>
    <x v="14"/>
    <x v="0"/>
    <n v="0"/>
    <x v="0"/>
    <n v="0"/>
    <n v="0"/>
    <n v="0"/>
    <x v="0"/>
    <x v="0"/>
    <x v="0"/>
    <n v="0"/>
    <x v="2"/>
    <x v="0"/>
  </r>
  <r>
    <x v="2"/>
    <x v="15"/>
    <x v="0"/>
    <n v="0"/>
    <x v="0"/>
    <n v="0"/>
    <n v="0"/>
    <n v="0"/>
    <x v="0"/>
    <x v="0"/>
    <x v="0"/>
    <n v="0"/>
    <x v="3"/>
    <x v="0"/>
  </r>
  <r>
    <x v="2"/>
    <x v="16"/>
    <x v="1"/>
    <n v="1.44"/>
    <x v="1"/>
    <n v="1.89"/>
    <n v="6.48"/>
    <n v="8.3699999999999992"/>
    <x v="1"/>
    <x v="1"/>
    <x v="0"/>
    <n v="23.880000000000003"/>
    <x v="4"/>
    <x v="1"/>
  </r>
  <r>
    <x v="2"/>
    <x v="17"/>
    <x v="0"/>
    <n v="0"/>
    <x v="0"/>
    <n v="0"/>
    <n v="0"/>
    <n v="0"/>
    <x v="0"/>
    <x v="0"/>
    <x v="0"/>
    <n v="0"/>
    <x v="3"/>
    <x v="0"/>
  </r>
  <r>
    <x v="2"/>
    <x v="18"/>
    <x v="2"/>
    <n v="1.7"/>
    <x v="2"/>
    <n v="3.59"/>
    <n v="4.75"/>
    <n v="8.34"/>
    <x v="2"/>
    <x v="2"/>
    <x v="0"/>
    <n v="14.4"/>
    <x v="3"/>
    <x v="1"/>
  </r>
  <r>
    <x v="2"/>
    <x v="19"/>
    <x v="0"/>
    <n v="0"/>
    <x v="0"/>
    <n v="0"/>
    <n v="0"/>
    <n v="0"/>
    <x v="0"/>
    <x v="0"/>
    <x v="0"/>
    <n v="0"/>
    <x v="2"/>
    <x v="0"/>
  </r>
  <r>
    <x v="2"/>
    <x v="20"/>
    <x v="0"/>
    <n v="0"/>
    <x v="0"/>
    <n v="0"/>
    <n v="0"/>
    <n v="0"/>
    <x v="0"/>
    <x v="0"/>
    <x v="0"/>
    <n v="0"/>
    <x v="5"/>
    <x v="0"/>
  </r>
  <r>
    <x v="2"/>
    <x v="21"/>
    <x v="3"/>
    <n v="1.55"/>
    <x v="3"/>
    <n v="1.98"/>
    <n v="6.38"/>
    <n v="8.36"/>
    <x v="3"/>
    <x v="3"/>
    <x v="0"/>
    <n v="18"/>
    <x v="2"/>
    <x v="1"/>
  </r>
  <r>
    <x v="2"/>
    <x v="22"/>
    <x v="0"/>
    <n v="0"/>
    <x v="0"/>
    <n v="0"/>
    <n v="0"/>
    <n v="0"/>
    <x v="0"/>
    <x v="0"/>
    <x v="0"/>
    <n v="0"/>
    <x v="4"/>
    <x v="0"/>
  </r>
  <r>
    <x v="2"/>
    <x v="23"/>
    <x v="0"/>
    <n v="0"/>
    <x v="0"/>
    <n v="0"/>
    <n v="0"/>
    <n v="0"/>
    <x v="0"/>
    <x v="0"/>
    <x v="0"/>
    <n v="0"/>
    <x v="3"/>
    <x v="0"/>
  </r>
  <r>
    <x v="2"/>
    <x v="24"/>
    <x v="0"/>
    <n v="0"/>
    <x v="0"/>
    <n v="0"/>
    <n v="0"/>
    <n v="0"/>
    <x v="0"/>
    <x v="0"/>
    <x v="0"/>
    <n v="0"/>
    <x v="5"/>
    <x v="0"/>
  </r>
  <r>
    <x v="2"/>
    <x v="25"/>
    <x v="4"/>
    <n v="1.53"/>
    <x v="4"/>
    <n v="1.98"/>
    <n v="6.37"/>
    <n v="8.35"/>
    <x v="4"/>
    <x v="4"/>
    <x v="0"/>
    <n v="12"/>
    <x v="2"/>
    <x v="1"/>
  </r>
  <r>
    <x v="2"/>
    <x v="26"/>
    <x v="0"/>
    <n v="0"/>
    <x v="0"/>
    <n v="0"/>
    <n v="0"/>
    <n v="0"/>
    <x v="0"/>
    <x v="0"/>
    <x v="0"/>
    <n v="0"/>
    <x v="3"/>
    <x v="0"/>
  </r>
  <r>
    <x v="2"/>
    <x v="27"/>
    <x v="0"/>
    <n v="0"/>
    <x v="0"/>
    <n v="0"/>
    <n v="0"/>
    <n v="0"/>
    <x v="0"/>
    <x v="0"/>
    <x v="0"/>
    <n v="0"/>
    <x v="5"/>
    <x v="0"/>
  </r>
  <r>
    <x v="2"/>
    <x v="28"/>
    <x v="0"/>
    <n v="0"/>
    <x v="0"/>
    <n v="0"/>
    <n v="0"/>
    <n v="0"/>
    <x v="0"/>
    <x v="0"/>
    <x v="0"/>
    <n v="0"/>
    <x v="2"/>
    <x v="0"/>
  </r>
  <r>
    <x v="2"/>
    <x v="29"/>
    <x v="0"/>
    <n v="0"/>
    <x v="0"/>
    <n v="0"/>
    <n v="0"/>
    <n v="0"/>
    <x v="0"/>
    <x v="0"/>
    <x v="0"/>
    <n v="0"/>
    <x v="5"/>
    <x v="0"/>
  </r>
  <r>
    <x v="2"/>
    <x v="30"/>
    <x v="0"/>
    <n v="0"/>
    <x v="0"/>
    <n v="0"/>
    <n v="0"/>
    <n v="0"/>
    <x v="0"/>
    <x v="0"/>
    <x v="0"/>
    <n v="0"/>
    <x v="5"/>
    <x v="0"/>
  </r>
  <r>
    <x v="2"/>
    <x v="31"/>
    <x v="0"/>
    <n v="0"/>
    <x v="0"/>
    <n v="0"/>
    <n v="0"/>
    <n v="0"/>
    <x v="0"/>
    <x v="0"/>
    <x v="0"/>
    <n v="0"/>
    <x v="2"/>
    <x v="0"/>
  </r>
  <r>
    <x v="2"/>
    <x v="32"/>
    <x v="0"/>
    <n v="0"/>
    <x v="0"/>
    <n v="0"/>
    <n v="0"/>
    <n v="0"/>
    <x v="0"/>
    <x v="0"/>
    <x v="0"/>
    <n v="0"/>
    <x v="3"/>
    <x v="0"/>
  </r>
  <r>
    <x v="2"/>
    <x v="33"/>
    <x v="0"/>
    <n v="0"/>
    <x v="0"/>
    <n v="0"/>
    <n v="0"/>
    <n v="0"/>
    <x v="0"/>
    <x v="0"/>
    <x v="0"/>
    <n v="0"/>
    <x v="3"/>
    <x v="0"/>
  </r>
  <r>
    <x v="2"/>
    <x v="34"/>
    <x v="0"/>
    <n v="0"/>
    <x v="0"/>
    <n v="0"/>
    <n v="0"/>
    <n v="0"/>
    <x v="0"/>
    <x v="0"/>
    <x v="0"/>
    <n v="0"/>
    <x v="4"/>
    <x v="0"/>
  </r>
  <r>
    <x v="2"/>
    <x v="35"/>
    <x v="0"/>
    <n v="0"/>
    <x v="0"/>
    <n v="0"/>
    <n v="0"/>
    <n v="0"/>
    <x v="0"/>
    <x v="0"/>
    <x v="0"/>
    <n v="0"/>
    <x v="2"/>
    <x v="0"/>
  </r>
  <r>
    <x v="2"/>
    <x v="36"/>
    <x v="0"/>
    <n v="0"/>
    <x v="0"/>
    <n v="0"/>
    <n v="0"/>
    <n v="0"/>
    <x v="0"/>
    <x v="0"/>
    <x v="0"/>
    <n v="0"/>
    <x v="4"/>
    <x v="0"/>
  </r>
  <r>
    <x v="2"/>
    <x v="37"/>
    <x v="0"/>
    <n v="0"/>
    <x v="0"/>
    <n v="0"/>
    <n v="0"/>
    <n v="0"/>
    <x v="0"/>
    <x v="0"/>
    <x v="0"/>
    <n v="0"/>
    <x v="4"/>
    <x v="0"/>
  </r>
  <r>
    <x v="2"/>
    <x v="38"/>
    <x v="5"/>
    <n v="1.53"/>
    <x v="5"/>
    <n v="1.98"/>
    <n v="6.37"/>
    <n v="8.35"/>
    <x v="4"/>
    <x v="5"/>
    <x v="0"/>
    <n v="18.96"/>
    <x v="2"/>
    <x v="1"/>
  </r>
  <r>
    <x v="2"/>
    <x v="39"/>
    <x v="0"/>
    <n v="0"/>
    <x v="0"/>
    <n v="0"/>
    <n v="0"/>
    <n v="0"/>
    <x v="0"/>
    <x v="0"/>
    <x v="0"/>
    <n v="0"/>
    <x v="2"/>
    <x v="0"/>
  </r>
  <r>
    <x v="2"/>
    <x v="40"/>
    <x v="0"/>
    <n v="0"/>
    <x v="0"/>
    <n v="0"/>
    <n v="0"/>
    <n v="0"/>
    <x v="0"/>
    <x v="0"/>
    <x v="0"/>
    <n v="0"/>
    <x v="3"/>
    <x v="0"/>
  </r>
  <r>
    <x v="2"/>
    <x v="41"/>
    <x v="0"/>
    <n v="0"/>
    <x v="0"/>
    <n v="0"/>
    <n v="0"/>
    <n v="0"/>
    <x v="0"/>
    <x v="0"/>
    <x v="0"/>
    <n v="0"/>
    <x v="5"/>
    <x v="0"/>
  </r>
  <r>
    <x v="2"/>
    <x v="42"/>
    <x v="0"/>
    <n v="0"/>
    <x v="0"/>
    <n v="0"/>
    <n v="0"/>
    <n v="0"/>
    <x v="0"/>
    <x v="0"/>
    <x v="0"/>
    <n v="0"/>
    <x v="2"/>
    <x v="0"/>
  </r>
  <r>
    <x v="2"/>
    <x v="43"/>
    <x v="0"/>
    <n v="0"/>
    <x v="0"/>
    <n v="0"/>
    <n v="0"/>
    <n v="0"/>
    <x v="0"/>
    <x v="0"/>
    <x v="0"/>
    <n v="0"/>
    <x v="3"/>
    <x v="0"/>
  </r>
  <r>
    <x v="2"/>
    <x v="44"/>
    <x v="6"/>
    <n v="1.68"/>
    <x v="6"/>
    <n v="3.57"/>
    <n v="4.7699999999999996"/>
    <n v="8.34"/>
    <x v="5"/>
    <x v="6"/>
    <x v="0"/>
    <n v="8.4"/>
    <x v="3"/>
    <x v="1"/>
  </r>
  <r>
    <x v="2"/>
    <x v="45"/>
    <x v="0"/>
    <n v="0"/>
    <x v="0"/>
    <n v="0"/>
    <n v="0"/>
    <n v="0"/>
    <x v="0"/>
    <x v="0"/>
    <x v="0"/>
    <n v="0"/>
    <x v="4"/>
    <x v="0"/>
  </r>
  <r>
    <x v="2"/>
    <x v="46"/>
    <x v="5"/>
    <n v="1.43"/>
    <x v="7"/>
    <n v="1.86"/>
    <n v="6.49"/>
    <n v="8.35"/>
    <x v="6"/>
    <x v="7"/>
    <x v="0"/>
    <n v="18.96"/>
    <x v="4"/>
    <x v="1"/>
  </r>
  <r>
    <x v="2"/>
    <x v="47"/>
    <x v="0"/>
    <n v="0"/>
    <x v="0"/>
    <n v="0"/>
    <n v="0"/>
    <n v="0"/>
    <x v="0"/>
    <x v="0"/>
    <x v="0"/>
    <n v="0"/>
    <x v="5"/>
    <x v="0"/>
  </r>
  <r>
    <x v="2"/>
    <x v="48"/>
    <x v="0"/>
    <n v="0"/>
    <x v="0"/>
    <n v="0"/>
    <n v="0"/>
    <n v="0"/>
    <x v="0"/>
    <x v="0"/>
    <x v="0"/>
    <n v="0"/>
    <x v="6"/>
    <x v="0"/>
  </r>
  <r>
    <x v="2"/>
    <x v="49"/>
    <x v="0"/>
    <n v="0"/>
    <x v="0"/>
    <n v="0"/>
    <n v="0"/>
    <n v="0"/>
    <x v="0"/>
    <x v="0"/>
    <x v="0"/>
    <n v="0"/>
    <x v="3"/>
    <x v="0"/>
  </r>
  <r>
    <x v="2"/>
    <x v="50"/>
    <x v="0"/>
    <n v="0"/>
    <x v="0"/>
    <n v="0"/>
    <n v="0"/>
    <n v="0"/>
    <x v="0"/>
    <x v="0"/>
    <x v="0"/>
    <n v="0"/>
    <x v="4"/>
    <x v="0"/>
  </r>
  <r>
    <x v="0"/>
    <x v="0"/>
    <x v="0"/>
    <n v="0"/>
    <x v="0"/>
    <n v="7.23"/>
    <n v="0.85"/>
    <n v="8.08"/>
    <x v="7"/>
    <x v="0"/>
    <x v="1"/>
    <n v="0"/>
    <x v="0"/>
    <x v="1"/>
  </r>
  <r>
    <x v="0"/>
    <x v="1"/>
    <x v="0"/>
    <n v="0"/>
    <x v="0"/>
    <n v="7.35"/>
    <n v="0.63"/>
    <n v="7.98"/>
    <x v="8"/>
    <x v="0"/>
    <x v="1"/>
    <n v="0"/>
    <x v="0"/>
    <x v="1"/>
  </r>
  <r>
    <x v="0"/>
    <x v="2"/>
    <x v="0"/>
    <n v="0"/>
    <x v="0"/>
    <n v="7.35"/>
    <n v="0.63"/>
    <n v="7.98"/>
    <x v="8"/>
    <x v="0"/>
    <x v="1"/>
    <n v="0"/>
    <x v="0"/>
    <x v="1"/>
  </r>
  <r>
    <x v="0"/>
    <x v="3"/>
    <x v="0"/>
    <n v="0"/>
    <x v="0"/>
    <n v="7.2"/>
    <n v="0.87"/>
    <n v="8.07"/>
    <x v="9"/>
    <x v="0"/>
    <x v="1"/>
    <n v="0"/>
    <x v="0"/>
    <x v="1"/>
  </r>
  <r>
    <x v="0"/>
    <x v="4"/>
    <x v="0"/>
    <n v="0"/>
    <x v="0"/>
    <n v="0"/>
    <n v="0"/>
    <n v="0"/>
    <x v="0"/>
    <x v="0"/>
    <x v="1"/>
    <n v="0"/>
    <x v="0"/>
    <x v="0"/>
  </r>
  <r>
    <x v="0"/>
    <x v="5"/>
    <x v="0"/>
    <n v="0"/>
    <x v="0"/>
    <n v="7.35"/>
    <n v="0.63"/>
    <n v="7.98"/>
    <x v="8"/>
    <x v="0"/>
    <x v="1"/>
    <n v="0"/>
    <x v="0"/>
    <x v="1"/>
  </r>
  <r>
    <x v="0"/>
    <x v="6"/>
    <x v="0"/>
    <n v="0"/>
    <x v="0"/>
    <n v="6.62"/>
    <n v="1.4"/>
    <n v="8.02"/>
    <x v="10"/>
    <x v="0"/>
    <x v="1"/>
    <n v="0"/>
    <x v="0"/>
    <x v="1"/>
  </r>
  <r>
    <x v="0"/>
    <x v="7"/>
    <x v="0"/>
    <n v="0"/>
    <x v="0"/>
    <n v="0"/>
    <n v="0"/>
    <n v="0"/>
    <x v="0"/>
    <x v="0"/>
    <x v="1"/>
    <n v="0"/>
    <x v="0"/>
    <x v="0"/>
  </r>
  <r>
    <x v="0"/>
    <x v="8"/>
    <x v="7"/>
    <n v="1.23"/>
    <x v="8"/>
    <n v="4.5999999999999996"/>
    <n v="3.48"/>
    <n v="8.08"/>
    <x v="11"/>
    <x v="8"/>
    <x v="1"/>
    <n v="3"/>
    <x v="0"/>
    <x v="1"/>
  </r>
  <r>
    <x v="1"/>
    <x v="9"/>
    <x v="0"/>
    <n v="0"/>
    <x v="0"/>
    <n v="5.9"/>
    <n v="1.76"/>
    <n v="7.66"/>
    <x v="12"/>
    <x v="0"/>
    <x v="1"/>
    <n v="0"/>
    <x v="1"/>
    <x v="1"/>
  </r>
  <r>
    <x v="1"/>
    <x v="10"/>
    <x v="8"/>
    <n v="0.06"/>
    <x v="9"/>
    <n v="5.79"/>
    <n v="2.3199999999999998"/>
    <n v="8.11"/>
    <x v="13"/>
    <x v="9"/>
    <x v="1"/>
    <n v="2.2800000000000002"/>
    <x v="1"/>
    <x v="1"/>
  </r>
  <r>
    <x v="1"/>
    <x v="11"/>
    <x v="0"/>
    <n v="0"/>
    <x v="0"/>
    <n v="6.67"/>
    <n v="1.41"/>
    <n v="8.08"/>
    <x v="14"/>
    <x v="0"/>
    <x v="1"/>
    <n v="0"/>
    <x v="1"/>
    <x v="1"/>
  </r>
  <r>
    <x v="1"/>
    <x v="12"/>
    <x v="9"/>
    <n v="0.47"/>
    <x v="10"/>
    <n v="3.84"/>
    <n v="4.24"/>
    <n v="8.08"/>
    <x v="15"/>
    <x v="10"/>
    <x v="1"/>
    <n v="0.48"/>
    <x v="1"/>
    <x v="1"/>
  </r>
  <r>
    <x v="1"/>
    <x v="13"/>
    <x v="9"/>
    <n v="0.45"/>
    <x v="11"/>
    <n v="3.84"/>
    <n v="4.24"/>
    <n v="8.08"/>
    <x v="15"/>
    <x v="10"/>
    <x v="1"/>
    <n v="0.48"/>
    <x v="1"/>
    <x v="1"/>
  </r>
  <r>
    <x v="2"/>
    <x v="14"/>
    <x v="10"/>
    <n v="6.7"/>
    <x v="12"/>
    <n v="7.91"/>
    <n v="1.28"/>
    <n v="9.19"/>
    <x v="16"/>
    <x v="11"/>
    <x v="1"/>
    <n v="121.2"/>
    <x v="2"/>
    <x v="1"/>
  </r>
  <r>
    <x v="2"/>
    <x v="15"/>
    <x v="11"/>
    <n v="2.1"/>
    <x v="13"/>
    <n v="7.87"/>
    <n v="1.29"/>
    <n v="9.16"/>
    <x v="17"/>
    <x v="12"/>
    <x v="1"/>
    <n v="9"/>
    <x v="3"/>
    <x v="1"/>
  </r>
  <r>
    <x v="2"/>
    <x v="16"/>
    <x v="12"/>
    <n v="3.77"/>
    <x v="14"/>
    <n v="7.51"/>
    <n v="0.56000000000000005"/>
    <n v="8.07"/>
    <x v="18"/>
    <x v="13"/>
    <x v="1"/>
    <n v="34.200000000000003"/>
    <x v="4"/>
    <x v="1"/>
  </r>
  <r>
    <x v="2"/>
    <x v="17"/>
    <x v="0"/>
    <n v="0"/>
    <x v="0"/>
    <n v="0"/>
    <n v="9.64"/>
    <n v="9.64"/>
    <x v="0"/>
    <x v="0"/>
    <x v="1"/>
    <n v="0"/>
    <x v="3"/>
    <x v="1"/>
  </r>
  <r>
    <x v="2"/>
    <x v="18"/>
    <x v="13"/>
    <n v="1.89"/>
    <x v="15"/>
    <n v="5.28"/>
    <n v="3.68"/>
    <n v="8.9600000000000009"/>
    <x v="19"/>
    <x v="14"/>
    <x v="1"/>
    <n v="7.56"/>
    <x v="3"/>
    <x v="1"/>
  </r>
  <r>
    <x v="2"/>
    <x v="19"/>
    <x v="0"/>
    <n v="0"/>
    <x v="0"/>
    <n v="0"/>
    <n v="0"/>
    <n v="0"/>
    <x v="0"/>
    <x v="0"/>
    <x v="1"/>
    <n v="0"/>
    <x v="2"/>
    <x v="0"/>
  </r>
  <r>
    <x v="2"/>
    <x v="21"/>
    <x v="14"/>
    <n v="6.15"/>
    <x v="16"/>
    <n v="6.74"/>
    <n v="1.17"/>
    <n v="7.91"/>
    <x v="20"/>
    <x v="15"/>
    <x v="1"/>
    <n v="118.43999999999998"/>
    <x v="2"/>
    <x v="1"/>
  </r>
  <r>
    <x v="2"/>
    <x v="22"/>
    <x v="15"/>
    <n v="7.38"/>
    <x v="17"/>
    <n v="4.21"/>
    <n v="3.69"/>
    <n v="7.9"/>
    <x v="21"/>
    <x v="16"/>
    <x v="1"/>
    <n v="42.96"/>
    <x v="4"/>
    <x v="1"/>
  </r>
  <r>
    <x v="2"/>
    <x v="23"/>
    <x v="0"/>
    <n v="0"/>
    <x v="0"/>
    <n v="8.2100000000000009"/>
    <n v="1.42"/>
    <n v="9.6300000000000008"/>
    <x v="22"/>
    <x v="0"/>
    <x v="1"/>
    <n v="0"/>
    <x v="3"/>
    <x v="1"/>
  </r>
  <r>
    <x v="2"/>
    <x v="24"/>
    <x v="16"/>
    <n v="4.53"/>
    <x v="18"/>
    <n v="9.84"/>
    <n v="0.2"/>
    <n v="10.039999999999999"/>
    <x v="23"/>
    <x v="17"/>
    <x v="1"/>
    <n v="61.320000000000007"/>
    <x v="5"/>
    <x v="1"/>
  </r>
  <r>
    <x v="2"/>
    <x v="25"/>
    <x v="17"/>
    <n v="6.41"/>
    <x v="19"/>
    <n v="7.38"/>
    <n v="0.79"/>
    <n v="8.17"/>
    <x v="24"/>
    <x v="18"/>
    <x v="1"/>
    <n v="117"/>
    <x v="2"/>
    <x v="1"/>
  </r>
  <r>
    <x v="2"/>
    <x v="26"/>
    <x v="0"/>
    <n v="0"/>
    <x v="0"/>
    <n v="6.64"/>
    <n v="2.37"/>
    <n v="9.01"/>
    <x v="25"/>
    <x v="0"/>
    <x v="1"/>
    <n v="0"/>
    <x v="3"/>
    <x v="1"/>
  </r>
  <r>
    <x v="2"/>
    <x v="27"/>
    <x v="18"/>
    <n v="3.81"/>
    <x v="20"/>
    <n v="9.8800000000000008"/>
    <n v="0.2"/>
    <n v="10.08"/>
    <x v="26"/>
    <x v="19"/>
    <x v="1"/>
    <n v="58.2"/>
    <x v="5"/>
    <x v="1"/>
  </r>
  <r>
    <x v="2"/>
    <x v="28"/>
    <x v="0"/>
    <n v="0"/>
    <x v="0"/>
    <n v="0"/>
    <n v="0"/>
    <n v="0"/>
    <x v="0"/>
    <x v="0"/>
    <x v="1"/>
    <n v="0"/>
    <x v="2"/>
    <x v="0"/>
  </r>
  <r>
    <x v="2"/>
    <x v="29"/>
    <x v="19"/>
    <n v="5.28"/>
    <x v="21"/>
    <n v="8.11"/>
    <n v="1.98"/>
    <n v="10.09"/>
    <x v="27"/>
    <x v="20"/>
    <x v="1"/>
    <n v="99"/>
    <x v="5"/>
    <x v="1"/>
  </r>
  <r>
    <x v="2"/>
    <x v="30"/>
    <x v="0"/>
    <n v="0"/>
    <x v="0"/>
    <n v="0"/>
    <n v="0"/>
    <n v="0"/>
    <x v="0"/>
    <x v="0"/>
    <x v="1"/>
    <n v="0"/>
    <x v="5"/>
    <x v="0"/>
  </r>
  <r>
    <x v="2"/>
    <x v="31"/>
    <x v="20"/>
    <n v="6.36"/>
    <x v="22"/>
    <n v="6.16"/>
    <n v="1.73"/>
    <n v="7.89"/>
    <x v="28"/>
    <x v="21"/>
    <x v="1"/>
    <n v="112.92"/>
    <x v="2"/>
    <x v="1"/>
  </r>
  <r>
    <x v="2"/>
    <x v="32"/>
    <x v="0"/>
    <n v="0"/>
    <x v="0"/>
    <n v="6.54"/>
    <n v="3.96"/>
    <n v="10.5"/>
    <x v="29"/>
    <x v="0"/>
    <x v="1"/>
    <n v="0"/>
    <x v="3"/>
    <x v="1"/>
  </r>
  <r>
    <x v="2"/>
    <x v="33"/>
    <x v="21"/>
    <n v="3.9"/>
    <x v="23"/>
    <n v="6.85"/>
    <n v="2.4900000000000002"/>
    <n v="9.34"/>
    <x v="30"/>
    <x v="22"/>
    <x v="1"/>
    <n v="21.36"/>
    <x v="3"/>
    <x v="1"/>
  </r>
  <r>
    <x v="2"/>
    <x v="34"/>
    <x v="22"/>
    <n v="4.0199999999999996"/>
    <x v="24"/>
    <n v="7.44"/>
    <n v="3"/>
    <n v="10.44"/>
    <x v="31"/>
    <x v="23"/>
    <x v="1"/>
    <n v="36"/>
    <x v="4"/>
    <x v="1"/>
  </r>
  <r>
    <x v="2"/>
    <x v="35"/>
    <x v="23"/>
    <n v="5.09"/>
    <x v="25"/>
    <n v="10.87"/>
    <n v="0.86"/>
    <n v="11.73"/>
    <x v="32"/>
    <x v="24"/>
    <x v="1"/>
    <n v="189.95999999999998"/>
    <x v="2"/>
    <x v="1"/>
  </r>
  <r>
    <x v="2"/>
    <x v="36"/>
    <x v="0"/>
    <n v="0"/>
    <x v="0"/>
    <n v="0"/>
    <n v="0"/>
    <n v="0"/>
    <x v="0"/>
    <x v="0"/>
    <x v="1"/>
    <n v="0"/>
    <x v="4"/>
    <x v="0"/>
  </r>
  <r>
    <x v="2"/>
    <x v="37"/>
    <x v="24"/>
    <n v="2.64"/>
    <x v="26"/>
    <n v="5.89"/>
    <n v="2.0699999999999998"/>
    <n v="7.96"/>
    <x v="33"/>
    <x v="25"/>
    <x v="1"/>
    <n v="30"/>
    <x v="4"/>
    <x v="1"/>
  </r>
  <r>
    <x v="2"/>
    <x v="38"/>
    <x v="25"/>
    <n v="7.3"/>
    <x v="27"/>
    <n v="8.25"/>
    <n v="1.71"/>
    <n v="9.9600000000000009"/>
    <x v="34"/>
    <x v="26"/>
    <x v="1"/>
    <n v="108"/>
    <x v="2"/>
    <x v="1"/>
  </r>
  <r>
    <x v="2"/>
    <x v="39"/>
    <x v="26"/>
    <n v="2.98"/>
    <x v="28"/>
    <n v="4.8600000000000003"/>
    <n v="3.08"/>
    <n v="7.94"/>
    <x v="35"/>
    <x v="27"/>
    <x v="1"/>
    <n v="34.92"/>
    <x v="2"/>
    <x v="1"/>
  </r>
  <r>
    <x v="2"/>
    <x v="41"/>
    <x v="27"/>
    <n v="3.41"/>
    <x v="29"/>
    <n v="6.74"/>
    <n v="1.34"/>
    <n v="8.08"/>
    <x v="36"/>
    <x v="28"/>
    <x v="1"/>
    <n v="107.88"/>
    <x v="5"/>
    <x v="1"/>
  </r>
  <r>
    <x v="2"/>
    <x v="42"/>
    <x v="28"/>
    <n v="4.75"/>
    <x v="30"/>
    <n v="7.6"/>
    <n v="0.3"/>
    <n v="7.9"/>
    <x v="37"/>
    <x v="29"/>
    <x v="1"/>
    <n v="66.960000000000008"/>
    <x v="2"/>
    <x v="1"/>
  </r>
  <r>
    <x v="2"/>
    <x v="43"/>
    <x v="0"/>
    <n v="0"/>
    <x v="0"/>
    <n v="4.43"/>
    <n v="4.55"/>
    <n v="8.98"/>
    <x v="38"/>
    <x v="0"/>
    <x v="1"/>
    <n v="0"/>
    <x v="3"/>
    <x v="1"/>
  </r>
  <r>
    <x v="2"/>
    <x v="44"/>
    <x v="29"/>
    <n v="2.67"/>
    <x v="31"/>
    <n v="3.36"/>
    <n v="5.61"/>
    <n v="8.9700000000000006"/>
    <x v="39"/>
    <x v="30"/>
    <x v="1"/>
    <n v="24"/>
    <x v="3"/>
    <x v="1"/>
  </r>
  <r>
    <x v="2"/>
    <x v="45"/>
    <x v="8"/>
    <n v="0.06"/>
    <x v="9"/>
    <n v="0.71"/>
    <n v="7.23"/>
    <n v="7.94"/>
    <x v="40"/>
    <x v="31"/>
    <x v="1"/>
    <n v="2.2800000000000002"/>
    <x v="4"/>
    <x v="1"/>
  </r>
  <r>
    <x v="2"/>
    <x v="46"/>
    <x v="30"/>
    <n v="2.64"/>
    <x v="32"/>
    <n v="7.49"/>
    <n v="0.55000000000000004"/>
    <n v="8.0399999999999991"/>
    <x v="41"/>
    <x v="32"/>
    <x v="1"/>
    <n v="30.6"/>
    <x v="4"/>
    <x v="1"/>
  </r>
  <r>
    <x v="2"/>
    <x v="47"/>
    <x v="31"/>
    <n v="5.3"/>
    <x v="33"/>
    <n v="7.38"/>
    <n v="0.71"/>
    <n v="8.09"/>
    <x v="42"/>
    <x v="33"/>
    <x v="1"/>
    <n v="138.72"/>
    <x v="5"/>
    <x v="1"/>
  </r>
  <r>
    <x v="2"/>
    <x v="48"/>
    <x v="0"/>
    <n v="0"/>
    <x v="0"/>
    <n v="0"/>
    <n v="0"/>
    <n v="0"/>
    <x v="0"/>
    <x v="0"/>
    <x v="1"/>
    <n v="0"/>
    <x v="6"/>
    <x v="0"/>
  </r>
  <r>
    <x v="2"/>
    <x v="49"/>
    <x v="0"/>
    <n v="0"/>
    <x v="0"/>
    <n v="6.53"/>
    <n v="2.4500000000000002"/>
    <n v="8.98"/>
    <x v="43"/>
    <x v="0"/>
    <x v="1"/>
    <n v="0"/>
    <x v="3"/>
    <x v="1"/>
  </r>
  <r>
    <x v="0"/>
    <x v="0"/>
    <x v="32"/>
    <n v="6.84"/>
    <x v="34"/>
    <n v="7.6"/>
    <n v="0.43"/>
    <n v="8.0299999999999994"/>
    <x v="44"/>
    <x v="34"/>
    <x v="2"/>
    <n v="40.200000000000003"/>
    <x v="0"/>
    <x v="1"/>
  </r>
  <r>
    <x v="0"/>
    <x v="3"/>
    <x v="33"/>
    <n v="3.75"/>
    <x v="35"/>
    <n v="7.6"/>
    <n v="0.43"/>
    <n v="8.0299999999999994"/>
    <x v="44"/>
    <x v="35"/>
    <x v="2"/>
    <n v="24.96"/>
    <x v="0"/>
    <x v="1"/>
  </r>
  <r>
    <x v="0"/>
    <x v="7"/>
    <x v="0"/>
    <n v="0"/>
    <x v="0"/>
    <n v="0"/>
    <n v="0"/>
    <n v="0"/>
    <x v="0"/>
    <x v="0"/>
    <x v="2"/>
    <n v="0"/>
    <x v="0"/>
    <x v="0"/>
  </r>
  <r>
    <x v="0"/>
    <x v="8"/>
    <x v="34"/>
    <n v="4.3499999999999996"/>
    <x v="36"/>
    <n v="6.67"/>
    <n v="1.37"/>
    <n v="8.0399999999999991"/>
    <x v="45"/>
    <x v="36"/>
    <x v="2"/>
    <n v="36.96"/>
    <x v="0"/>
    <x v="1"/>
  </r>
  <r>
    <x v="1"/>
    <x v="9"/>
    <x v="0"/>
    <n v="0"/>
    <x v="0"/>
    <n v="5.93"/>
    <n v="2.13"/>
    <n v="8.06"/>
    <x v="46"/>
    <x v="0"/>
    <x v="2"/>
    <n v="0"/>
    <x v="1"/>
    <x v="1"/>
  </r>
  <r>
    <x v="1"/>
    <x v="11"/>
    <x v="35"/>
    <n v="4.96"/>
    <x v="37"/>
    <n v="4.32"/>
    <n v="3.76"/>
    <n v="8.08"/>
    <x v="47"/>
    <x v="37"/>
    <x v="2"/>
    <n v="103.68000000000002"/>
    <x v="1"/>
    <x v="1"/>
  </r>
  <r>
    <x v="1"/>
    <x v="13"/>
    <x v="36"/>
    <n v="7.77"/>
    <x v="38"/>
    <n v="3.96"/>
    <n v="4.13"/>
    <n v="8.09"/>
    <x v="48"/>
    <x v="38"/>
    <x v="2"/>
    <n v="74.16"/>
    <x v="1"/>
    <x v="1"/>
  </r>
  <r>
    <x v="2"/>
    <x v="14"/>
    <x v="37"/>
    <n v="8.24"/>
    <x v="39"/>
    <n v="9.77"/>
    <n v="1.37"/>
    <n v="11.14"/>
    <x v="49"/>
    <x v="39"/>
    <x v="2"/>
    <n v="154.92000000000002"/>
    <x v="2"/>
    <x v="1"/>
  </r>
  <r>
    <x v="2"/>
    <x v="17"/>
    <x v="38"/>
    <n v="1.42"/>
    <x v="40"/>
    <n v="5.58"/>
    <n v="4.08"/>
    <n v="9.66"/>
    <x v="50"/>
    <x v="40"/>
    <x v="2"/>
    <n v="2.52"/>
    <x v="3"/>
    <x v="1"/>
  </r>
  <r>
    <x v="2"/>
    <x v="19"/>
    <x v="0"/>
    <n v="0"/>
    <x v="0"/>
    <n v="0"/>
    <n v="0"/>
    <n v="0"/>
    <x v="0"/>
    <x v="0"/>
    <x v="2"/>
    <n v="0"/>
    <x v="2"/>
    <x v="0"/>
  </r>
  <r>
    <x v="2"/>
    <x v="20"/>
    <x v="39"/>
    <n v="9.6"/>
    <x v="41"/>
    <n v="11.27"/>
    <n v="1.25"/>
    <n v="12.52"/>
    <x v="51"/>
    <x v="41"/>
    <x v="2"/>
    <n v="106.43999999999998"/>
    <x v="5"/>
    <x v="1"/>
  </r>
  <r>
    <x v="2"/>
    <x v="21"/>
    <x v="40"/>
    <n v="6.06"/>
    <x v="42"/>
    <n v="10.75"/>
    <n v="1.31"/>
    <n v="12.06"/>
    <x v="52"/>
    <x v="42"/>
    <x v="2"/>
    <n v="165"/>
    <x v="2"/>
    <x v="1"/>
  </r>
  <r>
    <x v="2"/>
    <x v="23"/>
    <x v="0"/>
    <n v="0"/>
    <x v="0"/>
    <n v="9.3699999999999992"/>
    <n v="0.74"/>
    <n v="10.11"/>
    <x v="53"/>
    <x v="0"/>
    <x v="2"/>
    <n v="0"/>
    <x v="3"/>
    <x v="1"/>
  </r>
  <r>
    <x v="2"/>
    <x v="24"/>
    <x v="41"/>
    <n v="4.2300000000000004"/>
    <x v="43"/>
    <n v="9.57"/>
    <n v="0.47"/>
    <n v="10.039999999999999"/>
    <x v="54"/>
    <x v="43"/>
    <x v="2"/>
    <n v="34.799999999999997"/>
    <x v="5"/>
    <x v="1"/>
  </r>
  <r>
    <x v="2"/>
    <x v="25"/>
    <x v="42"/>
    <n v="5"/>
    <x v="44"/>
    <n v="8.81"/>
    <n v="1.62"/>
    <n v="10.43"/>
    <x v="55"/>
    <x v="44"/>
    <x v="2"/>
    <n v="82.92"/>
    <x v="2"/>
    <x v="1"/>
  </r>
  <r>
    <x v="2"/>
    <x v="26"/>
    <x v="29"/>
    <n v="2.4"/>
    <x v="45"/>
    <n v="6.21"/>
    <n v="1.89"/>
    <n v="8.1"/>
    <x v="56"/>
    <x v="45"/>
    <x v="2"/>
    <n v="24"/>
    <x v="3"/>
    <x v="1"/>
  </r>
  <r>
    <x v="2"/>
    <x v="27"/>
    <x v="43"/>
    <n v="6.23"/>
    <x v="46"/>
    <n v="9.59"/>
    <n v="0.5"/>
    <n v="10.09"/>
    <x v="57"/>
    <x v="46"/>
    <x v="2"/>
    <n v="80.760000000000005"/>
    <x v="5"/>
    <x v="1"/>
  </r>
  <r>
    <x v="2"/>
    <x v="28"/>
    <x v="0"/>
    <n v="0"/>
    <x v="0"/>
    <n v="0"/>
    <n v="0"/>
    <n v="0"/>
    <x v="0"/>
    <x v="0"/>
    <x v="2"/>
    <n v="0"/>
    <x v="2"/>
    <x v="0"/>
  </r>
  <r>
    <x v="2"/>
    <x v="29"/>
    <x v="36"/>
    <n v="5.61"/>
    <x v="47"/>
    <n v="12.76"/>
    <n v="0.78"/>
    <n v="13.54"/>
    <x v="58"/>
    <x v="47"/>
    <x v="2"/>
    <n v="74.16"/>
    <x v="5"/>
    <x v="1"/>
  </r>
  <r>
    <x v="2"/>
    <x v="30"/>
    <x v="0"/>
    <n v="0"/>
    <x v="0"/>
    <n v="0"/>
    <n v="0"/>
    <n v="0"/>
    <x v="0"/>
    <x v="0"/>
    <x v="2"/>
    <n v="0"/>
    <x v="5"/>
    <x v="0"/>
  </r>
  <r>
    <x v="2"/>
    <x v="31"/>
    <x v="44"/>
    <n v="2.67"/>
    <x v="48"/>
    <n v="9.67"/>
    <n v="1.31"/>
    <n v="10.98"/>
    <x v="59"/>
    <x v="48"/>
    <x v="2"/>
    <n v="21.96"/>
    <x v="2"/>
    <x v="1"/>
  </r>
  <r>
    <x v="2"/>
    <x v="32"/>
    <x v="45"/>
    <n v="0.76"/>
    <x v="49"/>
    <n v="7.74"/>
    <n v="2.0299999999999998"/>
    <n v="9.77"/>
    <x v="60"/>
    <x v="49"/>
    <x v="2"/>
    <n v="6"/>
    <x v="3"/>
    <x v="1"/>
  </r>
  <r>
    <x v="2"/>
    <x v="33"/>
    <x v="46"/>
    <n v="5.81"/>
    <x v="50"/>
    <n v="8.5399999999999991"/>
    <n v="1.56"/>
    <n v="10.1"/>
    <x v="61"/>
    <x v="50"/>
    <x v="2"/>
    <n v="32.64"/>
    <x v="3"/>
    <x v="1"/>
  </r>
  <r>
    <x v="2"/>
    <x v="34"/>
    <x v="47"/>
    <n v="2.4500000000000002"/>
    <x v="51"/>
    <n v="10.130000000000001"/>
    <n v="1.08"/>
    <n v="11.21"/>
    <x v="62"/>
    <x v="51"/>
    <x v="2"/>
    <n v="30.96"/>
    <x v="4"/>
    <x v="1"/>
  </r>
  <r>
    <x v="2"/>
    <x v="36"/>
    <x v="0"/>
    <n v="0"/>
    <x v="0"/>
    <n v="0"/>
    <n v="0"/>
    <n v="0"/>
    <x v="0"/>
    <x v="0"/>
    <x v="2"/>
    <n v="0"/>
    <x v="4"/>
    <x v="0"/>
  </r>
  <r>
    <x v="2"/>
    <x v="37"/>
    <x v="48"/>
    <n v="4.8600000000000003"/>
    <x v="52"/>
    <n v="6.7"/>
    <n v="1.7"/>
    <n v="8.4"/>
    <x v="63"/>
    <x v="52"/>
    <x v="2"/>
    <n v="51.96"/>
    <x v="4"/>
    <x v="1"/>
  </r>
  <r>
    <x v="2"/>
    <x v="38"/>
    <x v="49"/>
    <n v="7.99"/>
    <x v="53"/>
    <n v="8.08"/>
    <n v="1.04"/>
    <n v="9.1199999999999992"/>
    <x v="64"/>
    <x v="53"/>
    <x v="2"/>
    <n v="264.95999999999998"/>
    <x v="2"/>
    <x v="1"/>
  </r>
  <r>
    <x v="2"/>
    <x v="39"/>
    <x v="50"/>
    <n v="6.77"/>
    <x v="54"/>
    <n v="6.52"/>
    <n v="1.2"/>
    <n v="7.72"/>
    <x v="65"/>
    <x v="54"/>
    <x v="2"/>
    <n v="100.92"/>
    <x v="2"/>
    <x v="1"/>
  </r>
  <r>
    <x v="2"/>
    <x v="40"/>
    <x v="41"/>
    <n v="5.69"/>
    <x v="55"/>
    <n v="6.86"/>
    <n v="1.27"/>
    <n v="8.1300000000000008"/>
    <x v="66"/>
    <x v="55"/>
    <x v="2"/>
    <n v="34.799999999999997"/>
    <x v="3"/>
    <x v="1"/>
  </r>
  <r>
    <x v="2"/>
    <x v="41"/>
    <x v="4"/>
    <n v="0.68"/>
    <x v="56"/>
    <n v="11.83"/>
    <n v="0.6"/>
    <n v="12.43"/>
    <x v="67"/>
    <x v="56"/>
    <x v="2"/>
    <n v="12"/>
    <x v="5"/>
    <x v="1"/>
  </r>
  <r>
    <x v="2"/>
    <x v="42"/>
    <x v="51"/>
    <n v="6.88"/>
    <x v="57"/>
    <n v="8.23"/>
    <n v="1.33"/>
    <n v="9.56"/>
    <x v="68"/>
    <x v="57"/>
    <x v="2"/>
    <n v="132"/>
    <x v="2"/>
    <x v="1"/>
  </r>
  <r>
    <x v="2"/>
    <x v="43"/>
    <x v="52"/>
    <n v="0.77"/>
    <x v="58"/>
    <n v="7.29"/>
    <n v="0.8"/>
    <n v="8.09"/>
    <x v="69"/>
    <x v="58"/>
    <x v="2"/>
    <n v="27.96"/>
    <x v="3"/>
    <x v="1"/>
  </r>
  <r>
    <x v="2"/>
    <x v="44"/>
    <x v="53"/>
    <n v="2.5299999999999998"/>
    <x v="59"/>
    <n v="5.97"/>
    <n v="2.12"/>
    <n v="8.09"/>
    <x v="70"/>
    <x v="59"/>
    <x v="2"/>
    <n v="27"/>
    <x v="3"/>
    <x v="1"/>
  </r>
  <r>
    <x v="2"/>
    <x v="45"/>
    <x v="54"/>
    <n v="5.23"/>
    <x v="60"/>
    <n v="3.51"/>
    <n v="4.4000000000000004"/>
    <n v="7.91"/>
    <x v="71"/>
    <x v="60"/>
    <x v="2"/>
    <n v="66"/>
    <x v="4"/>
    <x v="1"/>
  </r>
  <r>
    <x v="2"/>
    <x v="47"/>
    <x v="26"/>
    <n v="1.38"/>
    <x v="61"/>
    <n v="7.92"/>
    <n v="0.15"/>
    <n v="8.07"/>
    <x v="72"/>
    <x v="61"/>
    <x v="2"/>
    <n v="34.92"/>
    <x v="5"/>
    <x v="1"/>
  </r>
  <r>
    <x v="2"/>
    <x v="48"/>
    <x v="0"/>
    <n v="0"/>
    <x v="0"/>
    <n v="0"/>
    <n v="0"/>
    <n v="0"/>
    <x v="0"/>
    <x v="0"/>
    <x v="2"/>
    <n v="0"/>
    <x v="6"/>
    <x v="0"/>
  </r>
  <r>
    <x v="2"/>
    <x v="49"/>
    <x v="55"/>
    <n v="7.8"/>
    <x v="62"/>
    <n v="7.73"/>
    <n v="0.38"/>
    <n v="8.11"/>
    <x v="73"/>
    <x v="62"/>
    <x v="2"/>
    <n v="96"/>
    <x v="3"/>
    <x v="1"/>
  </r>
  <r>
    <x v="2"/>
    <x v="50"/>
    <x v="29"/>
    <n v="3.82"/>
    <x v="63"/>
    <n v="7.06"/>
    <n v="0.78"/>
    <n v="7.84"/>
    <x v="74"/>
    <x v="63"/>
    <x v="2"/>
    <n v="24"/>
    <x v="4"/>
    <x v="1"/>
  </r>
  <r>
    <x v="0"/>
    <x v="0"/>
    <x v="0"/>
    <n v="0"/>
    <x v="0"/>
    <n v="7.13"/>
    <n v="0.91"/>
    <n v="8.0399999999999991"/>
    <x v="75"/>
    <x v="0"/>
    <x v="3"/>
    <n v="0"/>
    <x v="0"/>
    <x v="1"/>
  </r>
  <r>
    <x v="0"/>
    <x v="1"/>
    <x v="0"/>
    <n v="0"/>
    <x v="0"/>
    <n v="7.92"/>
    <n v="0.23"/>
    <n v="8.15"/>
    <x v="76"/>
    <x v="0"/>
    <x v="3"/>
    <n v="0"/>
    <x v="0"/>
    <x v="1"/>
  </r>
  <r>
    <x v="0"/>
    <x v="2"/>
    <x v="0"/>
    <n v="0"/>
    <x v="0"/>
    <n v="7.91"/>
    <n v="0.24"/>
    <n v="8.15"/>
    <x v="77"/>
    <x v="0"/>
    <x v="3"/>
    <n v="0"/>
    <x v="0"/>
    <x v="1"/>
  </r>
  <r>
    <x v="0"/>
    <x v="3"/>
    <x v="0"/>
    <n v="0"/>
    <x v="0"/>
    <n v="7.01"/>
    <n v="1.01"/>
    <n v="8.02"/>
    <x v="78"/>
    <x v="0"/>
    <x v="3"/>
    <n v="0"/>
    <x v="0"/>
    <x v="1"/>
  </r>
  <r>
    <x v="0"/>
    <x v="4"/>
    <x v="56"/>
    <n v="4.0199999999999996"/>
    <x v="64"/>
    <n v="7.9"/>
    <n v="0.23"/>
    <n v="8.1300000000000008"/>
    <x v="79"/>
    <x v="64"/>
    <x v="3"/>
    <n v="21.48"/>
    <x v="0"/>
    <x v="1"/>
  </r>
  <r>
    <x v="0"/>
    <x v="5"/>
    <x v="0"/>
    <n v="0"/>
    <x v="0"/>
    <n v="7.92"/>
    <n v="0.24"/>
    <n v="8.16"/>
    <x v="77"/>
    <x v="0"/>
    <x v="3"/>
    <n v="0"/>
    <x v="0"/>
    <x v="1"/>
  </r>
  <r>
    <x v="0"/>
    <x v="7"/>
    <x v="0"/>
    <n v="0"/>
    <x v="0"/>
    <n v="7.03"/>
    <n v="1"/>
    <n v="8.0299999999999994"/>
    <x v="80"/>
    <x v="0"/>
    <x v="3"/>
    <n v="0"/>
    <x v="0"/>
    <x v="1"/>
  </r>
  <r>
    <x v="0"/>
    <x v="8"/>
    <x v="57"/>
    <n v="7.57"/>
    <x v="65"/>
    <n v="7.13"/>
    <n v="0.91"/>
    <n v="8.0399999999999991"/>
    <x v="75"/>
    <x v="65"/>
    <x v="3"/>
    <n v="90.960000000000008"/>
    <x v="0"/>
    <x v="1"/>
  </r>
  <r>
    <x v="1"/>
    <x v="9"/>
    <x v="58"/>
    <n v="2.27"/>
    <x v="66"/>
    <n v="6.53"/>
    <n v="1.56"/>
    <n v="8.09"/>
    <x v="81"/>
    <x v="66"/>
    <x v="3"/>
    <n v="42"/>
    <x v="1"/>
    <x v="1"/>
  </r>
  <r>
    <x v="1"/>
    <x v="10"/>
    <x v="50"/>
    <n v="7.77"/>
    <x v="67"/>
    <n v="7.73"/>
    <n v="0.7"/>
    <n v="8.43"/>
    <x v="82"/>
    <x v="67"/>
    <x v="3"/>
    <n v="100.92"/>
    <x v="1"/>
    <x v="1"/>
  </r>
  <r>
    <x v="1"/>
    <x v="11"/>
    <x v="59"/>
    <n v="1.23"/>
    <x v="68"/>
    <n v="3.12"/>
    <n v="4.97"/>
    <n v="8.09"/>
    <x v="83"/>
    <x v="68"/>
    <x v="3"/>
    <n v="26.4"/>
    <x v="1"/>
    <x v="1"/>
  </r>
  <r>
    <x v="1"/>
    <x v="12"/>
    <x v="60"/>
    <n v="3.33"/>
    <x v="69"/>
    <n v="3.81"/>
    <n v="4.2699999999999996"/>
    <n v="8.08"/>
    <x v="84"/>
    <x v="69"/>
    <x v="3"/>
    <n v="71.52000000000001"/>
    <x v="1"/>
    <x v="1"/>
  </r>
  <r>
    <x v="1"/>
    <x v="13"/>
    <x v="0"/>
    <n v="0"/>
    <x v="0"/>
    <n v="3.83"/>
    <n v="4.25"/>
    <n v="8.08"/>
    <x v="85"/>
    <x v="0"/>
    <x v="3"/>
    <n v="0"/>
    <x v="1"/>
    <x v="1"/>
  </r>
  <r>
    <x v="2"/>
    <x v="14"/>
    <x v="61"/>
    <n v="3.65"/>
    <x v="70"/>
    <n v="8.36"/>
    <n v="0.63"/>
    <n v="8.99"/>
    <x v="86"/>
    <x v="70"/>
    <x v="3"/>
    <n v="63.96"/>
    <x v="2"/>
    <x v="1"/>
  </r>
  <r>
    <x v="2"/>
    <x v="15"/>
    <x v="52"/>
    <n v="7.34"/>
    <x v="71"/>
    <n v="7.84"/>
    <n v="0.49"/>
    <n v="8.33"/>
    <x v="87"/>
    <x v="71"/>
    <x v="3"/>
    <n v="27.96"/>
    <x v="3"/>
    <x v="1"/>
  </r>
  <r>
    <x v="2"/>
    <x v="17"/>
    <x v="62"/>
    <n v="1.18"/>
    <x v="72"/>
    <n v="5.8"/>
    <n v="4.1500000000000004"/>
    <n v="9.9499999999999993"/>
    <x v="88"/>
    <x v="72"/>
    <x v="3"/>
    <n v="8.76"/>
    <x v="3"/>
    <x v="1"/>
  </r>
  <r>
    <x v="2"/>
    <x v="18"/>
    <x v="63"/>
    <n v="0.75"/>
    <x v="73"/>
    <n v="7.28"/>
    <n v="0.81"/>
    <n v="8.09"/>
    <x v="89"/>
    <x v="73"/>
    <x v="3"/>
    <n v="23.64"/>
    <x v="3"/>
    <x v="1"/>
  </r>
  <r>
    <x v="2"/>
    <x v="19"/>
    <x v="0"/>
    <n v="0"/>
    <x v="0"/>
    <n v="0"/>
    <n v="0"/>
    <n v="0"/>
    <x v="0"/>
    <x v="0"/>
    <x v="3"/>
    <n v="0"/>
    <x v="2"/>
    <x v="0"/>
  </r>
  <r>
    <x v="2"/>
    <x v="21"/>
    <x v="64"/>
    <n v="8.94"/>
    <x v="74"/>
    <n v="9.4600000000000009"/>
    <n v="1.19"/>
    <n v="10.65"/>
    <x v="90"/>
    <x v="74"/>
    <x v="3"/>
    <n v="179.64000000000001"/>
    <x v="2"/>
    <x v="1"/>
  </r>
  <r>
    <x v="2"/>
    <x v="22"/>
    <x v="24"/>
    <n v="2.2999999999999998"/>
    <x v="75"/>
    <n v="5.46"/>
    <n v="2.73"/>
    <n v="8.19"/>
    <x v="91"/>
    <x v="75"/>
    <x v="3"/>
    <n v="30"/>
    <x v="4"/>
    <x v="1"/>
  </r>
  <r>
    <x v="2"/>
    <x v="23"/>
    <x v="65"/>
    <n v="0.86"/>
    <x v="76"/>
    <n v="1.1599999999999999"/>
    <n v="8.76"/>
    <n v="9.92"/>
    <x v="92"/>
    <x v="76"/>
    <x v="3"/>
    <n v="15.6"/>
    <x v="3"/>
    <x v="1"/>
  </r>
  <r>
    <x v="2"/>
    <x v="27"/>
    <x v="66"/>
    <n v="10.74"/>
    <x v="77"/>
    <n v="10.99"/>
    <n v="0.62"/>
    <n v="11.61"/>
    <x v="93"/>
    <x v="77"/>
    <x v="3"/>
    <n v="166.44"/>
    <x v="5"/>
    <x v="1"/>
  </r>
  <r>
    <x v="2"/>
    <x v="28"/>
    <x v="0"/>
    <n v="0"/>
    <x v="0"/>
    <n v="0"/>
    <n v="0"/>
    <n v="0"/>
    <x v="0"/>
    <x v="0"/>
    <x v="3"/>
    <n v="0"/>
    <x v="2"/>
    <x v="0"/>
  </r>
  <r>
    <x v="2"/>
    <x v="29"/>
    <x v="67"/>
    <n v="6.88"/>
    <x v="78"/>
    <n v="12.39"/>
    <n v="0.14000000000000001"/>
    <n v="12.53"/>
    <x v="94"/>
    <x v="78"/>
    <x v="3"/>
    <n v="88.08"/>
    <x v="5"/>
    <x v="1"/>
  </r>
  <r>
    <x v="2"/>
    <x v="30"/>
    <x v="0"/>
    <n v="0"/>
    <x v="0"/>
    <n v="0"/>
    <n v="0"/>
    <n v="0"/>
    <x v="0"/>
    <x v="0"/>
    <x v="3"/>
    <n v="0"/>
    <x v="5"/>
    <x v="0"/>
  </r>
  <r>
    <x v="2"/>
    <x v="32"/>
    <x v="68"/>
    <n v="2.0499999999999998"/>
    <x v="79"/>
    <n v="4.95"/>
    <n v="4.9800000000000004"/>
    <n v="9.93"/>
    <x v="95"/>
    <x v="79"/>
    <x v="3"/>
    <n v="9.9599999999999991"/>
    <x v="3"/>
    <x v="1"/>
  </r>
  <r>
    <x v="2"/>
    <x v="33"/>
    <x v="0"/>
    <n v="0"/>
    <x v="0"/>
    <n v="8.86"/>
    <n v="0.56999999999999995"/>
    <n v="9.43"/>
    <x v="96"/>
    <x v="0"/>
    <x v="3"/>
    <n v="0"/>
    <x v="3"/>
    <x v="1"/>
  </r>
  <r>
    <x v="2"/>
    <x v="34"/>
    <x v="69"/>
    <n v="7.37"/>
    <x v="80"/>
    <n v="6.54"/>
    <n v="1.48"/>
    <n v="8.02"/>
    <x v="97"/>
    <x v="80"/>
    <x v="3"/>
    <n v="68.400000000000006"/>
    <x v="4"/>
    <x v="1"/>
  </r>
  <r>
    <x v="2"/>
    <x v="36"/>
    <x v="0"/>
    <n v="0"/>
    <x v="0"/>
    <n v="0"/>
    <n v="0"/>
    <n v="0"/>
    <x v="0"/>
    <x v="0"/>
    <x v="3"/>
    <n v="0"/>
    <x v="4"/>
    <x v="0"/>
  </r>
  <r>
    <x v="2"/>
    <x v="37"/>
    <x v="70"/>
    <n v="1.08"/>
    <x v="81"/>
    <n v="7.38"/>
    <n v="0.78"/>
    <n v="8.16"/>
    <x v="98"/>
    <x v="81"/>
    <x v="3"/>
    <n v="52.92"/>
    <x v="4"/>
    <x v="1"/>
  </r>
  <r>
    <x v="2"/>
    <x v="38"/>
    <x v="71"/>
    <n v="8.75"/>
    <x v="82"/>
    <n v="11.34"/>
    <n v="0.4"/>
    <n v="11.74"/>
    <x v="99"/>
    <x v="82"/>
    <x v="3"/>
    <n v="267.95999999999998"/>
    <x v="2"/>
    <x v="1"/>
  </r>
  <r>
    <x v="2"/>
    <x v="39"/>
    <x v="72"/>
    <n v="7.21"/>
    <x v="83"/>
    <n v="7.92"/>
    <n v="0.27"/>
    <n v="8.19"/>
    <x v="100"/>
    <x v="83"/>
    <x v="3"/>
    <n v="159"/>
    <x v="2"/>
    <x v="1"/>
  </r>
  <r>
    <x v="2"/>
    <x v="43"/>
    <x v="73"/>
    <n v="3.74"/>
    <x v="84"/>
    <n v="7.26"/>
    <n v="2.69"/>
    <n v="9.9499999999999993"/>
    <x v="101"/>
    <x v="84"/>
    <x v="3"/>
    <n v="60"/>
    <x v="3"/>
    <x v="1"/>
  </r>
  <r>
    <x v="2"/>
    <x v="44"/>
    <x v="29"/>
    <n v="4.07"/>
    <x v="85"/>
    <n v="3.69"/>
    <n v="4.37"/>
    <n v="8.06"/>
    <x v="102"/>
    <x v="85"/>
    <x v="3"/>
    <n v="24"/>
    <x v="3"/>
    <x v="1"/>
  </r>
  <r>
    <x v="2"/>
    <x v="45"/>
    <x v="74"/>
    <n v="5.18"/>
    <x v="86"/>
    <n v="5.38"/>
    <n v="2.76"/>
    <n v="8.14"/>
    <x v="103"/>
    <x v="86"/>
    <x v="3"/>
    <n v="54"/>
    <x v="4"/>
    <x v="1"/>
  </r>
  <r>
    <x v="2"/>
    <x v="46"/>
    <x v="75"/>
    <n v="2.69"/>
    <x v="87"/>
    <n v="8"/>
    <n v="0.22"/>
    <n v="8.2200000000000006"/>
    <x v="104"/>
    <x v="87"/>
    <x v="3"/>
    <n v="26.52"/>
    <x v="4"/>
    <x v="1"/>
  </r>
  <r>
    <x v="2"/>
    <x v="48"/>
    <x v="0"/>
    <n v="0"/>
    <x v="0"/>
    <n v="0"/>
    <n v="0"/>
    <n v="0"/>
    <x v="0"/>
    <x v="0"/>
    <x v="3"/>
    <n v="0"/>
    <x v="6"/>
    <x v="0"/>
  </r>
  <r>
    <x v="2"/>
    <x v="49"/>
    <x v="0"/>
    <n v="0"/>
    <x v="0"/>
    <n v="7.63"/>
    <n v="0.28000000000000003"/>
    <n v="7.91"/>
    <x v="105"/>
    <x v="0"/>
    <x v="3"/>
    <n v="0"/>
    <x v="3"/>
    <x v="1"/>
  </r>
  <r>
    <x v="2"/>
    <x v="50"/>
    <x v="76"/>
    <n v="7.91"/>
    <x v="88"/>
    <n v="9.5500000000000007"/>
    <n v="0.55000000000000004"/>
    <n v="10.1"/>
    <x v="106"/>
    <x v="88"/>
    <x v="3"/>
    <n v="51.6"/>
    <x v="4"/>
    <x v="1"/>
  </r>
  <r>
    <x v="0"/>
    <x v="0"/>
    <x v="0"/>
    <n v="0"/>
    <x v="0"/>
    <n v="7.28"/>
    <n v="0.77"/>
    <n v="8.0500000000000007"/>
    <x v="107"/>
    <x v="0"/>
    <x v="4"/>
    <n v="0"/>
    <x v="0"/>
    <x v="1"/>
  </r>
  <r>
    <x v="0"/>
    <x v="1"/>
    <x v="0"/>
    <n v="0"/>
    <x v="0"/>
    <n v="7.49"/>
    <n v="0.55000000000000004"/>
    <n v="8.0399999999999991"/>
    <x v="41"/>
    <x v="0"/>
    <x v="4"/>
    <n v="0"/>
    <x v="0"/>
    <x v="1"/>
  </r>
  <r>
    <x v="0"/>
    <x v="2"/>
    <x v="0"/>
    <n v="0"/>
    <x v="0"/>
    <n v="7.47"/>
    <n v="0.57999999999999996"/>
    <n v="8.0500000000000007"/>
    <x v="108"/>
    <x v="0"/>
    <x v="4"/>
    <n v="0"/>
    <x v="0"/>
    <x v="1"/>
  </r>
  <r>
    <x v="0"/>
    <x v="3"/>
    <x v="21"/>
    <n v="3.7"/>
    <x v="89"/>
    <n v="7.26"/>
    <n v="0.77"/>
    <n v="8.0299999999999994"/>
    <x v="109"/>
    <x v="89"/>
    <x v="4"/>
    <n v="21.36"/>
    <x v="0"/>
    <x v="1"/>
  </r>
  <r>
    <x v="0"/>
    <x v="4"/>
    <x v="77"/>
    <n v="6.22"/>
    <x v="90"/>
    <n v="7.16"/>
    <n v="0.85"/>
    <n v="8.01"/>
    <x v="110"/>
    <x v="90"/>
    <x v="4"/>
    <n v="44.519999999999996"/>
    <x v="0"/>
    <x v="1"/>
  </r>
  <r>
    <x v="0"/>
    <x v="5"/>
    <x v="0"/>
    <n v="0"/>
    <x v="0"/>
    <n v="7.49"/>
    <n v="0.56000000000000005"/>
    <n v="8.0500000000000007"/>
    <x v="111"/>
    <x v="0"/>
    <x v="4"/>
    <n v="0"/>
    <x v="0"/>
    <x v="1"/>
  </r>
  <r>
    <x v="0"/>
    <x v="6"/>
    <x v="77"/>
    <n v="6.22"/>
    <x v="90"/>
    <n v="7.16"/>
    <n v="0.82"/>
    <n v="7.98"/>
    <x v="112"/>
    <x v="91"/>
    <x v="4"/>
    <n v="44.519999999999996"/>
    <x v="0"/>
    <x v="1"/>
  </r>
  <r>
    <x v="1"/>
    <x v="10"/>
    <x v="0"/>
    <n v="0"/>
    <x v="0"/>
    <n v="6.96"/>
    <n v="1.1399999999999999"/>
    <n v="8.1"/>
    <x v="113"/>
    <x v="0"/>
    <x v="4"/>
    <n v="0"/>
    <x v="1"/>
    <x v="1"/>
  </r>
  <r>
    <x v="1"/>
    <x v="11"/>
    <x v="78"/>
    <n v="3.35"/>
    <x v="91"/>
    <n v="6.49"/>
    <n v="1.59"/>
    <n v="8.08"/>
    <x v="114"/>
    <x v="92"/>
    <x v="4"/>
    <n v="61.92"/>
    <x v="1"/>
    <x v="1"/>
  </r>
  <r>
    <x v="1"/>
    <x v="12"/>
    <x v="0"/>
    <n v="0"/>
    <x v="0"/>
    <n v="4.6500000000000004"/>
    <n v="3.4"/>
    <n v="8.0500000000000007"/>
    <x v="50"/>
    <x v="0"/>
    <x v="4"/>
    <n v="0"/>
    <x v="1"/>
    <x v="1"/>
  </r>
  <r>
    <x v="1"/>
    <x v="13"/>
    <x v="0"/>
    <n v="0"/>
    <x v="0"/>
    <n v="4.6900000000000004"/>
    <n v="3.39"/>
    <n v="8.08"/>
    <x v="115"/>
    <x v="0"/>
    <x v="4"/>
    <n v="0"/>
    <x v="1"/>
    <x v="1"/>
  </r>
  <r>
    <x v="2"/>
    <x v="16"/>
    <x v="79"/>
    <n v="1.83"/>
    <x v="92"/>
    <n v="6.41"/>
    <n v="1.48"/>
    <n v="7.89"/>
    <x v="116"/>
    <x v="93"/>
    <x v="4"/>
    <n v="16.440000000000001"/>
    <x v="4"/>
    <x v="1"/>
  </r>
  <r>
    <x v="2"/>
    <x v="17"/>
    <x v="80"/>
    <n v="2.0099999999999998"/>
    <x v="93"/>
    <n v="3.15"/>
    <n v="5"/>
    <n v="8.15"/>
    <x v="117"/>
    <x v="94"/>
    <x v="4"/>
    <n v="11.16"/>
    <x v="3"/>
    <x v="1"/>
  </r>
  <r>
    <x v="2"/>
    <x v="18"/>
    <x v="26"/>
    <n v="7.09"/>
    <x v="94"/>
    <n v="2.6"/>
    <n v="5.55"/>
    <n v="8.15"/>
    <x v="118"/>
    <x v="95"/>
    <x v="4"/>
    <n v="34.92"/>
    <x v="3"/>
    <x v="1"/>
  </r>
  <r>
    <x v="2"/>
    <x v="19"/>
    <x v="0"/>
    <n v="0"/>
    <x v="0"/>
    <n v="0"/>
    <n v="0"/>
    <n v="0"/>
    <x v="0"/>
    <x v="0"/>
    <x v="4"/>
    <n v="0"/>
    <x v="2"/>
    <x v="0"/>
  </r>
  <r>
    <x v="2"/>
    <x v="20"/>
    <x v="81"/>
    <n v="4.9000000000000004"/>
    <x v="95"/>
    <n v="8.84"/>
    <n v="1.82"/>
    <n v="10.66"/>
    <x v="119"/>
    <x v="96"/>
    <x v="4"/>
    <n v="94.679999999999993"/>
    <x v="5"/>
    <x v="1"/>
  </r>
  <r>
    <x v="2"/>
    <x v="22"/>
    <x v="4"/>
    <n v="0.79"/>
    <x v="96"/>
    <n v="8.56"/>
    <n v="1.23"/>
    <n v="9.7899999999999991"/>
    <x v="120"/>
    <x v="97"/>
    <x v="4"/>
    <n v="12"/>
    <x v="4"/>
    <x v="1"/>
  </r>
  <r>
    <x v="2"/>
    <x v="23"/>
    <x v="82"/>
    <n v="0.83"/>
    <x v="97"/>
    <n v="3.55"/>
    <n v="4.58"/>
    <n v="8.1300000000000008"/>
    <x v="121"/>
    <x v="98"/>
    <x v="4"/>
    <n v="11.879999999999999"/>
    <x v="3"/>
    <x v="1"/>
  </r>
  <r>
    <x v="2"/>
    <x v="25"/>
    <x v="83"/>
    <n v="6.03"/>
    <x v="98"/>
    <n v="7.58"/>
    <n v="0.51"/>
    <n v="8.09"/>
    <x v="122"/>
    <x v="99"/>
    <x v="4"/>
    <n v="81.960000000000008"/>
    <x v="2"/>
    <x v="1"/>
  </r>
  <r>
    <x v="2"/>
    <x v="26"/>
    <x v="84"/>
    <n v="5.84"/>
    <x v="99"/>
    <n v="5.33"/>
    <n v="2.8"/>
    <n v="8.1300000000000008"/>
    <x v="123"/>
    <x v="100"/>
    <x v="4"/>
    <n v="57.96"/>
    <x v="3"/>
    <x v="1"/>
  </r>
  <r>
    <x v="2"/>
    <x v="28"/>
    <x v="0"/>
    <n v="0"/>
    <x v="0"/>
    <n v="0"/>
    <n v="0"/>
    <n v="0"/>
    <x v="0"/>
    <x v="0"/>
    <x v="4"/>
    <n v="0"/>
    <x v="2"/>
    <x v="0"/>
  </r>
  <r>
    <x v="2"/>
    <x v="29"/>
    <x v="85"/>
    <n v="9.5399999999999991"/>
    <x v="100"/>
    <n v="8.4499999999999993"/>
    <n v="2.2000000000000002"/>
    <n v="10.65"/>
    <x v="124"/>
    <x v="101"/>
    <x v="4"/>
    <n v="203.16"/>
    <x v="5"/>
    <x v="1"/>
  </r>
  <r>
    <x v="2"/>
    <x v="30"/>
    <x v="0"/>
    <n v="0"/>
    <x v="0"/>
    <n v="0"/>
    <n v="0"/>
    <n v="0"/>
    <x v="0"/>
    <x v="0"/>
    <x v="4"/>
    <n v="0"/>
    <x v="5"/>
    <x v="0"/>
  </r>
  <r>
    <x v="2"/>
    <x v="31"/>
    <x v="17"/>
    <n v="6.62"/>
    <x v="101"/>
    <n v="7.34"/>
    <n v="0.74"/>
    <n v="8.08"/>
    <x v="125"/>
    <x v="102"/>
    <x v="4"/>
    <n v="117"/>
    <x v="2"/>
    <x v="1"/>
  </r>
  <r>
    <x v="2"/>
    <x v="32"/>
    <x v="86"/>
    <n v="3.14"/>
    <x v="102"/>
    <n v="4.33"/>
    <n v="3.8"/>
    <n v="8.1300000000000008"/>
    <x v="126"/>
    <x v="103"/>
    <x v="4"/>
    <n v="15.12"/>
    <x v="3"/>
    <x v="1"/>
  </r>
  <r>
    <x v="2"/>
    <x v="34"/>
    <x v="87"/>
    <n v="5.29"/>
    <x v="103"/>
    <n v="4.45"/>
    <n v="3.3"/>
    <n v="7.75"/>
    <x v="127"/>
    <x v="104"/>
    <x v="4"/>
    <n v="48.84"/>
    <x v="4"/>
    <x v="1"/>
  </r>
  <r>
    <x v="2"/>
    <x v="35"/>
    <x v="88"/>
    <n v="7.06"/>
    <x v="104"/>
    <n v="8.7799999999999994"/>
    <n v="0.47"/>
    <n v="9.25"/>
    <x v="128"/>
    <x v="105"/>
    <x v="4"/>
    <n v="258"/>
    <x v="2"/>
    <x v="1"/>
  </r>
  <r>
    <x v="2"/>
    <x v="36"/>
    <x v="89"/>
    <n v="1.45"/>
    <x v="105"/>
    <n v="7.16"/>
    <n v="0.69"/>
    <n v="7.85"/>
    <x v="129"/>
    <x v="106"/>
    <x v="4"/>
    <n v="14.88"/>
    <x v="4"/>
    <x v="1"/>
  </r>
  <r>
    <x v="2"/>
    <x v="39"/>
    <x v="90"/>
    <n v="7.33"/>
    <x v="106"/>
    <n v="7.03"/>
    <n v="0.92"/>
    <n v="7.95"/>
    <x v="130"/>
    <x v="107"/>
    <x v="4"/>
    <n v="120"/>
    <x v="2"/>
    <x v="1"/>
  </r>
  <r>
    <x v="2"/>
    <x v="40"/>
    <x v="91"/>
    <n v="6.59"/>
    <x v="107"/>
    <n v="6.79"/>
    <n v="1.35"/>
    <n v="8.14"/>
    <x v="36"/>
    <x v="108"/>
    <x v="4"/>
    <n v="65.52000000000001"/>
    <x v="3"/>
    <x v="1"/>
  </r>
  <r>
    <x v="2"/>
    <x v="42"/>
    <x v="0"/>
    <n v="0"/>
    <x v="0"/>
    <n v="0"/>
    <n v="0"/>
    <n v="0"/>
    <x v="0"/>
    <x v="0"/>
    <x v="4"/>
    <n v="0"/>
    <x v="2"/>
    <x v="0"/>
  </r>
  <r>
    <x v="2"/>
    <x v="43"/>
    <x v="92"/>
    <n v="8.74"/>
    <x v="49"/>
    <n v="8.1"/>
    <n v="0.75"/>
    <n v="8.85"/>
    <x v="131"/>
    <x v="109"/>
    <x v="4"/>
    <n v="69"/>
    <x v="3"/>
    <x v="1"/>
  </r>
  <r>
    <x v="2"/>
    <x v="44"/>
    <x v="22"/>
    <n v="6.94"/>
    <x v="108"/>
    <n v="4.51"/>
    <n v="3.64"/>
    <n v="8.15"/>
    <x v="132"/>
    <x v="110"/>
    <x v="4"/>
    <n v="36"/>
    <x v="3"/>
    <x v="1"/>
  </r>
  <r>
    <x v="2"/>
    <x v="45"/>
    <x v="84"/>
    <n v="3.37"/>
    <x v="109"/>
    <n v="3.79"/>
    <n v="3.96"/>
    <n v="7.75"/>
    <x v="133"/>
    <x v="111"/>
    <x v="4"/>
    <n v="57.96"/>
    <x v="4"/>
    <x v="1"/>
  </r>
  <r>
    <x v="2"/>
    <x v="48"/>
    <x v="0"/>
    <n v="0"/>
    <x v="0"/>
    <n v="0"/>
    <n v="0"/>
    <n v="0"/>
    <x v="0"/>
    <x v="0"/>
    <x v="4"/>
    <n v="0"/>
    <x v="6"/>
    <x v="0"/>
  </r>
  <r>
    <x v="2"/>
    <x v="49"/>
    <x v="93"/>
    <n v="3.56"/>
    <x v="110"/>
    <n v="7.82"/>
    <n v="0.34"/>
    <n v="8.16"/>
    <x v="134"/>
    <x v="112"/>
    <x v="4"/>
    <n v="40.92"/>
    <x v="3"/>
    <x v="1"/>
  </r>
  <r>
    <x v="2"/>
    <x v="50"/>
    <x v="94"/>
    <n v="7.98"/>
    <x v="111"/>
    <n v="7.19"/>
    <n v="2.38"/>
    <n v="9.57"/>
    <x v="135"/>
    <x v="113"/>
    <x v="4"/>
    <n v="49.440000000000005"/>
    <x v="4"/>
    <x v="1"/>
  </r>
  <r>
    <x v="0"/>
    <x v="0"/>
    <x v="0"/>
    <n v="0"/>
    <x v="0"/>
    <n v="0"/>
    <n v="0"/>
    <n v="0"/>
    <x v="0"/>
    <x v="0"/>
    <x v="5"/>
    <n v="0"/>
    <x v="0"/>
    <x v="0"/>
  </r>
  <r>
    <x v="0"/>
    <x v="1"/>
    <x v="0"/>
    <n v="0"/>
    <x v="0"/>
    <n v="0"/>
    <n v="0"/>
    <n v="0"/>
    <x v="0"/>
    <x v="0"/>
    <x v="5"/>
    <n v="0"/>
    <x v="0"/>
    <x v="0"/>
  </r>
  <r>
    <x v="0"/>
    <x v="2"/>
    <x v="0"/>
    <n v="0"/>
    <x v="0"/>
    <n v="0"/>
    <n v="0"/>
    <n v="0"/>
    <x v="0"/>
    <x v="0"/>
    <x v="5"/>
    <n v="0"/>
    <x v="0"/>
    <x v="0"/>
  </r>
  <r>
    <x v="0"/>
    <x v="3"/>
    <x v="0"/>
    <n v="0"/>
    <x v="0"/>
    <n v="0"/>
    <n v="0"/>
    <n v="0"/>
    <x v="0"/>
    <x v="0"/>
    <x v="5"/>
    <n v="0"/>
    <x v="0"/>
    <x v="0"/>
  </r>
  <r>
    <x v="0"/>
    <x v="4"/>
    <x v="45"/>
    <n v="1.07"/>
    <x v="112"/>
    <n v="7.65"/>
    <n v="0.14000000000000001"/>
    <n v="7.79"/>
    <x v="136"/>
    <x v="114"/>
    <x v="5"/>
    <n v="6"/>
    <x v="0"/>
    <x v="1"/>
  </r>
  <r>
    <x v="0"/>
    <x v="5"/>
    <x v="0"/>
    <n v="0"/>
    <x v="0"/>
    <n v="0"/>
    <n v="0"/>
    <n v="0"/>
    <x v="0"/>
    <x v="0"/>
    <x v="5"/>
    <n v="0"/>
    <x v="0"/>
    <x v="0"/>
  </r>
  <r>
    <x v="0"/>
    <x v="7"/>
    <x v="0"/>
    <n v="0"/>
    <x v="0"/>
    <n v="0"/>
    <n v="0"/>
    <n v="0"/>
    <x v="0"/>
    <x v="0"/>
    <x v="5"/>
    <n v="0"/>
    <x v="0"/>
    <x v="0"/>
  </r>
  <r>
    <x v="0"/>
    <x v="8"/>
    <x v="0"/>
    <n v="0"/>
    <x v="0"/>
    <n v="6.5"/>
    <n v="1.54"/>
    <n v="8.0399999999999991"/>
    <x v="137"/>
    <x v="0"/>
    <x v="5"/>
    <n v="0"/>
    <x v="0"/>
    <x v="1"/>
  </r>
  <r>
    <x v="1"/>
    <x v="9"/>
    <x v="0"/>
    <n v="0"/>
    <x v="0"/>
    <n v="0"/>
    <n v="0"/>
    <n v="0"/>
    <x v="0"/>
    <x v="0"/>
    <x v="5"/>
    <n v="0"/>
    <x v="1"/>
    <x v="0"/>
  </r>
  <r>
    <x v="1"/>
    <x v="10"/>
    <x v="0"/>
    <n v="0"/>
    <x v="0"/>
    <n v="7.57"/>
    <n v="0.48"/>
    <n v="8.0500000000000007"/>
    <x v="138"/>
    <x v="0"/>
    <x v="5"/>
    <n v="0"/>
    <x v="1"/>
    <x v="1"/>
  </r>
  <r>
    <x v="1"/>
    <x v="11"/>
    <x v="0"/>
    <n v="0"/>
    <x v="0"/>
    <n v="6.33"/>
    <n v="1.72"/>
    <n v="8.0500000000000007"/>
    <x v="139"/>
    <x v="0"/>
    <x v="5"/>
    <n v="0"/>
    <x v="1"/>
    <x v="1"/>
  </r>
  <r>
    <x v="1"/>
    <x v="12"/>
    <x v="0"/>
    <n v="0"/>
    <x v="0"/>
    <n v="0"/>
    <n v="0"/>
    <n v="0"/>
    <x v="0"/>
    <x v="0"/>
    <x v="5"/>
    <n v="0"/>
    <x v="1"/>
    <x v="0"/>
  </r>
  <r>
    <x v="1"/>
    <x v="13"/>
    <x v="0"/>
    <n v="0"/>
    <x v="0"/>
    <n v="0"/>
    <n v="0"/>
    <n v="0"/>
    <x v="0"/>
    <x v="0"/>
    <x v="5"/>
    <n v="0"/>
    <x v="1"/>
    <x v="0"/>
  </r>
  <r>
    <x v="2"/>
    <x v="18"/>
    <x v="95"/>
    <n v="4.8499999999999996"/>
    <x v="113"/>
    <n v="4.8499999999999996"/>
    <n v="3.15"/>
    <n v="8"/>
    <x v="140"/>
    <x v="115"/>
    <x v="5"/>
    <n v="86.039999999999992"/>
    <x v="3"/>
    <x v="1"/>
  </r>
  <r>
    <x v="2"/>
    <x v="19"/>
    <x v="0"/>
    <n v="0"/>
    <x v="0"/>
    <n v="0"/>
    <n v="0"/>
    <n v="0"/>
    <x v="0"/>
    <x v="0"/>
    <x v="5"/>
    <n v="0"/>
    <x v="2"/>
    <x v="0"/>
  </r>
  <r>
    <x v="2"/>
    <x v="21"/>
    <x v="16"/>
    <n v="3.78"/>
    <x v="114"/>
    <n v="5.29"/>
    <n v="2.72"/>
    <n v="8.01"/>
    <x v="141"/>
    <x v="116"/>
    <x v="5"/>
    <n v="61.320000000000007"/>
    <x v="2"/>
    <x v="1"/>
  </r>
  <r>
    <x v="2"/>
    <x v="22"/>
    <x v="0"/>
    <n v="0"/>
    <x v="0"/>
    <n v="0"/>
    <n v="0"/>
    <n v="0"/>
    <x v="0"/>
    <x v="0"/>
    <x v="5"/>
    <n v="0"/>
    <x v="4"/>
    <x v="0"/>
  </r>
  <r>
    <x v="2"/>
    <x v="24"/>
    <x v="96"/>
    <n v="6.36"/>
    <x v="115"/>
    <n v="4.6900000000000004"/>
    <n v="3.28"/>
    <n v="7.97"/>
    <x v="142"/>
    <x v="117"/>
    <x v="5"/>
    <n v="76.320000000000007"/>
    <x v="5"/>
    <x v="1"/>
  </r>
  <r>
    <x v="2"/>
    <x v="25"/>
    <x v="97"/>
    <n v="5.83"/>
    <x v="116"/>
    <n v="7.59"/>
    <n v="0.51"/>
    <n v="8.1"/>
    <x v="122"/>
    <x v="118"/>
    <x v="5"/>
    <n v="69.84"/>
    <x v="2"/>
    <x v="1"/>
  </r>
  <r>
    <x v="2"/>
    <x v="27"/>
    <x v="98"/>
    <n v="7.18"/>
    <x v="117"/>
    <n v="4.71"/>
    <n v="3.25"/>
    <n v="7.96"/>
    <x v="143"/>
    <x v="119"/>
    <x v="5"/>
    <n v="83.64"/>
    <x v="5"/>
    <x v="1"/>
  </r>
  <r>
    <x v="2"/>
    <x v="28"/>
    <x v="0"/>
    <n v="0"/>
    <x v="0"/>
    <n v="0"/>
    <n v="0"/>
    <n v="0"/>
    <x v="0"/>
    <x v="0"/>
    <x v="5"/>
    <n v="0"/>
    <x v="2"/>
    <x v="0"/>
  </r>
  <r>
    <x v="2"/>
    <x v="30"/>
    <x v="0"/>
    <n v="0"/>
    <x v="0"/>
    <n v="0"/>
    <n v="0"/>
    <n v="0"/>
    <x v="0"/>
    <x v="0"/>
    <x v="5"/>
    <n v="0"/>
    <x v="5"/>
    <x v="0"/>
  </r>
  <r>
    <x v="2"/>
    <x v="31"/>
    <x v="99"/>
    <n v="5.99"/>
    <x v="118"/>
    <n v="5.18"/>
    <n v="2.81"/>
    <n v="7.99"/>
    <x v="144"/>
    <x v="120"/>
    <x v="5"/>
    <n v="55.92"/>
    <x v="2"/>
    <x v="1"/>
  </r>
  <r>
    <x v="2"/>
    <x v="33"/>
    <x v="0"/>
    <n v="0"/>
    <x v="0"/>
    <n v="0"/>
    <n v="0"/>
    <n v="0"/>
    <x v="0"/>
    <x v="0"/>
    <x v="5"/>
    <n v="0"/>
    <x v="3"/>
    <x v="0"/>
  </r>
  <r>
    <x v="2"/>
    <x v="34"/>
    <x v="0"/>
    <n v="0"/>
    <x v="0"/>
    <n v="0"/>
    <n v="0"/>
    <n v="0"/>
    <x v="0"/>
    <x v="0"/>
    <x v="5"/>
    <n v="0"/>
    <x v="4"/>
    <x v="0"/>
  </r>
  <r>
    <x v="2"/>
    <x v="35"/>
    <x v="0"/>
    <n v="0"/>
    <x v="0"/>
    <n v="0"/>
    <n v="0"/>
    <n v="0"/>
    <x v="0"/>
    <x v="0"/>
    <x v="5"/>
    <n v="0"/>
    <x v="2"/>
    <x v="0"/>
  </r>
  <r>
    <x v="2"/>
    <x v="36"/>
    <x v="0"/>
    <n v="0"/>
    <x v="0"/>
    <n v="0"/>
    <n v="0"/>
    <n v="0"/>
    <x v="0"/>
    <x v="0"/>
    <x v="5"/>
    <n v="0"/>
    <x v="4"/>
    <x v="0"/>
  </r>
  <r>
    <x v="2"/>
    <x v="39"/>
    <x v="100"/>
    <n v="5.1100000000000003"/>
    <x v="119"/>
    <n v="4.33"/>
    <n v="3.65"/>
    <n v="7.98"/>
    <x v="145"/>
    <x v="121"/>
    <x v="5"/>
    <n v="48.96"/>
    <x v="2"/>
    <x v="1"/>
  </r>
  <r>
    <x v="2"/>
    <x v="40"/>
    <x v="0"/>
    <n v="0"/>
    <x v="0"/>
    <n v="0"/>
    <n v="0"/>
    <n v="0"/>
    <x v="0"/>
    <x v="0"/>
    <x v="5"/>
    <n v="0"/>
    <x v="3"/>
    <x v="0"/>
  </r>
  <r>
    <x v="2"/>
    <x v="41"/>
    <x v="0"/>
    <n v="0"/>
    <x v="0"/>
    <n v="0"/>
    <n v="0"/>
    <n v="0"/>
    <x v="0"/>
    <x v="0"/>
    <x v="5"/>
    <n v="0"/>
    <x v="5"/>
    <x v="0"/>
  </r>
  <r>
    <x v="2"/>
    <x v="42"/>
    <x v="84"/>
    <n v="4.1500000000000004"/>
    <x v="120"/>
    <n v="4.0599999999999996"/>
    <n v="3.91"/>
    <n v="7.97"/>
    <x v="146"/>
    <x v="122"/>
    <x v="5"/>
    <n v="57.96"/>
    <x v="2"/>
    <x v="1"/>
  </r>
  <r>
    <x v="2"/>
    <x v="43"/>
    <x v="101"/>
    <n v="7.68"/>
    <x v="121"/>
    <n v="6.75"/>
    <n v="1.25"/>
    <n v="8"/>
    <x v="66"/>
    <x v="123"/>
    <x v="5"/>
    <n v="75.239999999999995"/>
    <x v="3"/>
    <x v="1"/>
  </r>
  <r>
    <x v="2"/>
    <x v="44"/>
    <x v="0"/>
    <n v="0"/>
    <x v="0"/>
    <n v="0"/>
    <n v="0"/>
    <n v="0"/>
    <x v="0"/>
    <x v="0"/>
    <x v="5"/>
    <n v="0"/>
    <x v="3"/>
    <x v="0"/>
  </r>
  <r>
    <x v="2"/>
    <x v="45"/>
    <x v="73"/>
    <n v="3.1"/>
    <x v="122"/>
    <n v="3.1"/>
    <n v="4.88"/>
    <n v="7.98"/>
    <x v="147"/>
    <x v="124"/>
    <x v="5"/>
    <n v="60"/>
    <x v="4"/>
    <x v="1"/>
  </r>
  <r>
    <x v="2"/>
    <x v="46"/>
    <x v="0"/>
    <n v="0"/>
    <x v="0"/>
    <n v="0"/>
    <n v="0"/>
    <n v="0"/>
    <x v="0"/>
    <x v="0"/>
    <x v="5"/>
    <n v="0"/>
    <x v="4"/>
    <x v="0"/>
  </r>
  <r>
    <x v="2"/>
    <x v="47"/>
    <x v="0"/>
    <n v="0"/>
    <x v="0"/>
    <n v="6.49"/>
    <n v="1.53"/>
    <n v="8.02"/>
    <x v="148"/>
    <x v="0"/>
    <x v="5"/>
    <n v="0"/>
    <x v="5"/>
    <x v="1"/>
  </r>
  <r>
    <x v="2"/>
    <x v="48"/>
    <x v="0"/>
    <n v="0"/>
    <x v="0"/>
    <n v="0"/>
    <n v="0"/>
    <n v="0"/>
    <x v="0"/>
    <x v="0"/>
    <x v="5"/>
    <n v="0"/>
    <x v="6"/>
    <x v="0"/>
  </r>
  <r>
    <x v="2"/>
    <x v="50"/>
    <x v="102"/>
    <n v="6.45"/>
    <x v="123"/>
    <n v="5"/>
    <n v="3.08"/>
    <n v="8.08"/>
    <x v="149"/>
    <x v="125"/>
    <x v="5"/>
    <n v="117.6"/>
    <x v="4"/>
    <x v="1"/>
  </r>
  <r>
    <x v="0"/>
    <x v="0"/>
    <x v="0"/>
    <n v="0"/>
    <x v="0"/>
    <n v="0"/>
    <n v="0"/>
    <n v="0"/>
    <x v="0"/>
    <x v="0"/>
    <x v="6"/>
    <n v="0"/>
    <x v="0"/>
    <x v="0"/>
  </r>
  <r>
    <x v="0"/>
    <x v="1"/>
    <x v="0"/>
    <n v="0"/>
    <x v="0"/>
    <n v="0"/>
    <n v="0"/>
    <n v="0"/>
    <x v="0"/>
    <x v="0"/>
    <x v="6"/>
    <n v="0"/>
    <x v="0"/>
    <x v="0"/>
  </r>
  <r>
    <x v="0"/>
    <x v="2"/>
    <x v="0"/>
    <n v="0"/>
    <x v="0"/>
    <n v="0"/>
    <n v="0"/>
    <n v="0"/>
    <x v="0"/>
    <x v="0"/>
    <x v="6"/>
    <n v="0"/>
    <x v="0"/>
    <x v="0"/>
  </r>
  <r>
    <x v="0"/>
    <x v="3"/>
    <x v="0"/>
    <n v="0"/>
    <x v="0"/>
    <n v="0"/>
    <n v="0"/>
    <n v="0"/>
    <x v="0"/>
    <x v="0"/>
    <x v="6"/>
    <n v="0"/>
    <x v="0"/>
    <x v="0"/>
  </r>
  <r>
    <x v="0"/>
    <x v="4"/>
    <x v="0"/>
    <n v="0"/>
    <x v="0"/>
    <n v="0"/>
    <n v="0"/>
    <n v="0"/>
    <x v="0"/>
    <x v="0"/>
    <x v="6"/>
    <n v="0"/>
    <x v="0"/>
    <x v="0"/>
  </r>
  <r>
    <x v="0"/>
    <x v="5"/>
    <x v="0"/>
    <n v="0"/>
    <x v="0"/>
    <n v="0"/>
    <n v="0"/>
    <n v="0"/>
    <x v="0"/>
    <x v="0"/>
    <x v="6"/>
    <n v="0"/>
    <x v="0"/>
    <x v="0"/>
  </r>
  <r>
    <x v="0"/>
    <x v="6"/>
    <x v="0"/>
    <n v="0"/>
    <x v="0"/>
    <n v="0"/>
    <n v="0"/>
    <n v="0"/>
    <x v="0"/>
    <x v="0"/>
    <x v="6"/>
    <n v="0"/>
    <x v="0"/>
    <x v="0"/>
  </r>
  <r>
    <x v="0"/>
    <x v="7"/>
    <x v="0"/>
    <n v="0"/>
    <x v="0"/>
    <n v="0"/>
    <n v="0"/>
    <n v="0"/>
    <x v="0"/>
    <x v="0"/>
    <x v="6"/>
    <n v="0"/>
    <x v="0"/>
    <x v="0"/>
  </r>
  <r>
    <x v="0"/>
    <x v="8"/>
    <x v="0"/>
    <n v="0"/>
    <x v="0"/>
    <n v="0"/>
    <n v="0"/>
    <n v="0"/>
    <x v="0"/>
    <x v="0"/>
    <x v="6"/>
    <n v="0"/>
    <x v="0"/>
    <x v="0"/>
  </r>
  <r>
    <x v="1"/>
    <x v="9"/>
    <x v="0"/>
    <n v="0"/>
    <x v="0"/>
    <n v="0"/>
    <n v="0"/>
    <n v="0"/>
    <x v="0"/>
    <x v="0"/>
    <x v="6"/>
    <n v="0"/>
    <x v="1"/>
    <x v="0"/>
  </r>
  <r>
    <x v="1"/>
    <x v="10"/>
    <x v="0"/>
    <n v="0"/>
    <x v="0"/>
    <n v="0"/>
    <n v="0"/>
    <n v="0"/>
    <x v="0"/>
    <x v="0"/>
    <x v="6"/>
    <n v="0"/>
    <x v="1"/>
    <x v="0"/>
  </r>
  <r>
    <x v="1"/>
    <x v="11"/>
    <x v="0"/>
    <n v="0"/>
    <x v="0"/>
    <n v="0"/>
    <n v="0"/>
    <n v="0"/>
    <x v="0"/>
    <x v="0"/>
    <x v="6"/>
    <n v="0"/>
    <x v="1"/>
    <x v="0"/>
  </r>
  <r>
    <x v="1"/>
    <x v="12"/>
    <x v="0"/>
    <n v="0"/>
    <x v="0"/>
    <n v="0"/>
    <n v="0"/>
    <n v="0"/>
    <x v="0"/>
    <x v="0"/>
    <x v="6"/>
    <n v="0"/>
    <x v="1"/>
    <x v="0"/>
  </r>
  <r>
    <x v="1"/>
    <x v="13"/>
    <x v="0"/>
    <n v="0"/>
    <x v="0"/>
    <n v="0"/>
    <n v="0"/>
    <n v="0"/>
    <x v="0"/>
    <x v="0"/>
    <x v="6"/>
    <n v="0"/>
    <x v="1"/>
    <x v="0"/>
  </r>
  <r>
    <x v="2"/>
    <x v="14"/>
    <x v="0"/>
    <n v="0"/>
    <x v="0"/>
    <n v="0"/>
    <n v="0"/>
    <n v="0"/>
    <x v="0"/>
    <x v="0"/>
    <x v="6"/>
    <n v="0"/>
    <x v="2"/>
    <x v="0"/>
  </r>
  <r>
    <x v="2"/>
    <x v="15"/>
    <x v="0"/>
    <n v="0"/>
    <x v="0"/>
    <n v="0"/>
    <n v="0"/>
    <n v="0"/>
    <x v="0"/>
    <x v="0"/>
    <x v="6"/>
    <n v="0"/>
    <x v="3"/>
    <x v="0"/>
  </r>
  <r>
    <x v="2"/>
    <x v="16"/>
    <x v="0"/>
    <n v="0"/>
    <x v="0"/>
    <n v="0"/>
    <n v="0"/>
    <n v="0"/>
    <x v="0"/>
    <x v="0"/>
    <x v="6"/>
    <n v="0"/>
    <x v="4"/>
    <x v="0"/>
  </r>
  <r>
    <x v="2"/>
    <x v="17"/>
    <x v="0"/>
    <n v="0"/>
    <x v="0"/>
    <n v="0"/>
    <n v="0"/>
    <n v="0"/>
    <x v="0"/>
    <x v="0"/>
    <x v="6"/>
    <n v="0"/>
    <x v="3"/>
    <x v="0"/>
  </r>
  <r>
    <x v="2"/>
    <x v="18"/>
    <x v="0"/>
    <n v="0"/>
    <x v="0"/>
    <n v="0"/>
    <n v="0"/>
    <n v="0"/>
    <x v="0"/>
    <x v="0"/>
    <x v="6"/>
    <n v="0"/>
    <x v="3"/>
    <x v="0"/>
  </r>
  <r>
    <x v="2"/>
    <x v="19"/>
    <x v="0"/>
    <n v="0"/>
    <x v="0"/>
    <n v="0"/>
    <n v="0"/>
    <n v="0"/>
    <x v="0"/>
    <x v="0"/>
    <x v="6"/>
    <n v="0"/>
    <x v="2"/>
    <x v="0"/>
  </r>
  <r>
    <x v="2"/>
    <x v="20"/>
    <x v="0"/>
    <n v="0"/>
    <x v="0"/>
    <n v="0"/>
    <n v="0"/>
    <n v="0"/>
    <x v="0"/>
    <x v="0"/>
    <x v="6"/>
    <n v="0"/>
    <x v="5"/>
    <x v="0"/>
  </r>
  <r>
    <x v="2"/>
    <x v="21"/>
    <x v="0"/>
    <n v="0"/>
    <x v="0"/>
    <n v="0"/>
    <n v="0"/>
    <n v="0"/>
    <x v="0"/>
    <x v="0"/>
    <x v="6"/>
    <n v="0"/>
    <x v="2"/>
    <x v="0"/>
  </r>
  <r>
    <x v="2"/>
    <x v="22"/>
    <x v="0"/>
    <n v="0"/>
    <x v="0"/>
    <n v="0"/>
    <n v="0"/>
    <n v="0"/>
    <x v="0"/>
    <x v="0"/>
    <x v="6"/>
    <n v="0"/>
    <x v="4"/>
    <x v="0"/>
  </r>
  <r>
    <x v="2"/>
    <x v="23"/>
    <x v="0"/>
    <n v="0"/>
    <x v="0"/>
    <n v="0"/>
    <n v="0"/>
    <n v="0"/>
    <x v="0"/>
    <x v="0"/>
    <x v="6"/>
    <n v="0"/>
    <x v="3"/>
    <x v="0"/>
  </r>
  <r>
    <x v="2"/>
    <x v="24"/>
    <x v="0"/>
    <n v="0"/>
    <x v="0"/>
    <n v="0"/>
    <n v="0"/>
    <n v="0"/>
    <x v="0"/>
    <x v="0"/>
    <x v="6"/>
    <n v="0"/>
    <x v="5"/>
    <x v="0"/>
  </r>
  <r>
    <x v="2"/>
    <x v="25"/>
    <x v="0"/>
    <n v="0"/>
    <x v="0"/>
    <n v="0"/>
    <n v="0"/>
    <n v="0"/>
    <x v="0"/>
    <x v="0"/>
    <x v="6"/>
    <n v="0"/>
    <x v="2"/>
    <x v="0"/>
  </r>
  <r>
    <x v="2"/>
    <x v="26"/>
    <x v="0"/>
    <n v="0"/>
    <x v="0"/>
    <n v="0"/>
    <n v="0"/>
    <n v="0"/>
    <x v="0"/>
    <x v="0"/>
    <x v="6"/>
    <n v="0"/>
    <x v="3"/>
    <x v="0"/>
  </r>
  <r>
    <x v="2"/>
    <x v="27"/>
    <x v="0"/>
    <n v="0"/>
    <x v="0"/>
    <n v="0"/>
    <n v="0"/>
    <n v="0"/>
    <x v="0"/>
    <x v="0"/>
    <x v="6"/>
    <n v="0"/>
    <x v="5"/>
    <x v="0"/>
  </r>
  <r>
    <x v="2"/>
    <x v="28"/>
    <x v="0"/>
    <n v="0"/>
    <x v="0"/>
    <n v="0"/>
    <n v="0"/>
    <n v="0"/>
    <x v="0"/>
    <x v="0"/>
    <x v="6"/>
    <n v="0"/>
    <x v="2"/>
    <x v="0"/>
  </r>
  <r>
    <x v="2"/>
    <x v="29"/>
    <x v="0"/>
    <n v="0"/>
    <x v="0"/>
    <n v="0"/>
    <n v="0"/>
    <n v="0"/>
    <x v="0"/>
    <x v="0"/>
    <x v="6"/>
    <n v="0"/>
    <x v="5"/>
    <x v="0"/>
  </r>
  <r>
    <x v="2"/>
    <x v="30"/>
    <x v="0"/>
    <n v="0"/>
    <x v="0"/>
    <n v="0"/>
    <n v="0"/>
    <n v="0"/>
    <x v="0"/>
    <x v="0"/>
    <x v="6"/>
    <n v="0"/>
    <x v="5"/>
    <x v="0"/>
  </r>
  <r>
    <x v="2"/>
    <x v="31"/>
    <x v="0"/>
    <n v="0"/>
    <x v="0"/>
    <n v="0"/>
    <n v="0"/>
    <n v="0"/>
    <x v="0"/>
    <x v="0"/>
    <x v="6"/>
    <n v="0"/>
    <x v="2"/>
    <x v="0"/>
  </r>
  <r>
    <x v="2"/>
    <x v="32"/>
    <x v="0"/>
    <n v="0"/>
    <x v="0"/>
    <n v="0"/>
    <n v="0"/>
    <n v="0"/>
    <x v="0"/>
    <x v="0"/>
    <x v="6"/>
    <n v="0"/>
    <x v="3"/>
    <x v="0"/>
  </r>
  <r>
    <x v="2"/>
    <x v="33"/>
    <x v="0"/>
    <n v="0"/>
    <x v="0"/>
    <n v="0"/>
    <n v="0"/>
    <n v="0"/>
    <x v="0"/>
    <x v="0"/>
    <x v="6"/>
    <n v="0"/>
    <x v="3"/>
    <x v="0"/>
  </r>
  <r>
    <x v="2"/>
    <x v="34"/>
    <x v="0"/>
    <n v="0"/>
    <x v="0"/>
    <n v="0"/>
    <n v="0"/>
    <n v="0"/>
    <x v="0"/>
    <x v="0"/>
    <x v="6"/>
    <n v="0"/>
    <x v="4"/>
    <x v="0"/>
  </r>
  <r>
    <x v="2"/>
    <x v="35"/>
    <x v="0"/>
    <n v="0"/>
    <x v="0"/>
    <n v="0"/>
    <n v="0"/>
    <n v="0"/>
    <x v="0"/>
    <x v="0"/>
    <x v="6"/>
    <n v="0"/>
    <x v="2"/>
    <x v="0"/>
  </r>
  <r>
    <x v="2"/>
    <x v="36"/>
    <x v="0"/>
    <n v="0"/>
    <x v="0"/>
    <n v="0"/>
    <n v="0"/>
    <n v="0"/>
    <x v="0"/>
    <x v="0"/>
    <x v="6"/>
    <n v="0"/>
    <x v="4"/>
    <x v="0"/>
  </r>
  <r>
    <x v="2"/>
    <x v="37"/>
    <x v="0"/>
    <n v="0"/>
    <x v="0"/>
    <n v="0"/>
    <n v="0"/>
    <n v="0"/>
    <x v="0"/>
    <x v="0"/>
    <x v="6"/>
    <n v="0"/>
    <x v="4"/>
    <x v="0"/>
  </r>
  <r>
    <x v="2"/>
    <x v="38"/>
    <x v="0"/>
    <n v="0"/>
    <x v="0"/>
    <n v="0"/>
    <n v="0"/>
    <n v="0"/>
    <x v="0"/>
    <x v="0"/>
    <x v="6"/>
    <n v="0"/>
    <x v="2"/>
    <x v="0"/>
  </r>
  <r>
    <x v="2"/>
    <x v="39"/>
    <x v="0"/>
    <n v="0"/>
    <x v="0"/>
    <n v="0"/>
    <n v="0"/>
    <n v="0"/>
    <x v="0"/>
    <x v="0"/>
    <x v="6"/>
    <n v="0"/>
    <x v="2"/>
    <x v="0"/>
  </r>
  <r>
    <x v="2"/>
    <x v="40"/>
    <x v="0"/>
    <n v="0"/>
    <x v="0"/>
    <n v="0"/>
    <n v="0"/>
    <n v="0"/>
    <x v="0"/>
    <x v="0"/>
    <x v="6"/>
    <n v="0"/>
    <x v="3"/>
    <x v="0"/>
  </r>
  <r>
    <x v="2"/>
    <x v="41"/>
    <x v="0"/>
    <n v="0"/>
    <x v="0"/>
    <n v="0"/>
    <n v="0"/>
    <n v="0"/>
    <x v="0"/>
    <x v="0"/>
    <x v="6"/>
    <n v="0"/>
    <x v="5"/>
    <x v="0"/>
  </r>
  <r>
    <x v="2"/>
    <x v="42"/>
    <x v="0"/>
    <n v="0"/>
    <x v="0"/>
    <n v="0"/>
    <n v="0"/>
    <n v="0"/>
    <x v="0"/>
    <x v="0"/>
    <x v="6"/>
    <n v="0"/>
    <x v="2"/>
    <x v="0"/>
  </r>
  <r>
    <x v="2"/>
    <x v="43"/>
    <x v="0"/>
    <n v="0"/>
    <x v="0"/>
    <n v="0"/>
    <n v="0"/>
    <n v="0"/>
    <x v="0"/>
    <x v="0"/>
    <x v="6"/>
    <n v="0"/>
    <x v="3"/>
    <x v="0"/>
  </r>
  <r>
    <x v="2"/>
    <x v="44"/>
    <x v="0"/>
    <n v="0"/>
    <x v="0"/>
    <n v="0"/>
    <n v="0"/>
    <n v="0"/>
    <x v="0"/>
    <x v="0"/>
    <x v="6"/>
    <n v="0"/>
    <x v="3"/>
    <x v="0"/>
  </r>
  <r>
    <x v="2"/>
    <x v="45"/>
    <x v="0"/>
    <n v="0"/>
    <x v="0"/>
    <n v="0"/>
    <n v="0"/>
    <n v="0"/>
    <x v="0"/>
    <x v="0"/>
    <x v="6"/>
    <n v="0"/>
    <x v="4"/>
    <x v="0"/>
  </r>
  <r>
    <x v="2"/>
    <x v="46"/>
    <x v="0"/>
    <n v="0"/>
    <x v="0"/>
    <n v="0"/>
    <n v="0"/>
    <n v="0"/>
    <x v="0"/>
    <x v="0"/>
    <x v="6"/>
    <n v="0"/>
    <x v="4"/>
    <x v="0"/>
  </r>
  <r>
    <x v="2"/>
    <x v="47"/>
    <x v="0"/>
    <n v="0"/>
    <x v="0"/>
    <n v="0"/>
    <n v="0"/>
    <n v="0"/>
    <x v="0"/>
    <x v="0"/>
    <x v="6"/>
    <n v="0"/>
    <x v="5"/>
    <x v="0"/>
  </r>
  <r>
    <x v="2"/>
    <x v="48"/>
    <x v="0"/>
    <n v="0"/>
    <x v="0"/>
    <n v="0"/>
    <n v="0"/>
    <n v="0"/>
    <x v="0"/>
    <x v="0"/>
    <x v="6"/>
    <n v="0"/>
    <x v="6"/>
    <x v="0"/>
  </r>
  <r>
    <x v="2"/>
    <x v="49"/>
    <x v="0"/>
    <n v="0"/>
    <x v="0"/>
    <n v="0"/>
    <n v="0"/>
    <n v="0"/>
    <x v="0"/>
    <x v="0"/>
    <x v="6"/>
    <n v="0"/>
    <x v="3"/>
    <x v="0"/>
  </r>
  <r>
    <x v="2"/>
    <x v="50"/>
    <x v="0"/>
    <n v="0"/>
    <x v="0"/>
    <n v="0"/>
    <n v="0"/>
    <n v="0"/>
    <x v="0"/>
    <x v="0"/>
    <x v="6"/>
    <n v="0"/>
    <x v="4"/>
    <x v="0"/>
  </r>
  <r>
    <x v="0"/>
    <x v="0"/>
    <x v="103"/>
    <n v="5.62"/>
    <x v="124"/>
    <n v="7.7"/>
    <n v="0.4"/>
    <n v="8.1"/>
    <x v="150"/>
    <x v="126"/>
    <x v="7"/>
    <n v="27.839999999999996"/>
    <x v="0"/>
    <x v="1"/>
  </r>
  <r>
    <x v="0"/>
    <x v="1"/>
    <x v="0"/>
    <n v="0"/>
    <x v="0"/>
    <n v="10.37"/>
    <n v="0.18"/>
    <n v="10.55"/>
    <x v="151"/>
    <x v="0"/>
    <x v="7"/>
    <n v="0"/>
    <x v="0"/>
    <x v="1"/>
  </r>
  <r>
    <x v="0"/>
    <x v="2"/>
    <x v="0"/>
    <n v="0"/>
    <x v="0"/>
    <n v="10.37"/>
    <n v="0.18"/>
    <n v="10.55"/>
    <x v="151"/>
    <x v="0"/>
    <x v="7"/>
    <n v="0"/>
    <x v="0"/>
    <x v="1"/>
  </r>
  <r>
    <x v="0"/>
    <x v="3"/>
    <x v="0"/>
    <n v="0"/>
    <x v="0"/>
    <n v="7.65"/>
    <n v="0.45"/>
    <n v="8.1"/>
    <x v="152"/>
    <x v="0"/>
    <x v="7"/>
    <n v="0"/>
    <x v="0"/>
    <x v="1"/>
  </r>
  <r>
    <x v="0"/>
    <x v="4"/>
    <x v="0"/>
    <n v="0"/>
    <x v="0"/>
    <n v="8.33"/>
    <n v="2.2599999999999998"/>
    <n v="10.59"/>
    <x v="153"/>
    <x v="0"/>
    <x v="7"/>
    <n v="0"/>
    <x v="0"/>
    <x v="1"/>
  </r>
  <r>
    <x v="0"/>
    <x v="5"/>
    <x v="0"/>
    <n v="0"/>
    <x v="0"/>
    <n v="10.39"/>
    <n v="0.18"/>
    <n v="10.57"/>
    <x v="154"/>
    <x v="0"/>
    <x v="7"/>
    <n v="0"/>
    <x v="0"/>
    <x v="1"/>
  </r>
  <r>
    <x v="0"/>
    <x v="6"/>
    <x v="24"/>
    <n v="4.88"/>
    <x v="125"/>
    <n v="8.33"/>
    <n v="2.2599999999999998"/>
    <n v="10.59"/>
    <x v="153"/>
    <x v="127"/>
    <x v="7"/>
    <n v="30"/>
    <x v="0"/>
    <x v="1"/>
  </r>
  <r>
    <x v="0"/>
    <x v="7"/>
    <x v="104"/>
    <n v="2.4500000000000002"/>
    <x v="126"/>
    <n v="7.66"/>
    <n v="0.38"/>
    <n v="8.0399999999999991"/>
    <x v="155"/>
    <x v="128"/>
    <x v="7"/>
    <n v="12.120000000000001"/>
    <x v="0"/>
    <x v="1"/>
  </r>
  <r>
    <x v="0"/>
    <x v="8"/>
    <x v="0"/>
    <n v="0"/>
    <x v="0"/>
    <n v="7.4"/>
    <n v="0.7"/>
    <n v="8.1"/>
    <x v="156"/>
    <x v="0"/>
    <x v="7"/>
    <n v="0"/>
    <x v="0"/>
    <x v="1"/>
  </r>
  <r>
    <x v="1"/>
    <x v="9"/>
    <x v="0"/>
    <n v="0"/>
    <x v="0"/>
    <n v="6.36"/>
    <n v="1.78"/>
    <n v="8.14"/>
    <x v="157"/>
    <x v="0"/>
    <x v="7"/>
    <n v="0"/>
    <x v="1"/>
    <x v="1"/>
  </r>
  <r>
    <x v="1"/>
    <x v="10"/>
    <x v="105"/>
    <n v="3.63"/>
    <x v="127"/>
    <n v="6.96"/>
    <n v="1.1299999999999999"/>
    <n v="8.09"/>
    <x v="158"/>
    <x v="129"/>
    <x v="7"/>
    <n v="44.4"/>
    <x v="1"/>
    <x v="1"/>
  </r>
  <r>
    <x v="1"/>
    <x v="11"/>
    <x v="106"/>
    <n v="2.98"/>
    <x v="128"/>
    <n v="3.2"/>
    <n v="4.9400000000000004"/>
    <n v="8.14"/>
    <x v="159"/>
    <x v="130"/>
    <x v="7"/>
    <n v="31.559999999999995"/>
    <x v="1"/>
    <x v="1"/>
  </r>
  <r>
    <x v="1"/>
    <x v="12"/>
    <x v="107"/>
    <n v="1.37"/>
    <x v="129"/>
    <n v="3.18"/>
    <n v="4.93"/>
    <n v="8.11"/>
    <x v="160"/>
    <x v="131"/>
    <x v="7"/>
    <n v="15.720000000000002"/>
    <x v="1"/>
    <x v="1"/>
  </r>
  <r>
    <x v="1"/>
    <x v="13"/>
    <x v="108"/>
    <n v="5.42"/>
    <x v="130"/>
    <n v="3.18"/>
    <n v="4.95"/>
    <n v="8.1300000000000008"/>
    <x v="161"/>
    <x v="132"/>
    <x v="7"/>
    <n v="39.72"/>
    <x v="1"/>
    <x v="1"/>
  </r>
  <r>
    <x v="2"/>
    <x v="14"/>
    <x v="109"/>
    <n v="7.79"/>
    <x v="131"/>
    <n v="8.89"/>
    <n v="1.21"/>
    <n v="10.1"/>
    <x v="162"/>
    <x v="133"/>
    <x v="7"/>
    <n v="210.36000000000004"/>
    <x v="2"/>
    <x v="1"/>
  </r>
  <r>
    <x v="2"/>
    <x v="15"/>
    <x v="4"/>
    <n v="1.35"/>
    <x v="132"/>
    <n v="9.0399999999999991"/>
    <n v="1.0900000000000001"/>
    <n v="10.130000000000001"/>
    <x v="163"/>
    <x v="134"/>
    <x v="7"/>
    <n v="12"/>
    <x v="3"/>
    <x v="1"/>
  </r>
  <r>
    <x v="2"/>
    <x v="17"/>
    <x v="0"/>
    <n v="0"/>
    <x v="0"/>
    <n v="4.9800000000000004"/>
    <n v="4.6500000000000004"/>
    <n v="9.6300000000000008"/>
    <x v="164"/>
    <x v="0"/>
    <x v="7"/>
    <n v="0"/>
    <x v="3"/>
    <x v="1"/>
  </r>
  <r>
    <x v="2"/>
    <x v="18"/>
    <x v="110"/>
    <n v="5.92"/>
    <x v="133"/>
    <n v="6.23"/>
    <n v="1.85"/>
    <n v="8.08"/>
    <x v="165"/>
    <x v="135"/>
    <x v="7"/>
    <n v="64.92"/>
    <x v="3"/>
    <x v="1"/>
  </r>
  <r>
    <x v="2"/>
    <x v="19"/>
    <x v="0"/>
    <n v="0"/>
    <x v="0"/>
    <n v="0"/>
    <n v="0"/>
    <n v="0"/>
    <x v="0"/>
    <x v="0"/>
    <x v="7"/>
    <n v="0"/>
    <x v="2"/>
    <x v="0"/>
  </r>
  <r>
    <x v="2"/>
    <x v="20"/>
    <x v="111"/>
    <n v="7.76"/>
    <x v="134"/>
    <n v="8.91"/>
    <n v="1.8"/>
    <n v="10.71"/>
    <x v="166"/>
    <x v="136"/>
    <x v="7"/>
    <n v="94.92"/>
    <x v="5"/>
    <x v="1"/>
  </r>
  <r>
    <x v="2"/>
    <x v="21"/>
    <x v="112"/>
    <n v="4.51"/>
    <x v="135"/>
    <n v="8.24"/>
    <n v="0.22"/>
    <n v="8.4600000000000009"/>
    <x v="167"/>
    <x v="137"/>
    <x v="7"/>
    <n v="81.47999999999999"/>
    <x v="2"/>
    <x v="1"/>
  </r>
  <r>
    <x v="2"/>
    <x v="22"/>
    <x v="113"/>
    <n v="6.17"/>
    <x v="136"/>
    <n v="9.36"/>
    <n v="0.39"/>
    <n v="9.75"/>
    <x v="168"/>
    <x v="138"/>
    <x v="7"/>
    <n v="54.96"/>
    <x v="4"/>
    <x v="1"/>
  </r>
  <r>
    <x v="2"/>
    <x v="23"/>
    <x v="0"/>
    <n v="0"/>
    <x v="0"/>
    <n v="8.43"/>
    <n v="1.2"/>
    <n v="9.6300000000000008"/>
    <x v="169"/>
    <x v="0"/>
    <x v="7"/>
    <n v="0"/>
    <x v="3"/>
    <x v="1"/>
  </r>
  <r>
    <x v="2"/>
    <x v="24"/>
    <x v="114"/>
    <n v="7.24"/>
    <x v="137"/>
    <n v="9.99"/>
    <n v="7.0000000000000007E-2"/>
    <n v="10.06"/>
    <x v="170"/>
    <x v="139"/>
    <x v="7"/>
    <n v="105.47999999999999"/>
    <x v="5"/>
    <x v="1"/>
  </r>
  <r>
    <x v="2"/>
    <x v="26"/>
    <x v="0"/>
    <n v="0"/>
    <x v="0"/>
    <n v="4.3"/>
    <n v="3.77"/>
    <n v="8.07"/>
    <x v="171"/>
    <x v="0"/>
    <x v="7"/>
    <n v="0"/>
    <x v="3"/>
    <x v="1"/>
  </r>
  <r>
    <x v="2"/>
    <x v="27"/>
    <x v="115"/>
    <n v="8.14"/>
    <x v="138"/>
    <n v="9.9700000000000006"/>
    <n v="7.0000000000000007E-2"/>
    <n v="10.039999999999999"/>
    <x v="170"/>
    <x v="140"/>
    <x v="7"/>
    <n v="125.64000000000001"/>
    <x v="5"/>
    <x v="1"/>
  </r>
  <r>
    <x v="2"/>
    <x v="28"/>
    <x v="0"/>
    <n v="0"/>
    <x v="0"/>
    <n v="0"/>
    <n v="0"/>
    <n v="0"/>
    <x v="0"/>
    <x v="0"/>
    <x v="7"/>
    <n v="0"/>
    <x v="2"/>
    <x v="0"/>
  </r>
  <r>
    <x v="2"/>
    <x v="30"/>
    <x v="0"/>
    <n v="0"/>
    <x v="0"/>
    <n v="0"/>
    <n v="0"/>
    <n v="0"/>
    <x v="0"/>
    <x v="0"/>
    <x v="7"/>
    <n v="0"/>
    <x v="5"/>
    <x v="0"/>
  </r>
  <r>
    <x v="2"/>
    <x v="31"/>
    <x v="116"/>
    <n v="6.96"/>
    <x v="139"/>
    <n v="7.64"/>
    <n v="1.48"/>
    <n v="9.1199999999999992"/>
    <x v="172"/>
    <x v="141"/>
    <x v="7"/>
    <n v="144"/>
    <x v="2"/>
    <x v="1"/>
  </r>
  <r>
    <x v="2"/>
    <x v="32"/>
    <x v="68"/>
    <n v="3.03"/>
    <x v="140"/>
    <n v="8.43"/>
    <n v="1.17"/>
    <n v="9.6"/>
    <x v="173"/>
    <x v="142"/>
    <x v="7"/>
    <n v="9.9599999999999991"/>
    <x v="3"/>
    <x v="1"/>
  </r>
  <r>
    <x v="2"/>
    <x v="33"/>
    <x v="0"/>
    <n v="0"/>
    <x v="0"/>
    <n v="7.75"/>
    <n v="0.47"/>
    <n v="8.2200000000000006"/>
    <x v="174"/>
    <x v="0"/>
    <x v="7"/>
    <n v="0"/>
    <x v="3"/>
    <x v="1"/>
  </r>
  <r>
    <x v="2"/>
    <x v="34"/>
    <x v="70"/>
    <n v="2.8"/>
    <x v="141"/>
    <n v="6.52"/>
    <n v="3.47"/>
    <n v="9.99"/>
    <x v="175"/>
    <x v="143"/>
    <x v="7"/>
    <n v="52.92"/>
    <x v="4"/>
    <x v="1"/>
  </r>
  <r>
    <x v="2"/>
    <x v="35"/>
    <x v="117"/>
    <n v="7.57"/>
    <x v="142"/>
    <n v="11.24"/>
    <n v="1.23"/>
    <n v="12.47"/>
    <x v="176"/>
    <x v="144"/>
    <x v="7"/>
    <n v="141.95999999999998"/>
    <x v="2"/>
    <x v="1"/>
  </r>
  <r>
    <x v="2"/>
    <x v="36"/>
    <x v="0"/>
    <n v="0"/>
    <x v="0"/>
    <n v="9.3800000000000008"/>
    <n v="0.63"/>
    <n v="10.01"/>
    <x v="177"/>
    <x v="0"/>
    <x v="7"/>
    <n v="0"/>
    <x v="4"/>
    <x v="1"/>
  </r>
  <r>
    <x v="2"/>
    <x v="37"/>
    <x v="118"/>
    <n v="1.88"/>
    <x v="143"/>
    <n v="7.75"/>
    <n v="0.55000000000000004"/>
    <n v="8.3000000000000007"/>
    <x v="178"/>
    <x v="14"/>
    <x v="7"/>
    <n v="6.9599999999999991"/>
    <x v="4"/>
    <x v="1"/>
  </r>
  <r>
    <x v="2"/>
    <x v="39"/>
    <x v="28"/>
    <n v="5.54"/>
    <x v="144"/>
    <n v="4.91"/>
    <n v="3.94"/>
    <n v="8.85"/>
    <x v="179"/>
    <x v="145"/>
    <x v="7"/>
    <n v="66.960000000000008"/>
    <x v="2"/>
    <x v="1"/>
  </r>
  <r>
    <x v="2"/>
    <x v="40"/>
    <x v="0"/>
    <n v="0"/>
    <x v="0"/>
    <n v="7.74"/>
    <n v="0.49"/>
    <n v="8.23"/>
    <x v="180"/>
    <x v="0"/>
    <x v="7"/>
    <n v="0"/>
    <x v="3"/>
    <x v="1"/>
  </r>
  <r>
    <x v="2"/>
    <x v="41"/>
    <x v="119"/>
    <n v="7"/>
    <x v="145"/>
    <n v="9.6300000000000008"/>
    <n v="1"/>
    <n v="10.63"/>
    <x v="181"/>
    <x v="146"/>
    <x v="7"/>
    <n v="46.92"/>
    <x v="5"/>
    <x v="1"/>
  </r>
  <r>
    <x v="2"/>
    <x v="42"/>
    <x v="111"/>
    <n v="4.8600000000000003"/>
    <x v="146"/>
    <n v="8.4"/>
    <n v="0.55000000000000004"/>
    <n v="8.9499999999999993"/>
    <x v="182"/>
    <x v="147"/>
    <x v="7"/>
    <n v="94.92"/>
    <x v="2"/>
    <x v="1"/>
  </r>
  <r>
    <x v="2"/>
    <x v="43"/>
    <x v="4"/>
    <n v="0.65"/>
    <x v="147"/>
    <n v="7.25"/>
    <n v="0.9"/>
    <n v="8.15"/>
    <x v="183"/>
    <x v="148"/>
    <x v="7"/>
    <n v="12"/>
    <x v="3"/>
    <x v="1"/>
  </r>
  <r>
    <x v="2"/>
    <x v="44"/>
    <x v="0"/>
    <n v="0"/>
    <x v="0"/>
    <n v="5.04"/>
    <n v="3.02"/>
    <n v="8.06"/>
    <x v="184"/>
    <x v="0"/>
    <x v="7"/>
    <n v="0"/>
    <x v="3"/>
    <x v="1"/>
  </r>
  <r>
    <x v="2"/>
    <x v="45"/>
    <x v="0"/>
    <n v="0"/>
    <x v="0"/>
    <n v="4.16"/>
    <n v="4.12"/>
    <n v="8.2799999999999994"/>
    <x v="185"/>
    <x v="0"/>
    <x v="7"/>
    <n v="0"/>
    <x v="4"/>
    <x v="1"/>
  </r>
  <r>
    <x v="2"/>
    <x v="46"/>
    <x v="120"/>
    <n v="6.4"/>
    <x v="148"/>
    <n v="9.67"/>
    <n v="0.37"/>
    <n v="10.039999999999999"/>
    <x v="186"/>
    <x v="149"/>
    <x v="7"/>
    <n v="88.56"/>
    <x v="4"/>
    <x v="1"/>
  </r>
  <r>
    <x v="2"/>
    <x v="47"/>
    <x v="121"/>
    <n v="4.08"/>
    <x v="149"/>
    <n v="7.4"/>
    <n v="0.67"/>
    <n v="8.07"/>
    <x v="82"/>
    <x v="150"/>
    <x v="7"/>
    <n v="29.160000000000004"/>
    <x v="5"/>
    <x v="1"/>
  </r>
  <r>
    <x v="2"/>
    <x v="48"/>
    <x v="0"/>
    <n v="0"/>
    <x v="0"/>
    <n v="0"/>
    <n v="0"/>
    <n v="0"/>
    <x v="0"/>
    <x v="0"/>
    <x v="7"/>
    <n v="0"/>
    <x v="6"/>
    <x v="0"/>
  </r>
  <r>
    <x v="2"/>
    <x v="49"/>
    <x v="122"/>
    <n v="1.7"/>
    <x v="150"/>
    <n v="7.59"/>
    <n v="0.49"/>
    <n v="8.08"/>
    <x v="187"/>
    <x v="151"/>
    <x v="7"/>
    <n v="15.960000000000003"/>
    <x v="3"/>
    <x v="1"/>
  </r>
  <r>
    <x v="2"/>
    <x v="50"/>
    <x v="123"/>
    <n v="5.67"/>
    <x v="151"/>
    <n v="9.26"/>
    <n v="0.7"/>
    <n v="9.9600000000000009"/>
    <x v="188"/>
    <x v="152"/>
    <x v="7"/>
    <n v="25.920000000000005"/>
    <x v="4"/>
    <x v="1"/>
  </r>
  <r>
    <x v="0"/>
    <x v="0"/>
    <x v="0"/>
    <n v="0"/>
    <x v="0"/>
    <n v="7.12"/>
    <n v="1.01"/>
    <n v="8.1300000000000008"/>
    <x v="189"/>
    <x v="0"/>
    <x v="8"/>
    <n v="0"/>
    <x v="0"/>
    <x v="1"/>
  </r>
  <r>
    <x v="0"/>
    <x v="1"/>
    <x v="124"/>
    <n v="6.57"/>
    <x v="152"/>
    <n v="10.36"/>
    <n v="0.26"/>
    <n v="10.62"/>
    <x v="190"/>
    <x v="153"/>
    <x v="8"/>
    <n v="1.92"/>
    <x v="0"/>
    <x v="1"/>
  </r>
  <r>
    <x v="0"/>
    <x v="2"/>
    <x v="124"/>
    <n v="6.57"/>
    <x v="152"/>
    <n v="10.36"/>
    <n v="0.25"/>
    <n v="10.61"/>
    <x v="191"/>
    <x v="153"/>
    <x v="8"/>
    <n v="1.92"/>
    <x v="0"/>
    <x v="1"/>
  </r>
  <r>
    <x v="0"/>
    <x v="3"/>
    <x v="125"/>
    <n v="7.66"/>
    <x v="153"/>
    <n v="8.9600000000000009"/>
    <n v="1.1299999999999999"/>
    <n v="10.09"/>
    <x v="192"/>
    <x v="154"/>
    <x v="8"/>
    <n v="12.48"/>
    <x v="0"/>
    <x v="1"/>
  </r>
  <r>
    <x v="0"/>
    <x v="4"/>
    <x v="126"/>
    <n v="6.48"/>
    <x v="154"/>
    <n v="10.43"/>
    <n v="0.2"/>
    <n v="10.63"/>
    <x v="193"/>
    <x v="155"/>
    <x v="8"/>
    <n v="38.519999999999996"/>
    <x v="0"/>
    <x v="1"/>
  </r>
  <r>
    <x v="0"/>
    <x v="5"/>
    <x v="124"/>
    <n v="6.57"/>
    <x v="152"/>
    <n v="10.38"/>
    <n v="0.25"/>
    <n v="10.63"/>
    <x v="194"/>
    <x v="153"/>
    <x v="8"/>
    <n v="1.92"/>
    <x v="0"/>
    <x v="1"/>
  </r>
  <r>
    <x v="0"/>
    <x v="6"/>
    <x v="126"/>
    <n v="6.48"/>
    <x v="154"/>
    <n v="10.43"/>
    <n v="0.2"/>
    <n v="10.63"/>
    <x v="193"/>
    <x v="155"/>
    <x v="8"/>
    <n v="38.519999999999996"/>
    <x v="0"/>
    <x v="1"/>
  </r>
  <r>
    <x v="0"/>
    <x v="7"/>
    <x v="125"/>
    <n v="7.66"/>
    <x v="153"/>
    <n v="9.5500000000000007"/>
    <n v="1.01"/>
    <n v="10.56"/>
    <x v="98"/>
    <x v="156"/>
    <x v="8"/>
    <n v="12.48"/>
    <x v="0"/>
    <x v="1"/>
  </r>
  <r>
    <x v="0"/>
    <x v="8"/>
    <x v="0"/>
    <n v="0"/>
    <x v="0"/>
    <n v="10.18"/>
    <n v="0.44"/>
    <n v="10.62"/>
    <x v="195"/>
    <x v="0"/>
    <x v="8"/>
    <n v="0"/>
    <x v="0"/>
    <x v="1"/>
  </r>
  <r>
    <x v="1"/>
    <x v="9"/>
    <x v="0"/>
    <n v="0"/>
    <x v="0"/>
    <n v="5.92"/>
    <n v="2.11"/>
    <n v="8.0299999999999994"/>
    <x v="196"/>
    <x v="0"/>
    <x v="8"/>
    <n v="0"/>
    <x v="1"/>
    <x v="1"/>
  </r>
  <r>
    <x v="1"/>
    <x v="10"/>
    <x v="116"/>
    <n v="7.78"/>
    <x v="155"/>
    <n v="7.05"/>
    <n v="1.03"/>
    <n v="8.08"/>
    <x v="197"/>
    <x v="157"/>
    <x v="8"/>
    <n v="144"/>
    <x v="1"/>
    <x v="1"/>
  </r>
  <r>
    <x v="1"/>
    <x v="12"/>
    <x v="9"/>
    <n v="0.35"/>
    <x v="156"/>
    <n v="4.03"/>
    <n v="4.05"/>
    <n v="8.08"/>
    <x v="198"/>
    <x v="10"/>
    <x v="8"/>
    <n v="0.48"/>
    <x v="1"/>
    <x v="1"/>
  </r>
  <r>
    <x v="1"/>
    <x v="13"/>
    <x v="127"/>
    <n v="0.67"/>
    <x v="157"/>
    <n v="4.03"/>
    <n v="4.0599999999999996"/>
    <n v="8.09"/>
    <x v="199"/>
    <x v="158"/>
    <x v="8"/>
    <n v="0.6"/>
    <x v="1"/>
    <x v="1"/>
  </r>
  <r>
    <x v="2"/>
    <x v="14"/>
    <x v="54"/>
    <n v="3.68"/>
    <x v="158"/>
    <n v="7.43"/>
    <n v="0.43"/>
    <n v="7.86"/>
    <x v="200"/>
    <x v="159"/>
    <x v="8"/>
    <n v="66"/>
    <x v="2"/>
    <x v="1"/>
  </r>
  <r>
    <x v="2"/>
    <x v="16"/>
    <x v="4"/>
    <n v="1.82"/>
    <x v="159"/>
    <n v="7.05"/>
    <n v="0.94"/>
    <n v="7.99"/>
    <x v="201"/>
    <x v="160"/>
    <x v="8"/>
    <n v="12"/>
    <x v="4"/>
    <x v="1"/>
  </r>
  <r>
    <x v="2"/>
    <x v="17"/>
    <x v="0"/>
    <n v="0"/>
    <x v="0"/>
    <n v="3.52"/>
    <n v="0.9"/>
    <n v="4.42"/>
    <x v="202"/>
    <x v="0"/>
    <x v="8"/>
    <n v="0"/>
    <x v="3"/>
    <x v="1"/>
  </r>
  <r>
    <x v="2"/>
    <x v="19"/>
    <x v="0"/>
    <n v="0"/>
    <x v="0"/>
    <n v="0"/>
    <n v="0"/>
    <n v="0"/>
    <x v="0"/>
    <x v="0"/>
    <x v="8"/>
    <n v="0"/>
    <x v="2"/>
    <x v="0"/>
  </r>
  <r>
    <x v="2"/>
    <x v="20"/>
    <x v="128"/>
    <n v="5.4"/>
    <x v="160"/>
    <n v="7.33"/>
    <n v="1.68"/>
    <n v="9.01"/>
    <x v="203"/>
    <x v="161"/>
    <x v="8"/>
    <n v="99.84"/>
    <x v="5"/>
    <x v="1"/>
  </r>
  <r>
    <x v="2"/>
    <x v="23"/>
    <x v="129"/>
    <n v="0.6"/>
    <x v="161"/>
    <n v="2.58"/>
    <n v="5.93"/>
    <n v="8.51"/>
    <x v="204"/>
    <x v="162"/>
    <x v="8"/>
    <n v="12.960000000000003"/>
    <x v="3"/>
    <x v="1"/>
  </r>
  <r>
    <x v="2"/>
    <x v="24"/>
    <x v="0"/>
    <n v="0"/>
    <x v="0"/>
    <n v="10.4"/>
    <n v="0.08"/>
    <n v="10.48"/>
    <x v="205"/>
    <x v="0"/>
    <x v="8"/>
    <n v="0"/>
    <x v="5"/>
    <x v="1"/>
  </r>
  <r>
    <x v="2"/>
    <x v="25"/>
    <x v="130"/>
    <n v="7.37"/>
    <x v="162"/>
    <n v="7.37"/>
    <n v="1.01"/>
    <n v="8.3800000000000008"/>
    <x v="206"/>
    <x v="163"/>
    <x v="8"/>
    <n v="145.92000000000002"/>
    <x v="2"/>
    <x v="1"/>
  </r>
  <r>
    <x v="2"/>
    <x v="26"/>
    <x v="4"/>
    <n v="0.87"/>
    <x v="163"/>
    <n v="3.2"/>
    <n v="5.03"/>
    <n v="8.23"/>
    <x v="207"/>
    <x v="164"/>
    <x v="8"/>
    <n v="12"/>
    <x v="3"/>
    <x v="1"/>
  </r>
  <r>
    <x v="2"/>
    <x v="27"/>
    <x v="131"/>
    <n v="2.02"/>
    <x v="164"/>
    <n v="10.45"/>
    <n v="0.06"/>
    <n v="10.51"/>
    <x v="208"/>
    <x v="165"/>
    <x v="8"/>
    <n v="27.48"/>
    <x v="5"/>
    <x v="1"/>
  </r>
  <r>
    <x v="2"/>
    <x v="28"/>
    <x v="0"/>
    <n v="0"/>
    <x v="0"/>
    <n v="0"/>
    <n v="0"/>
    <n v="0"/>
    <x v="0"/>
    <x v="0"/>
    <x v="8"/>
    <n v="0"/>
    <x v="2"/>
    <x v="0"/>
  </r>
  <r>
    <x v="2"/>
    <x v="29"/>
    <x v="0"/>
    <n v="0"/>
    <x v="0"/>
    <n v="0"/>
    <n v="0"/>
    <n v="0"/>
    <x v="0"/>
    <x v="0"/>
    <x v="8"/>
    <n v="0"/>
    <x v="5"/>
    <x v="0"/>
  </r>
  <r>
    <x v="2"/>
    <x v="30"/>
    <x v="0"/>
    <n v="0"/>
    <x v="0"/>
    <n v="0"/>
    <n v="0"/>
    <n v="0"/>
    <x v="0"/>
    <x v="0"/>
    <x v="8"/>
    <n v="0"/>
    <x v="5"/>
    <x v="0"/>
  </r>
  <r>
    <x v="2"/>
    <x v="31"/>
    <x v="50"/>
    <n v="5.86"/>
    <x v="165"/>
    <n v="8.07"/>
    <n v="0.53"/>
    <n v="8.6"/>
    <x v="209"/>
    <x v="166"/>
    <x v="8"/>
    <n v="100.92"/>
    <x v="2"/>
    <x v="1"/>
  </r>
  <r>
    <x v="2"/>
    <x v="32"/>
    <x v="132"/>
    <n v="7.42"/>
    <x v="166"/>
    <n v="3.77"/>
    <n v="4.76"/>
    <n v="8.5299999999999994"/>
    <x v="210"/>
    <x v="167"/>
    <x v="8"/>
    <n v="23.4"/>
    <x v="3"/>
    <x v="1"/>
  </r>
  <r>
    <x v="2"/>
    <x v="33"/>
    <x v="0"/>
    <n v="0"/>
    <x v="0"/>
    <n v="7.87"/>
    <n v="0.35"/>
    <n v="8.2200000000000006"/>
    <x v="211"/>
    <x v="0"/>
    <x v="8"/>
    <n v="0"/>
    <x v="3"/>
    <x v="1"/>
  </r>
  <r>
    <x v="2"/>
    <x v="34"/>
    <x v="133"/>
    <n v="1.57"/>
    <x v="167"/>
    <n v="7.4"/>
    <n v="2.52"/>
    <n v="9.92"/>
    <x v="212"/>
    <x v="168"/>
    <x v="8"/>
    <n v="19.919999999999998"/>
    <x v="4"/>
    <x v="1"/>
  </r>
  <r>
    <x v="2"/>
    <x v="35"/>
    <x v="134"/>
    <n v="6.49"/>
    <x v="168"/>
    <n v="11.03"/>
    <n v="0.1"/>
    <n v="11.13"/>
    <x v="213"/>
    <x v="169"/>
    <x v="8"/>
    <n v="178.92000000000002"/>
    <x v="2"/>
    <x v="1"/>
  </r>
  <r>
    <x v="2"/>
    <x v="36"/>
    <x v="0"/>
    <n v="0"/>
    <x v="0"/>
    <n v="7.38"/>
    <n v="2.58"/>
    <n v="9.9600000000000009"/>
    <x v="214"/>
    <x v="0"/>
    <x v="8"/>
    <n v="0"/>
    <x v="4"/>
    <x v="1"/>
  </r>
  <r>
    <x v="2"/>
    <x v="37"/>
    <x v="135"/>
    <n v="0.45"/>
    <x v="132"/>
    <n v="6.09"/>
    <n v="0.51"/>
    <n v="6.6"/>
    <x v="215"/>
    <x v="170"/>
    <x v="8"/>
    <n v="3.96"/>
    <x v="4"/>
    <x v="1"/>
  </r>
  <r>
    <x v="2"/>
    <x v="38"/>
    <x v="136"/>
    <n v="6.5"/>
    <x v="169"/>
    <n v="8.1"/>
    <n v="0.13"/>
    <n v="8.23"/>
    <x v="216"/>
    <x v="171"/>
    <x v="8"/>
    <n v="160.92000000000002"/>
    <x v="2"/>
    <x v="1"/>
  </r>
  <r>
    <x v="2"/>
    <x v="39"/>
    <x v="0"/>
    <n v="0"/>
    <x v="0"/>
    <n v="0"/>
    <n v="0"/>
    <n v="0"/>
    <x v="0"/>
    <x v="0"/>
    <x v="8"/>
    <n v="0"/>
    <x v="2"/>
    <x v="0"/>
  </r>
  <r>
    <x v="2"/>
    <x v="40"/>
    <x v="0"/>
    <n v="0"/>
    <x v="0"/>
    <n v="7.86"/>
    <n v="0.34"/>
    <n v="8.1999999999999993"/>
    <x v="217"/>
    <x v="0"/>
    <x v="8"/>
    <n v="0"/>
    <x v="3"/>
    <x v="1"/>
  </r>
  <r>
    <x v="2"/>
    <x v="41"/>
    <x v="137"/>
    <n v="11.38"/>
    <x v="170"/>
    <n v="8.4600000000000009"/>
    <n v="3.12"/>
    <n v="11.58"/>
    <x v="218"/>
    <x v="172"/>
    <x v="8"/>
    <n v="114.23999999999998"/>
    <x v="5"/>
    <x v="1"/>
  </r>
  <r>
    <x v="2"/>
    <x v="44"/>
    <x v="0"/>
    <n v="0"/>
    <x v="0"/>
    <n v="6.83"/>
    <n v="1.51"/>
    <n v="8.34"/>
    <x v="219"/>
    <x v="0"/>
    <x v="8"/>
    <n v="0"/>
    <x v="3"/>
    <x v="1"/>
  </r>
  <r>
    <x v="2"/>
    <x v="45"/>
    <x v="138"/>
    <n v="3.58"/>
    <x v="171"/>
    <n v="5.83"/>
    <n v="2.5499999999999998"/>
    <n v="8.3800000000000008"/>
    <x v="220"/>
    <x v="173"/>
    <x v="8"/>
    <n v="22.919999999999998"/>
    <x v="4"/>
    <x v="1"/>
  </r>
  <r>
    <x v="2"/>
    <x v="46"/>
    <x v="44"/>
    <n v="2.13"/>
    <x v="172"/>
    <n v="7.05"/>
    <n v="0.94"/>
    <n v="7.99"/>
    <x v="201"/>
    <x v="174"/>
    <x v="8"/>
    <n v="21.96"/>
    <x v="4"/>
    <x v="1"/>
  </r>
  <r>
    <x v="2"/>
    <x v="48"/>
    <x v="0"/>
    <n v="0"/>
    <x v="0"/>
    <n v="0"/>
    <n v="0"/>
    <n v="0"/>
    <x v="0"/>
    <x v="0"/>
    <x v="8"/>
    <n v="0"/>
    <x v="6"/>
    <x v="0"/>
  </r>
  <r>
    <x v="2"/>
    <x v="49"/>
    <x v="139"/>
    <n v="8.0399999999999991"/>
    <x v="173"/>
    <n v="7.82"/>
    <n v="0.41"/>
    <n v="8.23"/>
    <x v="221"/>
    <x v="175"/>
    <x v="8"/>
    <n v="77.039999999999992"/>
    <x v="3"/>
    <x v="1"/>
  </r>
  <r>
    <x v="2"/>
    <x v="50"/>
    <x v="0"/>
    <n v="0"/>
    <x v="0"/>
    <n v="8.75"/>
    <n v="0.62"/>
    <n v="9.3699999999999992"/>
    <x v="222"/>
    <x v="0"/>
    <x v="8"/>
    <n v="0"/>
    <x v="4"/>
    <x v="1"/>
  </r>
  <r>
    <x v="0"/>
    <x v="7"/>
    <x v="140"/>
    <n v="7.48"/>
    <x v="174"/>
    <n v="6.8"/>
    <n v="1.25"/>
    <n v="8.0500000000000007"/>
    <x v="55"/>
    <x v="176"/>
    <x v="9"/>
    <n v="33.239999999999995"/>
    <x v="0"/>
    <x v="1"/>
  </r>
  <r>
    <x v="1"/>
    <x v="11"/>
    <x v="141"/>
    <n v="4.3499999999999996"/>
    <x v="175"/>
    <n v="5.36"/>
    <n v="2.69"/>
    <n v="8.0500000000000007"/>
    <x v="223"/>
    <x v="177"/>
    <x v="9"/>
    <n v="87.36"/>
    <x v="1"/>
    <x v="1"/>
  </r>
  <r>
    <x v="2"/>
    <x v="15"/>
    <x v="142"/>
    <n v="6.81"/>
    <x v="176"/>
    <n v="8.1999999999999993"/>
    <n v="0.21"/>
    <n v="8.41"/>
    <x v="224"/>
    <x v="178"/>
    <x v="9"/>
    <n v="72"/>
    <x v="3"/>
    <x v="1"/>
  </r>
  <r>
    <x v="2"/>
    <x v="16"/>
    <x v="61"/>
    <n v="5.55"/>
    <x v="177"/>
    <n v="6.85"/>
    <n v="1.07"/>
    <n v="7.92"/>
    <x v="225"/>
    <x v="179"/>
    <x v="9"/>
    <n v="63.96"/>
    <x v="4"/>
    <x v="1"/>
  </r>
  <r>
    <x v="2"/>
    <x v="17"/>
    <x v="143"/>
    <n v="9.2799999999999994"/>
    <x v="178"/>
    <n v="0"/>
    <n v="10.08"/>
    <n v="10.08"/>
    <x v="0"/>
    <x v="180"/>
    <x v="9"/>
    <n v="51"/>
    <x v="3"/>
    <x v="1"/>
  </r>
  <r>
    <x v="2"/>
    <x v="19"/>
    <x v="0"/>
    <n v="0"/>
    <x v="0"/>
    <n v="0"/>
    <n v="0"/>
    <n v="0"/>
    <x v="0"/>
    <x v="0"/>
    <x v="9"/>
    <n v="0"/>
    <x v="2"/>
    <x v="0"/>
  </r>
  <r>
    <x v="2"/>
    <x v="20"/>
    <x v="144"/>
    <n v="8.48"/>
    <x v="179"/>
    <n v="7.19"/>
    <n v="1.66"/>
    <n v="8.85"/>
    <x v="116"/>
    <x v="181"/>
    <x v="9"/>
    <n v="215.87999999999997"/>
    <x v="5"/>
    <x v="1"/>
  </r>
  <r>
    <x v="2"/>
    <x v="21"/>
    <x v="145"/>
    <n v="6.44"/>
    <x v="180"/>
    <n v="7.82"/>
    <n v="0.38"/>
    <n v="8.1999999999999993"/>
    <x v="226"/>
    <x v="182"/>
    <x v="9"/>
    <n v="120.96"/>
    <x v="2"/>
    <x v="1"/>
  </r>
  <r>
    <x v="2"/>
    <x v="22"/>
    <x v="146"/>
    <n v="5.29"/>
    <x v="181"/>
    <n v="6.18"/>
    <n v="1.81"/>
    <n v="7.99"/>
    <x v="227"/>
    <x v="183"/>
    <x v="9"/>
    <n v="45.96"/>
    <x v="4"/>
    <x v="1"/>
  </r>
  <r>
    <x v="2"/>
    <x v="23"/>
    <x v="147"/>
    <n v="1.58"/>
    <x v="182"/>
    <n v="2.83"/>
    <n v="7.26"/>
    <n v="10.09"/>
    <x v="228"/>
    <x v="184"/>
    <x v="9"/>
    <n v="11.040000000000001"/>
    <x v="3"/>
    <x v="1"/>
  </r>
  <r>
    <x v="2"/>
    <x v="25"/>
    <x v="148"/>
    <n v="8.2899999999999991"/>
    <x v="183"/>
    <n v="9.92"/>
    <n v="0.47"/>
    <n v="10.39"/>
    <x v="229"/>
    <x v="185"/>
    <x v="9"/>
    <n v="138.95999999999998"/>
    <x v="2"/>
    <x v="1"/>
  </r>
  <r>
    <x v="2"/>
    <x v="28"/>
    <x v="0"/>
    <n v="0"/>
    <x v="0"/>
    <n v="0"/>
    <n v="0"/>
    <n v="0"/>
    <x v="0"/>
    <x v="0"/>
    <x v="9"/>
    <n v="0"/>
    <x v="2"/>
    <x v="0"/>
  </r>
  <r>
    <x v="2"/>
    <x v="30"/>
    <x v="0"/>
    <n v="0"/>
    <x v="0"/>
    <n v="0"/>
    <n v="0"/>
    <n v="0"/>
    <x v="0"/>
    <x v="0"/>
    <x v="9"/>
    <n v="0"/>
    <x v="5"/>
    <x v="0"/>
  </r>
  <r>
    <x v="2"/>
    <x v="31"/>
    <x v="149"/>
    <n v="3.49"/>
    <x v="184"/>
    <n v="8.32"/>
    <n v="0.46"/>
    <n v="8.7799999999999994"/>
    <x v="230"/>
    <x v="186"/>
    <x v="9"/>
    <n v="59.88000000000001"/>
    <x v="2"/>
    <x v="1"/>
  </r>
  <r>
    <x v="2"/>
    <x v="32"/>
    <x v="150"/>
    <n v="5.38"/>
    <x v="185"/>
    <n v="4.8899999999999997"/>
    <n v="5.21"/>
    <n v="10.1"/>
    <x v="231"/>
    <x v="187"/>
    <x v="9"/>
    <n v="49.92"/>
    <x v="3"/>
    <x v="1"/>
  </r>
  <r>
    <x v="2"/>
    <x v="33"/>
    <x v="151"/>
    <n v="6.48"/>
    <x v="186"/>
    <n v="9.09"/>
    <n v="1.04"/>
    <n v="10.130000000000001"/>
    <x v="232"/>
    <x v="188"/>
    <x v="9"/>
    <n v="81.84"/>
    <x v="3"/>
    <x v="1"/>
  </r>
  <r>
    <x v="2"/>
    <x v="34"/>
    <x v="152"/>
    <n v="1.66"/>
    <x v="187"/>
    <n v="8.2799999999999994"/>
    <n v="1.03"/>
    <n v="9.31"/>
    <x v="233"/>
    <x v="189"/>
    <x v="9"/>
    <n v="26.640000000000004"/>
    <x v="4"/>
    <x v="1"/>
  </r>
  <r>
    <x v="2"/>
    <x v="39"/>
    <x v="0"/>
    <n v="0"/>
    <x v="0"/>
    <n v="0"/>
    <n v="0"/>
    <n v="0"/>
    <x v="0"/>
    <x v="0"/>
    <x v="9"/>
    <n v="0"/>
    <x v="2"/>
    <x v="0"/>
  </r>
  <r>
    <x v="2"/>
    <x v="40"/>
    <x v="153"/>
    <n v="2.48"/>
    <x v="188"/>
    <n v="4.6500000000000004"/>
    <n v="0.48"/>
    <n v="5.13"/>
    <x v="234"/>
    <x v="190"/>
    <x v="9"/>
    <n v="33.119999999999997"/>
    <x v="3"/>
    <x v="1"/>
  </r>
  <r>
    <x v="2"/>
    <x v="41"/>
    <x v="154"/>
    <n v="3.39"/>
    <x v="189"/>
    <n v="7.54"/>
    <n v="0.61"/>
    <n v="8.15"/>
    <x v="235"/>
    <x v="191"/>
    <x v="9"/>
    <n v="53.760000000000005"/>
    <x v="5"/>
    <x v="1"/>
  </r>
  <r>
    <x v="2"/>
    <x v="43"/>
    <x v="155"/>
    <n v="3.64"/>
    <x v="190"/>
    <n v="6.29"/>
    <n v="1.94"/>
    <n v="8.23"/>
    <x v="236"/>
    <x v="192"/>
    <x v="9"/>
    <n v="16.919999999999998"/>
    <x v="3"/>
    <x v="1"/>
  </r>
  <r>
    <x v="2"/>
    <x v="44"/>
    <x v="4"/>
    <n v="0.91"/>
    <x v="191"/>
    <n v="6.73"/>
    <n v="1.42"/>
    <n v="8.15"/>
    <x v="237"/>
    <x v="148"/>
    <x v="9"/>
    <n v="12"/>
    <x v="3"/>
    <x v="1"/>
  </r>
  <r>
    <x v="2"/>
    <x v="45"/>
    <x v="45"/>
    <n v="0.01"/>
    <x v="192"/>
    <n v="7.45"/>
    <n v="1.1200000000000001"/>
    <n v="8.57"/>
    <x v="238"/>
    <x v="193"/>
    <x v="9"/>
    <n v="6"/>
    <x v="4"/>
    <x v="1"/>
  </r>
  <r>
    <x v="2"/>
    <x v="47"/>
    <x v="156"/>
    <n v="3.05"/>
    <x v="193"/>
    <n v="7.63"/>
    <n v="0.55000000000000004"/>
    <n v="8.18"/>
    <x v="239"/>
    <x v="194"/>
    <x v="9"/>
    <n v="82.8"/>
    <x v="5"/>
    <x v="1"/>
  </r>
  <r>
    <x v="2"/>
    <x v="48"/>
    <x v="0"/>
    <n v="0"/>
    <x v="0"/>
    <n v="0"/>
    <n v="0"/>
    <n v="0"/>
    <x v="0"/>
    <x v="0"/>
    <x v="9"/>
    <n v="0"/>
    <x v="6"/>
    <x v="0"/>
  </r>
  <r>
    <x v="2"/>
    <x v="49"/>
    <x v="157"/>
    <n v="7.53"/>
    <x v="194"/>
    <n v="7.74"/>
    <n v="0.39"/>
    <n v="8.1300000000000008"/>
    <x v="240"/>
    <x v="195"/>
    <x v="9"/>
    <n v="70.92"/>
    <x v="3"/>
    <x v="1"/>
  </r>
  <r>
    <x v="2"/>
    <x v="50"/>
    <x v="158"/>
    <n v="3.15"/>
    <x v="195"/>
    <n v="8.39"/>
    <n v="1.43"/>
    <n v="9.82"/>
    <x v="241"/>
    <x v="196"/>
    <x v="9"/>
    <n v="31.68"/>
    <x v="4"/>
    <x v="1"/>
  </r>
  <r>
    <x v="0"/>
    <x v="0"/>
    <x v="0"/>
    <n v="0"/>
    <x v="0"/>
    <n v="6.83"/>
    <n v="1.19"/>
    <n v="8.02"/>
    <x v="242"/>
    <x v="0"/>
    <x v="10"/>
    <n v="0"/>
    <x v="0"/>
    <x v="1"/>
  </r>
  <r>
    <x v="0"/>
    <x v="3"/>
    <x v="0"/>
    <n v="0"/>
    <x v="0"/>
    <n v="1.8"/>
    <n v="6.19"/>
    <n v="7.99"/>
    <x v="243"/>
    <x v="0"/>
    <x v="10"/>
    <n v="0"/>
    <x v="0"/>
    <x v="1"/>
  </r>
  <r>
    <x v="0"/>
    <x v="4"/>
    <x v="159"/>
    <n v="9.42"/>
    <x v="196"/>
    <n v="10.33"/>
    <n v="0.24"/>
    <n v="10.57"/>
    <x v="244"/>
    <x v="197"/>
    <x v="10"/>
    <n v="74.039999999999992"/>
    <x v="0"/>
    <x v="1"/>
  </r>
  <r>
    <x v="0"/>
    <x v="7"/>
    <x v="0"/>
    <n v="0"/>
    <x v="0"/>
    <n v="1.8"/>
    <n v="6.19"/>
    <n v="7.99"/>
    <x v="243"/>
    <x v="0"/>
    <x v="10"/>
    <n v="0"/>
    <x v="0"/>
    <x v="1"/>
  </r>
  <r>
    <x v="1"/>
    <x v="9"/>
    <x v="4"/>
    <n v="0.5"/>
    <x v="197"/>
    <n v="9.02"/>
    <n v="1.63"/>
    <n v="10.65"/>
    <x v="245"/>
    <x v="198"/>
    <x v="10"/>
    <n v="12"/>
    <x v="1"/>
    <x v="1"/>
  </r>
  <r>
    <x v="1"/>
    <x v="11"/>
    <x v="13"/>
    <n v="0.96"/>
    <x v="198"/>
    <n v="7.15"/>
    <n v="0.92"/>
    <n v="8.07"/>
    <x v="64"/>
    <x v="199"/>
    <x v="10"/>
    <n v="7.56"/>
    <x v="1"/>
    <x v="1"/>
  </r>
  <r>
    <x v="2"/>
    <x v="14"/>
    <x v="160"/>
    <n v="6.2"/>
    <x v="199"/>
    <n v="8.65"/>
    <n v="0.42"/>
    <n v="9.07"/>
    <x v="226"/>
    <x v="200"/>
    <x v="10"/>
    <n v="136.19999999999999"/>
    <x v="2"/>
    <x v="1"/>
  </r>
  <r>
    <x v="2"/>
    <x v="16"/>
    <x v="48"/>
    <n v="8.52"/>
    <x v="200"/>
    <n v="7.46"/>
    <n v="1.3"/>
    <n v="8.76"/>
    <x v="242"/>
    <x v="201"/>
    <x v="10"/>
    <n v="51.96"/>
    <x v="4"/>
    <x v="1"/>
  </r>
  <r>
    <x v="2"/>
    <x v="17"/>
    <x v="161"/>
    <n v="1.67"/>
    <x v="201"/>
    <n v="1.67"/>
    <n v="6.63"/>
    <n v="8.3000000000000007"/>
    <x v="246"/>
    <x v="202"/>
    <x v="10"/>
    <n v="19.32"/>
    <x v="3"/>
    <x v="1"/>
  </r>
  <r>
    <x v="2"/>
    <x v="18"/>
    <x v="162"/>
    <n v="7.86"/>
    <x v="202"/>
    <n v="6.57"/>
    <n v="1.52"/>
    <n v="8.09"/>
    <x v="247"/>
    <x v="203"/>
    <x v="10"/>
    <n v="78"/>
    <x v="3"/>
    <x v="1"/>
  </r>
  <r>
    <x v="2"/>
    <x v="19"/>
    <x v="0"/>
    <n v="0"/>
    <x v="0"/>
    <n v="0"/>
    <n v="0"/>
    <n v="0"/>
    <x v="0"/>
    <x v="0"/>
    <x v="10"/>
    <n v="0"/>
    <x v="2"/>
    <x v="0"/>
  </r>
  <r>
    <x v="2"/>
    <x v="20"/>
    <x v="163"/>
    <n v="10.39"/>
    <x v="203"/>
    <n v="9.4700000000000006"/>
    <n v="1.05"/>
    <n v="10.52"/>
    <x v="51"/>
    <x v="204"/>
    <x v="10"/>
    <n v="194.04000000000002"/>
    <x v="5"/>
    <x v="1"/>
  </r>
  <r>
    <x v="2"/>
    <x v="22"/>
    <x v="164"/>
    <n v="6.94"/>
    <x v="204"/>
    <n v="7.41"/>
    <n v="1.02"/>
    <n v="8.43"/>
    <x v="248"/>
    <x v="205"/>
    <x v="10"/>
    <n v="72.960000000000008"/>
    <x v="4"/>
    <x v="1"/>
  </r>
  <r>
    <x v="2"/>
    <x v="23"/>
    <x v="4"/>
    <n v="5.41"/>
    <x v="205"/>
    <n v="5.2"/>
    <n v="3.13"/>
    <n v="8.33"/>
    <x v="249"/>
    <x v="206"/>
    <x v="10"/>
    <n v="12"/>
    <x v="3"/>
    <x v="1"/>
  </r>
  <r>
    <x v="2"/>
    <x v="25"/>
    <x v="165"/>
    <n v="3.15"/>
    <x v="206"/>
    <n v="6.92"/>
    <n v="1.45"/>
    <n v="8.3699999999999992"/>
    <x v="250"/>
    <x v="207"/>
    <x v="10"/>
    <n v="37.92"/>
    <x v="2"/>
    <x v="1"/>
  </r>
  <r>
    <x v="2"/>
    <x v="26"/>
    <x v="150"/>
    <n v="5.84"/>
    <x v="207"/>
    <n v="6.19"/>
    <n v="1.83"/>
    <n v="8.02"/>
    <x v="251"/>
    <x v="208"/>
    <x v="10"/>
    <n v="49.92"/>
    <x v="3"/>
    <x v="1"/>
  </r>
  <r>
    <x v="2"/>
    <x v="27"/>
    <x v="166"/>
    <n v="7.62"/>
    <x v="208"/>
    <n v="10.07"/>
    <n v="0.4"/>
    <n v="10.47"/>
    <x v="252"/>
    <x v="209"/>
    <x v="10"/>
    <n v="81.36"/>
    <x v="5"/>
    <x v="1"/>
  </r>
  <r>
    <x v="2"/>
    <x v="28"/>
    <x v="0"/>
    <n v="0"/>
    <x v="0"/>
    <n v="0"/>
    <n v="0"/>
    <n v="0"/>
    <x v="0"/>
    <x v="0"/>
    <x v="10"/>
    <n v="0"/>
    <x v="2"/>
    <x v="0"/>
  </r>
  <r>
    <x v="2"/>
    <x v="29"/>
    <x v="167"/>
    <n v="6.12"/>
    <x v="209"/>
    <n v="9.73"/>
    <n v="0.93"/>
    <n v="10.66"/>
    <x v="253"/>
    <x v="210"/>
    <x v="10"/>
    <n v="92.64"/>
    <x v="5"/>
    <x v="1"/>
  </r>
  <r>
    <x v="2"/>
    <x v="30"/>
    <x v="0"/>
    <n v="0"/>
    <x v="0"/>
    <n v="0"/>
    <n v="0"/>
    <n v="0"/>
    <x v="0"/>
    <x v="0"/>
    <x v="10"/>
    <n v="0"/>
    <x v="5"/>
    <x v="0"/>
  </r>
  <r>
    <x v="2"/>
    <x v="31"/>
    <x v="168"/>
    <n v="6.1"/>
    <x v="210"/>
    <n v="7.59"/>
    <n v="0.51"/>
    <n v="8.1"/>
    <x v="122"/>
    <x v="211"/>
    <x v="10"/>
    <n v="79.92"/>
    <x v="2"/>
    <x v="1"/>
  </r>
  <r>
    <x v="2"/>
    <x v="32"/>
    <x v="169"/>
    <n v="5.85"/>
    <x v="211"/>
    <n v="4.2699999999999996"/>
    <n v="4.05"/>
    <n v="8.32"/>
    <x v="254"/>
    <x v="212"/>
    <x v="10"/>
    <n v="20.64"/>
    <x v="3"/>
    <x v="1"/>
  </r>
  <r>
    <x v="2"/>
    <x v="36"/>
    <x v="170"/>
    <n v="8.41"/>
    <x v="212"/>
    <n v="6.83"/>
    <n v="3.11"/>
    <n v="9.94"/>
    <x v="255"/>
    <x v="213"/>
    <x v="10"/>
    <n v="96.960000000000008"/>
    <x v="4"/>
    <x v="1"/>
  </r>
  <r>
    <x v="2"/>
    <x v="37"/>
    <x v="58"/>
    <n v="5.38"/>
    <x v="213"/>
    <n v="7.01"/>
    <n v="1.19"/>
    <n v="8.1999999999999993"/>
    <x v="256"/>
    <x v="214"/>
    <x v="10"/>
    <n v="42"/>
    <x v="4"/>
    <x v="1"/>
  </r>
  <r>
    <x v="2"/>
    <x v="38"/>
    <x v="171"/>
    <n v="4.32"/>
    <x v="214"/>
    <n v="7.65"/>
    <n v="0.5"/>
    <n v="8.15"/>
    <x v="257"/>
    <x v="215"/>
    <x v="10"/>
    <n v="255.95999999999998"/>
    <x v="2"/>
    <x v="1"/>
  </r>
  <r>
    <x v="2"/>
    <x v="39"/>
    <x v="0"/>
    <n v="0"/>
    <x v="0"/>
    <n v="0"/>
    <n v="0"/>
    <n v="0"/>
    <x v="0"/>
    <x v="0"/>
    <x v="10"/>
    <n v="0"/>
    <x v="2"/>
    <x v="0"/>
  </r>
  <r>
    <x v="2"/>
    <x v="41"/>
    <x v="172"/>
    <n v="4.8600000000000003"/>
    <x v="215"/>
    <n v="8.93"/>
    <n v="1.72"/>
    <n v="10.65"/>
    <x v="258"/>
    <x v="216"/>
    <x v="10"/>
    <n v="65.64"/>
    <x v="5"/>
    <x v="1"/>
  </r>
  <r>
    <x v="2"/>
    <x v="43"/>
    <x v="53"/>
    <n v="4.3899999999999997"/>
    <x v="216"/>
    <n v="6.1"/>
    <n v="1.89"/>
    <n v="7.99"/>
    <x v="259"/>
    <x v="217"/>
    <x v="10"/>
    <n v="27"/>
    <x v="3"/>
    <x v="1"/>
  </r>
  <r>
    <x v="2"/>
    <x v="45"/>
    <x v="110"/>
    <n v="4.63"/>
    <x v="217"/>
    <n v="7.3"/>
    <n v="2.58"/>
    <n v="9.8800000000000008"/>
    <x v="260"/>
    <x v="218"/>
    <x v="10"/>
    <n v="64.92"/>
    <x v="4"/>
    <x v="1"/>
  </r>
  <r>
    <x v="2"/>
    <x v="48"/>
    <x v="0"/>
    <n v="0"/>
    <x v="0"/>
    <n v="0"/>
    <n v="0"/>
    <n v="0"/>
    <x v="0"/>
    <x v="0"/>
    <x v="10"/>
    <n v="0"/>
    <x v="6"/>
    <x v="0"/>
  </r>
  <r>
    <x v="2"/>
    <x v="49"/>
    <x v="0"/>
    <n v="0"/>
    <x v="0"/>
    <n v="7.89"/>
    <n v="0.1"/>
    <n v="7.99"/>
    <x v="261"/>
    <x v="0"/>
    <x v="10"/>
    <n v="0"/>
    <x v="3"/>
    <x v="1"/>
  </r>
  <r>
    <x v="2"/>
    <x v="50"/>
    <x v="47"/>
    <n v="2.98"/>
    <x v="218"/>
    <n v="7.32"/>
    <n v="2.31"/>
    <n v="9.6300000000000008"/>
    <x v="262"/>
    <x v="219"/>
    <x v="10"/>
    <n v="30.96"/>
    <x v="4"/>
    <x v="1"/>
  </r>
  <r>
    <x v="0"/>
    <x v="4"/>
    <x v="173"/>
    <n v="5.33"/>
    <x v="219"/>
    <n v="7.75"/>
    <n v="0.23"/>
    <n v="7.98"/>
    <x v="263"/>
    <x v="220"/>
    <x v="11"/>
    <n v="67.92"/>
    <x v="0"/>
    <x v="1"/>
  </r>
  <r>
    <x v="0"/>
    <x v="6"/>
    <x v="174"/>
    <n v="5.35"/>
    <x v="220"/>
    <n v="7.75"/>
    <n v="0.23"/>
    <n v="7.98"/>
    <x v="263"/>
    <x v="221"/>
    <x v="11"/>
    <n v="68.16"/>
    <x v="0"/>
    <x v="1"/>
  </r>
  <r>
    <x v="1"/>
    <x v="12"/>
    <x v="175"/>
    <n v="0.9"/>
    <x v="221"/>
    <n v="3.07"/>
    <n v="4.9800000000000004"/>
    <n v="8.0500000000000007"/>
    <x v="264"/>
    <x v="222"/>
    <x v="11"/>
    <n v="24.240000000000002"/>
    <x v="1"/>
    <x v="1"/>
  </r>
  <r>
    <x v="1"/>
    <x v="13"/>
    <x v="176"/>
    <n v="0.15"/>
    <x v="222"/>
    <n v="6.04"/>
    <n v="2.0099999999999998"/>
    <n v="8.0500000000000007"/>
    <x v="265"/>
    <x v="223"/>
    <x v="11"/>
    <n v="8.52"/>
    <x v="1"/>
    <x v="1"/>
  </r>
  <r>
    <x v="2"/>
    <x v="15"/>
    <x v="53"/>
    <n v="4.28"/>
    <x v="223"/>
    <n v="6.28"/>
    <n v="1.69"/>
    <n v="7.97"/>
    <x v="266"/>
    <x v="224"/>
    <x v="11"/>
    <n v="27"/>
    <x v="3"/>
    <x v="1"/>
  </r>
  <r>
    <x v="2"/>
    <x v="16"/>
    <x v="177"/>
    <n v="4.55"/>
    <x v="224"/>
    <n v="5.48"/>
    <n v="3.03"/>
    <n v="8.51"/>
    <x v="267"/>
    <x v="225"/>
    <x v="11"/>
    <n v="49.559999999999995"/>
    <x v="4"/>
    <x v="1"/>
  </r>
  <r>
    <x v="2"/>
    <x v="17"/>
    <x v="178"/>
    <n v="0.6"/>
    <x v="225"/>
    <n v="0.6"/>
    <n v="7.69"/>
    <n v="8.2899999999999991"/>
    <x v="268"/>
    <x v="226"/>
    <x v="11"/>
    <n v="14.16"/>
    <x v="3"/>
    <x v="1"/>
  </r>
  <r>
    <x v="2"/>
    <x v="19"/>
    <x v="0"/>
    <n v="0"/>
    <x v="0"/>
    <n v="0"/>
    <n v="0"/>
    <n v="0"/>
    <x v="0"/>
    <x v="0"/>
    <x v="11"/>
    <n v="0"/>
    <x v="2"/>
    <x v="0"/>
  </r>
  <r>
    <x v="2"/>
    <x v="21"/>
    <x v="179"/>
    <n v="6.93"/>
    <x v="226"/>
    <n v="9.85"/>
    <n v="1.29"/>
    <n v="11.14"/>
    <x v="269"/>
    <x v="227"/>
    <x v="11"/>
    <n v="145.56"/>
    <x v="2"/>
    <x v="1"/>
  </r>
  <r>
    <x v="2"/>
    <x v="22"/>
    <x v="3"/>
    <n v="0.77"/>
    <x v="227"/>
    <n v="5.59"/>
    <n v="2.29"/>
    <n v="7.88"/>
    <x v="270"/>
    <x v="228"/>
    <x v="11"/>
    <n v="18"/>
    <x v="4"/>
    <x v="1"/>
  </r>
  <r>
    <x v="2"/>
    <x v="23"/>
    <x v="152"/>
    <n v="4.7699999999999996"/>
    <x v="228"/>
    <n v="2.15"/>
    <n v="7.97"/>
    <n v="10.119999999999999"/>
    <x v="271"/>
    <x v="229"/>
    <x v="11"/>
    <n v="26.640000000000004"/>
    <x v="3"/>
    <x v="1"/>
  </r>
  <r>
    <x v="2"/>
    <x v="25"/>
    <x v="116"/>
    <n v="8.7200000000000006"/>
    <x v="229"/>
    <n v="6.99"/>
    <n v="2.54"/>
    <n v="9.5299999999999994"/>
    <x v="272"/>
    <x v="230"/>
    <x v="11"/>
    <n v="144"/>
    <x v="2"/>
    <x v="1"/>
  </r>
  <r>
    <x v="2"/>
    <x v="28"/>
    <x v="0"/>
    <n v="0"/>
    <x v="0"/>
    <n v="0"/>
    <n v="0"/>
    <n v="0"/>
    <x v="0"/>
    <x v="0"/>
    <x v="11"/>
    <n v="0"/>
    <x v="2"/>
    <x v="0"/>
  </r>
  <r>
    <x v="2"/>
    <x v="30"/>
    <x v="0"/>
    <n v="0"/>
    <x v="0"/>
    <n v="0"/>
    <n v="0"/>
    <n v="0"/>
    <x v="0"/>
    <x v="0"/>
    <x v="11"/>
    <n v="0"/>
    <x v="5"/>
    <x v="0"/>
  </r>
  <r>
    <x v="2"/>
    <x v="32"/>
    <x v="180"/>
    <n v="6.61"/>
    <x v="230"/>
    <n v="6.11"/>
    <n v="2.19"/>
    <n v="8.3000000000000007"/>
    <x v="273"/>
    <x v="231"/>
    <x v="11"/>
    <n v="39"/>
    <x v="3"/>
    <x v="1"/>
  </r>
  <r>
    <x v="2"/>
    <x v="33"/>
    <x v="0"/>
    <n v="0"/>
    <x v="0"/>
    <n v="0"/>
    <n v="0"/>
    <n v="0"/>
    <x v="0"/>
    <x v="0"/>
    <x v="11"/>
    <n v="0"/>
    <x v="3"/>
    <x v="0"/>
  </r>
  <r>
    <x v="2"/>
    <x v="34"/>
    <x v="110"/>
    <n v="5.31"/>
    <x v="231"/>
    <n v="6.67"/>
    <n v="1.17"/>
    <n v="7.84"/>
    <x v="274"/>
    <x v="232"/>
    <x v="11"/>
    <n v="64.92"/>
    <x v="4"/>
    <x v="1"/>
  </r>
  <r>
    <x v="2"/>
    <x v="35"/>
    <x v="0"/>
    <n v="0"/>
    <x v="0"/>
    <n v="0"/>
    <n v="0"/>
    <n v="0"/>
    <x v="0"/>
    <x v="0"/>
    <x v="11"/>
    <n v="0"/>
    <x v="2"/>
    <x v="0"/>
  </r>
  <r>
    <x v="2"/>
    <x v="36"/>
    <x v="181"/>
    <n v="1.75"/>
    <x v="232"/>
    <n v="5.65"/>
    <n v="2.16"/>
    <n v="7.81"/>
    <x v="275"/>
    <x v="233"/>
    <x v="11"/>
    <n v="15"/>
    <x v="4"/>
    <x v="1"/>
  </r>
  <r>
    <x v="2"/>
    <x v="37"/>
    <x v="93"/>
    <n v="7.5"/>
    <x v="233"/>
    <n v="6.49"/>
    <n v="1.84"/>
    <n v="8.33"/>
    <x v="276"/>
    <x v="234"/>
    <x v="11"/>
    <n v="40.92"/>
    <x v="4"/>
    <x v="1"/>
  </r>
  <r>
    <x v="2"/>
    <x v="38"/>
    <x v="182"/>
    <n v="6.03"/>
    <x v="234"/>
    <n v="7.41"/>
    <n v="1.41"/>
    <n v="8.82"/>
    <x v="277"/>
    <x v="235"/>
    <x v="11"/>
    <n v="201.95999999999998"/>
    <x v="2"/>
    <x v="1"/>
  </r>
  <r>
    <x v="2"/>
    <x v="39"/>
    <x v="183"/>
    <n v="5.2"/>
    <x v="235"/>
    <n v="7.1"/>
    <n v="0.96"/>
    <n v="8.06"/>
    <x v="278"/>
    <x v="236"/>
    <x v="11"/>
    <n v="78.960000000000008"/>
    <x v="2"/>
    <x v="1"/>
  </r>
  <r>
    <x v="2"/>
    <x v="40"/>
    <x v="155"/>
    <n v="1.36"/>
    <x v="236"/>
    <n v="8.0500000000000007"/>
    <n v="0.28000000000000003"/>
    <n v="8.33"/>
    <x v="279"/>
    <x v="237"/>
    <x v="11"/>
    <n v="16.919999999999998"/>
    <x v="3"/>
    <x v="1"/>
  </r>
  <r>
    <x v="2"/>
    <x v="43"/>
    <x v="4"/>
    <n v="0.77"/>
    <x v="237"/>
    <n v="7.41"/>
    <n v="0.92"/>
    <n v="8.33"/>
    <x v="183"/>
    <x v="206"/>
    <x v="11"/>
    <n v="12"/>
    <x v="3"/>
    <x v="1"/>
  </r>
  <r>
    <x v="2"/>
    <x v="44"/>
    <x v="4"/>
    <n v="1.58"/>
    <x v="238"/>
    <n v="6.35"/>
    <n v="1.61"/>
    <n v="7.96"/>
    <x v="280"/>
    <x v="128"/>
    <x v="11"/>
    <n v="12"/>
    <x v="3"/>
    <x v="1"/>
  </r>
  <r>
    <x v="2"/>
    <x v="45"/>
    <x v="0"/>
    <n v="0"/>
    <x v="0"/>
    <n v="6.97"/>
    <n v="0.99"/>
    <n v="7.96"/>
    <x v="281"/>
    <x v="0"/>
    <x v="11"/>
    <n v="0"/>
    <x v="4"/>
    <x v="1"/>
  </r>
  <r>
    <x v="2"/>
    <x v="46"/>
    <x v="0"/>
    <n v="0"/>
    <x v="0"/>
    <n v="0"/>
    <n v="0"/>
    <n v="0"/>
    <x v="0"/>
    <x v="0"/>
    <x v="11"/>
    <n v="0"/>
    <x v="4"/>
    <x v="0"/>
  </r>
  <r>
    <x v="2"/>
    <x v="48"/>
    <x v="0"/>
    <n v="0"/>
    <x v="0"/>
    <n v="0"/>
    <n v="0"/>
    <n v="0"/>
    <x v="0"/>
    <x v="0"/>
    <x v="11"/>
    <n v="0"/>
    <x v="6"/>
    <x v="0"/>
  </r>
  <r>
    <x v="2"/>
    <x v="50"/>
    <x v="58"/>
    <n v="3.97"/>
    <x v="239"/>
    <n v="7.24"/>
    <n v="0.85"/>
    <n v="8.09"/>
    <x v="282"/>
    <x v="66"/>
    <x v="11"/>
    <n v="42"/>
    <x v="4"/>
    <x v="1"/>
  </r>
  <r>
    <x v="0"/>
    <x v="0"/>
    <x v="0"/>
    <n v="0"/>
    <x v="0"/>
    <n v="0"/>
    <n v="0"/>
    <n v="0"/>
    <x v="0"/>
    <x v="0"/>
    <x v="12"/>
    <n v="0"/>
    <x v="0"/>
    <x v="0"/>
  </r>
  <r>
    <x v="0"/>
    <x v="1"/>
    <x v="0"/>
    <n v="0"/>
    <x v="0"/>
    <n v="0"/>
    <n v="0"/>
    <n v="0"/>
    <x v="0"/>
    <x v="0"/>
    <x v="12"/>
    <n v="0"/>
    <x v="0"/>
    <x v="0"/>
  </r>
  <r>
    <x v="0"/>
    <x v="2"/>
    <x v="0"/>
    <n v="0"/>
    <x v="0"/>
    <n v="0"/>
    <n v="0"/>
    <n v="0"/>
    <x v="0"/>
    <x v="0"/>
    <x v="12"/>
    <n v="0"/>
    <x v="0"/>
    <x v="0"/>
  </r>
  <r>
    <x v="0"/>
    <x v="4"/>
    <x v="0"/>
    <n v="0"/>
    <x v="0"/>
    <n v="5.65"/>
    <n v="2.37"/>
    <n v="8.02"/>
    <x v="283"/>
    <x v="0"/>
    <x v="12"/>
    <n v="0"/>
    <x v="0"/>
    <x v="1"/>
  </r>
  <r>
    <x v="0"/>
    <x v="5"/>
    <x v="0"/>
    <n v="0"/>
    <x v="0"/>
    <n v="5.72"/>
    <n v="2.3199999999999998"/>
    <n v="8.0399999999999991"/>
    <x v="284"/>
    <x v="0"/>
    <x v="12"/>
    <n v="0"/>
    <x v="0"/>
    <x v="1"/>
  </r>
  <r>
    <x v="0"/>
    <x v="6"/>
    <x v="0"/>
    <n v="0"/>
    <x v="0"/>
    <n v="5.67"/>
    <n v="2.36"/>
    <n v="8.0299999999999994"/>
    <x v="285"/>
    <x v="0"/>
    <x v="12"/>
    <n v="0"/>
    <x v="0"/>
    <x v="1"/>
  </r>
  <r>
    <x v="0"/>
    <x v="8"/>
    <x v="0"/>
    <n v="0"/>
    <x v="0"/>
    <n v="0"/>
    <n v="0"/>
    <n v="0"/>
    <x v="0"/>
    <x v="0"/>
    <x v="12"/>
    <n v="0"/>
    <x v="0"/>
    <x v="0"/>
  </r>
  <r>
    <x v="1"/>
    <x v="9"/>
    <x v="0"/>
    <n v="0"/>
    <x v="0"/>
    <n v="6.85"/>
    <n v="1.18"/>
    <n v="8.0299999999999994"/>
    <x v="286"/>
    <x v="0"/>
    <x v="12"/>
    <n v="0"/>
    <x v="1"/>
    <x v="1"/>
  </r>
  <r>
    <x v="1"/>
    <x v="10"/>
    <x v="0"/>
    <n v="0"/>
    <x v="0"/>
    <n v="0"/>
    <n v="0"/>
    <n v="0"/>
    <x v="0"/>
    <x v="0"/>
    <x v="12"/>
    <n v="0"/>
    <x v="1"/>
    <x v="0"/>
  </r>
  <r>
    <x v="1"/>
    <x v="11"/>
    <x v="0"/>
    <n v="0"/>
    <x v="0"/>
    <n v="0"/>
    <n v="0"/>
    <n v="0"/>
    <x v="0"/>
    <x v="0"/>
    <x v="12"/>
    <n v="0"/>
    <x v="1"/>
    <x v="0"/>
  </r>
  <r>
    <x v="1"/>
    <x v="12"/>
    <x v="0"/>
    <n v="0"/>
    <x v="0"/>
    <n v="0"/>
    <n v="0"/>
    <n v="0"/>
    <x v="0"/>
    <x v="0"/>
    <x v="12"/>
    <n v="0"/>
    <x v="1"/>
    <x v="0"/>
  </r>
  <r>
    <x v="1"/>
    <x v="13"/>
    <x v="0"/>
    <n v="0"/>
    <x v="0"/>
    <n v="0"/>
    <n v="0"/>
    <n v="0"/>
    <x v="0"/>
    <x v="0"/>
    <x v="12"/>
    <n v="0"/>
    <x v="1"/>
    <x v="0"/>
  </r>
  <r>
    <x v="2"/>
    <x v="14"/>
    <x v="33"/>
    <n v="3.03"/>
    <x v="240"/>
    <n v="3.7"/>
    <n v="3.77"/>
    <n v="7.47"/>
    <x v="287"/>
    <x v="238"/>
    <x v="12"/>
    <n v="24.96"/>
    <x v="2"/>
    <x v="1"/>
  </r>
  <r>
    <x v="2"/>
    <x v="15"/>
    <x v="184"/>
    <n v="4.29"/>
    <x v="241"/>
    <n v="3.27"/>
    <n v="2.29"/>
    <n v="5.56"/>
    <x v="288"/>
    <x v="239"/>
    <x v="12"/>
    <n v="47.4"/>
    <x v="3"/>
    <x v="1"/>
  </r>
  <r>
    <x v="2"/>
    <x v="17"/>
    <x v="129"/>
    <n v="2.35"/>
    <x v="242"/>
    <n v="2.35"/>
    <n v="1.07"/>
    <n v="3.42"/>
    <x v="255"/>
    <x v="240"/>
    <x v="12"/>
    <n v="12.960000000000003"/>
    <x v="3"/>
    <x v="1"/>
  </r>
  <r>
    <x v="2"/>
    <x v="18"/>
    <x v="0"/>
    <n v="0"/>
    <x v="0"/>
    <n v="0"/>
    <n v="0"/>
    <n v="0"/>
    <x v="0"/>
    <x v="0"/>
    <x v="12"/>
    <n v="0"/>
    <x v="3"/>
    <x v="0"/>
  </r>
  <r>
    <x v="2"/>
    <x v="19"/>
    <x v="0"/>
    <n v="0"/>
    <x v="0"/>
    <n v="0"/>
    <n v="0"/>
    <n v="0"/>
    <x v="0"/>
    <x v="0"/>
    <x v="12"/>
    <n v="0"/>
    <x v="2"/>
    <x v="0"/>
  </r>
  <r>
    <x v="2"/>
    <x v="22"/>
    <x v="185"/>
    <n v="2.2000000000000002"/>
    <x v="243"/>
    <n v="2.2000000000000002"/>
    <n v="1.89"/>
    <n v="4.09"/>
    <x v="289"/>
    <x v="241"/>
    <x v="12"/>
    <n v="36.36"/>
    <x v="4"/>
    <x v="1"/>
  </r>
  <r>
    <x v="2"/>
    <x v="23"/>
    <x v="0"/>
    <n v="0"/>
    <x v="0"/>
    <n v="0"/>
    <n v="0"/>
    <n v="0"/>
    <x v="0"/>
    <x v="0"/>
    <x v="12"/>
    <n v="0"/>
    <x v="3"/>
    <x v="0"/>
  </r>
  <r>
    <x v="2"/>
    <x v="24"/>
    <x v="0"/>
    <n v="0"/>
    <x v="0"/>
    <n v="0"/>
    <n v="0"/>
    <n v="0"/>
    <x v="0"/>
    <x v="0"/>
    <x v="12"/>
    <n v="0"/>
    <x v="5"/>
    <x v="0"/>
  </r>
  <r>
    <x v="2"/>
    <x v="26"/>
    <x v="129"/>
    <n v="0.9"/>
    <x v="244"/>
    <n v="1.5"/>
    <n v="2.33"/>
    <n v="3.83"/>
    <x v="290"/>
    <x v="242"/>
    <x v="12"/>
    <n v="12.960000000000003"/>
    <x v="3"/>
    <x v="1"/>
  </r>
  <r>
    <x v="2"/>
    <x v="28"/>
    <x v="0"/>
    <n v="0"/>
    <x v="0"/>
    <n v="0"/>
    <n v="0"/>
    <n v="0"/>
    <x v="0"/>
    <x v="0"/>
    <x v="12"/>
    <n v="0"/>
    <x v="2"/>
    <x v="0"/>
  </r>
  <r>
    <x v="2"/>
    <x v="30"/>
    <x v="0"/>
    <n v="0"/>
    <x v="0"/>
    <n v="0"/>
    <n v="0"/>
    <n v="0"/>
    <x v="0"/>
    <x v="0"/>
    <x v="12"/>
    <n v="0"/>
    <x v="5"/>
    <x v="0"/>
  </r>
  <r>
    <x v="2"/>
    <x v="31"/>
    <x v="0"/>
    <n v="0"/>
    <x v="0"/>
    <n v="0"/>
    <n v="0"/>
    <n v="0"/>
    <x v="0"/>
    <x v="0"/>
    <x v="12"/>
    <n v="0"/>
    <x v="2"/>
    <x v="0"/>
  </r>
  <r>
    <x v="2"/>
    <x v="32"/>
    <x v="4"/>
    <n v="2.35"/>
    <x v="245"/>
    <n v="2.35"/>
    <n v="1.65"/>
    <n v="4"/>
    <x v="291"/>
    <x v="243"/>
    <x v="12"/>
    <n v="12"/>
    <x v="3"/>
    <x v="1"/>
  </r>
  <r>
    <x v="2"/>
    <x v="33"/>
    <x v="133"/>
    <n v="0.35"/>
    <x v="246"/>
    <n v="2.62"/>
    <n v="1.36"/>
    <n v="3.98"/>
    <x v="292"/>
    <x v="244"/>
    <x v="12"/>
    <n v="19.919999999999998"/>
    <x v="3"/>
    <x v="1"/>
  </r>
  <r>
    <x v="2"/>
    <x v="35"/>
    <x v="186"/>
    <n v="2.5"/>
    <x v="247"/>
    <n v="2.5"/>
    <n v="1.55"/>
    <n v="4.05"/>
    <x v="293"/>
    <x v="245"/>
    <x v="12"/>
    <n v="45"/>
    <x v="2"/>
    <x v="1"/>
  </r>
  <r>
    <x v="2"/>
    <x v="36"/>
    <x v="187"/>
    <n v="2.7"/>
    <x v="248"/>
    <n v="4.1500000000000004"/>
    <n v="3.38"/>
    <n v="7.53"/>
    <x v="294"/>
    <x v="246"/>
    <x v="12"/>
    <n v="16.8"/>
    <x v="4"/>
    <x v="1"/>
  </r>
  <r>
    <x v="2"/>
    <x v="37"/>
    <x v="65"/>
    <n v="2.04"/>
    <x v="249"/>
    <n v="2.04"/>
    <n v="1.94"/>
    <n v="3.98"/>
    <x v="295"/>
    <x v="247"/>
    <x v="12"/>
    <n v="15.6"/>
    <x v="4"/>
    <x v="1"/>
  </r>
  <r>
    <x v="2"/>
    <x v="40"/>
    <x v="29"/>
    <n v="2.35"/>
    <x v="250"/>
    <n v="2.35"/>
    <n v="1.65"/>
    <n v="4"/>
    <x v="291"/>
    <x v="248"/>
    <x v="12"/>
    <n v="24"/>
    <x v="3"/>
    <x v="1"/>
  </r>
  <r>
    <x v="2"/>
    <x v="41"/>
    <x v="188"/>
    <n v="1.1299999999999999"/>
    <x v="251"/>
    <n v="2.98"/>
    <n v="1.04"/>
    <n v="4.0199999999999996"/>
    <x v="296"/>
    <x v="249"/>
    <x v="12"/>
    <n v="29.04"/>
    <x v="5"/>
    <x v="1"/>
  </r>
  <r>
    <x v="2"/>
    <x v="42"/>
    <x v="0"/>
    <n v="0"/>
    <x v="0"/>
    <n v="0"/>
    <n v="0"/>
    <n v="0"/>
    <x v="0"/>
    <x v="0"/>
    <x v="12"/>
    <n v="0"/>
    <x v="2"/>
    <x v="0"/>
  </r>
  <r>
    <x v="2"/>
    <x v="43"/>
    <x v="0"/>
    <n v="0"/>
    <x v="0"/>
    <n v="0"/>
    <n v="0"/>
    <n v="0"/>
    <x v="0"/>
    <x v="0"/>
    <x v="12"/>
    <n v="0"/>
    <x v="3"/>
    <x v="0"/>
  </r>
  <r>
    <x v="2"/>
    <x v="46"/>
    <x v="0"/>
    <n v="0"/>
    <x v="0"/>
    <n v="0"/>
    <n v="0"/>
    <n v="0"/>
    <x v="0"/>
    <x v="0"/>
    <x v="12"/>
    <n v="0"/>
    <x v="4"/>
    <x v="0"/>
  </r>
  <r>
    <x v="2"/>
    <x v="48"/>
    <x v="0"/>
    <n v="0"/>
    <x v="0"/>
    <n v="0"/>
    <n v="0"/>
    <n v="0"/>
    <x v="0"/>
    <x v="0"/>
    <x v="12"/>
    <n v="0"/>
    <x v="6"/>
    <x v="0"/>
  </r>
  <r>
    <x v="2"/>
    <x v="49"/>
    <x v="0"/>
    <n v="0"/>
    <x v="0"/>
    <n v="0"/>
    <n v="0"/>
    <n v="0"/>
    <x v="0"/>
    <x v="0"/>
    <x v="12"/>
    <n v="0"/>
    <x v="3"/>
    <x v="0"/>
  </r>
  <r>
    <x v="2"/>
    <x v="50"/>
    <x v="0"/>
    <n v="0"/>
    <x v="0"/>
    <n v="0"/>
    <n v="0"/>
    <n v="0"/>
    <x v="0"/>
    <x v="0"/>
    <x v="12"/>
    <n v="0"/>
    <x v="4"/>
    <x v="0"/>
  </r>
  <r>
    <x v="0"/>
    <x v="0"/>
    <x v="0"/>
    <n v="0"/>
    <x v="0"/>
    <n v="0"/>
    <n v="0"/>
    <n v="0"/>
    <x v="0"/>
    <x v="0"/>
    <x v="13"/>
    <n v="0"/>
    <x v="0"/>
    <x v="0"/>
  </r>
  <r>
    <x v="0"/>
    <x v="1"/>
    <x v="0"/>
    <n v="0"/>
    <x v="0"/>
    <n v="0"/>
    <n v="0"/>
    <n v="0"/>
    <x v="0"/>
    <x v="0"/>
    <x v="13"/>
    <n v="0"/>
    <x v="0"/>
    <x v="0"/>
  </r>
  <r>
    <x v="0"/>
    <x v="2"/>
    <x v="0"/>
    <n v="0"/>
    <x v="0"/>
    <n v="0"/>
    <n v="0"/>
    <n v="0"/>
    <x v="0"/>
    <x v="0"/>
    <x v="13"/>
    <n v="0"/>
    <x v="0"/>
    <x v="0"/>
  </r>
  <r>
    <x v="0"/>
    <x v="3"/>
    <x v="0"/>
    <n v="0"/>
    <x v="0"/>
    <n v="0"/>
    <n v="0"/>
    <n v="0"/>
    <x v="0"/>
    <x v="0"/>
    <x v="13"/>
    <n v="0"/>
    <x v="0"/>
    <x v="0"/>
  </r>
  <r>
    <x v="0"/>
    <x v="4"/>
    <x v="0"/>
    <n v="0"/>
    <x v="0"/>
    <n v="0"/>
    <n v="0"/>
    <n v="0"/>
    <x v="0"/>
    <x v="0"/>
    <x v="13"/>
    <n v="0"/>
    <x v="0"/>
    <x v="0"/>
  </r>
  <r>
    <x v="0"/>
    <x v="5"/>
    <x v="0"/>
    <n v="0"/>
    <x v="0"/>
    <n v="0"/>
    <n v="0"/>
    <n v="0"/>
    <x v="0"/>
    <x v="0"/>
    <x v="13"/>
    <n v="0"/>
    <x v="0"/>
    <x v="0"/>
  </r>
  <r>
    <x v="0"/>
    <x v="6"/>
    <x v="0"/>
    <n v="0"/>
    <x v="0"/>
    <n v="0"/>
    <n v="0"/>
    <n v="0"/>
    <x v="0"/>
    <x v="0"/>
    <x v="13"/>
    <n v="0"/>
    <x v="0"/>
    <x v="0"/>
  </r>
  <r>
    <x v="0"/>
    <x v="7"/>
    <x v="0"/>
    <n v="0"/>
    <x v="0"/>
    <n v="0"/>
    <n v="0"/>
    <n v="0"/>
    <x v="0"/>
    <x v="0"/>
    <x v="13"/>
    <n v="0"/>
    <x v="0"/>
    <x v="0"/>
  </r>
  <r>
    <x v="0"/>
    <x v="8"/>
    <x v="0"/>
    <n v="0"/>
    <x v="0"/>
    <n v="0"/>
    <n v="0"/>
    <n v="0"/>
    <x v="0"/>
    <x v="0"/>
    <x v="13"/>
    <n v="0"/>
    <x v="0"/>
    <x v="0"/>
  </r>
  <r>
    <x v="1"/>
    <x v="9"/>
    <x v="0"/>
    <n v="0"/>
    <x v="0"/>
    <n v="0"/>
    <n v="0"/>
    <n v="0"/>
    <x v="0"/>
    <x v="0"/>
    <x v="13"/>
    <n v="0"/>
    <x v="1"/>
    <x v="0"/>
  </r>
  <r>
    <x v="1"/>
    <x v="10"/>
    <x v="0"/>
    <n v="0"/>
    <x v="0"/>
    <n v="0"/>
    <n v="0"/>
    <n v="0"/>
    <x v="0"/>
    <x v="0"/>
    <x v="13"/>
    <n v="0"/>
    <x v="1"/>
    <x v="0"/>
  </r>
  <r>
    <x v="1"/>
    <x v="11"/>
    <x v="0"/>
    <n v="0"/>
    <x v="0"/>
    <n v="0"/>
    <n v="0"/>
    <n v="0"/>
    <x v="0"/>
    <x v="0"/>
    <x v="13"/>
    <n v="0"/>
    <x v="1"/>
    <x v="0"/>
  </r>
  <r>
    <x v="1"/>
    <x v="12"/>
    <x v="0"/>
    <n v="0"/>
    <x v="0"/>
    <n v="0"/>
    <n v="0"/>
    <n v="0"/>
    <x v="0"/>
    <x v="0"/>
    <x v="13"/>
    <n v="0"/>
    <x v="1"/>
    <x v="0"/>
  </r>
  <r>
    <x v="1"/>
    <x v="13"/>
    <x v="0"/>
    <n v="0"/>
    <x v="0"/>
    <n v="0"/>
    <n v="0"/>
    <n v="0"/>
    <x v="0"/>
    <x v="0"/>
    <x v="13"/>
    <n v="0"/>
    <x v="1"/>
    <x v="0"/>
  </r>
  <r>
    <x v="2"/>
    <x v="14"/>
    <x v="0"/>
    <n v="0"/>
    <x v="0"/>
    <n v="0"/>
    <n v="0"/>
    <n v="0"/>
    <x v="0"/>
    <x v="0"/>
    <x v="13"/>
    <n v="0"/>
    <x v="2"/>
    <x v="0"/>
  </r>
  <r>
    <x v="2"/>
    <x v="15"/>
    <x v="0"/>
    <n v="0"/>
    <x v="0"/>
    <n v="0"/>
    <n v="0"/>
    <n v="0"/>
    <x v="0"/>
    <x v="0"/>
    <x v="13"/>
    <n v="0"/>
    <x v="3"/>
    <x v="0"/>
  </r>
  <r>
    <x v="2"/>
    <x v="16"/>
    <x v="0"/>
    <n v="0"/>
    <x v="0"/>
    <n v="0"/>
    <n v="0"/>
    <n v="0"/>
    <x v="0"/>
    <x v="0"/>
    <x v="13"/>
    <n v="0"/>
    <x v="4"/>
    <x v="0"/>
  </r>
  <r>
    <x v="2"/>
    <x v="17"/>
    <x v="0"/>
    <n v="0"/>
    <x v="0"/>
    <n v="0"/>
    <n v="0"/>
    <n v="0"/>
    <x v="0"/>
    <x v="0"/>
    <x v="13"/>
    <n v="0"/>
    <x v="3"/>
    <x v="0"/>
  </r>
  <r>
    <x v="2"/>
    <x v="18"/>
    <x v="0"/>
    <n v="0"/>
    <x v="0"/>
    <n v="0"/>
    <n v="0"/>
    <n v="0"/>
    <x v="0"/>
    <x v="0"/>
    <x v="13"/>
    <n v="0"/>
    <x v="3"/>
    <x v="0"/>
  </r>
  <r>
    <x v="2"/>
    <x v="19"/>
    <x v="0"/>
    <n v="0"/>
    <x v="0"/>
    <n v="0"/>
    <n v="0"/>
    <n v="0"/>
    <x v="0"/>
    <x v="0"/>
    <x v="13"/>
    <n v="0"/>
    <x v="2"/>
    <x v="0"/>
  </r>
  <r>
    <x v="2"/>
    <x v="20"/>
    <x v="0"/>
    <n v="0"/>
    <x v="0"/>
    <n v="0"/>
    <n v="0"/>
    <n v="0"/>
    <x v="0"/>
    <x v="0"/>
    <x v="13"/>
    <n v="0"/>
    <x v="5"/>
    <x v="0"/>
  </r>
  <r>
    <x v="2"/>
    <x v="21"/>
    <x v="0"/>
    <n v="0"/>
    <x v="0"/>
    <n v="0"/>
    <n v="0"/>
    <n v="0"/>
    <x v="0"/>
    <x v="0"/>
    <x v="13"/>
    <n v="0"/>
    <x v="2"/>
    <x v="0"/>
  </r>
  <r>
    <x v="2"/>
    <x v="22"/>
    <x v="0"/>
    <n v="0"/>
    <x v="0"/>
    <n v="0"/>
    <n v="0"/>
    <n v="0"/>
    <x v="0"/>
    <x v="0"/>
    <x v="13"/>
    <n v="0"/>
    <x v="4"/>
    <x v="0"/>
  </r>
  <r>
    <x v="2"/>
    <x v="23"/>
    <x v="0"/>
    <n v="0"/>
    <x v="0"/>
    <n v="0"/>
    <n v="0"/>
    <n v="0"/>
    <x v="0"/>
    <x v="0"/>
    <x v="13"/>
    <n v="0"/>
    <x v="3"/>
    <x v="0"/>
  </r>
  <r>
    <x v="2"/>
    <x v="24"/>
    <x v="0"/>
    <n v="0"/>
    <x v="0"/>
    <n v="0"/>
    <n v="0"/>
    <n v="0"/>
    <x v="0"/>
    <x v="0"/>
    <x v="13"/>
    <n v="0"/>
    <x v="5"/>
    <x v="0"/>
  </r>
  <r>
    <x v="2"/>
    <x v="25"/>
    <x v="0"/>
    <n v="0"/>
    <x v="0"/>
    <n v="0"/>
    <n v="0"/>
    <n v="0"/>
    <x v="0"/>
    <x v="0"/>
    <x v="13"/>
    <n v="0"/>
    <x v="2"/>
    <x v="0"/>
  </r>
  <r>
    <x v="2"/>
    <x v="26"/>
    <x v="0"/>
    <n v="0"/>
    <x v="0"/>
    <n v="0"/>
    <n v="0"/>
    <n v="0"/>
    <x v="0"/>
    <x v="0"/>
    <x v="13"/>
    <n v="0"/>
    <x v="3"/>
    <x v="0"/>
  </r>
  <r>
    <x v="2"/>
    <x v="27"/>
    <x v="0"/>
    <n v="0"/>
    <x v="0"/>
    <n v="0"/>
    <n v="0"/>
    <n v="0"/>
    <x v="0"/>
    <x v="0"/>
    <x v="13"/>
    <n v="0"/>
    <x v="5"/>
    <x v="0"/>
  </r>
  <r>
    <x v="2"/>
    <x v="28"/>
    <x v="0"/>
    <n v="0"/>
    <x v="0"/>
    <n v="0"/>
    <n v="0"/>
    <n v="0"/>
    <x v="0"/>
    <x v="0"/>
    <x v="13"/>
    <n v="0"/>
    <x v="2"/>
    <x v="0"/>
  </r>
  <r>
    <x v="2"/>
    <x v="29"/>
    <x v="0"/>
    <n v="0"/>
    <x v="0"/>
    <n v="0"/>
    <n v="0"/>
    <n v="0"/>
    <x v="0"/>
    <x v="0"/>
    <x v="13"/>
    <n v="0"/>
    <x v="5"/>
    <x v="0"/>
  </r>
  <r>
    <x v="2"/>
    <x v="30"/>
    <x v="0"/>
    <n v="0"/>
    <x v="0"/>
    <n v="0"/>
    <n v="0"/>
    <n v="0"/>
    <x v="0"/>
    <x v="0"/>
    <x v="13"/>
    <n v="0"/>
    <x v="5"/>
    <x v="0"/>
  </r>
  <r>
    <x v="2"/>
    <x v="31"/>
    <x v="0"/>
    <n v="0"/>
    <x v="0"/>
    <n v="0"/>
    <n v="0"/>
    <n v="0"/>
    <x v="0"/>
    <x v="0"/>
    <x v="13"/>
    <n v="0"/>
    <x v="2"/>
    <x v="0"/>
  </r>
  <r>
    <x v="2"/>
    <x v="32"/>
    <x v="0"/>
    <n v="0"/>
    <x v="0"/>
    <n v="0"/>
    <n v="0"/>
    <n v="0"/>
    <x v="0"/>
    <x v="0"/>
    <x v="13"/>
    <n v="0"/>
    <x v="3"/>
    <x v="0"/>
  </r>
  <r>
    <x v="2"/>
    <x v="33"/>
    <x v="0"/>
    <n v="0"/>
    <x v="0"/>
    <n v="0"/>
    <n v="0"/>
    <n v="0"/>
    <x v="0"/>
    <x v="0"/>
    <x v="13"/>
    <n v="0"/>
    <x v="3"/>
    <x v="0"/>
  </r>
  <r>
    <x v="2"/>
    <x v="34"/>
    <x v="0"/>
    <n v="0"/>
    <x v="0"/>
    <n v="0"/>
    <n v="0"/>
    <n v="0"/>
    <x v="0"/>
    <x v="0"/>
    <x v="13"/>
    <n v="0"/>
    <x v="4"/>
    <x v="0"/>
  </r>
  <r>
    <x v="2"/>
    <x v="35"/>
    <x v="0"/>
    <n v="0"/>
    <x v="0"/>
    <n v="0"/>
    <n v="0"/>
    <n v="0"/>
    <x v="0"/>
    <x v="0"/>
    <x v="13"/>
    <n v="0"/>
    <x v="2"/>
    <x v="0"/>
  </r>
  <r>
    <x v="2"/>
    <x v="36"/>
    <x v="0"/>
    <n v="0"/>
    <x v="0"/>
    <n v="0"/>
    <n v="0"/>
    <n v="0"/>
    <x v="0"/>
    <x v="0"/>
    <x v="13"/>
    <n v="0"/>
    <x v="4"/>
    <x v="0"/>
  </r>
  <r>
    <x v="2"/>
    <x v="37"/>
    <x v="0"/>
    <n v="0"/>
    <x v="0"/>
    <n v="0"/>
    <n v="0"/>
    <n v="0"/>
    <x v="0"/>
    <x v="0"/>
    <x v="13"/>
    <n v="0"/>
    <x v="4"/>
    <x v="0"/>
  </r>
  <r>
    <x v="2"/>
    <x v="38"/>
    <x v="0"/>
    <n v="0"/>
    <x v="0"/>
    <n v="0"/>
    <n v="0"/>
    <n v="0"/>
    <x v="0"/>
    <x v="0"/>
    <x v="13"/>
    <n v="0"/>
    <x v="2"/>
    <x v="0"/>
  </r>
  <r>
    <x v="2"/>
    <x v="39"/>
    <x v="0"/>
    <n v="0"/>
    <x v="0"/>
    <n v="0"/>
    <n v="0"/>
    <n v="0"/>
    <x v="0"/>
    <x v="0"/>
    <x v="13"/>
    <n v="0"/>
    <x v="2"/>
    <x v="0"/>
  </r>
  <r>
    <x v="2"/>
    <x v="40"/>
    <x v="0"/>
    <n v="0"/>
    <x v="0"/>
    <n v="0"/>
    <n v="0"/>
    <n v="0"/>
    <x v="0"/>
    <x v="0"/>
    <x v="13"/>
    <n v="0"/>
    <x v="3"/>
    <x v="0"/>
  </r>
  <r>
    <x v="2"/>
    <x v="41"/>
    <x v="0"/>
    <n v="0"/>
    <x v="0"/>
    <n v="0"/>
    <n v="0"/>
    <n v="0"/>
    <x v="0"/>
    <x v="0"/>
    <x v="13"/>
    <n v="0"/>
    <x v="5"/>
    <x v="0"/>
  </r>
  <r>
    <x v="2"/>
    <x v="42"/>
    <x v="0"/>
    <n v="0"/>
    <x v="0"/>
    <n v="0"/>
    <n v="0"/>
    <n v="0"/>
    <x v="0"/>
    <x v="0"/>
    <x v="13"/>
    <n v="0"/>
    <x v="2"/>
    <x v="0"/>
  </r>
  <r>
    <x v="2"/>
    <x v="43"/>
    <x v="0"/>
    <n v="0"/>
    <x v="0"/>
    <n v="0"/>
    <n v="0"/>
    <n v="0"/>
    <x v="0"/>
    <x v="0"/>
    <x v="13"/>
    <n v="0"/>
    <x v="3"/>
    <x v="0"/>
  </r>
  <r>
    <x v="2"/>
    <x v="44"/>
    <x v="0"/>
    <n v="0"/>
    <x v="0"/>
    <n v="0"/>
    <n v="0"/>
    <n v="0"/>
    <x v="0"/>
    <x v="0"/>
    <x v="13"/>
    <n v="0"/>
    <x v="3"/>
    <x v="0"/>
  </r>
  <r>
    <x v="2"/>
    <x v="45"/>
    <x v="0"/>
    <n v="0"/>
    <x v="0"/>
    <n v="0"/>
    <n v="0"/>
    <n v="0"/>
    <x v="0"/>
    <x v="0"/>
    <x v="13"/>
    <n v="0"/>
    <x v="4"/>
    <x v="0"/>
  </r>
  <r>
    <x v="2"/>
    <x v="46"/>
    <x v="0"/>
    <n v="0"/>
    <x v="0"/>
    <n v="0"/>
    <n v="0"/>
    <n v="0"/>
    <x v="0"/>
    <x v="0"/>
    <x v="13"/>
    <n v="0"/>
    <x v="4"/>
    <x v="0"/>
  </r>
  <r>
    <x v="2"/>
    <x v="47"/>
    <x v="0"/>
    <n v="0"/>
    <x v="0"/>
    <n v="0"/>
    <n v="0"/>
    <n v="0"/>
    <x v="0"/>
    <x v="0"/>
    <x v="13"/>
    <n v="0"/>
    <x v="5"/>
    <x v="0"/>
  </r>
  <r>
    <x v="2"/>
    <x v="48"/>
    <x v="0"/>
    <n v="0"/>
    <x v="0"/>
    <n v="0"/>
    <n v="0"/>
    <n v="0"/>
    <x v="0"/>
    <x v="0"/>
    <x v="13"/>
    <n v="0"/>
    <x v="6"/>
    <x v="0"/>
  </r>
  <r>
    <x v="2"/>
    <x v="49"/>
    <x v="0"/>
    <n v="0"/>
    <x v="0"/>
    <n v="0"/>
    <n v="0"/>
    <n v="0"/>
    <x v="0"/>
    <x v="0"/>
    <x v="13"/>
    <n v="0"/>
    <x v="3"/>
    <x v="0"/>
  </r>
  <r>
    <x v="2"/>
    <x v="50"/>
    <x v="0"/>
    <n v="0"/>
    <x v="0"/>
    <n v="0"/>
    <n v="0"/>
    <n v="0"/>
    <x v="0"/>
    <x v="0"/>
    <x v="13"/>
    <n v="0"/>
    <x v="4"/>
    <x v="0"/>
  </r>
  <r>
    <x v="0"/>
    <x v="0"/>
    <x v="0"/>
    <n v="0"/>
    <x v="0"/>
    <n v="7.55"/>
    <n v="0.57999999999999996"/>
    <n v="8.1300000000000008"/>
    <x v="297"/>
    <x v="0"/>
    <x v="14"/>
    <n v="0"/>
    <x v="0"/>
    <x v="1"/>
  </r>
  <r>
    <x v="0"/>
    <x v="3"/>
    <x v="0"/>
    <n v="0"/>
    <x v="0"/>
    <n v="7.55"/>
    <n v="0.59"/>
    <n v="8.14"/>
    <x v="298"/>
    <x v="0"/>
    <x v="14"/>
    <n v="0"/>
    <x v="0"/>
    <x v="1"/>
  </r>
  <r>
    <x v="0"/>
    <x v="6"/>
    <x v="189"/>
    <n v="3.55"/>
    <x v="239"/>
    <n v="5.78"/>
    <n v="2.31"/>
    <n v="8.09"/>
    <x v="299"/>
    <x v="250"/>
    <x v="14"/>
    <n v="37.559999999999995"/>
    <x v="0"/>
    <x v="1"/>
  </r>
  <r>
    <x v="0"/>
    <x v="7"/>
    <x v="0"/>
    <n v="0"/>
    <x v="0"/>
    <n v="7.56"/>
    <n v="0.59"/>
    <n v="8.15"/>
    <x v="300"/>
    <x v="0"/>
    <x v="14"/>
    <n v="0"/>
    <x v="0"/>
    <x v="1"/>
  </r>
  <r>
    <x v="0"/>
    <x v="8"/>
    <x v="119"/>
    <n v="3.7"/>
    <x v="252"/>
    <n v="7.51"/>
    <n v="0.6"/>
    <n v="8.11"/>
    <x v="301"/>
    <x v="251"/>
    <x v="14"/>
    <n v="46.92"/>
    <x v="0"/>
    <x v="1"/>
  </r>
  <r>
    <x v="1"/>
    <x v="9"/>
    <x v="73"/>
    <n v="2.13"/>
    <x v="253"/>
    <n v="6.33"/>
    <n v="1.89"/>
    <n v="8.2200000000000006"/>
    <x v="302"/>
    <x v="252"/>
    <x v="14"/>
    <n v="60"/>
    <x v="1"/>
    <x v="1"/>
  </r>
  <r>
    <x v="1"/>
    <x v="10"/>
    <x v="22"/>
    <n v="2.5299999999999998"/>
    <x v="254"/>
    <n v="6.9"/>
    <n v="1.17"/>
    <n v="8.07"/>
    <x v="303"/>
    <x v="253"/>
    <x v="14"/>
    <n v="36"/>
    <x v="1"/>
    <x v="1"/>
  </r>
  <r>
    <x v="1"/>
    <x v="11"/>
    <x v="61"/>
    <n v="5.97"/>
    <x v="255"/>
    <n v="7.5"/>
    <n v="0.77"/>
    <n v="8.27"/>
    <x v="304"/>
    <x v="254"/>
    <x v="14"/>
    <n v="63.96"/>
    <x v="1"/>
    <x v="1"/>
  </r>
  <r>
    <x v="1"/>
    <x v="12"/>
    <x v="190"/>
    <n v="4.12"/>
    <x v="256"/>
    <n v="6.02"/>
    <n v="2.23"/>
    <n v="8.25"/>
    <x v="305"/>
    <x v="255"/>
    <x v="14"/>
    <n v="46.68"/>
    <x v="1"/>
    <x v="1"/>
  </r>
  <r>
    <x v="1"/>
    <x v="13"/>
    <x v="191"/>
    <n v="4.82"/>
    <x v="257"/>
    <n v="5.99"/>
    <n v="2.27"/>
    <n v="8.26"/>
    <x v="306"/>
    <x v="256"/>
    <x v="14"/>
    <n v="46.32"/>
    <x v="1"/>
    <x v="1"/>
  </r>
  <r>
    <x v="2"/>
    <x v="14"/>
    <x v="192"/>
    <n v="5.9"/>
    <x v="258"/>
    <n v="6.37"/>
    <n v="0.73"/>
    <n v="7.1"/>
    <x v="112"/>
    <x v="257"/>
    <x v="14"/>
    <n v="116.28"/>
    <x v="2"/>
    <x v="1"/>
  </r>
  <r>
    <x v="2"/>
    <x v="16"/>
    <x v="193"/>
    <n v="1.9"/>
    <x v="259"/>
    <n v="5.44"/>
    <n v="2.5299999999999998"/>
    <n v="7.97"/>
    <x v="307"/>
    <x v="258"/>
    <x v="14"/>
    <n v="8.879999999999999"/>
    <x v="4"/>
    <x v="1"/>
  </r>
  <r>
    <x v="2"/>
    <x v="17"/>
    <x v="0"/>
    <n v="0"/>
    <x v="0"/>
    <n v="2.95"/>
    <n v="7.61"/>
    <n v="10.56"/>
    <x v="308"/>
    <x v="0"/>
    <x v="14"/>
    <n v="0"/>
    <x v="3"/>
    <x v="1"/>
  </r>
  <r>
    <x v="2"/>
    <x v="19"/>
    <x v="0"/>
    <n v="0"/>
    <x v="0"/>
    <n v="0"/>
    <n v="0"/>
    <n v="0"/>
    <x v="0"/>
    <x v="0"/>
    <x v="14"/>
    <n v="0"/>
    <x v="2"/>
    <x v="0"/>
  </r>
  <r>
    <x v="2"/>
    <x v="20"/>
    <x v="194"/>
    <n v="6.03"/>
    <x v="260"/>
    <n v="8.17"/>
    <n v="1.31"/>
    <n v="9.48"/>
    <x v="309"/>
    <x v="259"/>
    <x v="14"/>
    <n v="99.359999999999985"/>
    <x v="5"/>
    <x v="1"/>
  </r>
  <r>
    <x v="2"/>
    <x v="21"/>
    <x v="195"/>
    <n v="3.16"/>
    <x v="261"/>
    <n v="5.45"/>
    <n v="2.61"/>
    <n v="8.06"/>
    <x v="310"/>
    <x v="260"/>
    <x v="14"/>
    <n v="47.519999999999996"/>
    <x v="2"/>
    <x v="1"/>
  </r>
  <r>
    <x v="2"/>
    <x v="22"/>
    <x v="53"/>
    <n v="1.58"/>
    <x v="262"/>
    <n v="5.07"/>
    <n v="2.94"/>
    <n v="8.01"/>
    <x v="311"/>
    <x v="261"/>
    <x v="14"/>
    <n v="27"/>
    <x v="4"/>
    <x v="1"/>
  </r>
  <r>
    <x v="2"/>
    <x v="23"/>
    <x v="30"/>
    <n v="2.2999999999999998"/>
    <x v="263"/>
    <n v="7.23"/>
    <n v="3.32"/>
    <n v="10.55"/>
    <x v="312"/>
    <x v="262"/>
    <x v="14"/>
    <n v="30.6"/>
    <x v="3"/>
    <x v="1"/>
  </r>
  <r>
    <x v="2"/>
    <x v="24"/>
    <x v="196"/>
    <n v="5.41"/>
    <x v="264"/>
    <n v="7.48"/>
    <n v="0.45"/>
    <n v="7.93"/>
    <x v="313"/>
    <x v="263"/>
    <x v="14"/>
    <n v="40.440000000000005"/>
    <x v="5"/>
    <x v="1"/>
  </r>
  <r>
    <x v="2"/>
    <x v="25"/>
    <x v="183"/>
    <n v="4.43"/>
    <x v="265"/>
    <n v="5.71"/>
    <n v="2.21"/>
    <n v="7.92"/>
    <x v="314"/>
    <x v="264"/>
    <x v="14"/>
    <n v="78.960000000000008"/>
    <x v="2"/>
    <x v="1"/>
  </r>
  <r>
    <x v="2"/>
    <x v="27"/>
    <x v="197"/>
    <n v="2.78"/>
    <x v="266"/>
    <n v="7.36"/>
    <n v="0.6"/>
    <n v="7.96"/>
    <x v="315"/>
    <x v="265"/>
    <x v="14"/>
    <n v="60.239999999999995"/>
    <x v="5"/>
    <x v="1"/>
  </r>
  <r>
    <x v="2"/>
    <x v="28"/>
    <x v="0"/>
    <n v="0"/>
    <x v="0"/>
    <n v="0"/>
    <n v="0"/>
    <n v="0"/>
    <x v="0"/>
    <x v="0"/>
    <x v="14"/>
    <n v="0"/>
    <x v="2"/>
    <x v="0"/>
  </r>
  <r>
    <x v="2"/>
    <x v="29"/>
    <x v="198"/>
    <n v="7.57"/>
    <x v="267"/>
    <n v="7.65"/>
    <n v="1.45"/>
    <n v="9.1"/>
    <x v="316"/>
    <x v="266"/>
    <x v="14"/>
    <n v="79.8"/>
    <x v="5"/>
    <x v="1"/>
  </r>
  <r>
    <x v="2"/>
    <x v="30"/>
    <x v="0"/>
    <n v="0"/>
    <x v="0"/>
    <n v="0"/>
    <n v="0"/>
    <n v="0"/>
    <x v="0"/>
    <x v="0"/>
    <x v="14"/>
    <n v="0"/>
    <x v="5"/>
    <x v="0"/>
  </r>
  <r>
    <x v="2"/>
    <x v="31"/>
    <x v="199"/>
    <n v="1.18"/>
    <x v="268"/>
    <n v="5.24"/>
    <n v="2.68"/>
    <n v="7.92"/>
    <x v="317"/>
    <x v="267"/>
    <x v="14"/>
    <n v="10.92"/>
    <x v="2"/>
    <x v="1"/>
  </r>
  <r>
    <x v="2"/>
    <x v="32"/>
    <x v="68"/>
    <n v="2.84"/>
    <x v="269"/>
    <n v="6.33"/>
    <n v="4.22"/>
    <n v="10.55"/>
    <x v="318"/>
    <x v="268"/>
    <x v="14"/>
    <n v="9.9599999999999991"/>
    <x v="3"/>
    <x v="1"/>
  </r>
  <r>
    <x v="2"/>
    <x v="33"/>
    <x v="106"/>
    <n v="4.99"/>
    <x v="270"/>
    <n v="11.14"/>
    <n v="1.62"/>
    <n v="12.76"/>
    <x v="319"/>
    <x v="269"/>
    <x v="14"/>
    <n v="31.559999999999995"/>
    <x v="3"/>
    <x v="1"/>
  </r>
  <r>
    <x v="2"/>
    <x v="34"/>
    <x v="0"/>
    <n v="0"/>
    <x v="0"/>
    <n v="12.59"/>
    <n v="0.45"/>
    <n v="13.04"/>
    <x v="320"/>
    <x v="0"/>
    <x v="14"/>
    <n v="0"/>
    <x v="4"/>
    <x v="1"/>
  </r>
  <r>
    <x v="2"/>
    <x v="35"/>
    <x v="200"/>
    <n v="9.5299999999999994"/>
    <x v="271"/>
    <n v="8.92"/>
    <n v="1.75"/>
    <n v="10.67"/>
    <x v="321"/>
    <x v="270"/>
    <x v="14"/>
    <n v="144.95999999999998"/>
    <x v="2"/>
    <x v="1"/>
  </r>
  <r>
    <x v="2"/>
    <x v="36"/>
    <x v="0"/>
    <n v="0"/>
    <x v="0"/>
    <n v="8.43"/>
    <n v="2.13"/>
    <n v="10.56"/>
    <x v="322"/>
    <x v="0"/>
    <x v="14"/>
    <n v="0"/>
    <x v="4"/>
    <x v="1"/>
  </r>
  <r>
    <x v="2"/>
    <x v="37"/>
    <x v="0"/>
    <n v="0"/>
    <x v="0"/>
    <n v="6.83"/>
    <n v="1.34"/>
    <n v="8.17"/>
    <x v="321"/>
    <x v="0"/>
    <x v="14"/>
    <n v="0"/>
    <x v="4"/>
    <x v="1"/>
  </r>
  <r>
    <x v="2"/>
    <x v="38"/>
    <x v="57"/>
    <n v="4.33"/>
    <x v="272"/>
    <n v="4.33"/>
    <n v="2.29"/>
    <n v="6.62"/>
    <x v="323"/>
    <x v="271"/>
    <x v="14"/>
    <n v="90.960000000000008"/>
    <x v="2"/>
    <x v="1"/>
  </r>
  <r>
    <x v="2"/>
    <x v="39"/>
    <x v="186"/>
    <n v="3.65"/>
    <x v="273"/>
    <n v="4.4000000000000004"/>
    <n v="3.53"/>
    <n v="7.93"/>
    <x v="324"/>
    <x v="272"/>
    <x v="14"/>
    <n v="45"/>
    <x v="2"/>
    <x v="1"/>
  </r>
  <r>
    <x v="2"/>
    <x v="41"/>
    <x v="201"/>
    <n v="2.4700000000000002"/>
    <x v="274"/>
    <n v="9.7899999999999991"/>
    <n v="0.44"/>
    <n v="10.23"/>
    <x v="325"/>
    <x v="273"/>
    <x v="14"/>
    <n v="7.08"/>
    <x v="5"/>
    <x v="1"/>
  </r>
  <r>
    <x v="2"/>
    <x v="42"/>
    <x v="0"/>
    <n v="0"/>
    <x v="0"/>
    <n v="0"/>
    <n v="0"/>
    <n v="0"/>
    <x v="0"/>
    <x v="0"/>
    <x v="14"/>
    <n v="0"/>
    <x v="2"/>
    <x v="0"/>
  </r>
  <r>
    <x v="2"/>
    <x v="43"/>
    <x v="68"/>
    <n v="0.28000000000000003"/>
    <x v="275"/>
    <n v="6.49"/>
    <n v="2.66"/>
    <n v="9.15"/>
    <x v="326"/>
    <x v="274"/>
    <x v="14"/>
    <n v="9.9599999999999991"/>
    <x v="3"/>
    <x v="1"/>
  </r>
  <r>
    <x v="2"/>
    <x v="44"/>
    <x v="0"/>
    <n v="0"/>
    <x v="0"/>
    <n v="8.5500000000000007"/>
    <n v="4.1100000000000003"/>
    <n v="12.66"/>
    <x v="327"/>
    <x v="0"/>
    <x v="14"/>
    <n v="0"/>
    <x v="3"/>
    <x v="1"/>
  </r>
  <r>
    <x v="2"/>
    <x v="46"/>
    <x v="80"/>
    <n v="2.37"/>
    <x v="276"/>
    <n v="7.07"/>
    <n v="0.89"/>
    <n v="7.96"/>
    <x v="328"/>
    <x v="275"/>
    <x v="14"/>
    <n v="11.16"/>
    <x v="4"/>
    <x v="1"/>
  </r>
  <r>
    <x v="2"/>
    <x v="47"/>
    <x v="118"/>
    <n v="2.4500000000000002"/>
    <x v="277"/>
    <n v="7.53"/>
    <n v="0.45"/>
    <n v="7.98"/>
    <x v="329"/>
    <x v="276"/>
    <x v="14"/>
    <n v="6.9599999999999991"/>
    <x v="5"/>
    <x v="1"/>
  </r>
  <r>
    <x v="2"/>
    <x v="48"/>
    <x v="0"/>
    <n v="0"/>
    <x v="0"/>
    <n v="0"/>
    <n v="0"/>
    <n v="0"/>
    <x v="0"/>
    <x v="0"/>
    <x v="14"/>
    <n v="0"/>
    <x v="6"/>
    <x v="0"/>
  </r>
  <r>
    <x v="2"/>
    <x v="49"/>
    <x v="202"/>
    <n v="5.95"/>
    <x v="278"/>
    <n v="7.85"/>
    <n v="1.21"/>
    <n v="9.06"/>
    <x v="330"/>
    <x v="277"/>
    <x v="14"/>
    <n v="33.96"/>
    <x v="3"/>
    <x v="1"/>
  </r>
  <r>
    <x v="0"/>
    <x v="0"/>
    <x v="0"/>
    <n v="0"/>
    <x v="0"/>
    <n v="7.04"/>
    <n v="0.98"/>
    <n v="8.02"/>
    <x v="331"/>
    <x v="0"/>
    <x v="15"/>
    <n v="0"/>
    <x v="0"/>
    <x v="1"/>
  </r>
  <r>
    <x v="0"/>
    <x v="1"/>
    <x v="0"/>
    <n v="0"/>
    <x v="0"/>
    <n v="10.35"/>
    <n v="0.19"/>
    <n v="10.54"/>
    <x v="136"/>
    <x v="0"/>
    <x v="15"/>
    <n v="0"/>
    <x v="0"/>
    <x v="1"/>
  </r>
  <r>
    <x v="0"/>
    <x v="2"/>
    <x v="0"/>
    <n v="0"/>
    <x v="0"/>
    <n v="10.35"/>
    <n v="0.19"/>
    <n v="10.54"/>
    <x v="136"/>
    <x v="0"/>
    <x v="15"/>
    <n v="0"/>
    <x v="0"/>
    <x v="1"/>
  </r>
  <r>
    <x v="0"/>
    <x v="3"/>
    <x v="0"/>
    <n v="0"/>
    <x v="0"/>
    <n v="7.06"/>
    <n v="0.98"/>
    <n v="8.0399999999999991"/>
    <x v="173"/>
    <x v="0"/>
    <x v="15"/>
    <n v="0"/>
    <x v="0"/>
    <x v="1"/>
  </r>
  <r>
    <x v="0"/>
    <x v="4"/>
    <x v="0"/>
    <n v="0"/>
    <x v="0"/>
    <n v="7.77"/>
    <n v="0.28000000000000003"/>
    <n v="8.0500000000000007"/>
    <x v="332"/>
    <x v="0"/>
    <x v="15"/>
    <n v="0"/>
    <x v="0"/>
    <x v="1"/>
  </r>
  <r>
    <x v="0"/>
    <x v="5"/>
    <x v="0"/>
    <n v="0"/>
    <x v="0"/>
    <n v="10.35"/>
    <n v="0.19"/>
    <n v="10.54"/>
    <x v="136"/>
    <x v="0"/>
    <x v="15"/>
    <n v="0"/>
    <x v="0"/>
    <x v="1"/>
  </r>
  <r>
    <x v="0"/>
    <x v="6"/>
    <x v="0"/>
    <n v="0"/>
    <x v="0"/>
    <n v="10.27"/>
    <n v="0.27"/>
    <n v="10.54"/>
    <x v="333"/>
    <x v="0"/>
    <x v="15"/>
    <n v="0"/>
    <x v="0"/>
    <x v="1"/>
  </r>
  <r>
    <x v="0"/>
    <x v="7"/>
    <x v="0"/>
    <n v="0"/>
    <x v="0"/>
    <n v="7.08"/>
    <n v="0.97"/>
    <n v="8.0500000000000007"/>
    <x v="206"/>
    <x v="0"/>
    <x v="15"/>
    <n v="0"/>
    <x v="0"/>
    <x v="1"/>
  </r>
  <r>
    <x v="0"/>
    <x v="8"/>
    <x v="0"/>
    <n v="0"/>
    <x v="0"/>
    <n v="7.14"/>
    <n v="0.98"/>
    <n v="8.1199999999999992"/>
    <x v="334"/>
    <x v="0"/>
    <x v="15"/>
    <n v="0"/>
    <x v="0"/>
    <x v="1"/>
  </r>
  <r>
    <x v="1"/>
    <x v="9"/>
    <x v="0"/>
    <n v="0"/>
    <x v="0"/>
    <n v="0"/>
    <n v="0.05"/>
    <n v="0.05"/>
    <x v="0"/>
    <x v="0"/>
    <x v="15"/>
    <n v="0"/>
    <x v="1"/>
    <x v="1"/>
  </r>
  <r>
    <x v="1"/>
    <x v="10"/>
    <x v="0"/>
    <n v="0"/>
    <x v="0"/>
    <n v="7.84"/>
    <n v="0.19"/>
    <n v="8.0299999999999994"/>
    <x v="335"/>
    <x v="0"/>
    <x v="15"/>
    <n v="0"/>
    <x v="1"/>
    <x v="1"/>
  </r>
  <r>
    <x v="1"/>
    <x v="11"/>
    <x v="0"/>
    <n v="0"/>
    <x v="0"/>
    <n v="4.63"/>
    <n v="3.45"/>
    <n v="8.08"/>
    <x v="336"/>
    <x v="0"/>
    <x v="15"/>
    <n v="0"/>
    <x v="1"/>
    <x v="1"/>
  </r>
  <r>
    <x v="1"/>
    <x v="12"/>
    <x v="0"/>
    <n v="0"/>
    <x v="0"/>
    <n v="1.07"/>
    <n v="7"/>
    <n v="8.07"/>
    <x v="337"/>
    <x v="0"/>
    <x v="15"/>
    <n v="0"/>
    <x v="1"/>
    <x v="1"/>
  </r>
  <r>
    <x v="1"/>
    <x v="13"/>
    <x v="0"/>
    <n v="0"/>
    <x v="0"/>
    <n v="1.53"/>
    <n v="6.53"/>
    <n v="8.06"/>
    <x v="338"/>
    <x v="0"/>
    <x v="15"/>
    <n v="0"/>
    <x v="1"/>
    <x v="1"/>
  </r>
  <r>
    <x v="2"/>
    <x v="14"/>
    <x v="203"/>
    <n v="7"/>
    <x v="279"/>
    <n v="9.8000000000000007"/>
    <n v="0.45"/>
    <n v="10.25"/>
    <x v="339"/>
    <x v="278"/>
    <x v="15"/>
    <n v="124.56000000000002"/>
    <x v="2"/>
    <x v="1"/>
  </r>
  <r>
    <x v="2"/>
    <x v="17"/>
    <x v="187"/>
    <n v="3.38"/>
    <x v="280"/>
    <n v="2.13"/>
    <n v="8.32"/>
    <n v="10.45"/>
    <x v="340"/>
    <x v="279"/>
    <x v="15"/>
    <n v="16.8"/>
    <x v="3"/>
    <x v="1"/>
  </r>
  <r>
    <x v="2"/>
    <x v="18"/>
    <x v="204"/>
    <n v="5.14"/>
    <x v="281"/>
    <n v="6.76"/>
    <n v="1.32"/>
    <n v="8.08"/>
    <x v="341"/>
    <x v="280"/>
    <x v="15"/>
    <n v="38.4"/>
    <x v="3"/>
    <x v="1"/>
  </r>
  <r>
    <x v="2"/>
    <x v="19"/>
    <x v="0"/>
    <n v="0"/>
    <x v="0"/>
    <n v="0"/>
    <n v="0"/>
    <n v="0"/>
    <x v="0"/>
    <x v="0"/>
    <x v="15"/>
    <n v="0"/>
    <x v="2"/>
    <x v="0"/>
  </r>
  <r>
    <x v="2"/>
    <x v="21"/>
    <x v="205"/>
    <n v="5.87"/>
    <x v="282"/>
    <n v="6.68"/>
    <n v="0.93"/>
    <n v="7.61"/>
    <x v="331"/>
    <x v="281"/>
    <x v="15"/>
    <n v="132.23999999999998"/>
    <x v="2"/>
    <x v="1"/>
  </r>
  <r>
    <x v="2"/>
    <x v="23"/>
    <x v="206"/>
    <n v="0.95"/>
    <x v="283"/>
    <n v="2.6"/>
    <n v="7.83"/>
    <n v="10.43"/>
    <x v="342"/>
    <x v="282"/>
    <x v="15"/>
    <n v="6.6"/>
    <x v="3"/>
    <x v="1"/>
  </r>
  <r>
    <x v="2"/>
    <x v="25"/>
    <x v="207"/>
    <n v="7.61"/>
    <x v="284"/>
    <n v="7.61"/>
    <n v="0.77"/>
    <n v="8.3800000000000008"/>
    <x v="343"/>
    <x v="283"/>
    <x v="15"/>
    <n v="108.96"/>
    <x v="2"/>
    <x v="1"/>
  </r>
  <r>
    <x v="2"/>
    <x v="26"/>
    <x v="22"/>
    <n v="5.49"/>
    <x v="285"/>
    <n v="7.7"/>
    <n v="0.32"/>
    <n v="8.02"/>
    <x v="344"/>
    <x v="284"/>
    <x v="15"/>
    <n v="36"/>
    <x v="3"/>
    <x v="1"/>
  </r>
  <r>
    <x v="2"/>
    <x v="27"/>
    <x v="208"/>
    <n v="9.6"/>
    <x v="286"/>
    <n v="9.7200000000000006"/>
    <n v="0.27"/>
    <n v="9.99"/>
    <x v="345"/>
    <x v="285"/>
    <x v="15"/>
    <n v="140.76000000000002"/>
    <x v="5"/>
    <x v="1"/>
  </r>
  <r>
    <x v="2"/>
    <x v="28"/>
    <x v="0"/>
    <n v="0"/>
    <x v="0"/>
    <n v="0"/>
    <n v="0"/>
    <n v="0"/>
    <x v="0"/>
    <x v="0"/>
    <x v="15"/>
    <n v="0"/>
    <x v="2"/>
    <x v="0"/>
  </r>
  <r>
    <x v="2"/>
    <x v="29"/>
    <x v="209"/>
    <n v="5.67"/>
    <x v="287"/>
    <n v="7.45"/>
    <n v="0.69"/>
    <n v="8.14"/>
    <x v="346"/>
    <x v="286"/>
    <x v="15"/>
    <n v="133.92000000000002"/>
    <x v="5"/>
    <x v="1"/>
  </r>
  <r>
    <x v="2"/>
    <x v="30"/>
    <x v="0"/>
    <n v="0"/>
    <x v="0"/>
    <n v="0"/>
    <n v="0"/>
    <n v="0"/>
    <x v="0"/>
    <x v="0"/>
    <x v="15"/>
    <n v="0"/>
    <x v="5"/>
    <x v="0"/>
  </r>
  <r>
    <x v="2"/>
    <x v="34"/>
    <x v="173"/>
    <n v="4.9800000000000004"/>
    <x v="288"/>
    <n v="10.78"/>
    <n v="0.52"/>
    <n v="11.3"/>
    <x v="347"/>
    <x v="287"/>
    <x v="15"/>
    <n v="67.92"/>
    <x v="4"/>
    <x v="1"/>
  </r>
  <r>
    <x v="2"/>
    <x v="35"/>
    <x v="210"/>
    <n v="9.7200000000000006"/>
    <x v="289"/>
    <n v="11.58"/>
    <n v="1.01"/>
    <n v="12.59"/>
    <x v="348"/>
    <x v="288"/>
    <x v="15"/>
    <n v="330"/>
    <x v="2"/>
    <x v="1"/>
  </r>
  <r>
    <x v="2"/>
    <x v="36"/>
    <x v="150"/>
    <n v="5.95"/>
    <x v="290"/>
    <n v="9.6300000000000008"/>
    <n v="0.69"/>
    <n v="10.32"/>
    <x v="349"/>
    <x v="289"/>
    <x v="15"/>
    <n v="49.92"/>
    <x v="4"/>
    <x v="1"/>
  </r>
  <r>
    <x v="2"/>
    <x v="39"/>
    <x v="119"/>
    <n v="3.44"/>
    <x v="291"/>
    <n v="7.89"/>
    <n v="2.14"/>
    <n v="10.029999999999999"/>
    <x v="153"/>
    <x v="290"/>
    <x v="15"/>
    <n v="46.92"/>
    <x v="2"/>
    <x v="1"/>
  </r>
  <r>
    <x v="2"/>
    <x v="43"/>
    <x v="0"/>
    <n v="0"/>
    <x v="0"/>
    <n v="4.71"/>
    <n v="3.44"/>
    <n v="8.15"/>
    <x v="350"/>
    <x v="0"/>
    <x v="15"/>
    <n v="0"/>
    <x v="3"/>
    <x v="1"/>
  </r>
  <r>
    <x v="2"/>
    <x v="44"/>
    <x v="48"/>
    <n v="5.12"/>
    <x v="292"/>
    <n v="5.12"/>
    <n v="3.66"/>
    <n v="8.7799999999999994"/>
    <x v="351"/>
    <x v="291"/>
    <x v="15"/>
    <n v="51.96"/>
    <x v="3"/>
    <x v="1"/>
  </r>
  <r>
    <x v="2"/>
    <x v="45"/>
    <x v="122"/>
    <n v="2.68"/>
    <x v="293"/>
    <n v="6.78"/>
    <n v="3.01"/>
    <n v="9.7899999999999991"/>
    <x v="352"/>
    <x v="292"/>
    <x v="15"/>
    <n v="15.960000000000003"/>
    <x v="4"/>
    <x v="1"/>
  </r>
  <r>
    <x v="2"/>
    <x v="46"/>
    <x v="211"/>
    <n v="6.74"/>
    <x v="294"/>
    <n v="7"/>
    <n v="0.76"/>
    <n v="7.76"/>
    <x v="353"/>
    <x v="293"/>
    <x v="15"/>
    <n v="77.16"/>
    <x v="4"/>
    <x v="1"/>
  </r>
  <r>
    <x v="2"/>
    <x v="48"/>
    <x v="0"/>
    <n v="0"/>
    <x v="0"/>
    <n v="0"/>
    <n v="0"/>
    <n v="0"/>
    <x v="0"/>
    <x v="0"/>
    <x v="15"/>
    <n v="0"/>
    <x v="6"/>
    <x v="0"/>
  </r>
  <r>
    <x v="2"/>
    <x v="50"/>
    <x v="24"/>
    <n v="6.79"/>
    <x v="295"/>
    <n v="7.59"/>
    <n v="0.22"/>
    <n v="7.81"/>
    <x v="76"/>
    <x v="294"/>
    <x v="15"/>
    <n v="30"/>
    <x v="4"/>
    <x v="1"/>
  </r>
  <r>
    <x v="0"/>
    <x v="1"/>
    <x v="104"/>
    <n v="6.92"/>
    <x v="296"/>
    <n v="7.72"/>
    <n v="0.28000000000000003"/>
    <n v="8"/>
    <x v="354"/>
    <x v="295"/>
    <x v="16"/>
    <n v="12.120000000000001"/>
    <x v="0"/>
    <x v="1"/>
  </r>
  <r>
    <x v="0"/>
    <x v="2"/>
    <x v="212"/>
    <n v="7.95"/>
    <x v="296"/>
    <n v="7.7"/>
    <n v="0.28000000000000003"/>
    <n v="7.98"/>
    <x v="355"/>
    <x v="296"/>
    <x v="16"/>
    <n v="13.919999999999998"/>
    <x v="0"/>
    <x v="1"/>
  </r>
  <r>
    <x v="0"/>
    <x v="3"/>
    <x v="213"/>
    <n v="1.8"/>
    <x v="297"/>
    <n v="3.8"/>
    <n v="4.21"/>
    <n v="8.01"/>
    <x v="356"/>
    <x v="297"/>
    <x v="16"/>
    <n v="7.8"/>
    <x v="0"/>
    <x v="1"/>
  </r>
  <r>
    <x v="0"/>
    <x v="4"/>
    <x v="214"/>
    <n v="4.96"/>
    <x v="298"/>
    <n v="7.7"/>
    <n v="0.3"/>
    <n v="8"/>
    <x v="357"/>
    <x v="298"/>
    <x v="16"/>
    <n v="24.48"/>
    <x v="0"/>
    <x v="1"/>
  </r>
  <r>
    <x v="0"/>
    <x v="5"/>
    <x v="212"/>
    <n v="7.94"/>
    <x v="299"/>
    <n v="7.72"/>
    <n v="0.26"/>
    <n v="7.98"/>
    <x v="358"/>
    <x v="296"/>
    <x v="16"/>
    <n v="13.919999999999998"/>
    <x v="0"/>
    <x v="1"/>
  </r>
  <r>
    <x v="0"/>
    <x v="6"/>
    <x v="215"/>
    <n v="7.73"/>
    <x v="300"/>
    <n v="7.68"/>
    <n v="0.32"/>
    <n v="8"/>
    <x v="168"/>
    <x v="299"/>
    <x v="16"/>
    <n v="58.56"/>
    <x v="0"/>
    <x v="1"/>
  </r>
  <r>
    <x v="0"/>
    <x v="7"/>
    <x v="181"/>
    <n v="3.47"/>
    <x v="301"/>
    <n v="3.8"/>
    <n v="4.2300000000000004"/>
    <n v="8.0299999999999994"/>
    <x v="359"/>
    <x v="300"/>
    <x v="16"/>
    <n v="15"/>
    <x v="0"/>
    <x v="1"/>
  </r>
  <r>
    <x v="0"/>
    <x v="8"/>
    <x v="153"/>
    <n v="6.84"/>
    <x v="302"/>
    <n v="7.45"/>
    <n v="0.57999999999999996"/>
    <n v="8.0299999999999994"/>
    <x v="360"/>
    <x v="301"/>
    <x v="16"/>
    <n v="33.119999999999997"/>
    <x v="0"/>
    <x v="1"/>
  </r>
  <r>
    <x v="1"/>
    <x v="9"/>
    <x v="216"/>
    <n v="6.95"/>
    <x v="303"/>
    <n v="6.86"/>
    <n v="1.2"/>
    <n v="8.06"/>
    <x v="361"/>
    <x v="302"/>
    <x v="16"/>
    <n v="99.960000000000008"/>
    <x v="1"/>
    <x v="1"/>
  </r>
  <r>
    <x v="1"/>
    <x v="11"/>
    <x v="217"/>
    <n v="7.51"/>
    <x v="304"/>
    <n v="5.24"/>
    <n v="2.87"/>
    <n v="8.11"/>
    <x v="362"/>
    <x v="303"/>
    <x v="16"/>
    <n v="60.48"/>
    <x v="1"/>
    <x v="1"/>
  </r>
  <r>
    <x v="1"/>
    <x v="12"/>
    <x v="218"/>
    <n v="7.91"/>
    <x v="305"/>
    <n v="2.31"/>
    <n v="5.78"/>
    <n v="8.09"/>
    <x v="363"/>
    <x v="304"/>
    <x v="16"/>
    <n v="48.239999999999995"/>
    <x v="1"/>
    <x v="1"/>
  </r>
  <r>
    <x v="2"/>
    <x v="14"/>
    <x v="209"/>
    <n v="8.39"/>
    <x v="306"/>
    <n v="8.16"/>
    <n v="1.49"/>
    <n v="9.65"/>
    <x v="364"/>
    <x v="305"/>
    <x v="16"/>
    <n v="133.92000000000002"/>
    <x v="2"/>
    <x v="1"/>
  </r>
  <r>
    <x v="2"/>
    <x v="16"/>
    <x v="219"/>
    <n v="4.5199999999999996"/>
    <x v="307"/>
    <n v="7.23"/>
    <n v="0.49"/>
    <n v="7.72"/>
    <x v="365"/>
    <x v="306"/>
    <x v="16"/>
    <n v="47.160000000000004"/>
    <x v="4"/>
    <x v="1"/>
  </r>
  <r>
    <x v="2"/>
    <x v="17"/>
    <x v="4"/>
    <n v="0.98"/>
    <x v="308"/>
    <n v="0.93"/>
    <n v="7.28"/>
    <n v="8.2100000000000009"/>
    <x v="366"/>
    <x v="98"/>
    <x v="16"/>
    <n v="12"/>
    <x v="3"/>
    <x v="1"/>
  </r>
  <r>
    <x v="2"/>
    <x v="18"/>
    <x v="220"/>
    <n v="4.97"/>
    <x v="309"/>
    <n v="7.12"/>
    <n v="1.1000000000000001"/>
    <n v="8.2200000000000006"/>
    <x v="367"/>
    <x v="307"/>
    <x v="16"/>
    <n v="39.480000000000004"/>
    <x v="3"/>
    <x v="1"/>
  </r>
  <r>
    <x v="2"/>
    <x v="19"/>
    <x v="0"/>
    <n v="0"/>
    <x v="0"/>
    <n v="0"/>
    <n v="0"/>
    <n v="0"/>
    <x v="0"/>
    <x v="0"/>
    <x v="16"/>
    <n v="0"/>
    <x v="2"/>
    <x v="0"/>
  </r>
  <r>
    <x v="2"/>
    <x v="20"/>
    <x v="221"/>
    <n v="9.86"/>
    <x v="310"/>
    <n v="9.91"/>
    <n v="0.34"/>
    <n v="10.25"/>
    <x v="368"/>
    <x v="308"/>
    <x v="16"/>
    <n v="153.23999999999998"/>
    <x v="5"/>
    <x v="1"/>
  </r>
  <r>
    <x v="2"/>
    <x v="21"/>
    <x v="222"/>
    <n v="4"/>
    <x v="311"/>
    <n v="8.34"/>
    <n v="0.52"/>
    <n v="8.86"/>
    <x v="369"/>
    <x v="309"/>
    <x v="16"/>
    <n v="81"/>
    <x v="2"/>
    <x v="1"/>
  </r>
  <r>
    <x v="2"/>
    <x v="22"/>
    <x v="29"/>
    <n v="1.92"/>
    <x v="236"/>
    <n v="7.35"/>
    <n v="1.2"/>
    <n v="8.5500000000000007"/>
    <x v="370"/>
    <x v="310"/>
    <x v="16"/>
    <n v="24"/>
    <x v="4"/>
    <x v="1"/>
  </r>
  <r>
    <x v="2"/>
    <x v="23"/>
    <x v="79"/>
    <n v="5.03"/>
    <x v="312"/>
    <n v="7.57"/>
    <n v="0.67"/>
    <n v="8.24"/>
    <x v="371"/>
    <x v="311"/>
    <x v="16"/>
    <n v="16.440000000000001"/>
    <x v="3"/>
    <x v="1"/>
  </r>
  <r>
    <x v="2"/>
    <x v="25"/>
    <x v="222"/>
    <n v="4.72"/>
    <x v="313"/>
    <n v="9.3000000000000007"/>
    <n v="0.7"/>
    <n v="10"/>
    <x v="372"/>
    <x v="312"/>
    <x v="16"/>
    <n v="81"/>
    <x v="2"/>
    <x v="1"/>
  </r>
  <r>
    <x v="2"/>
    <x v="26"/>
    <x v="223"/>
    <n v="7.72"/>
    <x v="314"/>
    <n v="7.17"/>
    <n v="0.91"/>
    <n v="8.08"/>
    <x v="373"/>
    <x v="313"/>
    <x v="16"/>
    <n v="106.92"/>
    <x v="3"/>
    <x v="1"/>
  </r>
  <r>
    <x v="2"/>
    <x v="28"/>
    <x v="0"/>
    <n v="0"/>
    <x v="0"/>
    <n v="0"/>
    <n v="0"/>
    <n v="0"/>
    <x v="0"/>
    <x v="0"/>
    <x v="16"/>
    <n v="0"/>
    <x v="2"/>
    <x v="0"/>
  </r>
  <r>
    <x v="2"/>
    <x v="30"/>
    <x v="0"/>
    <n v="0"/>
    <x v="0"/>
    <n v="0"/>
    <n v="0"/>
    <n v="0"/>
    <x v="0"/>
    <x v="0"/>
    <x v="16"/>
    <n v="0"/>
    <x v="5"/>
    <x v="0"/>
  </r>
  <r>
    <x v="2"/>
    <x v="31"/>
    <x v="224"/>
    <n v="5.58"/>
    <x v="315"/>
    <n v="9.43"/>
    <n v="0.84"/>
    <n v="10.27"/>
    <x v="374"/>
    <x v="314"/>
    <x v="16"/>
    <n v="75.960000000000008"/>
    <x v="2"/>
    <x v="1"/>
  </r>
  <r>
    <x v="2"/>
    <x v="32"/>
    <x v="0"/>
    <n v="0"/>
    <x v="0"/>
    <n v="5.33"/>
    <n v="3.7"/>
    <n v="9.0299999999999994"/>
    <x v="375"/>
    <x v="0"/>
    <x v="16"/>
    <n v="0"/>
    <x v="3"/>
    <x v="1"/>
  </r>
  <r>
    <x v="2"/>
    <x v="33"/>
    <x v="129"/>
    <n v="7.5"/>
    <x v="316"/>
    <n v="6.03"/>
    <n v="2.3199999999999998"/>
    <n v="8.35"/>
    <x v="376"/>
    <x v="315"/>
    <x v="16"/>
    <n v="12.960000000000003"/>
    <x v="3"/>
    <x v="1"/>
  </r>
  <r>
    <x v="2"/>
    <x v="34"/>
    <x v="22"/>
    <n v="3.98"/>
    <x v="317"/>
    <n v="6.94"/>
    <n v="0.86"/>
    <n v="7.8"/>
    <x v="377"/>
    <x v="316"/>
    <x v="16"/>
    <n v="36"/>
    <x v="4"/>
    <x v="1"/>
  </r>
  <r>
    <x v="2"/>
    <x v="35"/>
    <x v="225"/>
    <n v="8.0399999999999991"/>
    <x v="318"/>
    <n v="11.73"/>
    <n v="0.43"/>
    <n v="12.16"/>
    <x v="105"/>
    <x v="317"/>
    <x v="16"/>
    <n v="267"/>
    <x v="2"/>
    <x v="1"/>
  </r>
  <r>
    <x v="2"/>
    <x v="38"/>
    <x v="0"/>
    <n v="0"/>
    <x v="0"/>
    <n v="0"/>
    <n v="0"/>
    <n v="0"/>
    <x v="0"/>
    <x v="0"/>
    <x v="16"/>
    <n v="0"/>
    <x v="2"/>
    <x v="0"/>
  </r>
  <r>
    <x v="2"/>
    <x v="40"/>
    <x v="226"/>
    <n v="0.52"/>
    <x v="319"/>
    <n v="7.48"/>
    <n v="0.55000000000000004"/>
    <n v="8.0299999999999994"/>
    <x v="378"/>
    <x v="318"/>
    <x v="16"/>
    <n v="5.04"/>
    <x v="3"/>
    <x v="1"/>
  </r>
  <r>
    <x v="2"/>
    <x v="41"/>
    <x v="83"/>
    <n v="7.82"/>
    <x v="320"/>
    <n v="10.33"/>
    <n v="0.72"/>
    <n v="11.05"/>
    <x v="379"/>
    <x v="319"/>
    <x v="16"/>
    <n v="81.960000000000008"/>
    <x v="5"/>
    <x v="1"/>
  </r>
  <r>
    <x v="2"/>
    <x v="42"/>
    <x v="183"/>
    <n v="4.84"/>
    <x v="321"/>
    <n v="10.210000000000001"/>
    <n v="0.31"/>
    <n v="10.52"/>
    <x v="380"/>
    <x v="320"/>
    <x v="16"/>
    <n v="78.960000000000008"/>
    <x v="2"/>
    <x v="1"/>
  </r>
  <r>
    <x v="2"/>
    <x v="43"/>
    <x v="119"/>
    <n v="6.66"/>
    <x v="322"/>
    <n v="6.51"/>
    <n v="2.2000000000000002"/>
    <n v="8.7100000000000009"/>
    <x v="381"/>
    <x v="321"/>
    <x v="16"/>
    <n v="46.92"/>
    <x v="3"/>
    <x v="1"/>
  </r>
  <r>
    <x v="2"/>
    <x v="44"/>
    <x v="0"/>
    <n v="0"/>
    <x v="0"/>
    <n v="2.58"/>
    <n v="5.53"/>
    <n v="8.11"/>
    <x v="382"/>
    <x v="0"/>
    <x v="16"/>
    <n v="0"/>
    <x v="3"/>
    <x v="1"/>
  </r>
  <r>
    <x v="2"/>
    <x v="45"/>
    <x v="0"/>
    <n v="0"/>
    <x v="0"/>
    <n v="3.34"/>
    <n v="4.5199999999999996"/>
    <n v="7.86"/>
    <x v="383"/>
    <x v="0"/>
    <x v="16"/>
    <n v="0"/>
    <x v="4"/>
    <x v="1"/>
  </r>
  <r>
    <x v="2"/>
    <x v="46"/>
    <x v="227"/>
    <n v="3.77"/>
    <x v="26"/>
    <n v="7.28"/>
    <n v="0.48"/>
    <n v="7.76"/>
    <x v="384"/>
    <x v="322"/>
    <x v="16"/>
    <n v="42.839999999999996"/>
    <x v="4"/>
    <x v="1"/>
  </r>
  <r>
    <x v="2"/>
    <x v="47"/>
    <x v="142"/>
    <n v="5.68"/>
    <x v="323"/>
    <n v="7.9"/>
    <n v="0.49"/>
    <n v="8.39"/>
    <x v="385"/>
    <x v="323"/>
    <x v="16"/>
    <n v="72"/>
    <x v="5"/>
    <x v="1"/>
  </r>
  <r>
    <x v="2"/>
    <x v="48"/>
    <x v="0"/>
    <n v="0"/>
    <x v="0"/>
    <n v="0"/>
    <n v="0"/>
    <n v="0"/>
    <x v="0"/>
    <x v="0"/>
    <x v="16"/>
    <n v="0"/>
    <x v="6"/>
    <x v="0"/>
  </r>
  <r>
    <x v="2"/>
    <x v="49"/>
    <x v="5"/>
    <n v="3.5"/>
    <x v="324"/>
    <n v="9.65"/>
    <n v="0.34"/>
    <n v="9.99"/>
    <x v="386"/>
    <x v="324"/>
    <x v="16"/>
    <n v="18.96"/>
    <x v="3"/>
    <x v="1"/>
  </r>
  <r>
    <x v="0"/>
    <x v="0"/>
    <x v="0"/>
    <n v="0"/>
    <x v="0"/>
    <n v="7.22"/>
    <n v="0.82"/>
    <n v="8.0399999999999991"/>
    <x v="387"/>
    <x v="0"/>
    <x v="17"/>
    <n v="0"/>
    <x v="0"/>
    <x v="1"/>
  </r>
  <r>
    <x v="0"/>
    <x v="1"/>
    <x v="138"/>
    <n v="1.03"/>
    <x v="325"/>
    <n v="10.19"/>
    <n v="0.43"/>
    <n v="10.62"/>
    <x v="388"/>
    <x v="325"/>
    <x v="17"/>
    <n v="22.919999999999998"/>
    <x v="0"/>
    <x v="1"/>
  </r>
  <r>
    <x v="0"/>
    <x v="2"/>
    <x v="0"/>
    <n v="0"/>
    <x v="0"/>
    <n v="10.19"/>
    <n v="0.43"/>
    <n v="10.62"/>
    <x v="388"/>
    <x v="0"/>
    <x v="17"/>
    <n v="0"/>
    <x v="0"/>
    <x v="1"/>
  </r>
  <r>
    <x v="0"/>
    <x v="3"/>
    <x v="228"/>
    <n v="3.74"/>
    <x v="326"/>
    <n v="7.25"/>
    <n v="0.78"/>
    <n v="8.0299999999999994"/>
    <x v="389"/>
    <x v="326"/>
    <x v="17"/>
    <n v="15.48"/>
    <x v="0"/>
    <x v="1"/>
  </r>
  <r>
    <x v="0"/>
    <x v="4"/>
    <x v="0"/>
    <n v="0"/>
    <x v="0"/>
    <n v="10.199999999999999"/>
    <n v="0.37"/>
    <n v="10.57"/>
    <x v="354"/>
    <x v="0"/>
    <x v="17"/>
    <n v="0"/>
    <x v="0"/>
    <x v="1"/>
  </r>
  <r>
    <x v="0"/>
    <x v="5"/>
    <x v="0"/>
    <n v="0"/>
    <x v="0"/>
    <n v="7.77"/>
    <n v="0.36"/>
    <n v="8.1300000000000008"/>
    <x v="390"/>
    <x v="0"/>
    <x v="17"/>
    <n v="0"/>
    <x v="0"/>
    <x v="1"/>
  </r>
  <r>
    <x v="0"/>
    <x v="6"/>
    <x v="0"/>
    <n v="0"/>
    <x v="0"/>
    <n v="10.220000000000001"/>
    <n v="0.36"/>
    <n v="10.58"/>
    <x v="386"/>
    <x v="0"/>
    <x v="17"/>
    <n v="0"/>
    <x v="0"/>
    <x v="1"/>
  </r>
  <r>
    <x v="0"/>
    <x v="7"/>
    <x v="0"/>
    <n v="0"/>
    <x v="0"/>
    <n v="9.5"/>
    <n v="0.53"/>
    <n v="10.029999999999999"/>
    <x v="391"/>
    <x v="0"/>
    <x v="17"/>
    <n v="0"/>
    <x v="0"/>
    <x v="1"/>
  </r>
  <r>
    <x v="1"/>
    <x v="9"/>
    <x v="54"/>
    <n v="6.85"/>
    <x v="327"/>
    <n v="5.69"/>
    <n v="2.68"/>
    <n v="8.3699999999999992"/>
    <x v="392"/>
    <x v="327"/>
    <x v="17"/>
    <n v="66"/>
    <x v="1"/>
    <x v="1"/>
  </r>
  <r>
    <x v="1"/>
    <x v="11"/>
    <x v="33"/>
    <n v="0.35"/>
    <x v="328"/>
    <n v="6.59"/>
    <n v="1.51"/>
    <n v="8.1"/>
    <x v="393"/>
    <x v="328"/>
    <x v="17"/>
    <n v="24.96"/>
    <x v="1"/>
    <x v="1"/>
  </r>
  <r>
    <x v="1"/>
    <x v="12"/>
    <x v="47"/>
    <n v="0.95"/>
    <x v="329"/>
    <n v="6.05"/>
    <n v="2.02"/>
    <n v="8.07"/>
    <x v="394"/>
    <x v="329"/>
    <x v="17"/>
    <n v="30.96"/>
    <x v="1"/>
    <x v="1"/>
  </r>
  <r>
    <x v="1"/>
    <x v="13"/>
    <x v="229"/>
    <n v="2.76"/>
    <x v="330"/>
    <n v="6.07"/>
    <n v="2.0099999999999998"/>
    <n v="8.08"/>
    <x v="395"/>
    <x v="330"/>
    <x v="17"/>
    <n v="49.08"/>
    <x v="1"/>
    <x v="1"/>
  </r>
  <r>
    <x v="2"/>
    <x v="14"/>
    <x v="216"/>
    <n v="4.13"/>
    <x v="331"/>
    <n v="7.08"/>
    <n v="0.92"/>
    <n v="8"/>
    <x v="396"/>
    <x v="331"/>
    <x v="17"/>
    <n v="99.960000000000008"/>
    <x v="2"/>
    <x v="1"/>
  </r>
  <r>
    <x v="2"/>
    <x v="15"/>
    <x v="3"/>
    <n v="1.1499999999999999"/>
    <x v="332"/>
    <n v="8.02"/>
    <n v="1.18"/>
    <n v="9.1999999999999993"/>
    <x v="397"/>
    <x v="332"/>
    <x v="17"/>
    <n v="18"/>
    <x v="3"/>
    <x v="1"/>
  </r>
  <r>
    <x v="2"/>
    <x v="16"/>
    <x v="68"/>
    <n v="0.84"/>
    <x v="333"/>
    <n v="8.94"/>
    <n v="0.37"/>
    <n v="9.31"/>
    <x v="398"/>
    <x v="333"/>
    <x v="17"/>
    <n v="9.9599999999999991"/>
    <x v="4"/>
    <x v="1"/>
  </r>
  <r>
    <x v="2"/>
    <x v="17"/>
    <x v="230"/>
    <n v="5.37"/>
    <x v="334"/>
    <n v="4.1500000000000004"/>
    <n v="5.13"/>
    <n v="9.2799999999999994"/>
    <x v="399"/>
    <x v="334"/>
    <x v="17"/>
    <n v="30.72"/>
    <x v="3"/>
    <x v="1"/>
  </r>
  <r>
    <x v="2"/>
    <x v="18"/>
    <x v="231"/>
    <n v="8.65"/>
    <x v="335"/>
    <n v="6.82"/>
    <n v="2.39"/>
    <n v="9.2100000000000009"/>
    <x v="400"/>
    <x v="335"/>
    <x v="17"/>
    <n v="93"/>
    <x v="3"/>
    <x v="1"/>
  </r>
  <r>
    <x v="2"/>
    <x v="19"/>
    <x v="0"/>
    <n v="0"/>
    <x v="0"/>
    <n v="0"/>
    <n v="0"/>
    <n v="0"/>
    <x v="0"/>
    <x v="0"/>
    <x v="17"/>
    <n v="0"/>
    <x v="2"/>
    <x v="0"/>
  </r>
  <r>
    <x v="2"/>
    <x v="20"/>
    <x v="150"/>
    <n v="1.32"/>
    <x v="336"/>
    <n v="9.4700000000000006"/>
    <n v="1.21"/>
    <n v="10.68"/>
    <x v="401"/>
    <x v="336"/>
    <x v="17"/>
    <n v="49.92"/>
    <x v="5"/>
    <x v="1"/>
  </r>
  <r>
    <x v="2"/>
    <x v="22"/>
    <x v="181"/>
    <n v="2.78"/>
    <x v="337"/>
    <n v="7.1"/>
    <n v="2.9"/>
    <n v="10"/>
    <x v="402"/>
    <x v="337"/>
    <x v="17"/>
    <n v="15"/>
    <x v="4"/>
    <x v="1"/>
  </r>
  <r>
    <x v="2"/>
    <x v="23"/>
    <x v="232"/>
    <n v="7.57"/>
    <x v="338"/>
    <n v="4.62"/>
    <n v="4.7"/>
    <n v="9.32"/>
    <x v="403"/>
    <x v="338"/>
    <x v="17"/>
    <n v="26.880000000000003"/>
    <x v="3"/>
    <x v="1"/>
  </r>
  <r>
    <x v="2"/>
    <x v="24"/>
    <x v="233"/>
    <n v="6.43"/>
    <x v="339"/>
    <n v="7.51"/>
    <n v="1.42"/>
    <n v="8.93"/>
    <x v="404"/>
    <x v="339"/>
    <x v="17"/>
    <n v="105"/>
    <x v="5"/>
    <x v="1"/>
  </r>
  <r>
    <x v="2"/>
    <x v="26"/>
    <x v="11"/>
    <n v="0.52"/>
    <x v="340"/>
    <n v="6.2"/>
    <n v="2.85"/>
    <n v="9.0500000000000007"/>
    <x v="405"/>
    <x v="340"/>
    <x v="17"/>
    <n v="9"/>
    <x v="3"/>
    <x v="1"/>
  </r>
  <r>
    <x v="2"/>
    <x v="28"/>
    <x v="0"/>
    <n v="0"/>
    <x v="0"/>
    <n v="0"/>
    <n v="0"/>
    <n v="0"/>
    <x v="0"/>
    <x v="0"/>
    <x v="17"/>
    <n v="0"/>
    <x v="2"/>
    <x v="0"/>
  </r>
  <r>
    <x v="2"/>
    <x v="29"/>
    <x v="234"/>
    <n v="6.9"/>
    <x v="341"/>
    <n v="7.47"/>
    <n v="1.43"/>
    <n v="8.9"/>
    <x v="406"/>
    <x v="341"/>
    <x v="17"/>
    <n v="162.12"/>
    <x v="5"/>
    <x v="1"/>
  </r>
  <r>
    <x v="2"/>
    <x v="30"/>
    <x v="0"/>
    <n v="0"/>
    <x v="0"/>
    <n v="0"/>
    <n v="0"/>
    <n v="0"/>
    <x v="0"/>
    <x v="0"/>
    <x v="17"/>
    <n v="0"/>
    <x v="5"/>
    <x v="0"/>
  </r>
  <r>
    <x v="2"/>
    <x v="33"/>
    <x v="218"/>
    <n v="4.21"/>
    <x v="342"/>
    <n v="2.52"/>
    <n v="6.71"/>
    <n v="9.23"/>
    <x v="407"/>
    <x v="342"/>
    <x v="17"/>
    <n v="48.239999999999995"/>
    <x v="3"/>
    <x v="1"/>
  </r>
  <r>
    <x v="2"/>
    <x v="34"/>
    <x v="235"/>
    <n v="3.09"/>
    <x v="343"/>
    <n v="5.56"/>
    <n v="2.0699999999999998"/>
    <n v="7.63"/>
    <x v="408"/>
    <x v="343"/>
    <x v="17"/>
    <n v="27.119999999999997"/>
    <x v="4"/>
    <x v="1"/>
  </r>
  <r>
    <x v="2"/>
    <x v="36"/>
    <x v="165"/>
    <n v="8.48"/>
    <x v="344"/>
    <n v="6.63"/>
    <n v="3.36"/>
    <n v="9.99"/>
    <x v="409"/>
    <x v="344"/>
    <x v="17"/>
    <n v="37.92"/>
    <x v="4"/>
    <x v="1"/>
  </r>
  <r>
    <x v="2"/>
    <x v="39"/>
    <x v="60"/>
    <n v="5.35"/>
    <x v="345"/>
    <n v="5.45"/>
    <n v="2.52"/>
    <n v="7.97"/>
    <x v="410"/>
    <x v="345"/>
    <x v="17"/>
    <n v="71.52000000000001"/>
    <x v="2"/>
    <x v="1"/>
  </r>
  <r>
    <x v="2"/>
    <x v="40"/>
    <x v="68"/>
    <n v="2.37"/>
    <x v="346"/>
    <n v="4.41"/>
    <n v="2.59"/>
    <n v="7"/>
    <x v="411"/>
    <x v="346"/>
    <x v="17"/>
    <n v="9.9599999999999991"/>
    <x v="3"/>
    <x v="1"/>
  </r>
  <r>
    <x v="2"/>
    <x v="42"/>
    <x v="236"/>
    <n v="10.02"/>
    <x v="347"/>
    <n v="10.3"/>
    <n v="0.02"/>
    <n v="10.32"/>
    <x v="412"/>
    <x v="347"/>
    <x v="17"/>
    <n v="161.16"/>
    <x v="2"/>
    <x v="1"/>
  </r>
  <r>
    <x v="2"/>
    <x v="43"/>
    <x v="84"/>
    <n v="3.97"/>
    <x v="348"/>
    <n v="6.83"/>
    <n v="2.2599999999999998"/>
    <n v="9.09"/>
    <x v="413"/>
    <x v="348"/>
    <x v="17"/>
    <n v="57.96"/>
    <x v="3"/>
    <x v="1"/>
  </r>
  <r>
    <x v="2"/>
    <x v="44"/>
    <x v="237"/>
    <n v="4.1900000000000004"/>
    <x v="349"/>
    <n v="5.99"/>
    <n v="3.04"/>
    <n v="9.0299999999999994"/>
    <x v="414"/>
    <x v="349"/>
    <x v="17"/>
    <n v="39.96"/>
    <x v="3"/>
    <x v="1"/>
  </r>
  <r>
    <x v="2"/>
    <x v="46"/>
    <x v="199"/>
    <n v="0.95"/>
    <x v="350"/>
    <n v="8.76"/>
    <n v="0.37"/>
    <n v="9.1300000000000008"/>
    <x v="388"/>
    <x v="350"/>
    <x v="17"/>
    <n v="10.92"/>
    <x v="4"/>
    <x v="1"/>
  </r>
  <r>
    <x v="2"/>
    <x v="47"/>
    <x v="238"/>
    <n v="6.72"/>
    <x v="351"/>
    <n v="9.8000000000000007"/>
    <n v="0.22"/>
    <n v="10.02"/>
    <x v="415"/>
    <x v="351"/>
    <x v="17"/>
    <n v="163.92000000000002"/>
    <x v="5"/>
    <x v="1"/>
  </r>
  <r>
    <x v="2"/>
    <x v="48"/>
    <x v="0"/>
    <n v="0"/>
    <x v="0"/>
    <n v="0"/>
    <n v="0"/>
    <n v="0"/>
    <x v="0"/>
    <x v="0"/>
    <x v="17"/>
    <n v="0"/>
    <x v="6"/>
    <x v="0"/>
  </r>
  <r>
    <x v="2"/>
    <x v="49"/>
    <x v="146"/>
    <n v="6.7"/>
    <x v="352"/>
    <n v="7.72"/>
    <n v="1.26"/>
    <n v="8.98"/>
    <x v="416"/>
    <x v="352"/>
    <x v="17"/>
    <n v="45.96"/>
    <x v="3"/>
    <x v="1"/>
  </r>
  <r>
    <x v="0"/>
    <x v="0"/>
    <x v="74"/>
    <n v="7.04"/>
    <x v="353"/>
    <n v="5.03"/>
    <n v="3.02"/>
    <n v="8.0500000000000007"/>
    <x v="417"/>
    <x v="353"/>
    <x v="18"/>
    <n v="54"/>
    <x v="0"/>
    <x v="1"/>
  </r>
  <r>
    <x v="0"/>
    <x v="3"/>
    <x v="239"/>
    <n v="3.8"/>
    <x v="354"/>
    <n v="3.55"/>
    <n v="4.5999999999999996"/>
    <n v="8.15"/>
    <x v="418"/>
    <x v="354"/>
    <x v="18"/>
    <n v="15.84"/>
    <x v="0"/>
    <x v="1"/>
  </r>
  <r>
    <x v="0"/>
    <x v="4"/>
    <x v="100"/>
    <n v="5"/>
    <x v="355"/>
    <n v="6.43"/>
    <n v="1.67"/>
    <n v="8.1"/>
    <x v="419"/>
    <x v="355"/>
    <x v="18"/>
    <n v="48.96"/>
    <x v="0"/>
    <x v="1"/>
  </r>
  <r>
    <x v="0"/>
    <x v="6"/>
    <x v="100"/>
    <n v="5"/>
    <x v="355"/>
    <n v="6.43"/>
    <n v="1.68"/>
    <n v="8.11"/>
    <x v="420"/>
    <x v="356"/>
    <x v="18"/>
    <n v="48.96"/>
    <x v="0"/>
    <x v="1"/>
  </r>
  <r>
    <x v="0"/>
    <x v="8"/>
    <x v="113"/>
    <n v="7.14"/>
    <x v="356"/>
    <n v="6.95"/>
    <n v="1.1000000000000001"/>
    <n v="8.0500000000000007"/>
    <x v="421"/>
    <x v="357"/>
    <x v="18"/>
    <n v="54.96"/>
    <x v="0"/>
    <x v="1"/>
  </r>
  <r>
    <x v="1"/>
    <x v="9"/>
    <x v="0"/>
    <n v="0"/>
    <x v="0"/>
    <n v="6.22"/>
    <n v="1.83"/>
    <n v="8.0500000000000007"/>
    <x v="422"/>
    <x v="0"/>
    <x v="18"/>
    <n v="0"/>
    <x v="1"/>
    <x v="1"/>
  </r>
  <r>
    <x v="1"/>
    <x v="10"/>
    <x v="143"/>
    <n v="3.58"/>
    <x v="357"/>
    <n v="6.75"/>
    <n v="1.28"/>
    <n v="8.0299999999999994"/>
    <x v="423"/>
    <x v="358"/>
    <x v="18"/>
    <n v="51"/>
    <x v="1"/>
    <x v="1"/>
  </r>
  <r>
    <x v="1"/>
    <x v="12"/>
    <x v="240"/>
    <n v="2.77"/>
    <x v="358"/>
    <n v="5.92"/>
    <n v="2.13"/>
    <n v="8.0500000000000007"/>
    <x v="424"/>
    <x v="359"/>
    <x v="18"/>
    <n v="42.239999999999995"/>
    <x v="1"/>
    <x v="1"/>
  </r>
  <r>
    <x v="1"/>
    <x v="13"/>
    <x v="241"/>
    <n v="2.5"/>
    <x v="359"/>
    <n v="5.92"/>
    <n v="2.13"/>
    <n v="8.0500000000000007"/>
    <x v="424"/>
    <x v="360"/>
    <x v="18"/>
    <n v="37.799999999999997"/>
    <x v="1"/>
    <x v="1"/>
  </r>
  <r>
    <x v="2"/>
    <x v="14"/>
    <x v="242"/>
    <n v="5.55"/>
    <x v="360"/>
    <n v="6.97"/>
    <n v="1.2"/>
    <n v="8.17"/>
    <x v="286"/>
    <x v="361"/>
    <x v="18"/>
    <n v="123.96"/>
    <x v="2"/>
    <x v="1"/>
  </r>
  <r>
    <x v="2"/>
    <x v="17"/>
    <x v="243"/>
    <n v="6.45"/>
    <x v="361"/>
    <n v="4.5"/>
    <n v="3.67"/>
    <n v="8.17"/>
    <x v="425"/>
    <x v="362"/>
    <x v="18"/>
    <n v="32.28"/>
    <x v="3"/>
    <x v="1"/>
  </r>
  <r>
    <x v="2"/>
    <x v="18"/>
    <x v="244"/>
    <n v="7.43"/>
    <x v="362"/>
    <n v="6.47"/>
    <n v="1.68"/>
    <n v="8.15"/>
    <x v="426"/>
    <x v="363"/>
    <x v="18"/>
    <n v="87"/>
    <x v="3"/>
    <x v="1"/>
  </r>
  <r>
    <x v="2"/>
    <x v="19"/>
    <x v="0"/>
    <n v="0"/>
    <x v="0"/>
    <n v="0"/>
    <n v="0"/>
    <n v="0"/>
    <x v="0"/>
    <x v="0"/>
    <x v="18"/>
    <n v="0"/>
    <x v="2"/>
    <x v="0"/>
  </r>
  <r>
    <x v="2"/>
    <x v="22"/>
    <x v="237"/>
    <n v="5.6"/>
    <x v="363"/>
    <n v="5.87"/>
    <n v="2.4900000000000002"/>
    <n v="8.36"/>
    <x v="427"/>
    <x v="364"/>
    <x v="18"/>
    <n v="39.96"/>
    <x v="4"/>
    <x v="1"/>
  </r>
  <r>
    <x v="2"/>
    <x v="23"/>
    <x v="4"/>
    <n v="1.27"/>
    <x v="364"/>
    <n v="3.19"/>
    <n v="4.9800000000000004"/>
    <n v="8.17"/>
    <x v="428"/>
    <x v="365"/>
    <x v="18"/>
    <n v="12"/>
    <x v="3"/>
    <x v="1"/>
  </r>
  <r>
    <x v="2"/>
    <x v="26"/>
    <x v="4"/>
    <n v="1.17"/>
    <x v="365"/>
    <n v="6.55"/>
    <n v="1.61"/>
    <n v="8.16"/>
    <x v="429"/>
    <x v="366"/>
    <x v="18"/>
    <n v="12"/>
    <x v="3"/>
    <x v="1"/>
  </r>
  <r>
    <x v="2"/>
    <x v="28"/>
    <x v="0"/>
    <n v="0"/>
    <x v="0"/>
    <n v="0"/>
    <n v="0"/>
    <n v="0"/>
    <x v="0"/>
    <x v="0"/>
    <x v="18"/>
    <n v="0"/>
    <x v="2"/>
    <x v="0"/>
  </r>
  <r>
    <x v="2"/>
    <x v="30"/>
    <x v="0"/>
    <n v="0"/>
    <x v="0"/>
    <n v="0"/>
    <n v="0"/>
    <n v="0"/>
    <x v="0"/>
    <x v="0"/>
    <x v="18"/>
    <n v="0"/>
    <x v="5"/>
    <x v="0"/>
  </r>
  <r>
    <x v="2"/>
    <x v="33"/>
    <x v="0"/>
    <n v="0"/>
    <x v="0"/>
    <n v="2.4500000000000002"/>
    <n v="5.86"/>
    <n v="8.31"/>
    <x v="430"/>
    <x v="0"/>
    <x v="18"/>
    <n v="0"/>
    <x v="3"/>
    <x v="1"/>
  </r>
  <r>
    <x v="2"/>
    <x v="34"/>
    <x v="245"/>
    <n v="7.58"/>
    <x v="366"/>
    <n v="7.75"/>
    <n v="2.17"/>
    <n v="9.92"/>
    <x v="157"/>
    <x v="367"/>
    <x v="18"/>
    <n v="56.88000000000001"/>
    <x v="4"/>
    <x v="1"/>
  </r>
  <r>
    <x v="2"/>
    <x v="35"/>
    <x v="246"/>
    <n v="10.7"/>
    <x v="367"/>
    <n v="9.73"/>
    <n v="1.51"/>
    <n v="11.24"/>
    <x v="431"/>
    <x v="368"/>
    <x v="18"/>
    <n v="277.8"/>
    <x v="2"/>
    <x v="1"/>
  </r>
  <r>
    <x v="2"/>
    <x v="38"/>
    <x v="247"/>
    <n v="7.45"/>
    <x v="368"/>
    <n v="7.12"/>
    <n v="1.01"/>
    <n v="8.1300000000000008"/>
    <x v="189"/>
    <x v="369"/>
    <x v="18"/>
    <n v="172.92000000000002"/>
    <x v="2"/>
    <x v="1"/>
  </r>
  <r>
    <x v="2"/>
    <x v="39"/>
    <x v="248"/>
    <n v="7.02"/>
    <x v="369"/>
    <n v="5.37"/>
    <n v="2.56"/>
    <n v="7.93"/>
    <x v="432"/>
    <x v="370"/>
    <x v="18"/>
    <n v="87.84"/>
    <x v="2"/>
    <x v="1"/>
  </r>
  <r>
    <x v="2"/>
    <x v="40"/>
    <x v="133"/>
    <n v="4.1500000000000004"/>
    <x v="370"/>
    <n v="6.02"/>
    <n v="2.14"/>
    <n v="8.16"/>
    <x v="433"/>
    <x v="371"/>
    <x v="18"/>
    <n v="19.919999999999998"/>
    <x v="3"/>
    <x v="1"/>
  </r>
  <r>
    <x v="2"/>
    <x v="43"/>
    <x v="0"/>
    <n v="0"/>
    <x v="0"/>
    <n v="4.54"/>
    <n v="3.58"/>
    <n v="8.1199999999999992"/>
    <x v="434"/>
    <x v="0"/>
    <x v="18"/>
    <n v="0"/>
    <x v="3"/>
    <x v="1"/>
  </r>
  <r>
    <x v="2"/>
    <x v="44"/>
    <x v="87"/>
    <n v="6.52"/>
    <x v="371"/>
    <n v="2.17"/>
    <n v="6"/>
    <n v="8.17"/>
    <x v="435"/>
    <x v="372"/>
    <x v="18"/>
    <n v="48.84"/>
    <x v="3"/>
    <x v="1"/>
  </r>
  <r>
    <x v="2"/>
    <x v="48"/>
    <x v="0"/>
    <n v="0"/>
    <x v="0"/>
    <n v="0"/>
    <n v="0"/>
    <n v="0"/>
    <x v="0"/>
    <x v="0"/>
    <x v="18"/>
    <n v="0"/>
    <x v="6"/>
    <x v="0"/>
  </r>
  <r>
    <x v="0"/>
    <x v="0"/>
    <x v="0"/>
    <n v="0"/>
    <x v="0"/>
    <n v="0"/>
    <n v="0"/>
    <n v="0"/>
    <x v="0"/>
    <x v="0"/>
    <x v="19"/>
    <n v="0"/>
    <x v="0"/>
    <x v="0"/>
  </r>
  <r>
    <x v="0"/>
    <x v="1"/>
    <x v="0"/>
    <n v="0"/>
    <x v="0"/>
    <n v="0"/>
    <n v="0"/>
    <n v="0"/>
    <x v="0"/>
    <x v="0"/>
    <x v="19"/>
    <n v="0"/>
    <x v="0"/>
    <x v="0"/>
  </r>
  <r>
    <x v="0"/>
    <x v="2"/>
    <x v="0"/>
    <n v="0"/>
    <x v="0"/>
    <n v="0"/>
    <n v="0"/>
    <n v="0"/>
    <x v="0"/>
    <x v="0"/>
    <x v="19"/>
    <n v="0"/>
    <x v="0"/>
    <x v="0"/>
  </r>
  <r>
    <x v="0"/>
    <x v="3"/>
    <x v="0"/>
    <n v="0"/>
    <x v="0"/>
    <n v="0"/>
    <n v="0"/>
    <n v="0"/>
    <x v="0"/>
    <x v="0"/>
    <x v="19"/>
    <n v="0"/>
    <x v="0"/>
    <x v="0"/>
  </r>
  <r>
    <x v="0"/>
    <x v="4"/>
    <x v="0"/>
    <n v="0"/>
    <x v="0"/>
    <n v="0"/>
    <n v="0"/>
    <n v="0"/>
    <x v="0"/>
    <x v="0"/>
    <x v="19"/>
    <n v="0"/>
    <x v="0"/>
    <x v="0"/>
  </r>
  <r>
    <x v="0"/>
    <x v="5"/>
    <x v="0"/>
    <n v="0"/>
    <x v="0"/>
    <n v="0"/>
    <n v="0"/>
    <n v="0"/>
    <x v="0"/>
    <x v="0"/>
    <x v="19"/>
    <n v="0"/>
    <x v="0"/>
    <x v="0"/>
  </r>
  <r>
    <x v="0"/>
    <x v="6"/>
    <x v="0"/>
    <n v="0"/>
    <x v="0"/>
    <n v="0"/>
    <n v="0"/>
    <n v="0"/>
    <x v="0"/>
    <x v="0"/>
    <x v="19"/>
    <n v="0"/>
    <x v="0"/>
    <x v="0"/>
  </r>
  <r>
    <x v="0"/>
    <x v="7"/>
    <x v="0"/>
    <n v="0"/>
    <x v="0"/>
    <n v="0"/>
    <n v="0"/>
    <n v="0"/>
    <x v="0"/>
    <x v="0"/>
    <x v="19"/>
    <n v="0"/>
    <x v="0"/>
    <x v="0"/>
  </r>
  <r>
    <x v="0"/>
    <x v="8"/>
    <x v="0"/>
    <n v="0"/>
    <x v="0"/>
    <n v="0"/>
    <n v="0"/>
    <n v="0"/>
    <x v="0"/>
    <x v="0"/>
    <x v="19"/>
    <n v="0"/>
    <x v="0"/>
    <x v="0"/>
  </r>
  <r>
    <x v="1"/>
    <x v="9"/>
    <x v="0"/>
    <n v="0"/>
    <x v="0"/>
    <n v="0"/>
    <n v="0"/>
    <n v="0"/>
    <x v="0"/>
    <x v="0"/>
    <x v="19"/>
    <n v="0"/>
    <x v="1"/>
    <x v="0"/>
  </r>
  <r>
    <x v="1"/>
    <x v="10"/>
    <x v="0"/>
    <n v="0"/>
    <x v="0"/>
    <n v="0"/>
    <n v="0"/>
    <n v="0"/>
    <x v="0"/>
    <x v="0"/>
    <x v="19"/>
    <n v="0"/>
    <x v="1"/>
    <x v="0"/>
  </r>
  <r>
    <x v="1"/>
    <x v="11"/>
    <x v="0"/>
    <n v="0"/>
    <x v="0"/>
    <n v="0"/>
    <n v="0"/>
    <n v="0"/>
    <x v="0"/>
    <x v="0"/>
    <x v="19"/>
    <n v="0"/>
    <x v="1"/>
    <x v="0"/>
  </r>
  <r>
    <x v="1"/>
    <x v="12"/>
    <x v="0"/>
    <n v="0"/>
    <x v="0"/>
    <n v="0"/>
    <n v="0"/>
    <n v="0"/>
    <x v="0"/>
    <x v="0"/>
    <x v="19"/>
    <n v="0"/>
    <x v="1"/>
    <x v="0"/>
  </r>
  <r>
    <x v="1"/>
    <x v="13"/>
    <x v="0"/>
    <n v="0"/>
    <x v="0"/>
    <n v="0"/>
    <n v="0"/>
    <n v="0"/>
    <x v="0"/>
    <x v="0"/>
    <x v="19"/>
    <n v="0"/>
    <x v="1"/>
    <x v="0"/>
  </r>
  <r>
    <x v="2"/>
    <x v="14"/>
    <x v="0"/>
    <n v="0"/>
    <x v="0"/>
    <n v="0"/>
    <n v="0"/>
    <n v="0"/>
    <x v="0"/>
    <x v="0"/>
    <x v="19"/>
    <n v="0"/>
    <x v="2"/>
    <x v="0"/>
  </r>
  <r>
    <x v="2"/>
    <x v="15"/>
    <x v="0"/>
    <n v="0"/>
    <x v="0"/>
    <n v="0"/>
    <n v="0"/>
    <n v="0"/>
    <x v="0"/>
    <x v="0"/>
    <x v="19"/>
    <n v="0"/>
    <x v="3"/>
    <x v="0"/>
  </r>
  <r>
    <x v="2"/>
    <x v="16"/>
    <x v="0"/>
    <n v="0"/>
    <x v="0"/>
    <n v="0"/>
    <n v="0"/>
    <n v="0"/>
    <x v="0"/>
    <x v="0"/>
    <x v="19"/>
    <n v="0"/>
    <x v="4"/>
    <x v="0"/>
  </r>
  <r>
    <x v="2"/>
    <x v="17"/>
    <x v="0"/>
    <n v="0"/>
    <x v="0"/>
    <n v="0"/>
    <n v="0"/>
    <n v="0"/>
    <x v="0"/>
    <x v="0"/>
    <x v="19"/>
    <n v="0"/>
    <x v="3"/>
    <x v="0"/>
  </r>
  <r>
    <x v="2"/>
    <x v="18"/>
    <x v="0"/>
    <n v="0"/>
    <x v="0"/>
    <n v="0"/>
    <n v="0"/>
    <n v="0"/>
    <x v="0"/>
    <x v="0"/>
    <x v="19"/>
    <n v="0"/>
    <x v="3"/>
    <x v="0"/>
  </r>
  <r>
    <x v="2"/>
    <x v="19"/>
    <x v="0"/>
    <n v="0"/>
    <x v="0"/>
    <n v="0"/>
    <n v="0"/>
    <n v="0"/>
    <x v="0"/>
    <x v="0"/>
    <x v="19"/>
    <n v="0"/>
    <x v="2"/>
    <x v="0"/>
  </r>
  <r>
    <x v="2"/>
    <x v="20"/>
    <x v="0"/>
    <n v="0"/>
    <x v="0"/>
    <n v="0"/>
    <n v="0"/>
    <n v="0"/>
    <x v="0"/>
    <x v="0"/>
    <x v="19"/>
    <n v="0"/>
    <x v="5"/>
    <x v="0"/>
  </r>
  <r>
    <x v="2"/>
    <x v="21"/>
    <x v="0"/>
    <n v="0"/>
    <x v="0"/>
    <n v="0"/>
    <n v="0"/>
    <n v="0"/>
    <x v="0"/>
    <x v="0"/>
    <x v="19"/>
    <n v="0"/>
    <x v="2"/>
    <x v="0"/>
  </r>
  <r>
    <x v="2"/>
    <x v="22"/>
    <x v="0"/>
    <n v="0"/>
    <x v="0"/>
    <n v="0"/>
    <n v="0"/>
    <n v="0"/>
    <x v="0"/>
    <x v="0"/>
    <x v="19"/>
    <n v="0"/>
    <x v="4"/>
    <x v="0"/>
  </r>
  <r>
    <x v="2"/>
    <x v="23"/>
    <x v="0"/>
    <n v="0"/>
    <x v="0"/>
    <n v="0"/>
    <n v="0"/>
    <n v="0"/>
    <x v="0"/>
    <x v="0"/>
    <x v="19"/>
    <n v="0"/>
    <x v="3"/>
    <x v="0"/>
  </r>
  <r>
    <x v="2"/>
    <x v="24"/>
    <x v="0"/>
    <n v="0"/>
    <x v="0"/>
    <n v="0"/>
    <n v="0"/>
    <n v="0"/>
    <x v="0"/>
    <x v="0"/>
    <x v="19"/>
    <n v="0"/>
    <x v="5"/>
    <x v="0"/>
  </r>
  <r>
    <x v="2"/>
    <x v="25"/>
    <x v="0"/>
    <n v="0"/>
    <x v="0"/>
    <n v="0"/>
    <n v="0"/>
    <n v="0"/>
    <x v="0"/>
    <x v="0"/>
    <x v="19"/>
    <n v="0"/>
    <x v="2"/>
    <x v="0"/>
  </r>
  <r>
    <x v="2"/>
    <x v="26"/>
    <x v="0"/>
    <n v="0"/>
    <x v="0"/>
    <n v="0"/>
    <n v="0"/>
    <n v="0"/>
    <x v="0"/>
    <x v="0"/>
    <x v="19"/>
    <n v="0"/>
    <x v="3"/>
    <x v="0"/>
  </r>
  <r>
    <x v="2"/>
    <x v="27"/>
    <x v="0"/>
    <n v="0"/>
    <x v="0"/>
    <n v="0"/>
    <n v="0"/>
    <n v="0"/>
    <x v="0"/>
    <x v="0"/>
    <x v="19"/>
    <n v="0"/>
    <x v="5"/>
    <x v="0"/>
  </r>
  <r>
    <x v="2"/>
    <x v="28"/>
    <x v="0"/>
    <n v="0"/>
    <x v="0"/>
    <n v="0"/>
    <n v="0"/>
    <n v="0"/>
    <x v="0"/>
    <x v="0"/>
    <x v="19"/>
    <n v="0"/>
    <x v="2"/>
    <x v="0"/>
  </r>
  <r>
    <x v="2"/>
    <x v="29"/>
    <x v="0"/>
    <n v="0"/>
    <x v="0"/>
    <n v="0"/>
    <n v="0"/>
    <n v="0"/>
    <x v="0"/>
    <x v="0"/>
    <x v="19"/>
    <n v="0"/>
    <x v="5"/>
    <x v="0"/>
  </r>
  <r>
    <x v="2"/>
    <x v="30"/>
    <x v="0"/>
    <n v="0"/>
    <x v="0"/>
    <n v="0"/>
    <n v="0"/>
    <n v="0"/>
    <x v="0"/>
    <x v="0"/>
    <x v="19"/>
    <n v="0"/>
    <x v="5"/>
    <x v="0"/>
  </r>
  <r>
    <x v="2"/>
    <x v="31"/>
    <x v="0"/>
    <n v="0"/>
    <x v="0"/>
    <n v="0"/>
    <n v="0"/>
    <n v="0"/>
    <x v="0"/>
    <x v="0"/>
    <x v="19"/>
    <n v="0"/>
    <x v="2"/>
    <x v="0"/>
  </r>
  <r>
    <x v="2"/>
    <x v="32"/>
    <x v="0"/>
    <n v="0"/>
    <x v="0"/>
    <n v="0"/>
    <n v="0"/>
    <n v="0"/>
    <x v="0"/>
    <x v="0"/>
    <x v="19"/>
    <n v="0"/>
    <x v="3"/>
    <x v="0"/>
  </r>
  <r>
    <x v="2"/>
    <x v="33"/>
    <x v="0"/>
    <n v="0"/>
    <x v="0"/>
    <n v="0"/>
    <n v="0"/>
    <n v="0"/>
    <x v="0"/>
    <x v="0"/>
    <x v="19"/>
    <n v="0"/>
    <x v="3"/>
    <x v="0"/>
  </r>
  <r>
    <x v="2"/>
    <x v="34"/>
    <x v="0"/>
    <n v="0"/>
    <x v="0"/>
    <n v="0"/>
    <n v="0"/>
    <n v="0"/>
    <x v="0"/>
    <x v="0"/>
    <x v="19"/>
    <n v="0"/>
    <x v="4"/>
    <x v="0"/>
  </r>
  <r>
    <x v="2"/>
    <x v="35"/>
    <x v="0"/>
    <n v="0"/>
    <x v="0"/>
    <n v="0"/>
    <n v="0"/>
    <n v="0"/>
    <x v="0"/>
    <x v="0"/>
    <x v="19"/>
    <n v="0"/>
    <x v="2"/>
    <x v="0"/>
  </r>
  <r>
    <x v="2"/>
    <x v="36"/>
    <x v="0"/>
    <n v="0"/>
    <x v="0"/>
    <n v="0"/>
    <n v="0"/>
    <n v="0"/>
    <x v="0"/>
    <x v="0"/>
    <x v="19"/>
    <n v="0"/>
    <x v="4"/>
    <x v="0"/>
  </r>
  <r>
    <x v="2"/>
    <x v="37"/>
    <x v="0"/>
    <n v="0"/>
    <x v="0"/>
    <n v="0"/>
    <n v="0"/>
    <n v="0"/>
    <x v="0"/>
    <x v="0"/>
    <x v="19"/>
    <n v="0"/>
    <x v="4"/>
    <x v="0"/>
  </r>
  <r>
    <x v="2"/>
    <x v="38"/>
    <x v="0"/>
    <n v="0"/>
    <x v="0"/>
    <n v="0"/>
    <n v="0"/>
    <n v="0"/>
    <x v="0"/>
    <x v="0"/>
    <x v="19"/>
    <n v="0"/>
    <x v="2"/>
    <x v="0"/>
  </r>
  <r>
    <x v="2"/>
    <x v="39"/>
    <x v="0"/>
    <n v="0"/>
    <x v="0"/>
    <n v="0"/>
    <n v="0"/>
    <n v="0"/>
    <x v="0"/>
    <x v="0"/>
    <x v="19"/>
    <n v="0"/>
    <x v="2"/>
    <x v="0"/>
  </r>
  <r>
    <x v="2"/>
    <x v="40"/>
    <x v="0"/>
    <n v="0"/>
    <x v="0"/>
    <n v="0"/>
    <n v="0"/>
    <n v="0"/>
    <x v="0"/>
    <x v="0"/>
    <x v="19"/>
    <n v="0"/>
    <x v="3"/>
    <x v="0"/>
  </r>
  <r>
    <x v="2"/>
    <x v="41"/>
    <x v="0"/>
    <n v="0"/>
    <x v="0"/>
    <n v="0"/>
    <n v="0"/>
    <n v="0"/>
    <x v="0"/>
    <x v="0"/>
    <x v="19"/>
    <n v="0"/>
    <x v="5"/>
    <x v="0"/>
  </r>
  <r>
    <x v="2"/>
    <x v="42"/>
    <x v="0"/>
    <n v="0"/>
    <x v="0"/>
    <n v="0"/>
    <n v="0"/>
    <n v="0"/>
    <x v="0"/>
    <x v="0"/>
    <x v="19"/>
    <n v="0"/>
    <x v="2"/>
    <x v="0"/>
  </r>
  <r>
    <x v="2"/>
    <x v="43"/>
    <x v="0"/>
    <n v="0"/>
    <x v="0"/>
    <n v="0"/>
    <n v="0"/>
    <n v="0"/>
    <x v="0"/>
    <x v="0"/>
    <x v="19"/>
    <n v="0"/>
    <x v="3"/>
    <x v="0"/>
  </r>
  <r>
    <x v="2"/>
    <x v="44"/>
    <x v="0"/>
    <n v="0"/>
    <x v="0"/>
    <n v="0"/>
    <n v="0"/>
    <n v="0"/>
    <x v="0"/>
    <x v="0"/>
    <x v="19"/>
    <n v="0"/>
    <x v="3"/>
    <x v="0"/>
  </r>
  <r>
    <x v="2"/>
    <x v="45"/>
    <x v="0"/>
    <n v="0"/>
    <x v="0"/>
    <n v="0"/>
    <n v="0"/>
    <n v="0"/>
    <x v="0"/>
    <x v="0"/>
    <x v="19"/>
    <n v="0"/>
    <x v="4"/>
    <x v="0"/>
  </r>
  <r>
    <x v="2"/>
    <x v="46"/>
    <x v="0"/>
    <n v="0"/>
    <x v="0"/>
    <n v="0"/>
    <n v="0"/>
    <n v="0"/>
    <x v="0"/>
    <x v="0"/>
    <x v="19"/>
    <n v="0"/>
    <x v="4"/>
    <x v="0"/>
  </r>
  <r>
    <x v="2"/>
    <x v="47"/>
    <x v="0"/>
    <n v="0"/>
    <x v="0"/>
    <n v="0"/>
    <n v="0"/>
    <n v="0"/>
    <x v="0"/>
    <x v="0"/>
    <x v="19"/>
    <n v="0"/>
    <x v="5"/>
    <x v="0"/>
  </r>
  <r>
    <x v="2"/>
    <x v="48"/>
    <x v="0"/>
    <n v="0"/>
    <x v="0"/>
    <n v="0"/>
    <n v="0"/>
    <n v="0"/>
    <x v="0"/>
    <x v="0"/>
    <x v="19"/>
    <n v="0"/>
    <x v="6"/>
    <x v="0"/>
  </r>
  <r>
    <x v="2"/>
    <x v="49"/>
    <x v="0"/>
    <n v="0"/>
    <x v="0"/>
    <n v="0"/>
    <n v="0"/>
    <n v="0"/>
    <x v="0"/>
    <x v="0"/>
    <x v="19"/>
    <n v="0"/>
    <x v="3"/>
    <x v="0"/>
  </r>
  <r>
    <x v="2"/>
    <x v="50"/>
    <x v="0"/>
    <n v="0"/>
    <x v="0"/>
    <n v="0"/>
    <n v="0"/>
    <n v="0"/>
    <x v="0"/>
    <x v="0"/>
    <x v="19"/>
    <n v="0"/>
    <x v="4"/>
    <x v="0"/>
  </r>
  <r>
    <x v="0"/>
    <x v="0"/>
    <x v="0"/>
    <n v="0"/>
    <x v="0"/>
    <n v="0"/>
    <n v="0"/>
    <n v="0"/>
    <x v="0"/>
    <x v="0"/>
    <x v="20"/>
    <n v="0"/>
    <x v="0"/>
    <x v="0"/>
  </r>
  <r>
    <x v="0"/>
    <x v="1"/>
    <x v="0"/>
    <n v="0"/>
    <x v="0"/>
    <n v="0"/>
    <n v="0"/>
    <n v="0"/>
    <x v="0"/>
    <x v="0"/>
    <x v="20"/>
    <n v="0"/>
    <x v="0"/>
    <x v="0"/>
  </r>
  <r>
    <x v="0"/>
    <x v="2"/>
    <x v="0"/>
    <n v="0"/>
    <x v="0"/>
    <n v="0"/>
    <n v="0"/>
    <n v="0"/>
    <x v="0"/>
    <x v="0"/>
    <x v="20"/>
    <n v="0"/>
    <x v="0"/>
    <x v="0"/>
  </r>
  <r>
    <x v="0"/>
    <x v="3"/>
    <x v="0"/>
    <n v="0"/>
    <x v="0"/>
    <n v="0"/>
    <n v="0"/>
    <n v="0"/>
    <x v="0"/>
    <x v="0"/>
    <x v="20"/>
    <n v="0"/>
    <x v="0"/>
    <x v="0"/>
  </r>
  <r>
    <x v="0"/>
    <x v="4"/>
    <x v="0"/>
    <n v="0"/>
    <x v="0"/>
    <n v="0"/>
    <n v="0"/>
    <n v="0"/>
    <x v="0"/>
    <x v="0"/>
    <x v="20"/>
    <n v="0"/>
    <x v="0"/>
    <x v="0"/>
  </r>
  <r>
    <x v="0"/>
    <x v="5"/>
    <x v="0"/>
    <n v="0"/>
    <x v="0"/>
    <n v="0"/>
    <n v="0"/>
    <n v="0"/>
    <x v="0"/>
    <x v="0"/>
    <x v="20"/>
    <n v="0"/>
    <x v="0"/>
    <x v="0"/>
  </r>
  <r>
    <x v="0"/>
    <x v="6"/>
    <x v="0"/>
    <n v="0"/>
    <x v="0"/>
    <n v="0"/>
    <n v="0"/>
    <n v="0"/>
    <x v="0"/>
    <x v="0"/>
    <x v="20"/>
    <n v="0"/>
    <x v="0"/>
    <x v="0"/>
  </r>
  <r>
    <x v="0"/>
    <x v="7"/>
    <x v="0"/>
    <n v="0"/>
    <x v="0"/>
    <n v="0"/>
    <n v="0"/>
    <n v="0"/>
    <x v="0"/>
    <x v="0"/>
    <x v="20"/>
    <n v="0"/>
    <x v="0"/>
    <x v="0"/>
  </r>
  <r>
    <x v="0"/>
    <x v="8"/>
    <x v="0"/>
    <n v="0"/>
    <x v="0"/>
    <n v="0"/>
    <n v="0"/>
    <n v="0"/>
    <x v="0"/>
    <x v="0"/>
    <x v="20"/>
    <n v="0"/>
    <x v="0"/>
    <x v="0"/>
  </r>
  <r>
    <x v="1"/>
    <x v="9"/>
    <x v="0"/>
    <n v="0"/>
    <x v="0"/>
    <n v="0"/>
    <n v="0"/>
    <n v="0"/>
    <x v="0"/>
    <x v="0"/>
    <x v="20"/>
    <n v="0"/>
    <x v="1"/>
    <x v="0"/>
  </r>
  <r>
    <x v="1"/>
    <x v="10"/>
    <x v="0"/>
    <n v="0"/>
    <x v="0"/>
    <n v="0"/>
    <n v="0"/>
    <n v="0"/>
    <x v="0"/>
    <x v="0"/>
    <x v="20"/>
    <n v="0"/>
    <x v="1"/>
    <x v="0"/>
  </r>
  <r>
    <x v="1"/>
    <x v="11"/>
    <x v="0"/>
    <n v="0"/>
    <x v="0"/>
    <n v="0"/>
    <n v="0"/>
    <n v="0"/>
    <x v="0"/>
    <x v="0"/>
    <x v="20"/>
    <n v="0"/>
    <x v="1"/>
    <x v="0"/>
  </r>
  <r>
    <x v="1"/>
    <x v="12"/>
    <x v="0"/>
    <n v="0"/>
    <x v="0"/>
    <n v="0"/>
    <n v="0"/>
    <n v="0"/>
    <x v="0"/>
    <x v="0"/>
    <x v="20"/>
    <n v="0"/>
    <x v="1"/>
    <x v="0"/>
  </r>
  <r>
    <x v="1"/>
    <x v="13"/>
    <x v="0"/>
    <n v="0"/>
    <x v="0"/>
    <n v="0"/>
    <n v="0"/>
    <n v="0"/>
    <x v="0"/>
    <x v="0"/>
    <x v="20"/>
    <n v="0"/>
    <x v="1"/>
    <x v="0"/>
  </r>
  <r>
    <x v="2"/>
    <x v="14"/>
    <x v="0"/>
    <n v="0"/>
    <x v="0"/>
    <n v="0"/>
    <n v="0"/>
    <n v="0"/>
    <x v="0"/>
    <x v="0"/>
    <x v="20"/>
    <n v="0"/>
    <x v="2"/>
    <x v="0"/>
  </r>
  <r>
    <x v="2"/>
    <x v="15"/>
    <x v="0"/>
    <n v="0"/>
    <x v="0"/>
    <n v="0"/>
    <n v="0"/>
    <n v="0"/>
    <x v="0"/>
    <x v="0"/>
    <x v="20"/>
    <n v="0"/>
    <x v="3"/>
    <x v="0"/>
  </r>
  <r>
    <x v="2"/>
    <x v="16"/>
    <x v="0"/>
    <n v="0"/>
    <x v="0"/>
    <n v="0"/>
    <n v="0"/>
    <n v="0"/>
    <x v="0"/>
    <x v="0"/>
    <x v="20"/>
    <n v="0"/>
    <x v="4"/>
    <x v="0"/>
  </r>
  <r>
    <x v="2"/>
    <x v="17"/>
    <x v="0"/>
    <n v="0"/>
    <x v="0"/>
    <n v="0"/>
    <n v="0"/>
    <n v="0"/>
    <x v="0"/>
    <x v="0"/>
    <x v="20"/>
    <n v="0"/>
    <x v="3"/>
    <x v="0"/>
  </r>
  <r>
    <x v="2"/>
    <x v="18"/>
    <x v="0"/>
    <n v="0"/>
    <x v="0"/>
    <n v="0"/>
    <n v="0"/>
    <n v="0"/>
    <x v="0"/>
    <x v="0"/>
    <x v="20"/>
    <n v="0"/>
    <x v="3"/>
    <x v="0"/>
  </r>
  <r>
    <x v="2"/>
    <x v="19"/>
    <x v="0"/>
    <n v="0"/>
    <x v="0"/>
    <n v="0"/>
    <n v="0"/>
    <n v="0"/>
    <x v="0"/>
    <x v="0"/>
    <x v="20"/>
    <n v="0"/>
    <x v="2"/>
    <x v="0"/>
  </r>
  <r>
    <x v="2"/>
    <x v="20"/>
    <x v="0"/>
    <n v="0"/>
    <x v="0"/>
    <n v="0"/>
    <n v="0"/>
    <n v="0"/>
    <x v="0"/>
    <x v="0"/>
    <x v="20"/>
    <n v="0"/>
    <x v="5"/>
    <x v="0"/>
  </r>
  <r>
    <x v="2"/>
    <x v="21"/>
    <x v="0"/>
    <n v="0"/>
    <x v="0"/>
    <n v="0"/>
    <n v="0"/>
    <n v="0"/>
    <x v="0"/>
    <x v="0"/>
    <x v="20"/>
    <n v="0"/>
    <x v="2"/>
    <x v="0"/>
  </r>
  <r>
    <x v="2"/>
    <x v="22"/>
    <x v="0"/>
    <n v="0"/>
    <x v="0"/>
    <n v="0"/>
    <n v="0"/>
    <n v="0"/>
    <x v="0"/>
    <x v="0"/>
    <x v="20"/>
    <n v="0"/>
    <x v="4"/>
    <x v="0"/>
  </r>
  <r>
    <x v="2"/>
    <x v="23"/>
    <x v="0"/>
    <n v="0"/>
    <x v="0"/>
    <n v="0"/>
    <n v="0"/>
    <n v="0"/>
    <x v="0"/>
    <x v="0"/>
    <x v="20"/>
    <n v="0"/>
    <x v="3"/>
    <x v="0"/>
  </r>
  <r>
    <x v="2"/>
    <x v="24"/>
    <x v="0"/>
    <n v="0"/>
    <x v="0"/>
    <n v="0"/>
    <n v="0"/>
    <n v="0"/>
    <x v="0"/>
    <x v="0"/>
    <x v="20"/>
    <n v="0"/>
    <x v="5"/>
    <x v="0"/>
  </r>
  <r>
    <x v="2"/>
    <x v="25"/>
    <x v="0"/>
    <n v="0"/>
    <x v="0"/>
    <n v="0"/>
    <n v="0"/>
    <n v="0"/>
    <x v="0"/>
    <x v="0"/>
    <x v="20"/>
    <n v="0"/>
    <x v="2"/>
    <x v="0"/>
  </r>
  <r>
    <x v="2"/>
    <x v="26"/>
    <x v="0"/>
    <n v="0"/>
    <x v="0"/>
    <n v="0"/>
    <n v="0"/>
    <n v="0"/>
    <x v="0"/>
    <x v="0"/>
    <x v="20"/>
    <n v="0"/>
    <x v="3"/>
    <x v="0"/>
  </r>
  <r>
    <x v="2"/>
    <x v="27"/>
    <x v="0"/>
    <n v="0"/>
    <x v="0"/>
    <n v="0"/>
    <n v="0"/>
    <n v="0"/>
    <x v="0"/>
    <x v="0"/>
    <x v="20"/>
    <n v="0"/>
    <x v="5"/>
    <x v="0"/>
  </r>
  <r>
    <x v="2"/>
    <x v="28"/>
    <x v="0"/>
    <n v="0"/>
    <x v="0"/>
    <n v="0"/>
    <n v="0"/>
    <n v="0"/>
    <x v="0"/>
    <x v="0"/>
    <x v="20"/>
    <n v="0"/>
    <x v="2"/>
    <x v="0"/>
  </r>
  <r>
    <x v="2"/>
    <x v="29"/>
    <x v="0"/>
    <n v="0"/>
    <x v="0"/>
    <n v="0"/>
    <n v="0"/>
    <n v="0"/>
    <x v="0"/>
    <x v="0"/>
    <x v="20"/>
    <n v="0"/>
    <x v="5"/>
    <x v="0"/>
  </r>
  <r>
    <x v="2"/>
    <x v="30"/>
    <x v="0"/>
    <n v="0"/>
    <x v="0"/>
    <n v="0"/>
    <n v="0"/>
    <n v="0"/>
    <x v="0"/>
    <x v="0"/>
    <x v="20"/>
    <n v="0"/>
    <x v="5"/>
    <x v="0"/>
  </r>
  <r>
    <x v="2"/>
    <x v="31"/>
    <x v="0"/>
    <n v="0"/>
    <x v="0"/>
    <n v="0"/>
    <n v="0"/>
    <n v="0"/>
    <x v="0"/>
    <x v="0"/>
    <x v="20"/>
    <n v="0"/>
    <x v="2"/>
    <x v="0"/>
  </r>
  <r>
    <x v="2"/>
    <x v="32"/>
    <x v="0"/>
    <n v="0"/>
    <x v="0"/>
    <n v="0"/>
    <n v="0"/>
    <n v="0"/>
    <x v="0"/>
    <x v="0"/>
    <x v="20"/>
    <n v="0"/>
    <x v="3"/>
    <x v="0"/>
  </r>
  <r>
    <x v="2"/>
    <x v="33"/>
    <x v="0"/>
    <n v="0"/>
    <x v="0"/>
    <n v="0"/>
    <n v="0"/>
    <n v="0"/>
    <x v="0"/>
    <x v="0"/>
    <x v="20"/>
    <n v="0"/>
    <x v="3"/>
    <x v="0"/>
  </r>
  <r>
    <x v="2"/>
    <x v="34"/>
    <x v="0"/>
    <n v="0"/>
    <x v="0"/>
    <n v="0"/>
    <n v="0"/>
    <n v="0"/>
    <x v="0"/>
    <x v="0"/>
    <x v="20"/>
    <n v="0"/>
    <x v="4"/>
    <x v="0"/>
  </r>
  <r>
    <x v="2"/>
    <x v="35"/>
    <x v="0"/>
    <n v="0"/>
    <x v="0"/>
    <n v="0"/>
    <n v="0"/>
    <n v="0"/>
    <x v="0"/>
    <x v="0"/>
    <x v="20"/>
    <n v="0"/>
    <x v="2"/>
    <x v="0"/>
  </r>
  <r>
    <x v="2"/>
    <x v="36"/>
    <x v="0"/>
    <n v="0"/>
    <x v="0"/>
    <n v="0"/>
    <n v="0"/>
    <n v="0"/>
    <x v="0"/>
    <x v="0"/>
    <x v="20"/>
    <n v="0"/>
    <x v="4"/>
    <x v="0"/>
  </r>
  <r>
    <x v="2"/>
    <x v="37"/>
    <x v="0"/>
    <n v="0"/>
    <x v="0"/>
    <n v="0"/>
    <n v="0"/>
    <n v="0"/>
    <x v="0"/>
    <x v="0"/>
    <x v="20"/>
    <n v="0"/>
    <x v="4"/>
    <x v="0"/>
  </r>
  <r>
    <x v="2"/>
    <x v="38"/>
    <x v="0"/>
    <n v="0"/>
    <x v="0"/>
    <n v="0"/>
    <n v="0"/>
    <n v="0"/>
    <x v="0"/>
    <x v="0"/>
    <x v="20"/>
    <n v="0"/>
    <x v="2"/>
    <x v="0"/>
  </r>
  <r>
    <x v="2"/>
    <x v="39"/>
    <x v="0"/>
    <n v="0"/>
    <x v="0"/>
    <n v="0"/>
    <n v="0"/>
    <n v="0"/>
    <x v="0"/>
    <x v="0"/>
    <x v="20"/>
    <n v="0"/>
    <x v="2"/>
    <x v="0"/>
  </r>
  <r>
    <x v="2"/>
    <x v="40"/>
    <x v="0"/>
    <n v="0"/>
    <x v="0"/>
    <n v="0"/>
    <n v="0"/>
    <n v="0"/>
    <x v="0"/>
    <x v="0"/>
    <x v="20"/>
    <n v="0"/>
    <x v="3"/>
    <x v="0"/>
  </r>
  <r>
    <x v="2"/>
    <x v="41"/>
    <x v="0"/>
    <n v="0"/>
    <x v="0"/>
    <n v="0"/>
    <n v="0"/>
    <n v="0"/>
    <x v="0"/>
    <x v="0"/>
    <x v="20"/>
    <n v="0"/>
    <x v="5"/>
    <x v="0"/>
  </r>
  <r>
    <x v="2"/>
    <x v="42"/>
    <x v="0"/>
    <n v="0"/>
    <x v="0"/>
    <n v="0"/>
    <n v="0"/>
    <n v="0"/>
    <x v="0"/>
    <x v="0"/>
    <x v="20"/>
    <n v="0"/>
    <x v="2"/>
    <x v="0"/>
  </r>
  <r>
    <x v="2"/>
    <x v="43"/>
    <x v="0"/>
    <n v="0"/>
    <x v="0"/>
    <n v="0"/>
    <n v="0"/>
    <n v="0"/>
    <x v="0"/>
    <x v="0"/>
    <x v="20"/>
    <n v="0"/>
    <x v="3"/>
    <x v="0"/>
  </r>
  <r>
    <x v="2"/>
    <x v="44"/>
    <x v="0"/>
    <n v="0"/>
    <x v="0"/>
    <n v="0"/>
    <n v="0"/>
    <n v="0"/>
    <x v="0"/>
    <x v="0"/>
    <x v="20"/>
    <n v="0"/>
    <x v="3"/>
    <x v="0"/>
  </r>
  <r>
    <x v="2"/>
    <x v="45"/>
    <x v="0"/>
    <n v="0"/>
    <x v="0"/>
    <n v="0"/>
    <n v="0"/>
    <n v="0"/>
    <x v="0"/>
    <x v="0"/>
    <x v="20"/>
    <n v="0"/>
    <x v="4"/>
    <x v="0"/>
  </r>
  <r>
    <x v="2"/>
    <x v="46"/>
    <x v="0"/>
    <n v="0"/>
    <x v="0"/>
    <n v="0"/>
    <n v="0"/>
    <n v="0"/>
    <x v="0"/>
    <x v="0"/>
    <x v="20"/>
    <n v="0"/>
    <x v="4"/>
    <x v="0"/>
  </r>
  <r>
    <x v="2"/>
    <x v="47"/>
    <x v="0"/>
    <n v="0"/>
    <x v="0"/>
    <n v="0"/>
    <n v="0"/>
    <n v="0"/>
    <x v="0"/>
    <x v="0"/>
    <x v="20"/>
    <n v="0"/>
    <x v="5"/>
    <x v="0"/>
  </r>
  <r>
    <x v="2"/>
    <x v="48"/>
    <x v="0"/>
    <n v="0"/>
    <x v="0"/>
    <n v="0"/>
    <n v="0"/>
    <n v="0"/>
    <x v="0"/>
    <x v="0"/>
    <x v="20"/>
    <n v="0"/>
    <x v="6"/>
    <x v="0"/>
  </r>
  <r>
    <x v="2"/>
    <x v="49"/>
    <x v="0"/>
    <n v="0"/>
    <x v="0"/>
    <n v="0"/>
    <n v="0"/>
    <n v="0"/>
    <x v="0"/>
    <x v="0"/>
    <x v="20"/>
    <n v="0"/>
    <x v="3"/>
    <x v="0"/>
  </r>
  <r>
    <x v="2"/>
    <x v="50"/>
    <x v="0"/>
    <n v="0"/>
    <x v="0"/>
    <n v="0"/>
    <n v="0"/>
    <n v="0"/>
    <x v="0"/>
    <x v="0"/>
    <x v="20"/>
    <n v="0"/>
    <x v="4"/>
    <x v="0"/>
  </r>
  <r>
    <x v="0"/>
    <x v="0"/>
    <x v="249"/>
    <n v="7.46"/>
    <x v="372"/>
    <n v="7.36"/>
    <n v="0.75"/>
    <n v="8.11"/>
    <x v="436"/>
    <x v="373"/>
    <x v="21"/>
    <n v="37.08"/>
    <x v="0"/>
    <x v="1"/>
  </r>
  <r>
    <x v="0"/>
    <x v="1"/>
    <x v="0"/>
    <n v="0"/>
    <x v="0"/>
    <n v="5.26"/>
    <n v="2.79"/>
    <n v="8.0500000000000007"/>
    <x v="437"/>
    <x v="0"/>
    <x v="21"/>
    <n v="0"/>
    <x v="0"/>
    <x v="1"/>
  </r>
  <r>
    <x v="0"/>
    <x v="2"/>
    <x v="0"/>
    <n v="0"/>
    <x v="0"/>
    <n v="5.27"/>
    <n v="2.8"/>
    <n v="8.07"/>
    <x v="438"/>
    <x v="0"/>
    <x v="21"/>
    <n v="0"/>
    <x v="0"/>
    <x v="1"/>
  </r>
  <r>
    <x v="0"/>
    <x v="3"/>
    <x v="0"/>
    <n v="0"/>
    <x v="0"/>
    <n v="7.38"/>
    <n v="0.75"/>
    <n v="8.1300000000000008"/>
    <x v="439"/>
    <x v="0"/>
    <x v="21"/>
    <n v="0"/>
    <x v="0"/>
    <x v="1"/>
  </r>
  <r>
    <x v="0"/>
    <x v="4"/>
    <x v="22"/>
    <n v="3.77"/>
    <x v="373"/>
    <n v="7.89"/>
    <n v="0.17"/>
    <n v="8.06"/>
    <x v="440"/>
    <x v="374"/>
    <x v="21"/>
    <n v="36"/>
    <x v="0"/>
    <x v="1"/>
  </r>
  <r>
    <x v="0"/>
    <x v="5"/>
    <x v="0"/>
    <n v="0"/>
    <x v="0"/>
    <n v="5.26"/>
    <n v="2.79"/>
    <n v="8.0500000000000007"/>
    <x v="437"/>
    <x v="0"/>
    <x v="21"/>
    <n v="0"/>
    <x v="0"/>
    <x v="1"/>
  </r>
  <r>
    <x v="0"/>
    <x v="6"/>
    <x v="22"/>
    <n v="3.77"/>
    <x v="373"/>
    <n v="7.9"/>
    <n v="0.17"/>
    <n v="8.07"/>
    <x v="440"/>
    <x v="253"/>
    <x v="21"/>
    <n v="36"/>
    <x v="0"/>
    <x v="1"/>
  </r>
  <r>
    <x v="0"/>
    <x v="7"/>
    <x v="0"/>
    <n v="0"/>
    <x v="0"/>
    <n v="7.33"/>
    <n v="0.74"/>
    <n v="8.07"/>
    <x v="441"/>
    <x v="0"/>
    <x v="21"/>
    <n v="0"/>
    <x v="0"/>
    <x v="1"/>
  </r>
  <r>
    <x v="1"/>
    <x v="9"/>
    <x v="52"/>
    <n v="2.12"/>
    <x v="374"/>
    <n v="6.22"/>
    <n v="1.84"/>
    <n v="8.06"/>
    <x v="442"/>
    <x v="375"/>
    <x v="21"/>
    <n v="27.96"/>
    <x v="1"/>
    <x v="1"/>
  </r>
  <r>
    <x v="1"/>
    <x v="10"/>
    <x v="22"/>
    <n v="2.92"/>
    <x v="273"/>
    <n v="2.52"/>
    <n v="5.54"/>
    <n v="8.06"/>
    <x v="443"/>
    <x v="374"/>
    <x v="21"/>
    <n v="36"/>
    <x v="1"/>
    <x v="1"/>
  </r>
  <r>
    <x v="1"/>
    <x v="12"/>
    <x v="122"/>
    <n v="3.17"/>
    <x v="375"/>
    <n v="0.97"/>
    <n v="7.1"/>
    <n v="8.07"/>
    <x v="444"/>
    <x v="376"/>
    <x v="21"/>
    <n v="15.960000000000003"/>
    <x v="1"/>
    <x v="1"/>
  </r>
  <r>
    <x v="1"/>
    <x v="13"/>
    <x v="84"/>
    <n v="5.42"/>
    <x v="376"/>
    <n v="2.54"/>
    <n v="5.52"/>
    <n v="8.06"/>
    <x v="445"/>
    <x v="377"/>
    <x v="21"/>
    <n v="57.96"/>
    <x v="1"/>
    <x v="1"/>
  </r>
  <r>
    <x v="2"/>
    <x v="15"/>
    <x v="250"/>
    <n v="2.08"/>
    <x v="377"/>
    <n v="6.68"/>
    <n v="2.1"/>
    <n v="8.7799999999999994"/>
    <x v="446"/>
    <x v="378"/>
    <x v="21"/>
    <n v="0.96"/>
    <x v="3"/>
    <x v="1"/>
  </r>
  <r>
    <x v="2"/>
    <x v="17"/>
    <x v="0"/>
    <n v="0"/>
    <x v="0"/>
    <n v="2.0299999999999998"/>
    <n v="6.6"/>
    <n v="8.6300000000000008"/>
    <x v="447"/>
    <x v="0"/>
    <x v="21"/>
    <n v="0"/>
    <x v="3"/>
    <x v="1"/>
  </r>
  <r>
    <x v="2"/>
    <x v="18"/>
    <x v="251"/>
    <n v="5.52"/>
    <x v="378"/>
    <n v="6.83"/>
    <n v="1.38"/>
    <n v="8.2100000000000009"/>
    <x v="166"/>
    <x v="379"/>
    <x v="21"/>
    <n v="127.92"/>
    <x v="3"/>
    <x v="1"/>
  </r>
  <r>
    <x v="2"/>
    <x v="19"/>
    <x v="0"/>
    <n v="0"/>
    <x v="0"/>
    <n v="0"/>
    <n v="0"/>
    <n v="0"/>
    <x v="0"/>
    <x v="0"/>
    <x v="21"/>
    <n v="0"/>
    <x v="2"/>
    <x v="0"/>
  </r>
  <r>
    <x v="2"/>
    <x v="21"/>
    <x v="252"/>
    <n v="6.31"/>
    <x v="379"/>
    <n v="8.51"/>
    <n v="1.1299999999999999"/>
    <n v="9.64"/>
    <x v="448"/>
    <x v="380"/>
    <x v="21"/>
    <n v="147.47999999999999"/>
    <x v="2"/>
    <x v="1"/>
  </r>
  <r>
    <x v="2"/>
    <x v="22"/>
    <x v="146"/>
    <n v="6.86"/>
    <x v="380"/>
    <n v="8.8000000000000007"/>
    <n v="1.0900000000000001"/>
    <n v="9.89"/>
    <x v="449"/>
    <x v="381"/>
    <x v="21"/>
    <n v="45.96"/>
    <x v="4"/>
    <x v="1"/>
  </r>
  <r>
    <x v="2"/>
    <x v="23"/>
    <x v="29"/>
    <n v="2.4300000000000002"/>
    <x v="381"/>
    <n v="2.27"/>
    <n v="6.36"/>
    <n v="8.6300000000000008"/>
    <x v="450"/>
    <x v="382"/>
    <x v="21"/>
    <n v="24"/>
    <x v="3"/>
    <x v="1"/>
  </r>
  <r>
    <x v="2"/>
    <x v="24"/>
    <x v="253"/>
    <n v="6.35"/>
    <x v="382"/>
    <n v="5.7"/>
    <n v="2.34"/>
    <n v="8.0399999999999991"/>
    <x v="451"/>
    <x v="383"/>
    <x v="21"/>
    <n v="94.44"/>
    <x v="5"/>
    <x v="1"/>
  </r>
  <r>
    <x v="2"/>
    <x v="25"/>
    <x v="223"/>
    <n v="8.33"/>
    <x v="383"/>
    <n v="7.45"/>
    <n v="1.03"/>
    <n v="8.48"/>
    <x v="452"/>
    <x v="384"/>
    <x v="21"/>
    <n v="106.92"/>
    <x v="2"/>
    <x v="1"/>
  </r>
  <r>
    <x v="2"/>
    <x v="28"/>
    <x v="0"/>
    <n v="0"/>
    <x v="0"/>
    <n v="0"/>
    <n v="0"/>
    <n v="0"/>
    <x v="0"/>
    <x v="0"/>
    <x v="21"/>
    <n v="0"/>
    <x v="2"/>
    <x v="0"/>
  </r>
  <r>
    <x v="2"/>
    <x v="29"/>
    <x v="254"/>
    <n v="6.16"/>
    <x v="384"/>
    <n v="9.02"/>
    <n v="1.04"/>
    <n v="10.06"/>
    <x v="453"/>
    <x v="385"/>
    <x v="21"/>
    <n v="112.56000000000002"/>
    <x v="5"/>
    <x v="1"/>
  </r>
  <r>
    <x v="2"/>
    <x v="30"/>
    <x v="0"/>
    <n v="0"/>
    <x v="0"/>
    <n v="0"/>
    <n v="0"/>
    <n v="0"/>
    <x v="0"/>
    <x v="0"/>
    <x v="21"/>
    <n v="0"/>
    <x v="5"/>
    <x v="0"/>
  </r>
  <r>
    <x v="2"/>
    <x v="31"/>
    <x v="209"/>
    <n v="7.85"/>
    <x v="385"/>
    <n v="7.85"/>
    <n v="0.65"/>
    <n v="8.5"/>
    <x v="454"/>
    <x v="386"/>
    <x v="21"/>
    <n v="133.92000000000002"/>
    <x v="2"/>
    <x v="1"/>
  </r>
  <r>
    <x v="2"/>
    <x v="32"/>
    <x v="34"/>
    <n v="4.87"/>
    <x v="386"/>
    <n v="5.85"/>
    <n v="2.78"/>
    <n v="8.6300000000000008"/>
    <x v="455"/>
    <x v="387"/>
    <x v="21"/>
    <n v="36.96"/>
    <x v="3"/>
    <x v="1"/>
  </r>
  <r>
    <x v="2"/>
    <x v="33"/>
    <x v="226"/>
    <n v="2.52"/>
    <x v="387"/>
    <n v="7.14"/>
    <n v="1.29"/>
    <n v="8.43"/>
    <x v="456"/>
    <x v="388"/>
    <x v="21"/>
    <n v="5.04"/>
    <x v="3"/>
    <x v="1"/>
  </r>
  <r>
    <x v="2"/>
    <x v="34"/>
    <x v="202"/>
    <n v="1.4"/>
    <x v="388"/>
    <n v="9.9600000000000009"/>
    <n v="0.98"/>
    <n v="10.94"/>
    <x v="457"/>
    <x v="35"/>
    <x v="21"/>
    <n v="33.96"/>
    <x v="4"/>
    <x v="1"/>
  </r>
  <r>
    <x v="2"/>
    <x v="36"/>
    <x v="0"/>
    <n v="0"/>
    <x v="0"/>
    <n v="5.05"/>
    <n v="3.84"/>
    <n v="8.89"/>
    <x v="458"/>
    <x v="0"/>
    <x v="21"/>
    <n v="0"/>
    <x v="4"/>
    <x v="1"/>
  </r>
  <r>
    <x v="2"/>
    <x v="37"/>
    <x v="0"/>
    <n v="0"/>
    <x v="0"/>
    <n v="0"/>
    <n v="0"/>
    <n v="0"/>
    <x v="0"/>
    <x v="0"/>
    <x v="21"/>
    <n v="0"/>
    <x v="4"/>
    <x v="0"/>
  </r>
  <r>
    <x v="2"/>
    <x v="40"/>
    <x v="5"/>
    <n v="5.38"/>
    <x v="389"/>
    <n v="6.64"/>
    <n v="1.73"/>
    <n v="8.3699999999999992"/>
    <x v="459"/>
    <x v="389"/>
    <x v="21"/>
    <n v="18.96"/>
    <x v="3"/>
    <x v="1"/>
  </r>
  <r>
    <x v="2"/>
    <x v="44"/>
    <x v="122"/>
    <n v="1.1499999999999999"/>
    <x v="390"/>
    <n v="5.75"/>
    <n v="2.41"/>
    <n v="8.16"/>
    <x v="460"/>
    <x v="390"/>
    <x v="21"/>
    <n v="15.960000000000003"/>
    <x v="3"/>
    <x v="1"/>
  </r>
  <r>
    <x v="2"/>
    <x v="46"/>
    <x v="255"/>
    <n v="7.58"/>
    <x v="391"/>
    <n v="7.77"/>
    <n v="0.1"/>
    <n v="7.87"/>
    <x v="461"/>
    <x v="391"/>
    <x v="21"/>
    <n v="64.08"/>
    <x v="4"/>
    <x v="1"/>
  </r>
  <r>
    <x v="2"/>
    <x v="47"/>
    <x v="256"/>
    <n v="7.25"/>
    <x v="392"/>
    <n v="6.98"/>
    <n v="1.1599999999999999"/>
    <n v="8.14"/>
    <x v="462"/>
    <x v="392"/>
    <x v="21"/>
    <n v="98.399999999999991"/>
    <x v="5"/>
    <x v="1"/>
  </r>
  <r>
    <x v="2"/>
    <x v="48"/>
    <x v="0"/>
    <n v="0"/>
    <x v="0"/>
    <n v="0"/>
    <n v="0"/>
    <n v="0"/>
    <x v="0"/>
    <x v="0"/>
    <x v="21"/>
    <n v="0"/>
    <x v="6"/>
    <x v="0"/>
  </r>
  <r>
    <x v="2"/>
    <x v="50"/>
    <x v="70"/>
    <n v="4.78"/>
    <x v="393"/>
    <n v="7.75"/>
    <n v="0.14000000000000001"/>
    <n v="7.89"/>
    <x v="463"/>
    <x v="393"/>
    <x v="21"/>
    <n v="52.92"/>
    <x v="4"/>
    <x v="1"/>
  </r>
  <r>
    <x v="0"/>
    <x v="0"/>
    <x v="0"/>
    <n v="0"/>
    <x v="0"/>
    <n v="6.62"/>
    <n v="1.4"/>
    <n v="8.02"/>
    <x v="10"/>
    <x v="0"/>
    <x v="22"/>
    <n v="0"/>
    <x v="0"/>
    <x v="1"/>
  </r>
  <r>
    <x v="0"/>
    <x v="1"/>
    <x v="0"/>
    <n v="0"/>
    <x v="0"/>
    <n v="7.72"/>
    <n v="0.26"/>
    <n v="7.98"/>
    <x v="358"/>
    <x v="0"/>
    <x v="22"/>
    <n v="0"/>
    <x v="0"/>
    <x v="1"/>
  </r>
  <r>
    <x v="0"/>
    <x v="2"/>
    <x v="0"/>
    <n v="0"/>
    <x v="0"/>
    <n v="7.74"/>
    <n v="0.25"/>
    <n v="7.99"/>
    <x v="464"/>
    <x v="0"/>
    <x v="22"/>
    <n v="0"/>
    <x v="0"/>
    <x v="1"/>
  </r>
  <r>
    <x v="0"/>
    <x v="3"/>
    <x v="188"/>
    <n v="7.25"/>
    <x v="394"/>
    <n v="3.22"/>
    <n v="4.82"/>
    <n v="8.0399999999999991"/>
    <x v="465"/>
    <x v="394"/>
    <x v="22"/>
    <n v="29.04"/>
    <x v="0"/>
    <x v="1"/>
  </r>
  <r>
    <x v="0"/>
    <x v="4"/>
    <x v="0"/>
    <n v="0"/>
    <x v="0"/>
    <n v="5.65"/>
    <n v="2.37"/>
    <n v="8.02"/>
    <x v="283"/>
    <x v="0"/>
    <x v="22"/>
    <n v="0"/>
    <x v="0"/>
    <x v="1"/>
  </r>
  <r>
    <x v="0"/>
    <x v="5"/>
    <x v="0"/>
    <n v="0"/>
    <x v="0"/>
    <n v="0"/>
    <n v="0"/>
    <n v="0"/>
    <x v="0"/>
    <x v="0"/>
    <x v="22"/>
    <n v="0"/>
    <x v="0"/>
    <x v="0"/>
  </r>
  <r>
    <x v="0"/>
    <x v="6"/>
    <x v="0"/>
    <n v="0"/>
    <x v="0"/>
    <n v="5.65"/>
    <n v="2.37"/>
    <n v="8.02"/>
    <x v="283"/>
    <x v="0"/>
    <x v="22"/>
    <n v="0"/>
    <x v="0"/>
    <x v="1"/>
  </r>
  <r>
    <x v="0"/>
    <x v="8"/>
    <x v="0"/>
    <n v="0"/>
    <x v="0"/>
    <n v="7.19"/>
    <n v="0.87"/>
    <n v="8.06"/>
    <x v="466"/>
    <x v="0"/>
    <x v="22"/>
    <n v="0"/>
    <x v="0"/>
    <x v="1"/>
  </r>
  <r>
    <x v="1"/>
    <x v="9"/>
    <x v="150"/>
    <n v="4.7"/>
    <x v="395"/>
    <n v="7"/>
    <n v="1.05"/>
    <n v="8.0500000000000007"/>
    <x v="467"/>
    <x v="395"/>
    <x v="22"/>
    <n v="49.92"/>
    <x v="1"/>
    <x v="1"/>
  </r>
  <r>
    <x v="1"/>
    <x v="10"/>
    <x v="0"/>
    <n v="0"/>
    <x v="0"/>
    <n v="6.38"/>
    <n v="1.66"/>
    <n v="8.0399999999999991"/>
    <x v="468"/>
    <x v="0"/>
    <x v="22"/>
    <n v="0"/>
    <x v="1"/>
    <x v="1"/>
  </r>
  <r>
    <x v="1"/>
    <x v="11"/>
    <x v="0"/>
    <n v="0"/>
    <x v="0"/>
    <n v="5"/>
    <n v="3.04"/>
    <n v="8.0399999999999991"/>
    <x v="469"/>
    <x v="0"/>
    <x v="22"/>
    <n v="0"/>
    <x v="1"/>
    <x v="1"/>
  </r>
  <r>
    <x v="1"/>
    <x v="12"/>
    <x v="0"/>
    <n v="0"/>
    <x v="0"/>
    <n v="4.45"/>
    <n v="3.6"/>
    <n v="8.0500000000000007"/>
    <x v="470"/>
    <x v="0"/>
    <x v="22"/>
    <n v="0"/>
    <x v="1"/>
    <x v="1"/>
  </r>
  <r>
    <x v="1"/>
    <x v="13"/>
    <x v="0"/>
    <n v="0"/>
    <x v="0"/>
    <n v="3.23"/>
    <n v="4.82"/>
    <n v="8.0500000000000007"/>
    <x v="471"/>
    <x v="0"/>
    <x v="22"/>
    <n v="0"/>
    <x v="1"/>
    <x v="1"/>
  </r>
  <r>
    <x v="2"/>
    <x v="14"/>
    <x v="257"/>
    <n v="9.67"/>
    <x v="396"/>
    <n v="10.27"/>
    <n v="0.16"/>
    <n v="10.43"/>
    <x v="472"/>
    <x v="396"/>
    <x v="22"/>
    <n v="192.6"/>
    <x v="2"/>
    <x v="1"/>
  </r>
  <r>
    <x v="2"/>
    <x v="16"/>
    <x v="0"/>
    <n v="0"/>
    <x v="0"/>
    <n v="0"/>
    <n v="0"/>
    <n v="0"/>
    <x v="0"/>
    <x v="0"/>
    <x v="22"/>
    <n v="0"/>
    <x v="4"/>
    <x v="0"/>
  </r>
  <r>
    <x v="2"/>
    <x v="17"/>
    <x v="258"/>
    <n v="6.53"/>
    <x v="397"/>
    <n v="2.5"/>
    <n v="5.98"/>
    <n v="8.48"/>
    <x v="430"/>
    <x v="397"/>
    <x v="22"/>
    <n v="33"/>
    <x v="3"/>
    <x v="1"/>
  </r>
  <r>
    <x v="2"/>
    <x v="19"/>
    <x v="0"/>
    <n v="0"/>
    <x v="0"/>
    <n v="0"/>
    <n v="0"/>
    <n v="0"/>
    <x v="0"/>
    <x v="0"/>
    <x v="22"/>
    <n v="0"/>
    <x v="2"/>
    <x v="0"/>
  </r>
  <r>
    <x v="2"/>
    <x v="20"/>
    <x v="259"/>
    <n v="4.5999999999999996"/>
    <x v="398"/>
    <n v="6.6"/>
    <n v="1.57"/>
    <n v="8.17"/>
    <x v="473"/>
    <x v="398"/>
    <x v="22"/>
    <n v="113.52000000000001"/>
    <x v="5"/>
    <x v="1"/>
  </r>
  <r>
    <x v="2"/>
    <x v="22"/>
    <x v="260"/>
    <n v="2.83"/>
    <x v="399"/>
    <n v="6.67"/>
    <n v="2.34"/>
    <n v="9.01"/>
    <x v="474"/>
    <x v="399"/>
    <x v="22"/>
    <n v="48"/>
    <x v="4"/>
    <x v="1"/>
  </r>
  <r>
    <x v="2"/>
    <x v="23"/>
    <x v="59"/>
    <n v="1.87"/>
    <x v="400"/>
    <n v="1.32"/>
    <n v="7.17"/>
    <n v="8.49"/>
    <x v="475"/>
    <x v="400"/>
    <x v="22"/>
    <n v="26.4"/>
    <x v="3"/>
    <x v="1"/>
  </r>
  <r>
    <x v="2"/>
    <x v="24"/>
    <x v="149"/>
    <n v="2.88"/>
    <x v="401"/>
    <n v="9.16"/>
    <n v="0.93"/>
    <n v="10.09"/>
    <x v="476"/>
    <x v="401"/>
    <x v="22"/>
    <n v="59.88000000000001"/>
    <x v="5"/>
    <x v="1"/>
  </r>
  <r>
    <x v="2"/>
    <x v="25"/>
    <x v="261"/>
    <n v="8.42"/>
    <x v="402"/>
    <n v="9.39"/>
    <n v="0.74"/>
    <n v="10.130000000000001"/>
    <x v="477"/>
    <x v="402"/>
    <x v="22"/>
    <n v="124.92"/>
    <x v="2"/>
    <x v="1"/>
  </r>
  <r>
    <x v="2"/>
    <x v="26"/>
    <x v="54"/>
    <n v="5.35"/>
    <x v="403"/>
    <n v="7.02"/>
    <n v="1.5"/>
    <n v="8.52"/>
    <x v="478"/>
    <x v="403"/>
    <x v="22"/>
    <n v="66"/>
    <x v="3"/>
    <x v="1"/>
  </r>
  <r>
    <x v="2"/>
    <x v="27"/>
    <x v="19"/>
    <n v="4.4400000000000004"/>
    <x v="404"/>
    <n v="9.99"/>
    <n v="0.11"/>
    <n v="10.1"/>
    <x v="479"/>
    <x v="404"/>
    <x v="22"/>
    <n v="99"/>
    <x v="5"/>
    <x v="1"/>
  </r>
  <r>
    <x v="2"/>
    <x v="28"/>
    <x v="0"/>
    <n v="0"/>
    <x v="0"/>
    <n v="0"/>
    <n v="0"/>
    <n v="0"/>
    <x v="0"/>
    <x v="0"/>
    <x v="22"/>
    <n v="0"/>
    <x v="2"/>
    <x v="0"/>
  </r>
  <r>
    <x v="2"/>
    <x v="29"/>
    <x v="262"/>
    <n v="5.09"/>
    <x v="405"/>
    <n v="10.38"/>
    <n v="1.94"/>
    <n v="12.32"/>
    <x v="480"/>
    <x v="405"/>
    <x v="22"/>
    <n v="126.84"/>
    <x v="5"/>
    <x v="1"/>
  </r>
  <r>
    <x v="2"/>
    <x v="30"/>
    <x v="0"/>
    <n v="0"/>
    <x v="0"/>
    <n v="0"/>
    <n v="0"/>
    <n v="0"/>
    <x v="0"/>
    <x v="0"/>
    <x v="22"/>
    <n v="0"/>
    <x v="5"/>
    <x v="0"/>
  </r>
  <r>
    <x v="2"/>
    <x v="31"/>
    <x v="263"/>
    <n v="10.48"/>
    <x v="406"/>
    <n v="10.039999999999999"/>
    <n v="0.44"/>
    <n v="10.48"/>
    <x v="481"/>
    <x v="406"/>
    <x v="22"/>
    <n v="252.95999999999998"/>
    <x v="2"/>
    <x v="1"/>
  </r>
  <r>
    <x v="2"/>
    <x v="34"/>
    <x v="264"/>
    <n v="7.29"/>
    <x v="407"/>
    <n v="10.31"/>
    <n v="0.68"/>
    <n v="10.99"/>
    <x v="384"/>
    <x v="407"/>
    <x v="22"/>
    <n v="43.08"/>
    <x v="4"/>
    <x v="1"/>
  </r>
  <r>
    <x v="2"/>
    <x v="36"/>
    <x v="143"/>
    <n v="6.97"/>
    <x v="408"/>
    <n v="6.74"/>
    <n v="2.75"/>
    <n v="9.49"/>
    <x v="482"/>
    <x v="408"/>
    <x v="22"/>
    <n v="51"/>
    <x v="4"/>
    <x v="1"/>
  </r>
  <r>
    <x v="2"/>
    <x v="37"/>
    <x v="0"/>
    <n v="0"/>
    <x v="0"/>
    <n v="0"/>
    <n v="0"/>
    <n v="0"/>
    <x v="0"/>
    <x v="0"/>
    <x v="22"/>
    <n v="0"/>
    <x v="4"/>
    <x v="0"/>
  </r>
  <r>
    <x v="2"/>
    <x v="39"/>
    <x v="265"/>
    <n v="5.82"/>
    <x v="409"/>
    <n v="5.97"/>
    <n v="1.57"/>
    <n v="7.54"/>
    <x v="483"/>
    <x v="409"/>
    <x v="22"/>
    <n v="117.84"/>
    <x v="2"/>
    <x v="1"/>
  </r>
  <r>
    <x v="2"/>
    <x v="40"/>
    <x v="266"/>
    <n v="7.99"/>
    <x v="410"/>
    <n v="4.37"/>
    <n v="4.1399999999999997"/>
    <n v="8.51"/>
    <x v="484"/>
    <x v="410"/>
    <x v="22"/>
    <n v="81.239999999999995"/>
    <x v="3"/>
    <x v="1"/>
  </r>
  <r>
    <x v="2"/>
    <x v="43"/>
    <x v="267"/>
    <n v="7.6"/>
    <x v="411"/>
    <n v="6.47"/>
    <n v="1.85"/>
    <n v="8.32"/>
    <x v="485"/>
    <x v="411"/>
    <x v="22"/>
    <n v="97.92"/>
    <x v="3"/>
    <x v="1"/>
  </r>
  <r>
    <x v="2"/>
    <x v="44"/>
    <x v="180"/>
    <n v="3"/>
    <x v="412"/>
    <n v="6.43"/>
    <n v="1.73"/>
    <n v="8.16"/>
    <x v="266"/>
    <x v="412"/>
    <x v="22"/>
    <n v="39"/>
    <x v="3"/>
    <x v="1"/>
  </r>
  <r>
    <x v="2"/>
    <x v="45"/>
    <x v="202"/>
    <n v="4.63"/>
    <x v="413"/>
    <n v="5.51"/>
    <n v="2.81"/>
    <n v="8.32"/>
    <x v="486"/>
    <x v="413"/>
    <x v="22"/>
    <n v="33.96"/>
    <x v="4"/>
    <x v="1"/>
  </r>
  <r>
    <x v="2"/>
    <x v="46"/>
    <x v="180"/>
    <n v="2.36"/>
    <x v="414"/>
    <n v="7.06"/>
    <n v="1.02"/>
    <n v="8.08"/>
    <x v="487"/>
    <x v="414"/>
    <x v="22"/>
    <n v="39"/>
    <x v="4"/>
    <x v="1"/>
  </r>
  <r>
    <x v="2"/>
    <x v="48"/>
    <x v="0"/>
    <n v="0"/>
    <x v="0"/>
    <n v="0"/>
    <n v="0"/>
    <n v="0"/>
    <x v="0"/>
    <x v="0"/>
    <x v="22"/>
    <n v="0"/>
    <x v="6"/>
    <x v="0"/>
  </r>
  <r>
    <x v="2"/>
    <x v="49"/>
    <x v="165"/>
    <n v="2.2400000000000002"/>
    <x v="415"/>
    <n v="7.75"/>
    <n v="0.38"/>
    <n v="8.1300000000000008"/>
    <x v="488"/>
    <x v="415"/>
    <x v="22"/>
    <n v="37.92"/>
    <x v="3"/>
    <x v="1"/>
  </r>
  <r>
    <x v="0"/>
    <x v="4"/>
    <x v="0"/>
    <n v="0"/>
    <x v="0"/>
    <n v="3.93"/>
    <n v="4.01"/>
    <n v="7.94"/>
    <x v="489"/>
    <x v="0"/>
    <x v="23"/>
    <n v="0"/>
    <x v="0"/>
    <x v="1"/>
  </r>
  <r>
    <x v="0"/>
    <x v="8"/>
    <x v="62"/>
    <n v="3.38"/>
    <x v="416"/>
    <n v="6.88"/>
    <n v="1.18"/>
    <n v="8.06"/>
    <x v="490"/>
    <x v="416"/>
    <x v="23"/>
    <n v="8.76"/>
    <x v="0"/>
    <x v="1"/>
  </r>
  <r>
    <x v="1"/>
    <x v="9"/>
    <x v="268"/>
    <n v="1.83"/>
    <x v="417"/>
    <n v="4.22"/>
    <n v="3.86"/>
    <n v="8.08"/>
    <x v="491"/>
    <x v="417"/>
    <x v="23"/>
    <n v="98.000000003999986"/>
    <x v="1"/>
    <x v="1"/>
  </r>
  <r>
    <x v="1"/>
    <x v="11"/>
    <x v="269"/>
    <n v="2.1"/>
    <x v="418"/>
    <n v="4"/>
    <n v="4.07"/>
    <n v="8.07"/>
    <x v="403"/>
    <x v="418"/>
    <x v="23"/>
    <n v="10.8"/>
    <x v="1"/>
    <x v="1"/>
  </r>
  <r>
    <x v="1"/>
    <x v="12"/>
    <x v="270"/>
    <n v="6.95"/>
    <x v="419"/>
    <n v="1.68"/>
    <n v="6.4"/>
    <n v="8.08"/>
    <x v="492"/>
    <x v="419"/>
    <x v="23"/>
    <n v="32.04"/>
    <x v="1"/>
    <x v="1"/>
  </r>
  <r>
    <x v="2"/>
    <x v="14"/>
    <x v="271"/>
    <n v="10.82"/>
    <x v="420"/>
    <n v="11.17"/>
    <n v="0.2"/>
    <n v="11.37"/>
    <x v="493"/>
    <x v="420"/>
    <x v="23"/>
    <n v="214.32"/>
    <x v="2"/>
    <x v="1"/>
  </r>
  <r>
    <x v="2"/>
    <x v="15"/>
    <x v="272"/>
    <n v="6.13"/>
    <x v="421"/>
    <n v="7.87"/>
    <n v="0.36"/>
    <n v="8.23"/>
    <x v="494"/>
    <x v="421"/>
    <x v="23"/>
    <n v="23.199999995999999"/>
    <x v="3"/>
    <x v="1"/>
  </r>
  <r>
    <x v="2"/>
    <x v="16"/>
    <x v="0"/>
    <n v="0"/>
    <x v="0"/>
    <n v="7.69"/>
    <n v="0.26"/>
    <n v="7.95"/>
    <x v="495"/>
    <x v="0"/>
    <x v="23"/>
    <n v="0"/>
    <x v="4"/>
    <x v="1"/>
  </r>
  <r>
    <x v="2"/>
    <x v="17"/>
    <x v="0"/>
    <n v="0"/>
    <x v="0"/>
    <n v="0.62"/>
    <n v="7.77"/>
    <n v="8.39"/>
    <x v="496"/>
    <x v="0"/>
    <x v="23"/>
    <n v="0"/>
    <x v="3"/>
    <x v="1"/>
  </r>
  <r>
    <x v="2"/>
    <x v="18"/>
    <x v="273"/>
    <n v="4.72"/>
    <x v="422"/>
    <n v="6.57"/>
    <n v="1.58"/>
    <n v="8.15"/>
    <x v="497"/>
    <x v="422"/>
    <x v="23"/>
    <n v="65.000000004"/>
    <x v="3"/>
    <x v="1"/>
  </r>
  <r>
    <x v="2"/>
    <x v="19"/>
    <x v="0"/>
    <n v="0"/>
    <x v="0"/>
    <n v="0"/>
    <n v="0"/>
    <n v="0"/>
    <x v="0"/>
    <x v="0"/>
    <x v="23"/>
    <n v="0"/>
    <x v="2"/>
    <x v="0"/>
  </r>
  <r>
    <x v="2"/>
    <x v="20"/>
    <x v="274"/>
    <n v="5.82"/>
    <x v="423"/>
    <n v="10.46"/>
    <n v="0.96"/>
    <n v="11.42"/>
    <x v="498"/>
    <x v="423"/>
    <x v="23"/>
    <n v="84.84"/>
    <x v="5"/>
    <x v="1"/>
  </r>
  <r>
    <x v="2"/>
    <x v="21"/>
    <x v="116"/>
    <n v="4.45"/>
    <x v="424"/>
    <n v="9.6300000000000008"/>
    <n v="0.57999999999999996"/>
    <n v="10.210000000000001"/>
    <x v="499"/>
    <x v="424"/>
    <x v="23"/>
    <n v="144"/>
    <x v="2"/>
    <x v="1"/>
  </r>
  <r>
    <x v="2"/>
    <x v="23"/>
    <x v="65"/>
    <n v="7.21"/>
    <x v="425"/>
    <n v="1.47"/>
    <n v="6.91"/>
    <n v="8.3800000000000008"/>
    <x v="500"/>
    <x v="425"/>
    <x v="23"/>
    <n v="15.6"/>
    <x v="3"/>
    <x v="1"/>
  </r>
  <r>
    <x v="2"/>
    <x v="24"/>
    <x v="275"/>
    <n v="7.86"/>
    <x v="426"/>
    <n v="9.9700000000000006"/>
    <n v="0.1"/>
    <n v="10.07"/>
    <x v="501"/>
    <x v="426"/>
    <x v="23"/>
    <n v="80.039999999999992"/>
    <x v="5"/>
    <x v="1"/>
  </r>
  <r>
    <x v="2"/>
    <x v="25"/>
    <x v="231"/>
    <n v="7.46"/>
    <x v="427"/>
    <n v="9.4"/>
    <n v="0.18"/>
    <n v="9.58"/>
    <x v="193"/>
    <x v="427"/>
    <x v="23"/>
    <n v="93"/>
    <x v="2"/>
    <x v="1"/>
  </r>
  <r>
    <x v="2"/>
    <x v="26"/>
    <x v="276"/>
    <n v="4.41"/>
    <x v="428"/>
    <n v="7.62"/>
    <n v="0.48"/>
    <n v="8.1"/>
    <x v="502"/>
    <x v="428"/>
    <x v="23"/>
    <n v="44.000000004"/>
    <x v="3"/>
    <x v="1"/>
  </r>
  <r>
    <x v="2"/>
    <x v="29"/>
    <x v="277"/>
    <n v="6.26"/>
    <x v="429"/>
    <n v="6.63"/>
    <n v="1.56"/>
    <n v="8.19"/>
    <x v="503"/>
    <x v="429"/>
    <x v="23"/>
    <n v="133.16000004"/>
    <x v="5"/>
    <x v="1"/>
  </r>
  <r>
    <x v="2"/>
    <x v="30"/>
    <x v="0"/>
    <n v="0"/>
    <x v="0"/>
    <n v="0"/>
    <n v="0"/>
    <n v="0"/>
    <x v="0"/>
    <x v="0"/>
    <x v="23"/>
    <n v="0"/>
    <x v="5"/>
    <x v="0"/>
  </r>
  <r>
    <x v="2"/>
    <x v="32"/>
    <x v="278"/>
    <n v="8.2899999999999991"/>
    <x v="430"/>
    <n v="6.18"/>
    <n v="2.15"/>
    <n v="8.33"/>
    <x v="504"/>
    <x v="430"/>
    <x v="23"/>
    <n v="75"/>
    <x v="3"/>
    <x v="1"/>
  </r>
  <r>
    <x v="2"/>
    <x v="33"/>
    <x v="279"/>
    <n v="2.59"/>
    <x v="431"/>
    <n v="7.9"/>
    <n v="0.26"/>
    <n v="8.16"/>
    <x v="505"/>
    <x v="431"/>
    <x v="23"/>
    <n v="21"/>
    <x v="3"/>
    <x v="1"/>
  </r>
  <r>
    <x v="2"/>
    <x v="35"/>
    <x v="280"/>
    <n v="4.38"/>
    <x v="432"/>
    <n v="10.42"/>
    <n v="0.2"/>
    <n v="10.62"/>
    <x v="193"/>
    <x v="432"/>
    <x v="23"/>
    <n v="117.72"/>
    <x v="2"/>
    <x v="1"/>
  </r>
  <r>
    <x v="2"/>
    <x v="37"/>
    <x v="0"/>
    <n v="0"/>
    <x v="0"/>
    <n v="0"/>
    <n v="0"/>
    <n v="0"/>
    <x v="0"/>
    <x v="0"/>
    <x v="23"/>
    <n v="0"/>
    <x v="4"/>
    <x v="0"/>
  </r>
  <r>
    <x v="2"/>
    <x v="38"/>
    <x v="281"/>
    <n v="3.78"/>
    <x v="433"/>
    <n v="7.58"/>
    <n v="0.92"/>
    <n v="8.5"/>
    <x v="506"/>
    <x v="433"/>
    <x v="23"/>
    <n v="77.000000004"/>
    <x v="2"/>
    <x v="1"/>
  </r>
  <r>
    <x v="2"/>
    <x v="39"/>
    <x v="282"/>
    <n v="4.4800000000000004"/>
    <x v="434"/>
    <n v="9.43"/>
    <n v="0.86"/>
    <n v="10.29"/>
    <x v="507"/>
    <x v="367"/>
    <x v="23"/>
    <n v="59.000000004"/>
    <x v="2"/>
    <x v="1"/>
  </r>
  <r>
    <x v="2"/>
    <x v="40"/>
    <x v="283"/>
    <n v="7.4"/>
    <x v="435"/>
    <n v="7.89"/>
    <n v="0.24"/>
    <n v="8.1300000000000008"/>
    <x v="380"/>
    <x v="434"/>
    <x v="23"/>
    <n v="55.56"/>
    <x v="3"/>
    <x v="1"/>
  </r>
  <r>
    <x v="2"/>
    <x v="41"/>
    <x v="284"/>
    <n v="5.45"/>
    <x v="436"/>
    <n v="10.02"/>
    <n v="0.09"/>
    <n v="10.11"/>
    <x v="508"/>
    <x v="435"/>
    <x v="23"/>
    <n v="53.4"/>
    <x v="5"/>
    <x v="1"/>
  </r>
  <r>
    <x v="2"/>
    <x v="44"/>
    <x v="285"/>
    <n v="5.5"/>
    <x v="437"/>
    <n v="3.98"/>
    <n v="4.1399999999999997"/>
    <n v="8.1199999999999992"/>
    <x v="509"/>
    <x v="436"/>
    <x v="23"/>
    <n v="53.000000004"/>
    <x v="3"/>
    <x v="1"/>
  </r>
  <r>
    <x v="2"/>
    <x v="45"/>
    <x v="286"/>
    <n v="1.93"/>
    <x v="438"/>
    <n v="6.5"/>
    <n v="0.72"/>
    <n v="7.22"/>
    <x v="510"/>
    <x v="437"/>
    <x v="23"/>
    <n v="18.36"/>
    <x v="4"/>
    <x v="1"/>
  </r>
  <r>
    <x v="2"/>
    <x v="46"/>
    <x v="74"/>
    <n v="6.42"/>
    <x v="439"/>
    <n v="7.65"/>
    <n v="0.36"/>
    <n v="8.01"/>
    <x v="511"/>
    <x v="438"/>
    <x v="23"/>
    <n v="54"/>
    <x v="4"/>
    <x v="1"/>
  </r>
  <r>
    <x v="2"/>
    <x v="47"/>
    <x v="287"/>
    <n v="5.44"/>
    <x v="440"/>
    <n v="7.87"/>
    <n v="0.22"/>
    <n v="8.09"/>
    <x v="512"/>
    <x v="439"/>
    <x v="23"/>
    <n v="77.400000000000006"/>
    <x v="5"/>
    <x v="1"/>
  </r>
  <r>
    <x v="2"/>
    <x v="48"/>
    <x v="0"/>
    <n v="0"/>
    <x v="0"/>
    <n v="0"/>
    <n v="0"/>
    <n v="0"/>
    <x v="0"/>
    <x v="0"/>
    <x v="23"/>
    <n v="0"/>
    <x v="6"/>
    <x v="0"/>
  </r>
  <r>
    <x v="2"/>
    <x v="49"/>
    <x v="260"/>
    <n v="5.76"/>
    <x v="441"/>
    <n v="7.79"/>
    <n v="0.33"/>
    <n v="8.1199999999999992"/>
    <x v="513"/>
    <x v="440"/>
    <x v="23"/>
    <n v="48"/>
    <x v="3"/>
    <x v="1"/>
  </r>
  <r>
    <x v="0"/>
    <x v="0"/>
    <x v="288"/>
    <n v="3.73"/>
    <x v="442"/>
    <n v="6.04"/>
    <n v="1.99"/>
    <n v="8.0299999999999994"/>
    <x v="514"/>
    <x v="441"/>
    <x v="24"/>
    <n v="28.559999999999995"/>
    <x v="0"/>
    <x v="1"/>
  </r>
  <r>
    <x v="0"/>
    <x v="1"/>
    <x v="289"/>
    <n v="6.1"/>
    <x v="443"/>
    <n v="8.3699999999999992"/>
    <n v="2.63"/>
    <n v="11"/>
    <x v="515"/>
    <x v="442"/>
    <x v="24"/>
    <n v="36.999999996"/>
    <x v="0"/>
    <x v="1"/>
  </r>
  <r>
    <x v="0"/>
    <x v="2"/>
    <x v="53"/>
    <n v="3.87"/>
    <x v="444"/>
    <n v="8.3699999999999992"/>
    <n v="2.63"/>
    <n v="11"/>
    <x v="515"/>
    <x v="443"/>
    <x v="24"/>
    <n v="27"/>
    <x v="0"/>
    <x v="1"/>
  </r>
  <r>
    <x v="0"/>
    <x v="4"/>
    <x v="290"/>
    <n v="10.029999999999999"/>
    <x v="445"/>
    <n v="10.4"/>
    <n v="0.13"/>
    <n v="10.53"/>
    <x v="516"/>
    <x v="444"/>
    <x v="24"/>
    <n v="102.96"/>
    <x v="0"/>
    <x v="1"/>
  </r>
  <r>
    <x v="0"/>
    <x v="5"/>
    <x v="0"/>
    <n v="0"/>
    <x v="0"/>
    <n v="0"/>
    <n v="0"/>
    <n v="0"/>
    <x v="0"/>
    <x v="0"/>
    <x v="24"/>
    <n v="0"/>
    <x v="0"/>
    <x v="0"/>
  </r>
  <r>
    <x v="0"/>
    <x v="8"/>
    <x v="0"/>
    <n v="0"/>
    <x v="0"/>
    <n v="6.27"/>
    <n v="1.79"/>
    <n v="8.06"/>
    <x v="517"/>
    <x v="0"/>
    <x v="24"/>
    <n v="0"/>
    <x v="0"/>
    <x v="1"/>
  </r>
  <r>
    <x v="1"/>
    <x v="9"/>
    <x v="0"/>
    <n v="0"/>
    <x v="0"/>
    <n v="6.99"/>
    <n v="1.08"/>
    <n v="8.07"/>
    <x v="367"/>
    <x v="0"/>
    <x v="24"/>
    <n v="0"/>
    <x v="1"/>
    <x v="1"/>
  </r>
  <r>
    <x v="1"/>
    <x v="10"/>
    <x v="291"/>
    <n v="5.05"/>
    <x v="446"/>
    <n v="6.4"/>
    <n v="1.66"/>
    <n v="8.06"/>
    <x v="518"/>
    <x v="445"/>
    <x v="24"/>
    <n v="90.999999996"/>
    <x v="1"/>
    <x v="1"/>
  </r>
  <r>
    <x v="1"/>
    <x v="12"/>
    <x v="84"/>
    <n v="5.38"/>
    <x v="447"/>
    <n v="5.54"/>
    <n v="2.54"/>
    <n v="8.08"/>
    <x v="519"/>
    <x v="446"/>
    <x v="24"/>
    <n v="57.96"/>
    <x v="1"/>
    <x v="1"/>
  </r>
  <r>
    <x v="1"/>
    <x v="13"/>
    <x v="292"/>
    <n v="3.86"/>
    <x v="448"/>
    <n v="5.56"/>
    <n v="2.5"/>
    <n v="8.06"/>
    <x v="520"/>
    <x v="447"/>
    <x v="24"/>
    <n v="57.11999999999999"/>
    <x v="1"/>
    <x v="1"/>
  </r>
  <r>
    <x v="2"/>
    <x v="14"/>
    <x v="293"/>
    <n v="9.07"/>
    <x v="449"/>
    <n v="9.7799999999999994"/>
    <n v="0.26"/>
    <n v="10.039999999999999"/>
    <x v="521"/>
    <x v="448"/>
    <x v="24"/>
    <n v="134.12000003999998"/>
    <x v="2"/>
    <x v="1"/>
  </r>
  <r>
    <x v="2"/>
    <x v="15"/>
    <x v="68"/>
    <n v="0.75"/>
    <x v="450"/>
    <n v="6.61"/>
    <n v="1.67"/>
    <n v="8.2799999999999994"/>
    <x v="322"/>
    <x v="449"/>
    <x v="24"/>
    <n v="9.9599999999999991"/>
    <x v="3"/>
    <x v="1"/>
  </r>
  <r>
    <x v="2"/>
    <x v="17"/>
    <x v="181"/>
    <n v="4.1500000000000004"/>
    <x v="451"/>
    <n v="5.55"/>
    <n v="4.5999999999999996"/>
    <n v="10.15"/>
    <x v="522"/>
    <x v="450"/>
    <x v="24"/>
    <n v="15"/>
    <x v="3"/>
    <x v="1"/>
  </r>
  <r>
    <x v="2"/>
    <x v="19"/>
    <x v="0"/>
    <n v="0"/>
    <x v="0"/>
    <n v="0"/>
    <n v="0"/>
    <n v="0"/>
    <x v="0"/>
    <x v="0"/>
    <x v="24"/>
    <n v="0"/>
    <x v="2"/>
    <x v="0"/>
  </r>
  <r>
    <x v="2"/>
    <x v="20"/>
    <x v="294"/>
    <n v="4.51"/>
    <x v="452"/>
    <n v="9.4499999999999993"/>
    <n v="1.03"/>
    <n v="10.48"/>
    <x v="523"/>
    <x v="451"/>
    <x v="24"/>
    <n v="63"/>
    <x v="5"/>
    <x v="1"/>
  </r>
  <r>
    <x v="2"/>
    <x v="23"/>
    <x v="4"/>
    <n v="1.4"/>
    <x v="453"/>
    <n v="9.6300000000000008"/>
    <n v="0.74"/>
    <n v="10.37"/>
    <x v="524"/>
    <x v="452"/>
    <x v="24"/>
    <n v="12"/>
    <x v="3"/>
    <x v="1"/>
  </r>
  <r>
    <x v="2"/>
    <x v="29"/>
    <x v="295"/>
    <n v="5.77"/>
    <x v="454"/>
    <n v="9.11"/>
    <n v="1.2"/>
    <n v="10.31"/>
    <x v="525"/>
    <x v="453"/>
    <x v="24"/>
    <n v="137.43999995999999"/>
    <x v="5"/>
    <x v="1"/>
  </r>
  <r>
    <x v="2"/>
    <x v="30"/>
    <x v="0"/>
    <n v="0"/>
    <x v="0"/>
    <n v="0"/>
    <n v="0"/>
    <n v="0"/>
    <x v="0"/>
    <x v="0"/>
    <x v="24"/>
    <n v="0"/>
    <x v="5"/>
    <x v="0"/>
  </r>
  <r>
    <x v="2"/>
    <x v="31"/>
    <x v="296"/>
    <n v="4.1500000000000004"/>
    <x v="455"/>
    <n v="9.61"/>
    <n v="0.8"/>
    <n v="10.41"/>
    <x v="526"/>
    <x v="454"/>
    <x v="24"/>
    <n v="75.999999996"/>
    <x v="2"/>
    <x v="1"/>
  </r>
  <r>
    <x v="2"/>
    <x v="32"/>
    <x v="294"/>
    <n v="9.36"/>
    <x v="456"/>
    <n v="5.35"/>
    <n v="4.8"/>
    <n v="10.15"/>
    <x v="527"/>
    <x v="455"/>
    <x v="24"/>
    <n v="63"/>
    <x v="3"/>
    <x v="1"/>
  </r>
  <r>
    <x v="2"/>
    <x v="33"/>
    <x v="297"/>
    <n v="4.6100000000000003"/>
    <x v="457"/>
    <n v="7.72"/>
    <n v="0.71"/>
    <n v="8.43"/>
    <x v="528"/>
    <x v="456"/>
    <x v="24"/>
    <n v="27.560000004000006"/>
    <x v="3"/>
    <x v="1"/>
  </r>
  <r>
    <x v="2"/>
    <x v="35"/>
    <x v="298"/>
    <n v="9.89"/>
    <x v="458"/>
    <n v="10.17"/>
    <n v="1.01"/>
    <n v="11.18"/>
    <x v="529"/>
    <x v="457"/>
    <x v="24"/>
    <n v="192"/>
    <x v="2"/>
    <x v="1"/>
  </r>
  <r>
    <x v="2"/>
    <x v="36"/>
    <x v="258"/>
    <n v="6.55"/>
    <x v="459"/>
    <n v="8.7899999999999991"/>
    <n v="1.2"/>
    <n v="9.99"/>
    <x v="530"/>
    <x v="458"/>
    <x v="24"/>
    <n v="33"/>
    <x v="4"/>
    <x v="1"/>
  </r>
  <r>
    <x v="2"/>
    <x v="37"/>
    <x v="0"/>
    <n v="0"/>
    <x v="0"/>
    <n v="0"/>
    <n v="0"/>
    <n v="0"/>
    <x v="0"/>
    <x v="0"/>
    <x v="24"/>
    <n v="0"/>
    <x v="4"/>
    <x v="0"/>
  </r>
  <r>
    <x v="2"/>
    <x v="38"/>
    <x v="299"/>
    <n v="6.08"/>
    <x v="460"/>
    <n v="7.81"/>
    <n v="0.46"/>
    <n v="8.27"/>
    <x v="152"/>
    <x v="459"/>
    <x v="24"/>
    <n v="140.00000003999997"/>
    <x v="2"/>
    <x v="1"/>
  </r>
  <r>
    <x v="2"/>
    <x v="40"/>
    <x v="300"/>
    <n v="3.36"/>
    <x v="461"/>
    <n v="7.7"/>
    <n v="0.72"/>
    <n v="8.42"/>
    <x v="531"/>
    <x v="460"/>
    <x v="24"/>
    <n v="15.440000004000002"/>
    <x v="3"/>
    <x v="1"/>
  </r>
  <r>
    <x v="2"/>
    <x v="43"/>
    <x v="0"/>
    <n v="0"/>
    <x v="0"/>
    <n v="7.15"/>
    <n v="1.07"/>
    <n v="8.2200000000000006"/>
    <x v="532"/>
    <x v="0"/>
    <x v="24"/>
    <n v="0"/>
    <x v="3"/>
    <x v="1"/>
  </r>
  <r>
    <x v="2"/>
    <x v="44"/>
    <x v="301"/>
    <n v="2.72"/>
    <x v="462"/>
    <n v="3.98"/>
    <n v="4.3"/>
    <n v="8.2799999999999994"/>
    <x v="533"/>
    <x v="461"/>
    <x v="24"/>
    <n v="29.000000003999997"/>
    <x v="3"/>
    <x v="1"/>
  </r>
  <r>
    <x v="2"/>
    <x v="45"/>
    <x v="24"/>
    <n v="5.0599999999999996"/>
    <x v="463"/>
    <n v="5.0599999999999996"/>
    <n v="3.03"/>
    <n v="8.09"/>
    <x v="534"/>
    <x v="462"/>
    <x v="24"/>
    <n v="30"/>
    <x v="4"/>
    <x v="1"/>
  </r>
  <r>
    <x v="2"/>
    <x v="48"/>
    <x v="0"/>
    <n v="0"/>
    <x v="0"/>
    <n v="0"/>
    <n v="0"/>
    <n v="0"/>
    <x v="0"/>
    <x v="0"/>
    <x v="24"/>
    <n v="0"/>
    <x v="6"/>
    <x v="0"/>
  </r>
  <r>
    <x v="0"/>
    <x v="3"/>
    <x v="45"/>
    <n v="3.65"/>
    <x v="464"/>
    <n v="6.86"/>
    <n v="1.05"/>
    <n v="7.91"/>
    <x v="535"/>
    <x v="463"/>
    <x v="25"/>
    <n v="6"/>
    <x v="0"/>
    <x v="1"/>
  </r>
  <r>
    <x v="0"/>
    <x v="7"/>
    <x v="302"/>
    <n v="7.33"/>
    <x v="465"/>
    <n v="6.86"/>
    <n v="1.05"/>
    <n v="7.91"/>
    <x v="535"/>
    <x v="464"/>
    <x v="25"/>
    <n v="26.04"/>
    <x v="0"/>
    <x v="1"/>
  </r>
  <r>
    <x v="0"/>
    <x v="8"/>
    <x v="303"/>
    <n v="3.43"/>
    <x v="466"/>
    <n v="7.12"/>
    <n v="0.86"/>
    <n v="7.98"/>
    <x v="9"/>
    <x v="465"/>
    <x v="25"/>
    <n v="62.000000004"/>
    <x v="0"/>
    <x v="1"/>
  </r>
  <r>
    <x v="1"/>
    <x v="10"/>
    <x v="281"/>
    <n v="7.88"/>
    <x v="467"/>
    <n v="2.4500000000000002"/>
    <n v="5.6"/>
    <n v="8.0500000000000007"/>
    <x v="536"/>
    <x v="466"/>
    <x v="25"/>
    <n v="77.000000004"/>
    <x v="1"/>
    <x v="1"/>
  </r>
  <r>
    <x v="1"/>
    <x v="11"/>
    <x v="304"/>
    <n v="6.94"/>
    <x v="468"/>
    <n v="6.58"/>
    <n v="1.48"/>
    <n v="8.06"/>
    <x v="537"/>
    <x v="467"/>
    <x v="25"/>
    <n v="214.11999996"/>
    <x v="1"/>
    <x v="1"/>
  </r>
  <r>
    <x v="2"/>
    <x v="15"/>
    <x v="305"/>
    <n v="1.68"/>
    <x v="469"/>
    <n v="5.0999999999999996"/>
    <n v="4.0999999999999996"/>
    <n v="9.1999999999999993"/>
    <x v="538"/>
    <x v="468"/>
    <x v="25"/>
    <n v="23.000000004"/>
    <x v="3"/>
    <x v="1"/>
  </r>
  <r>
    <x v="2"/>
    <x v="17"/>
    <x v="0"/>
    <n v="0"/>
    <x v="0"/>
    <n v="2.96"/>
    <n v="6.02"/>
    <n v="8.98"/>
    <x v="539"/>
    <x v="0"/>
    <x v="25"/>
    <n v="0"/>
    <x v="3"/>
    <x v="1"/>
  </r>
  <r>
    <x v="2"/>
    <x v="18"/>
    <x v="306"/>
    <n v="6.96"/>
    <x v="470"/>
    <n v="4.71"/>
    <n v="4.28"/>
    <n v="8.99"/>
    <x v="540"/>
    <x v="469"/>
    <x v="25"/>
    <n v="66.999999996"/>
    <x v="3"/>
    <x v="1"/>
  </r>
  <r>
    <x v="2"/>
    <x v="19"/>
    <x v="0"/>
    <n v="0"/>
    <x v="0"/>
    <n v="0"/>
    <n v="0"/>
    <n v="0"/>
    <x v="0"/>
    <x v="0"/>
    <x v="25"/>
    <n v="0"/>
    <x v="2"/>
    <x v="0"/>
  </r>
  <r>
    <x v="2"/>
    <x v="23"/>
    <x v="307"/>
    <n v="0.67"/>
    <x v="471"/>
    <n v="1.33"/>
    <n v="7.63"/>
    <n v="8.9600000000000009"/>
    <x v="541"/>
    <x v="470"/>
    <x v="25"/>
    <n v="3.9999999960000006"/>
    <x v="3"/>
    <x v="1"/>
  </r>
  <r>
    <x v="2"/>
    <x v="25"/>
    <x v="308"/>
    <n v="7.41"/>
    <x v="472"/>
    <n v="7.4"/>
    <n v="0.62"/>
    <n v="8.02"/>
    <x v="215"/>
    <x v="471"/>
    <x v="25"/>
    <n v="113.000000004"/>
    <x v="2"/>
    <x v="1"/>
  </r>
  <r>
    <x v="2"/>
    <x v="27"/>
    <x v="309"/>
    <n v="7.02"/>
    <x v="473"/>
    <n v="6.86"/>
    <n v="3.37"/>
    <n v="10.23"/>
    <x v="542"/>
    <x v="472"/>
    <x v="25"/>
    <n v="95.4"/>
    <x v="5"/>
    <x v="1"/>
  </r>
  <r>
    <x v="2"/>
    <x v="30"/>
    <x v="0"/>
    <n v="0"/>
    <x v="0"/>
    <n v="0"/>
    <n v="0"/>
    <n v="0"/>
    <x v="0"/>
    <x v="0"/>
    <x v="25"/>
    <n v="0"/>
    <x v="5"/>
    <x v="0"/>
  </r>
  <r>
    <x v="2"/>
    <x v="31"/>
    <x v="310"/>
    <n v="7.92"/>
    <x v="474"/>
    <n v="7.66"/>
    <n v="0.33"/>
    <n v="7.99"/>
    <x v="543"/>
    <x v="473"/>
    <x v="25"/>
    <n v="117.999999996"/>
    <x v="2"/>
    <x v="1"/>
  </r>
  <r>
    <x v="2"/>
    <x v="32"/>
    <x v="22"/>
    <n v="2.98"/>
    <x v="475"/>
    <n v="4.47"/>
    <n v="4.49"/>
    <n v="8.9600000000000009"/>
    <x v="544"/>
    <x v="474"/>
    <x v="25"/>
    <n v="36"/>
    <x v="3"/>
    <x v="1"/>
  </r>
  <r>
    <x v="2"/>
    <x v="33"/>
    <x v="311"/>
    <n v="7.61"/>
    <x v="476"/>
    <n v="2.1800000000000002"/>
    <n v="6.78"/>
    <n v="8.9600000000000009"/>
    <x v="545"/>
    <x v="475"/>
    <x v="25"/>
    <n v="39.119999999999997"/>
    <x v="3"/>
    <x v="1"/>
  </r>
  <r>
    <x v="2"/>
    <x v="37"/>
    <x v="0"/>
    <n v="0"/>
    <x v="0"/>
    <n v="0"/>
    <n v="0.1"/>
    <n v="0.1"/>
    <x v="0"/>
    <x v="0"/>
    <x v="25"/>
    <n v="0"/>
    <x v="4"/>
    <x v="1"/>
  </r>
  <r>
    <x v="2"/>
    <x v="39"/>
    <x v="312"/>
    <n v="5.17"/>
    <x v="477"/>
    <n v="6.39"/>
    <n v="1.6"/>
    <n v="7.99"/>
    <x v="546"/>
    <x v="476"/>
    <x v="25"/>
    <n v="126.99999996000001"/>
    <x v="2"/>
    <x v="1"/>
  </r>
  <r>
    <x v="2"/>
    <x v="40"/>
    <x v="313"/>
    <n v="8.8800000000000008"/>
    <x v="478"/>
    <n v="0"/>
    <n v="9.5500000000000007"/>
    <n v="9.5500000000000007"/>
    <x v="0"/>
    <x v="477"/>
    <x v="25"/>
    <n v="44.960000004000001"/>
    <x v="3"/>
    <x v="1"/>
  </r>
  <r>
    <x v="2"/>
    <x v="41"/>
    <x v="314"/>
    <n v="6.58"/>
    <x v="479"/>
    <n v="7.96"/>
    <n v="0.09"/>
    <n v="8.0500000000000007"/>
    <x v="94"/>
    <x v="478"/>
    <x v="25"/>
    <n v="106.76000000399999"/>
    <x v="5"/>
    <x v="1"/>
  </r>
  <r>
    <x v="2"/>
    <x v="42"/>
    <x v="315"/>
    <n v="7.62"/>
    <x v="480"/>
    <n v="7.34"/>
    <n v="1.38"/>
    <n v="8.7200000000000006"/>
    <x v="547"/>
    <x v="479"/>
    <x v="25"/>
    <n v="215.00000004000003"/>
    <x v="2"/>
    <x v="1"/>
  </r>
  <r>
    <x v="2"/>
    <x v="44"/>
    <x v="0"/>
    <n v="0"/>
    <x v="0"/>
    <n v="3.7"/>
    <n v="5.26"/>
    <n v="8.9600000000000009"/>
    <x v="548"/>
    <x v="0"/>
    <x v="25"/>
    <n v="0"/>
    <x v="3"/>
    <x v="1"/>
  </r>
  <r>
    <x v="2"/>
    <x v="45"/>
    <x v="3"/>
    <n v="7.98"/>
    <x v="481"/>
    <n v="5.57"/>
    <n v="2.66"/>
    <n v="8.23"/>
    <x v="549"/>
    <x v="480"/>
    <x v="25"/>
    <n v="18"/>
    <x v="4"/>
    <x v="1"/>
  </r>
  <r>
    <x v="2"/>
    <x v="47"/>
    <x v="316"/>
    <n v="6.43"/>
    <x v="482"/>
    <n v="7.96"/>
    <n v="0.08"/>
    <n v="8.0399999999999991"/>
    <x v="550"/>
    <x v="481"/>
    <x v="25"/>
    <n v="121.04000004"/>
    <x v="5"/>
    <x v="1"/>
  </r>
  <r>
    <x v="2"/>
    <x v="48"/>
    <x v="0"/>
    <n v="0"/>
    <x v="0"/>
    <n v="0"/>
    <n v="0"/>
    <n v="0"/>
    <x v="0"/>
    <x v="0"/>
    <x v="25"/>
    <n v="0"/>
    <x v="6"/>
    <x v="0"/>
  </r>
  <r>
    <x v="2"/>
    <x v="50"/>
    <x v="317"/>
    <n v="1.2"/>
    <x v="483"/>
    <n v="7.26"/>
    <n v="0.76"/>
    <n v="8.02"/>
    <x v="551"/>
    <x v="311"/>
    <x v="25"/>
    <n v="15.999999996"/>
    <x v="4"/>
    <x v="1"/>
  </r>
  <r>
    <x v="0"/>
    <x v="0"/>
    <x v="0"/>
    <n v="0"/>
    <x v="0"/>
    <n v="0"/>
    <n v="0"/>
    <n v="0"/>
    <x v="0"/>
    <x v="0"/>
    <x v="26"/>
    <n v="0"/>
    <x v="0"/>
    <x v="0"/>
  </r>
  <r>
    <x v="0"/>
    <x v="1"/>
    <x v="0"/>
    <n v="0"/>
    <x v="0"/>
    <n v="0"/>
    <n v="0"/>
    <n v="0"/>
    <x v="0"/>
    <x v="0"/>
    <x v="26"/>
    <n v="0"/>
    <x v="0"/>
    <x v="0"/>
  </r>
  <r>
    <x v="0"/>
    <x v="2"/>
    <x v="0"/>
    <n v="0"/>
    <x v="0"/>
    <n v="0"/>
    <n v="0"/>
    <n v="0"/>
    <x v="0"/>
    <x v="0"/>
    <x v="26"/>
    <n v="0"/>
    <x v="0"/>
    <x v="0"/>
  </r>
  <r>
    <x v="0"/>
    <x v="3"/>
    <x v="0"/>
    <n v="0"/>
    <x v="0"/>
    <n v="0"/>
    <n v="0"/>
    <n v="0"/>
    <x v="0"/>
    <x v="0"/>
    <x v="26"/>
    <n v="0"/>
    <x v="0"/>
    <x v="0"/>
  </r>
  <r>
    <x v="0"/>
    <x v="4"/>
    <x v="181"/>
    <n v="2.6"/>
    <x v="484"/>
    <n v="7.17"/>
    <n v="0.75"/>
    <n v="7.92"/>
    <x v="552"/>
    <x v="482"/>
    <x v="26"/>
    <n v="15"/>
    <x v="0"/>
    <x v="1"/>
  </r>
  <r>
    <x v="0"/>
    <x v="5"/>
    <x v="0"/>
    <n v="0"/>
    <x v="0"/>
    <n v="0"/>
    <n v="0"/>
    <n v="0"/>
    <x v="0"/>
    <x v="0"/>
    <x v="26"/>
    <n v="0"/>
    <x v="0"/>
    <x v="0"/>
  </r>
  <r>
    <x v="0"/>
    <x v="6"/>
    <x v="181"/>
    <n v="2.6"/>
    <x v="484"/>
    <n v="7.17"/>
    <n v="0.75"/>
    <n v="7.92"/>
    <x v="552"/>
    <x v="482"/>
    <x v="26"/>
    <n v="15"/>
    <x v="0"/>
    <x v="1"/>
  </r>
  <r>
    <x v="0"/>
    <x v="7"/>
    <x v="0"/>
    <n v="0"/>
    <x v="0"/>
    <n v="0"/>
    <n v="0"/>
    <n v="0"/>
    <x v="0"/>
    <x v="0"/>
    <x v="26"/>
    <n v="0"/>
    <x v="0"/>
    <x v="0"/>
  </r>
  <r>
    <x v="0"/>
    <x v="8"/>
    <x v="0"/>
    <n v="0"/>
    <x v="0"/>
    <n v="0"/>
    <n v="0"/>
    <n v="0"/>
    <x v="0"/>
    <x v="0"/>
    <x v="26"/>
    <n v="0"/>
    <x v="0"/>
    <x v="0"/>
  </r>
  <r>
    <x v="1"/>
    <x v="9"/>
    <x v="0"/>
    <n v="0"/>
    <x v="0"/>
    <n v="6.45"/>
    <n v="1.46"/>
    <n v="7.91"/>
    <x v="553"/>
    <x v="0"/>
    <x v="26"/>
    <n v="0"/>
    <x v="1"/>
    <x v="1"/>
  </r>
  <r>
    <x v="1"/>
    <x v="11"/>
    <x v="0"/>
    <n v="0"/>
    <x v="0"/>
    <n v="0"/>
    <n v="0"/>
    <n v="0"/>
    <x v="0"/>
    <x v="0"/>
    <x v="26"/>
    <n v="0"/>
    <x v="1"/>
    <x v="0"/>
  </r>
  <r>
    <x v="1"/>
    <x v="12"/>
    <x v="0"/>
    <n v="0"/>
    <x v="0"/>
    <n v="0"/>
    <n v="0"/>
    <n v="0"/>
    <x v="0"/>
    <x v="0"/>
    <x v="26"/>
    <n v="0"/>
    <x v="1"/>
    <x v="0"/>
  </r>
  <r>
    <x v="1"/>
    <x v="13"/>
    <x v="0"/>
    <n v="0"/>
    <x v="0"/>
    <n v="0"/>
    <n v="0"/>
    <n v="0"/>
    <x v="0"/>
    <x v="0"/>
    <x v="26"/>
    <n v="0"/>
    <x v="1"/>
    <x v="0"/>
  </r>
  <r>
    <x v="2"/>
    <x v="14"/>
    <x v="318"/>
    <n v="3.65"/>
    <x v="485"/>
    <n v="5.55"/>
    <n v="2.33"/>
    <n v="7.88"/>
    <x v="554"/>
    <x v="483"/>
    <x v="26"/>
    <n v="46.8"/>
    <x v="2"/>
    <x v="1"/>
  </r>
  <r>
    <x v="2"/>
    <x v="16"/>
    <x v="319"/>
    <n v="3.59"/>
    <x v="486"/>
    <n v="6.88"/>
    <n v="1.03"/>
    <n v="7.91"/>
    <x v="532"/>
    <x v="484"/>
    <x v="26"/>
    <n v="52.8"/>
    <x v="4"/>
    <x v="1"/>
  </r>
  <r>
    <x v="2"/>
    <x v="17"/>
    <x v="3"/>
    <n v="2.0699999999999998"/>
    <x v="487"/>
    <n v="2.87"/>
    <n v="5.05"/>
    <n v="7.92"/>
    <x v="555"/>
    <x v="485"/>
    <x v="26"/>
    <n v="18"/>
    <x v="3"/>
    <x v="1"/>
  </r>
  <r>
    <x v="2"/>
    <x v="18"/>
    <x v="0"/>
    <n v="0"/>
    <x v="0"/>
    <n v="0"/>
    <n v="0"/>
    <n v="0"/>
    <x v="0"/>
    <x v="0"/>
    <x v="26"/>
    <n v="0"/>
    <x v="3"/>
    <x v="0"/>
  </r>
  <r>
    <x v="2"/>
    <x v="19"/>
    <x v="0"/>
    <n v="0"/>
    <x v="0"/>
    <n v="0"/>
    <n v="0"/>
    <n v="0"/>
    <x v="0"/>
    <x v="0"/>
    <x v="26"/>
    <n v="0"/>
    <x v="2"/>
    <x v="0"/>
  </r>
  <r>
    <x v="2"/>
    <x v="20"/>
    <x v="320"/>
    <n v="6.65"/>
    <x v="488"/>
    <n v="7.29"/>
    <n v="0.61"/>
    <n v="7.9"/>
    <x v="556"/>
    <x v="486"/>
    <x v="26"/>
    <n v="101.00000000399999"/>
    <x v="5"/>
    <x v="1"/>
  </r>
  <r>
    <x v="2"/>
    <x v="21"/>
    <x v="321"/>
    <n v="3.78"/>
    <x v="489"/>
    <n v="5.75"/>
    <n v="2.16"/>
    <n v="7.91"/>
    <x v="557"/>
    <x v="487"/>
    <x v="26"/>
    <n v="64.239999996000009"/>
    <x v="2"/>
    <x v="1"/>
  </r>
  <r>
    <x v="2"/>
    <x v="23"/>
    <x v="0"/>
    <n v="0"/>
    <x v="0"/>
    <n v="0"/>
    <n v="0"/>
    <n v="0"/>
    <x v="0"/>
    <x v="0"/>
    <x v="26"/>
    <n v="0"/>
    <x v="3"/>
    <x v="0"/>
  </r>
  <r>
    <x v="2"/>
    <x v="24"/>
    <x v="0"/>
    <n v="0"/>
    <x v="0"/>
    <n v="0"/>
    <n v="0"/>
    <n v="0"/>
    <x v="0"/>
    <x v="0"/>
    <x v="26"/>
    <n v="0"/>
    <x v="5"/>
    <x v="0"/>
  </r>
  <r>
    <x v="2"/>
    <x v="25"/>
    <x v="0"/>
    <n v="0"/>
    <x v="0"/>
    <n v="0"/>
    <n v="0"/>
    <n v="0"/>
    <x v="0"/>
    <x v="0"/>
    <x v="26"/>
    <n v="0"/>
    <x v="2"/>
    <x v="0"/>
  </r>
  <r>
    <x v="2"/>
    <x v="29"/>
    <x v="322"/>
    <n v="1.55"/>
    <x v="490"/>
    <n v="5.92"/>
    <n v="1.96"/>
    <n v="7.88"/>
    <x v="135"/>
    <x v="488"/>
    <x v="26"/>
    <n v="23.480000003999997"/>
    <x v="5"/>
    <x v="1"/>
  </r>
  <r>
    <x v="2"/>
    <x v="30"/>
    <x v="0"/>
    <n v="0"/>
    <x v="0"/>
    <n v="0"/>
    <n v="0"/>
    <n v="0"/>
    <x v="0"/>
    <x v="0"/>
    <x v="26"/>
    <n v="0"/>
    <x v="5"/>
    <x v="0"/>
  </r>
  <r>
    <x v="2"/>
    <x v="31"/>
    <x v="0"/>
    <n v="0"/>
    <x v="0"/>
    <n v="0"/>
    <n v="0"/>
    <n v="0"/>
    <x v="0"/>
    <x v="0"/>
    <x v="26"/>
    <n v="0"/>
    <x v="2"/>
    <x v="0"/>
  </r>
  <r>
    <x v="2"/>
    <x v="32"/>
    <x v="323"/>
    <n v="5.51"/>
    <x v="491"/>
    <n v="4.3"/>
    <n v="3.58"/>
    <n v="7.88"/>
    <x v="558"/>
    <x v="489"/>
    <x v="26"/>
    <n v="65.039999999999992"/>
    <x v="3"/>
    <x v="1"/>
  </r>
  <r>
    <x v="2"/>
    <x v="33"/>
    <x v="324"/>
    <n v="6.77"/>
    <x v="492"/>
    <n v="6.64"/>
    <n v="1.36"/>
    <n v="8"/>
    <x v="559"/>
    <x v="490"/>
    <x v="26"/>
    <n v="80.120000003999991"/>
    <x v="3"/>
    <x v="1"/>
  </r>
  <r>
    <x v="2"/>
    <x v="37"/>
    <x v="157"/>
    <n v="5.3"/>
    <x v="493"/>
    <n v="5.3"/>
    <n v="2.5499999999999998"/>
    <n v="7.85"/>
    <x v="560"/>
    <x v="491"/>
    <x v="26"/>
    <n v="70.92"/>
    <x v="4"/>
    <x v="1"/>
  </r>
  <r>
    <x v="2"/>
    <x v="38"/>
    <x v="325"/>
    <n v="4.92"/>
    <x v="494"/>
    <n v="7.27"/>
    <n v="0.63"/>
    <n v="7.9"/>
    <x v="561"/>
    <x v="492"/>
    <x v="26"/>
    <n v="165.99999996000003"/>
    <x v="2"/>
    <x v="1"/>
  </r>
  <r>
    <x v="2"/>
    <x v="39"/>
    <x v="285"/>
    <n v="4.74"/>
    <x v="495"/>
    <n v="5.08"/>
    <n v="2.81"/>
    <n v="7.89"/>
    <x v="267"/>
    <x v="393"/>
    <x v="26"/>
    <n v="53.000000004"/>
    <x v="2"/>
    <x v="1"/>
  </r>
  <r>
    <x v="2"/>
    <x v="40"/>
    <x v="326"/>
    <n v="7.21"/>
    <x v="496"/>
    <n v="6.53"/>
    <n v="1.46"/>
    <n v="7.99"/>
    <x v="562"/>
    <x v="493"/>
    <x v="26"/>
    <n v="83.28"/>
    <x v="3"/>
    <x v="1"/>
  </r>
  <r>
    <x v="2"/>
    <x v="43"/>
    <x v="0"/>
    <n v="0"/>
    <x v="0"/>
    <n v="0"/>
    <n v="0"/>
    <n v="0"/>
    <x v="0"/>
    <x v="0"/>
    <x v="26"/>
    <n v="0"/>
    <x v="3"/>
    <x v="0"/>
  </r>
  <r>
    <x v="2"/>
    <x v="44"/>
    <x v="327"/>
    <n v="4.3600000000000003"/>
    <x v="497"/>
    <n v="3.98"/>
    <n v="3.9"/>
    <n v="7.88"/>
    <x v="563"/>
    <x v="494"/>
    <x v="26"/>
    <n v="72.999999996"/>
    <x v="3"/>
    <x v="1"/>
  </r>
  <r>
    <x v="2"/>
    <x v="45"/>
    <x v="328"/>
    <n v="4.42"/>
    <x v="498"/>
    <n v="4.42"/>
    <n v="3.44"/>
    <n v="7.86"/>
    <x v="564"/>
    <x v="495"/>
    <x v="26"/>
    <n v="57.999999996"/>
    <x v="4"/>
    <x v="1"/>
  </r>
  <r>
    <x v="2"/>
    <x v="46"/>
    <x v="0"/>
    <n v="0"/>
    <x v="0"/>
    <n v="0"/>
    <n v="0"/>
    <n v="0"/>
    <x v="0"/>
    <x v="0"/>
    <x v="26"/>
    <n v="0"/>
    <x v="4"/>
    <x v="0"/>
  </r>
  <r>
    <x v="2"/>
    <x v="48"/>
    <x v="0"/>
    <n v="0"/>
    <x v="0"/>
    <n v="0"/>
    <n v="0"/>
    <n v="0"/>
    <x v="0"/>
    <x v="0"/>
    <x v="26"/>
    <n v="0"/>
    <x v="6"/>
    <x v="0"/>
  </r>
  <r>
    <x v="0"/>
    <x v="0"/>
    <x v="0"/>
    <n v="0"/>
    <x v="0"/>
    <n v="0"/>
    <n v="0"/>
    <n v="0"/>
    <x v="0"/>
    <x v="0"/>
    <x v="27"/>
    <n v="0"/>
    <x v="0"/>
    <x v="0"/>
  </r>
  <r>
    <x v="0"/>
    <x v="1"/>
    <x v="0"/>
    <n v="0"/>
    <x v="0"/>
    <n v="0"/>
    <n v="0"/>
    <n v="0"/>
    <x v="0"/>
    <x v="0"/>
    <x v="27"/>
    <n v="0"/>
    <x v="0"/>
    <x v="0"/>
  </r>
  <r>
    <x v="0"/>
    <x v="2"/>
    <x v="0"/>
    <n v="0"/>
    <x v="0"/>
    <n v="0"/>
    <n v="0"/>
    <n v="0"/>
    <x v="0"/>
    <x v="0"/>
    <x v="27"/>
    <n v="0"/>
    <x v="0"/>
    <x v="0"/>
  </r>
  <r>
    <x v="0"/>
    <x v="3"/>
    <x v="0"/>
    <n v="0"/>
    <x v="0"/>
    <n v="0"/>
    <n v="0"/>
    <n v="0"/>
    <x v="0"/>
    <x v="0"/>
    <x v="27"/>
    <n v="0"/>
    <x v="0"/>
    <x v="0"/>
  </r>
  <r>
    <x v="0"/>
    <x v="4"/>
    <x v="0"/>
    <n v="0"/>
    <x v="0"/>
    <n v="0"/>
    <n v="0"/>
    <n v="0"/>
    <x v="0"/>
    <x v="0"/>
    <x v="27"/>
    <n v="0"/>
    <x v="0"/>
    <x v="0"/>
  </r>
  <r>
    <x v="0"/>
    <x v="5"/>
    <x v="0"/>
    <n v="0"/>
    <x v="0"/>
    <n v="0"/>
    <n v="0"/>
    <n v="0"/>
    <x v="0"/>
    <x v="0"/>
    <x v="27"/>
    <n v="0"/>
    <x v="0"/>
    <x v="0"/>
  </r>
  <r>
    <x v="0"/>
    <x v="6"/>
    <x v="0"/>
    <n v="0"/>
    <x v="0"/>
    <n v="0"/>
    <n v="0"/>
    <n v="0"/>
    <x v="0"/>
    <x v="0"/>
    <x v="27"/>
    <n v="0"/>
    <x v="0"/>
    <x v="0"/>
  </r>
  <r>
    <x v="0"/>
    <x v="7"/>
    <x v="0"/>
    <n v="0"/>
    <x v="0"/>
    <n v="0"/>
    <n v="0"/>
    <n v="0"/>
    <x v="0"/>
    <x v="0"/>
    <x v="27"/>
    <n v="0"/>
    <x v="0"/>
    <x v="0"/>
  </r>
  <r>
    <x v="0"/>
    <x v="8"/>
    <x v="0"/>
    <n v="0"/>
    <x v="0"/>
    <n v="0"/>
    <n v="0"/>
    <n v="0"/>
    <x v="0"/>
    <x v="0"/>
    <x v="27"/>
    <n v="0"/>
    <x v="0"/>
    <x v="0"/>
  </r>
  <r>
    <x v="1"/>
    <x v="9"/>
    <x v="0"/>
    <n v="0"/>
    <x v="0"/>
    <n v="0"/>
    <n v="0"/>
    <n v="0"/>
    <x v="0"/>
    <x v="0"/>
    <x v="27"/>
    <n v="0"/>
    <x v="1"/>
    <x v="0"/>
  </r>
  <r>
    <x v="1"/>
    <x v="10"/>
    <x v="0"/>
    <n v="0"/>
    <x v="0"/>
    <n v="0"/>
    <n v="0"/>
    <n v="0"/>
    <x v="0"/>
    <x v="0"/>
    <x v="27"/>
    <n v="0"/>
    <x v="1"/>
    <x v="0"/>
  </r>
  <r>
    <x v="1"/>
    <x v="11"/>
    <x v="0"/>
    <n v="0"/>
    <x v="0"/>
    <n v="0"/>
    <n v="0"/>
    <n v="0"/>
    <x v="0"/>
    <x v="0"/>
    <x v="27"/>
    <n v="0"/>
    <x v="1"/>
    <x v="0"/>
  </r>
  <r>
    <x v="1"/>
    <x v="12"/>
    <x v="0"/>
    <n v="0"/>
    <x v="0"/>
    <n v="0"/>
    <n v="0"/>
    <n v="0"/>
    <x v="0"/>
    <x v="0"/>
    <x v="27"/>
    <n v="0"/>
    <x v="1"/>
    <x v="0"/>
  </r>
  <r>
    <x v="1"/>
    <x v="13"/>
    <x v="0"/>
    <n v="0"/>
    <x v="0"/>
    <n v="0"/>
    <n v="0"/>
    <n v="0"/>
    <x v="0"/>
    <x v="0"/>
    <x v="27"/>
    <n v="0"/>
    <x v="1"/>
    <x v="0"/>
  </r>
  <r>
    <x v="2"/>
    <x v="14"/>
    <x v="0"/>
    <n v="0"/>
    <x v="0"/>
    <n v="0"/>
    <n v="0"/>
    <n v="0"/>
    <x v="0"/>
    <x v="0"/>
    <x v="27"/>
    <n v="0"/>
    <x v="2"/>
    <x v="0"/>
  </r>
  <r>
    <x v="2"/>
    <x v="15"/>
    <x v="0"/>
    <n v="0"/>
    <x v="0"/>
    <n v="0"/>
    <n v="0"/>
    <n v="0"/>
    <x v="0"/>
    <x v="0"/>
    <x v="27"/>
    <n v="0"/>
    <x v="3"/>
    <x v="0"/>
  </r>
  <r>
    <x v="2"/>
    <x v="16"/>
    <x v="0"/>
    <n v="0"/>
    <x v="0"/>
    <n v="0"/>
    <n v="0"/>
    <n v="0"/>
    <x v="0"/>
    <x v="0"/>
    <x v="27"/>
    <n v="0"/>
    <x v="4"/>
    <x v="0"/>
  </r>
  <r>
    <x v="2"/>
    <x v="17"/>
    <x v="0"/>
    <n v="0"/>
    <x v="0"/>
    <n v="0"/>
    <n v="0"/>
    <n v="0"/>
    <x v="0"/>
    <x v="0"/>
    <x v="27"/>
    <n v="0"/>
    <x v="3"/>
    <x v="0"/>
  </r>
  <r>
    <x v="2"/>
    <x v="18"/>
    <x v="0"/>
    <n v="0"/>
    <x v="0"/>
    <n v="0"/>
    <n v="0"/>
    <n v="0"/>
    <x v="0"/>
    <x v="0"/>
    <x v="27"/>
    <n v="0"/>
    <x v="3"/>
    <x v="0"/>
  </r>
  <r>
    <x v="2"/>
    <x v="19"/>
    <x v="0"/>
    <n v="0"/>
    <x v="0"/>
    <n v="0"/>
    <n v="0"/>
    <n v="0"/>
    <x v="0"/>
    <x v="0"/>
    <x v="27"/>
    <n v="0"/>
    <x v="2"/>
    <x v="0"/>
  </r>
  <r>
    <x v="2"/>
    <x v="20"/>
    <x v="0"/>
    <n v="0"/>
    <x v="0"/>
    <n v="0"/>
    <n v="0"/>
    <n v="0"/>
    <x v="0"/>
    <x v="0"/>
    <x v="27"/>
    <n v="0"/>
    <x v="5"/>
    <x v="0"/>
  </r>
  <r>
    <x v="2"/>
    <x v="21"/>
    <x v="0"/>
    <n v="0"/>
    <x v="0"/>
    <n v="0"/>
    <n v="0"/>
    <n v="0"/>
    <x v="0"/>
    <x v="0"/>
    <x v="27"/>
    <n v="0"/>
    <x v="2"/>
    <x v="0"/>
  </r>
  <r>
    <x v="2"/>
    <x v="22"/>
    <x v="0"/>
    <n v="0"/>
    <x v="0"/>
    <n v="0"/>
    <n v="0"/>
    <n v="0"/>
    <x v="0"/>
    <x v="0"/>
    <x v="27"/>
    <n v="0"/>
    <x v="4"/>
    <x v="0"/>
  </r>
  <r>
    <x v="2"/>
    <x v="23"/>
    <x v="0"/>
    <n v="0"/>
    <x v="0"/>
    <n v="0"/>
    <n v="0"/>
    <n v="0"/>
    <x v="0"/>
    <x v="0"/>
    <x v="27"/>
    <n v="0"/>
    <x v="3"/>
    <x v="0"/>
  </r>
  <r>
    <x v="2"/>
    <x v="24"/>
    <x v="0"/>
    <n v="0"/>
    <x v="0"/>
    <n v="0"/>
    <n v="0"/>
    <n v="0"/>
    <x v="0"/>
    <x v="0"/>
    <x v="27"/>
    <n v="0"/>
    <x v="5"/>
    <x v="0"/>
  </r>
  <r>
    <x v="2"/>
    <x v="25"/>
    <x v="0"/>
    <n v="0"/>
    <x v="0"/>
    <n v="0"/>
    <n v="0"/>
    <n v="0"/>
    <x v="0"/>
    <x v="0"/>
    <x v="27"/>
    <n v="0"/>
    <x v="2"/>
    <x v="0"/>
  </r>
  <r>
    <x v="2"/>
    <x v="26"/>
    <x v="0"/>
    <n v="0"/>
    <x v="0"/>
    <n v="0"/>
    <n v="0"/>
    <n v="0"/>
    <x v="0"/>
    <x v="0"/>
    <x v="27"/>
    <n v="0"/>
    <x v="3"/>
    <x v="0"/>
  </r>
  <r>
    <x v="2"/>
    <x v="27"/>
    <x v="0"/>
    <n v="0"/>
    <x v="0"/>
    <n v="0"/>
    <n v="0"/>
    <n v="0"/>
    <x v="0"/>
    <x v="0"/>
    <x v="27"/>
    <n v="0"/>
    <x v="5"/>
    <x v="0"/>
  </r>
  <r>
    <x v="2"/>
    <x v="29"/>
    <x v="0"/>
    <n v="0"/>
    <x v="0"/>
    <n v="0"/>
    <n v="0"/>
    <n v="0"/>
    <x v="0"/>
    <x v="0"/>
    <x v="27"/>
    <n v="0"/>
    <x v="5"/>
    <x v="0"/>
  </r>
  <r>
    <x v="2"/>
    <x v="30"/>
    <x v="0"/>
    <n v="0"/>
    <x v="0"/>
    <n v="0"/>
    <n v="0"/>
    <n v="0"/>
    <x v="0"/>
    <x v="0"/>
    <x v="27"/>
    <n v="0"/>
    <x v="5"/>
    <x v="0"/>
  </r>
  <r>
    <x v="2"/>
    <x v="31"/>
    <x v="0"/>
    <n v="0"/>
    <x v="0"/>
    <n v="0"/>
    <n v="0"/>
    <n v="0"/>
    <x v="0"/>
    <x v="0"/>
    <x v="27"/>
    <n v="0"/>
    <x v="2"/>
    <x v="0"/>
  </r>
  <r>
    <x v="2"/>
    <x v="32"/>
    <x v="0"/>
    <n v="0"/>
    <x v="0"/>
    <n v="0"/>
    <n v="0"/>
    <n v="0"/>
    <x v="0"/>
    <x v="0"/>
    <x v="27"/>
    <n v="0"/>
    <x v="3"/>
    <x v="0"/>
  </r>
  <r>
    <x v="2"/>
    <x v="33"/>
    <x v="0"/>
    <n v="0"/>
    <x v="0"/>
    <n v="0"/>
    <n v="0"/>
    <n v="0"/>
    <x v="0"/>
    <x v="0"/>
    <x v="27"/>
    <n v="0"/>
    <x v="3"/>
    <x v="0"/>
  </r>
  <r>
    <x v="2"/>
    <x v="34"/>
    <x v="0"/>
    <n v="0"/>
    <x v="0"/>
    <n v="0"/>
    <n v="0"/>
    <n v="0"/>
    <x v="0"/>
    <x v="0"/>
    <x v="27"/>
    <n v="0"/>
    <x v="4"/>
    <x v="0"/>
  </r>
  <r>
    <x v="2"/>
    <x v="35"/>
    <x v="0"/>
    <n v="0"/>
    <x v="0"/>
    <n v="0"/>
    <n v="0"/>
    <n v="0"/>
    <x v="0"/>
    <x v="0"/>
    <x v="27"/>
    <n v="0"/>
    <x v="2"/>
    <x v="0"/>
  </r>
  <r>
    <x v="2"/>
    <x v="36"/>
    <x v="0"/>
    <n v="0"/>
    <x v="0"/>
    <n v="0"/>
    <n v="0"/>
    <n v="0"/>
    <x v="0"/>
    <x v="0"/>
    <x v="27"/>
    <n v="0"/>
    <x v="4"/>
    <x v="0"/>
  </r>
  <r>
    <x v="2"/>
    <x v="37"/>
    <x v="0"/>
    <n v="0"/>
    <x v="0"/>
    <n v="0"/>
    <n v="0"/>
    <n v="0"/>
    <x v="0"/>
    <x v="0"/>
    <x v="27"/>
    <n v="0"/>
    <x v="4"/>
    <x v="0"/>
  </r>
  <r>
    <x v="2"/>
    <x v="38"/>
    <x v="0"/>
    <n v="0"/>
    <x v="0"/>
    <n v="0"/>
    <n v="0"/>
    <n v="0"/>
    <x v="0"/>
    <x v="0"/>
    <x v="27"/>
    <n v="0"/>
    <x v="2"/>
    <x v="0"/>
  </r>
  <r>
    <x v="2"/>
    <x v="39"/>
    <x v="0"/>
    <n v="0"/>
    <x v="0"/>
    <n v="0"/>
    <n v="0"/>
    <n v="0"/>
    <x v="0"/>
    <x v="0"/>
    <x v="27"/>
    <n v="0"/>
    <x v="2"/>
    <x v="0"/>
  </r>
  <r>
    <x v="2"/>
    <x v="40"/>
    <x v="0"/>
    <n v="0"/>
    <x v="0"/>
    <n v="0"/>
    <n v="0"/>
    <n v="0"/>
    <x v="0"/>
    <x v="0"/>
    <x v="27"/>
    <n v="0"/>
    <x v="3"/>
    <x v="0"/>
  </r>
  <r>
    <x v="2"/>
    <x v="41"/>
    <x v="0"/>
    <n v="0"/>
    <x v="0"/>
    <n v="0"/>
    <n v="0"/>
    <n v="0"/>
    <x v="0"/>
    <x v="0"/>
    <x v="27"/>
    <n v="0"/>
    <x v="5"/>
    <x v="0"/>
  </r>
  <r>
    <x v="2"/>
    <x v="42"/>
    <x v="0"/>
    <n v="0"/>
    <x v="0"/>
    <n v="0"/>
    <n v="0"/>
    <n v="0"/>
    <x v="0"/>
    <x v="0"/>
    <x v="27"/>
    <n v="0"/>
    <x v="2"/>
    <x v="0"/>
  </r>
  <r>
    <x v="2"/>
    <x v="43"/>
    <x v="0"/>
    <n v="0"/>
    <x v="0"/>
    <n v="0"/>
    <n v="0"/>
    <n v="0"/>
    <x v="0"/>
    <x v="0"/>
    <x v="27"/>
    <n v="0"/>
    <x v="3"/>
    <x v="0"/>
  </r>
  <r>
    <x v="2"/>
    <x v="44"/>
    <x v="0"/>
    <n v="0"/>
    <x v="0"/>
    <n v="0"/>
    <n v="0"/>
    <n v="0"/>
    <x v="0"/>
    <x v="0"/>
    <x v="27"/>
    <n v="0"/>
    <x v="3"/>
    <x v="0"/>
  </r>
  <r>
    <x v="2"/>
    <x v="45"/>
    <x v="0"/>
    <n v="0"/>
    <x v="0"/>
    <n v="0"/>
    <n v="0"/>
    <n v="0"/>
    <x v="0"/>
    <x v="0"/>
    <x v="27"/>
    <n v="0"/>
    <x v="4"/>
    <x v="0"/>
  </r>
  <r>
    <x v="2"/>
    <x v="46"/>
    <x v="0"/>
    <n v="0"/>
    <x v="0"/>
    <n v="0"/>
    <n v="0"/>
    <n v="0"/>
    <x v="0"/>
    <x v="0"/>
    <x v="27"/>
    <n v="0"/>
    <x v="4"/>
    <x v="0"/>
  </r>
  <r>
    <x v="2"/>
    <x v="47"/>
    <x v="0"/>
    <n v="0"/>
    <x v="0"/>
    <n v="0"/>
    <n v="0"/>
    <n v="0"/>
    <x v="0"/>
    <x v="0"/>
    <x v="27"/>
    <n v="0"/>
    <x v="5"/>
    <x v="0"/>
  </r>
  <r>
    <x v="2"/>
    <x v="48"/>
    <x v="0"/>
    <n v="0"/>
    <x v="0"/>
    <n v="0"/>
    <n v="0"/>
    <n v="0"/>
    <x v="0"/>
    <x v="0"/>
    <x v="27"/>
    <n v="0"/>
    <x v="6"/>
    <x v="0"/>
  </r>
  <r>
    <x v="2"/>
    <x v="49"/>
    <x v="0"/>
    <n v="0"/>
    <x v="0"/>
    <n v="0"/>
    <n v="0"/>
    <n v="0"/>
    <x v="0"/>
    <x v="0"/>
    <x v="27"/>
    <n v="0"/>
    <x v="3"/>
    <x v="0"/>
  </r>
  <r>
    <x v="2"/>
    <x v="50"/>
    <x v="0"/>
    <n v="0"/>
    <x v="0"/>
    <n v="0"/>
    <n v="0"/>
    <n v="0"/>
    <x v="0"/>
    <x v="0"/>
    <x v="27"/>
    <n v="0"/>
    <x v="4"/>
    <x v="0"/>
  </r>
  <r>
    <x v="0"/>
    <x v="0"/>
    <x v="0"/>
    <n v="0"/>
    <x v="0"/>
    <n v="7"/>
    <n v="0.99"/>
    <n v="7.99"/>
    <x v="565"/>
    <x v="0"/>
    <x v="28"/>
    <n v="0"/>
    <x v="0"/>
    <x v="1"/>
  </r>
  <r>
    <x v="0"/>
    <x v="3"/>
    <x v="181"/>
    <n v="3.57"/>
    <x v="499"/>
    <n v="6.98"/>
    <n v="1"/>
    <n v="7.98"/>
    <x v="566"/>
    <x v="496"/>
    <x v="28"/>
    <n v="15"/>
    <x v="0"/>
    <x v="1"/>
  </r>
  <r>
    <x v="0"/>
    <x v="4"/>
    <x v="329"/>
    <n v="4.47"/>
    <x v="500"/>
    <n v="6.99"/>
    <n v="0.99"/>
    <n v="7.98"/>
    <x v="567"/>
    <x v="497"/>
    <x v="28"/>
    <n v="50.64"/>
    <x v="0"/>
    <x v="1"/>
  </r>
  <r>
    <x v="0"/>
    <x v="5"/>
    <x v="0"/>
    <n v="0"/>
    <x v="0"/>
    <n v="0"/>
    <n v="0"/>
    <n v="0"/>
    <x v="0"/>
    <x v="0"/>
    <x v="28"/>
    <n v="0"/>
    <x v="0"/>
    <x v="0"/>
  </r>
  <r>
    <x v="0"/>
    <x v="6"/>
    <x v="330"/>
    <n v="2.77"/>
    <x v="501"/>
    <n v="6.97"/>
    <n v="1.01"/>
    <n v="7.98"/>
    <x v="568"/>
    <x v="498"/>
    <x v="28"/>
    <n v="31.32"/>
    <x v="0"/>
    <x v="1"/>
  </r>
  <r>
    <x v="0"/>
    <x v="7"/>
    <x v="181"/>
    <n v="3.57"/>
    <x v="499"/>
    <n v="6.99"/>
    <n v="0.98"/>
    <n v="7.97"/>
    <x v="49"/>
    <x v="499"/>
    <x v="28"/>
    <n v="15"/>
    <x v="0"/>
    <x v="1"/>
  </r>
  <r>
    <x v="0"/>
    <x v="8"/>
    <x v="0"/>
    <n v="0"/>
    <x v="0"/>
    <n v="7.03"/>
    <n v="0.99"/>
    <n v="8.02"/>
    <x v="569"/>
    <x v="0"/>
    <x v="28"/>
    <n v="0"/>
    <x v="0"/>
    <x v="1"/>
  </r>
  <r>
    <x v="1"/>
    <x v="10"/>
    <x v="331"/>
    <n v="2.77"/>
    <x v="502"/>
    <n v="6.11"/>
    <n v="1.97"/>
    <n v="8.08"/>
    <x v="570"/>
    <x v="329"/>
    <x v="28"/>
    <n v="30.999999996000003"/>
    <x v="1"/>
    <x v="1"/>
  </r>
  <r>
    <x v="1"/>
    <x v="11"/>
    <x v="4"/>
    <n v="1.03"/>
    <x v="503"/>
    <n v="3.74"/>
    <n v="4.34"/>
    <n v="8.08"/>
    <x v="571"/>
    <x v="500"/>
    <x v="28"/>
    <n v="12"/>
    <x v="1"/>
    <x v="1"/>
  </r>
  <r>
    <x v="1"/>
    <x v="12"/>
    <x v="332"/>
    <n v="3.73"/>
    <x v="504"/>
    <n v="5.71"/>
    <n v="2.36"/>
    <n v="8.07"/>
    <x v="572"/>
    <x v="501"/>
    <x v="28"/>
    <n v="28.079999999999995"/>
    <x v="1"/>
    <x v="1"/>
  </r>
  <r>
    <x v="1"/>
    <x v="13"/>
    <x v="34"/>
    <n v="4.2699999999999996"/>
    <x v="505"/>
    <n v="5.71"/>
    <n v="2.36"/>
    <n v="8.07"/>
    <x v="572"/>
    <x v="502"/>
    <x v="28"/>
    <n v="36.96"/>
    <x v="1"/>
    <x v="1"/>
  </r>
  <r>
    <x v="2"/>
    <x v="14"/>
    <x v="333"/>
    <n v="5.0599999999999996"/>
    <x v="506"/>
    <n v="6.36"/>
    <n v="1.53"/>
    <n v="7.89"/>
    <x v="497"/>
    <x v="503"/>
    <x v="28"/>
    <n v="60.920000003999995"/>
    <x v="2"/>
    <x v="1"/>
  </r>
  <r>
    <x v="2"/>
    <x v="15"/>
    <x v="334"/>
    <n v="2.3199999999999998"/>
    <x v="507"/>
    <n v="7.77"/>
    <n v="0.48"/>
    <n v="8.25"/>
    <x v="573"/>
    <x v="504"/>
    <x v="28"/>
    <n v="8.0000000040000003"/>
    <x v="3"/>
    <x v="1"/>
  </r>
  <r>
    <x v="2"/>
    <x v="17"/>
    <x v="335"/>
    <n v="3.04"/>
    <x v="508"/>
    <n v="7.73"/>
    <n v="2.0299999999999998"/>
    <n v="9.76"/>
    <x v="574"/>
    <x v="505"/>
    <x v="28"/>
    <n v="18.999999996"/>
    <x v="3"/>
    <x v="1"/>
  </r>
  <r>
    <x v="2"/>
    <x v="18"/>
    <x v="0"/>
    <n v="0"/>
    <x v="0"/>
    <n v="5.83"/>
    <n v="2.25"/>
    <n v="8.08"/>
    <x v="575"/>
    <x v="0"/>
    <x v="28"/>
    <n v="0"/>
    <x v="3"/>
    <x v="1"/>
  </r>
  <r>
    <x v="2"/>
    <x v="19"/>
    <x v="0"/>
    <n v="0"/>
    <x v="0"/>
    <n v="0"/>
    <n v="0"/>
    <n v="0"/>
    <x v="0"/>
    <x v="0"/>
    <x v="28"/>
    <n v="0"/>
    <x v="2"/>
    <x v="0"/>
  </r>
  <r>
    <x v="2"/>
    <x v="20"/>
    <x v="336"/>
    <n v="7.65"/>
    <x v="509"/>
    <n v="7.18"/>
    <n v="1.59"/>
    <n v="8.77"/>
    <x v="576"/>
    <x v="506"/>
    <x v="28"/>
    <n v="176.60000004"/>
    <x v="5"/>
    <x v="1"/>
  </r>
  <r>
    <x v="2"/>
    <x v="21"/>
    <x v="337"/>
    <n v="6.84"/>
    <x v="510"/>
    <n v="7.01"/>
    <n v="0.99"/>
    <n v="8"/>
    <x v="577"/>
    <x v="507"/>
    <x v="28"/>
    <n v="121.92"/>
    <x v="2"/>
    <x v="1"/>
  </r>
  <r>
    <x v="2"/>
    <x v="22"/>
    <x v="186"/>
    <n v="4.4400000000000004"/>
    <x v="511"/>
    <n v="9.5500000000000007"/>
    <n v="1.49"/>
    <n v="11.04"/>
    <x v="578"/>
    <x v="508"/>
    <x v="28"/>
    <n v="45"/>
    <x v="4"/>
    <x v="1"/>
  </r>
  <r>
    <x v="2"/>
    <x v="23"/>
    <x v="334"/>
    <n v="0.4"/>
    <x v="512"/>
    <n v="0.2"/>
    <n v="9.09"/>
    <n v="9.2899999999999991"/>
    <x v="579"/>
    <x v="509"/>
    <x v="28"/>
    <n v="8.0000000040000003"/>
    <x v="3"/>
    <x v="1"/>
  </r>
  <r>
    <x v="2"/>
    <x v="25"/>
    <x v="338"/>
    <n v="6.11"/>
    <x v="513"/>
    <n v="5.96"/>
    <n v="1.96"/>
    <n v="7.92"/>
    <x v="580"/>
    <x v="510"/>
    <x v="28"/>
    <n v="102"/>
    <x v="2"/>
    <x v="1"/>
  </r>
  <r>
    <x v="2"/>
    <x v="26"/>
    <x v="328"/>
    <n v="6.81"/>
    <x v="514"/>
    <n v="6.76"/>
    <n v="1.28"/>
    <n v="8.0399999999999991"/>
    <x v="581"/>
    <x v="511"/>
    <x v="28"/>
    <n v="57.999999996"/>
    <x v="3"/>
    <x v="1"/>
  </r>
  <r>
    <x v="2"/>
    <x v="27"/>
    <x v="339"/>
    <n v="5.7"/>
    <x v="515"/>
    <n v="6.62"/>
    <n v="1.38"/>
    <n v="8"/>
    <x v="582"/>
    <x v="512"/>
    <x v="28"/>
    <n v="96.72"/>
    <x v="5"/>
    <x v="1"/>
  </r>
  <r>
    <x v="2"/>
    <x v="29"/>
    <x v="340"/>
    <n v="7.28"/>
    <x v="516"/>
    <n v="8.59"/>
    <n v="0.61"/>
    <n v="9.1999999999999993"/>
    <x v="178"/>
    <x v="254"/>
    <x v="28"/>
    <n v="71.199999996000003"/>
    <x v="5"/>
    <x v="1"/>
  </r>
  <r>
    <x v="2"/>
    <x v="30"/>
    <x v="0"/>
    <n v="0"/>
    <x v="0"/>
    <n v="0"/>
    <n v="0"/>
    <n v="0"/>
    <x v="0"/>
    <x v="0"/>
    <x v="28"/>
    <n v="0"/>
    <x v="5"/>
    <x v="0"/>
  </r>
  <r>
    <x v="2"/>
    <x v="31"/>
    <x v="281"/>
    <n v="4.18"/>
    <x v="517"/>
    <n v="5.56"/>
    <n v="2.36"/>
    <n v="7.92"/>
    <x v="583"/>
    <x v="513"/>
    <x v="28"/>
    <n v="77.000000004"/>
    <x v="2"/>
    <x v="1"/>
  </r>
  <r>
    <x v="2"/>
    <x v="32"/>
    <x v="4"/>
    <n v="1.43"/>
    <x v="518"/>
    <n v="8.34"/>
    <n v="1.44"/>
    <n v="9.7799999999999994"/>
    <x v="584"/>
    <x v="514"/>
    <x v="28"/>
    <n v="12"/>
    <x v="3"/>
    <x v="1"/>
  </r>
  <r>
    <x v="2"/>
    <x v="33"/>
    <x v="0"/>
    <n v="0"/>
    <x v="0"/>
    <n v="2.2799999999999998"/>
    <n v="5.89"/>
    <n v="8.17"/>
    <x v="585"/>
    <x v="0"/>
    <x v="28"/>
    <n v="0"/>
    <x v="3"/>
    <x v="1"/>
  </r>
  <r>
    <x v="2"/>
    <x v="34"/>
    <x v="0"/>
    <n v="0"/>
    <x v="0"/>
    <n v="9.33"/>
    <n v="1.1200000000000001"/>
    <n v="10.45"/>
    <x v="586"/>
    <x v="0"/>
    <x v="28"/>
    <n v="0"/>
    <x v="4"/>
    <x v="1"/>
  </r>
  <r>
    <x v="2"/>
    <x v="35"/>
    <x v="341"/>
    <n v="2.44"/>
    <x v="519"/>
    <n v="6.97"/>
    <n v="1.1200000000000001"/>
    <n v="8.09"/>
    <x v="587"/>
    <x v="515"/>
    <x v="28"/>
    <n v="17.720000003999999"/>
    <x v="2"/>
    <x v="1"/>
  </r>
  <r>
    <x v="2"/>
    <x v="36"/>
    <x v="0"/>
    <n v="0"/>
    <x v="0"/>
    <n v="8.5500000000000007"/>
    <n v="1.18"/>
    <n v="9.73"/>
    <x v="588"/>
    <x v="0"/>
    <x v="28"/>
    <n v="0"/>
    <x v="4"/>
    <x v="1"/>
  </r>
  <r>
    <x v="2"/>
    <x v="37"/>
    <x v="342"/>
    <n v="3.08"/>
    <x v="520"/>
    <n v="4.2699999999999996"/>
    <n v="1.58"/>
    <n v="5.85"/>
    <x v="589"/>
    <x v="516"/>
    <x v="28"/>
    <n v="50.000000004"/>
    <x v="4"/>
    <x v="1"/>
  </r>
  <r>
    <x v="2"/>
    <x v="38"/>
    <x v="343"/>
    <n v="5.4"/>
    <x v="521"/>
    <n v="8.5399999999999991"/>
    <n v="1.35"/>
    <n v="9.89"/>
    <x v="590"/>
    <x v="517"/>
    <x v="28"/>
    <n v="156.99999996000003"/>
    <x v="2"/>
    <x v="1"/>
  </r>
  <r>
    <x v="2"/>
    <x v="39"/>
    <x v="327"/>
    <n v="4.45"/>
    <x v="522"/>
    <n v="6.85"/>
    <n v="2.94"/>
    <n v="9.7899999999999991"/>
    <x v="591"/>
    <x v="518"/>
    <x v="28"/>
    <n v="72.999999996"/>
    <x v="2"/>
    <x v="1"/>
  </r>
  <r>
    <x v="2"/>
    <x v="40"/>
    <x v="0"/>
    <n v="0"/>
    <x v="0"/>
    <n v="2.2799999999999998"/>
    <n v="7.47"/>
    <n v="9.75"/>
    <x v="592"/>
    <x v="0"/>
    <x v="28"/>
    <n v="0"/>
    <x v="3"/>
    <x v="1"/>
  </r>
  <r>
    <x v="2"/>
    <x v="41"/>
    <x v="344"/>
    <n v="4.76"/>
    <x v="523"/>
    <n v="7.25"/>
    <n v="0.68"/>
    <n v="7.93"/>
    <x v="593"/>
    <x v="519"/>
    <x v="28"/>
    <n v="40.559999999999995"/>
    <x v="5"/>
    <x v="1"/>
  </r>
  <r>
    <x v="2"/>
    <x v="42"/>
    <x v="186"/>
    <n v="3.11"/>
    <x v="524"/>
    <n v="7.26"/>
    <n v="0.74"/>
    <n v="8"/>
    <x v="436"/>
    <x v="520"/>
    <x v="28"/>
    <n v="45"/>
    <x v="2"/>
    <x v="1"/>
  </r>
  <r>
    <x v="2"/>
    <x v="44"/>
    <x v="345"/>
    <n v="1.57"/>
    <x v="525"/>
    <n v="4.4000000000000004"/>
    <n v="3.91"/>
    <n v="8.31"/>
    <x v="594"/>
    <x v="521"/>
    <x v="28"/>
    <n v="11.000000004"/>
    <x v="3"/>
    <x v="1"/>
  </r>
  <r>
    <x v="2"/>
    <x v="45"/>
    <x v="0"/>
    <n v="0"/>
    <x v="0"/>
    <n v="0"/>
    <n v="0"/>
    <n v="0"/>
    <x v="0"/>
    <x v="0"/>
    <x v="28"/>
    <n v="0"/>
    <x v="4"/>
    <x v="0"/>
  </r>
  <r>
    <x v="2"/>
    <x v="47"/>
    <x v="185"/>
    <n v="4.34"/>
    <x v="526"/>
    <n v="7.27"/>
    <n v="0.66"/>
    <n v="7.93"/>
    <x v="595"/>
    <x v="522"/>
    <x v="28"/>
    <n v="36.36"/>
    <x v="5"/>
    <x v="1"/>
  </r>
  <r>
    <x v="2"/>
    <x v="48"/>
    <x v="0"/>
    <n v="0"/>
    <x v="0"/>
    <n v="0"/>
    <n v="0"/>
    <n v="0"/>
    <x v="0"/>
    <x v="0"/>
    <x v="28"/>
    <n v="0"/>
    <x v="6"/>
    <x v="0"/>
  </r>
  <r>
    <x v="2"/>
    <x v="49"/>
    <x v="301"/>
    <n v="4.45"/>
    <x v="527"/>
    <n v="7.71"/>
    <n v="0.36"/>
    <n v="8.07"/>
    <x v="596"/>
    <x v="523"/>
    <x v="28"/>
    <n v="29.000000003999997"/>
    <x v="3"/>
    <x v="1"/>
  </r>
  <r>
    <x v="2"/>
    <x v="50"/>
    <x v="346"/>
    <n v="5.28"/>
    <x v="528"/>
    <n v="7.37"/>
    <n v="0.57999999999999996"/>
    <n v="7.95"/>
    <x v="597"/>
    <x v="524"/>
    <x v="28"/>
    <n v="49.280000004000001"/>
    <x v="4"/>
    <x v="1"/>
  </r>
  <r>
    <x v="0"/>
    <x v="1"/>
    <x v="347"/>
    <n v="7.29"/>
    <x v="529"/>
    <n v="10.84"/>
    <n v="0.24"/>
    <n v="11.08"/>
    <x v="598"/>
    <x v="525"/>
    <x v="29"/>
    <n v="25.56"/>
    <x v="0"/>
    <x v="1"/>
  </r>
  <r>
    <x v="0"/>
    <x v="2"/>
    <x v="347"/>
    <n v="7.29"/>
    <x v="529"/>
    <n v="10.84"/>
    <n v="0.26"/>
    <n v="11.1"/>
    <x v="599"/>
    <x v="526"/>
    <x v="29"/>
    <n v="25.56"/>
    <x v="0"/>
    <x v="1"/>
  </r>
  <r>
    <x v="0"/>
    <x v="3"/>
    <x v="0"/>
    <n v="0"/>
    <x v="0"/>
    <n v="6.62"/>
    <n v="1.51"/>
    <n v="8.1300000000000008"/>
    <x v="600"/>
    <x v="0"/>
    <x v="29"/>
    <n v="0"/>
    <x v="0"/>
    <x v="1"/>
  </r>
  <r>
    <x v="0"/>
    <x v="5"/>
    <x v="0"/>
    <n v="0"/>
    <x v="0"/>
    <n v="10.84"/>
    <n v="0.24"/>
    <n v="11.08"/>
    <x v="598"/>
    <x v="0"/>
    <x v="29"/>
    <n v="0"/>
    <x v="0"/>
    <x v="1"/>
  </r>
  <r>
    <x v="0"/>
    <x v="7"/>
    <x v="0"/>
    <n v="0"/>
    <x v="0"/>
    <n v="6.62"/>
    <n v="1.38"/>
    <n v="8"/>
    <x v="582"/>
    <x v="0"/>
    <x v="29"/>
    <n v="0"/>
    <x v="0"/>
    <x v="1"/>
  </r>
  <r>
    <x v="1"/>
    <x v="9"/>
    <x v="348"/>
    <n v="4.0999999999999996"/>
    <x v="530"/>
    <n v="6.41"/>
    <n v="1.68"/>
    <n v="8.09"/>
    <x v="601"/>
    <x v="527"/>
    <x v="29"/>
    <n v="110.000000004"/>
    <x v="1"/>
    <x v="1"/>
  </r>
  <r>
    <x v="1"/>
    <x v="12"/>
    <x v="349"/>
    <n v="3.24"/>
    <x v="531"/>
    <n v="5.63"/>
    <n v="2.48"/>
    <n v="8.11"/>
    <x v="602"/>
    <x v="528"/>
    <x v="29"/>
    <n v="26.76"/>
    <x v="1"/>
    <x v="1"/>
  </r>
  <r>
    <x v="1"/>
    <x v="13"/>
    <x v="65"/>
    <n v="2.2400000000000002"/>
    <x v="532"/>
    <n v="5.61"/>
    <n v="2.5"/>
    <n v="8.11"/>
    <x v="603"/>
    <x v="529"/>
    <x v="29"/>
    <n v="15.6"/>
    <x v="1"/>
    <x v="1"/>
  </r>
  <r>
    <x v="2"/>
    <x v="14"/>
    <x v="350"/>
    <n v="4.91"/>
    <x v="533"/>
    <n v="0"/>
    <n v="7.63"/>
    <n v="7.63"/>
    <x v="0"/>
    <x v="530"/>
    <x v="29"/>
    <n v="87.11999999999999"/>
    <x v="2"/>
    <x v="1"/>
  </r>
  <r>
    <x v="2"/>
    <x v="16"/>
    <x v="351"/>
    <n v="7.94"/>
    <x v="534"/>
    <n v="10.4"/>
    <n v="0.52"/>
    <n v="10.92"/>
    <x v="604"/>
    <x v="531"/>
    <x v="29"/>
    <n v="34.719999995999999"/>
    <x v="4"/>
    <x v="1"/>
  </r>
  <r>
    <x v="2"/>
    <x v="17"/>
    <x v="352"/>
    <n v="5.43"/>
    <x v="535"/>
    <n v="2.88"/>
    <n v="8.58"/>
    <n v="11.46"/>
    <x v="605"/>
    <x v="532"/>
    <x v="29"/>
    <n v="11.52"/>
    <x v="3"/>
    <x v="1"/>
  </r>
  <r>
    <x v="2"/>
    <x v="18"/>
    <x v="45"/>
    <n v="0.83"/>
    <x v="536"/>
    <n v="8.41"/>
    <n v="0.65"/>
    <n v="9.06"/>
    <x v="606"/>
    <x v="533"/>
    <x v="29"/>
    <n v="6"/>
    <x v="3"/>
    <x v="1"/>
  </r>
  <r>
    <x v="2"/>
    <x v="19"/>
    <x v="0"/>
    <n v="0"/>
    <x v="0"/>
    <n v="0"/>
    <n v="0"/>
    <n v="0"/>
    <x v="0"/>
    <x v="0"/>
    <x v="29"/>
    <n v="0"/>
    <x v="2"/>
    <x v="0"/>
  </r>
  <r>
    <x v="2"/>
    <x v="20"/>
    <x v="353"/>
    <n v="3.49"/>
    <x v="537"/>
    <n v="8.32"/>
    <n v="2"/>
    <n v="10.32"/>
    <x v="607"/>
    <x v="534"/>
    <x v="29"/>
    <n v="23.840000003999997"/>
    <x v="5"/>
    <x v="1"/>
  </r>
  <r>
    <x v="2"/>
    <x v="21"/>
    <x v="354"/>
    <n v="6.04"/>
    <x v="538"/>
    <n v="10.16"/>
    <n v="1.02"/>
    <n v="11.18"/>
    <x v="608"/>
    <x v="535"/>
    <x v="29"/>
    <n v="118.92"/>
    <x v="2"/>
    <x v="1"/>
  </r>
  <r>
    <x v="2"/>
    <x v="22"/>
    <x v="142"/>
    <n v="8.91"/>
    <x v="539"/>
    <n v="9.56"/>
    <n v="0.32"/>
    <n v="9.8800000000000008"/>
    <x v="609"/>
    <x v="536"/>
    <x v="29"/>
    <n v="72"/>
    <x v="4"/>
    <x v="1"/>
  </r>
  <r>
    <x v="2"/>
    <x v="24"/>
    <x v="355"/>
    <n v="4.0999999999999996"/>
    <x v="540"/>
    <n v="9.48"/>
    <n v="0.57999999999999996"/>
    <n v="10.06"/>
    <x v="610"/>
    <x v="537"/>
    <x v="29"/>
    <n v="58.640000004000001"/>
    <x v="5"/>
    <x v="1"/>
  </r>
  <r>
    <x v="2"/>
    <x v="25"/>
    <x v="356"/>
    <n v="8.34"/>
    <x v="541"/>
    <n v="9.64"/>
    <n v="0.91"/>
    <n v="10.55"/>
    <x v="611"/>
    <x v="538"/>
    <x v="29"/>
    <n v="168.27999996"/>
    <x v="2"/>
    <x v="1"/>
  </r>
  <r>
    <x v="2"/>
    <x v="27"/>
    <x v="168"/>
    <n v="4.7300000000000004"/>
    <x v="542"/>
    <n v="9.82"/>
    <n v="0.28999999999999998"/>
    <n v="10.11"/>
    <x v="612"/>
    <x v="539"/>
    <x v="29"/>
    <n v="79.92"/>
    <x v="5"/>
    <x v="1"/>
  </r>
  <r>
    <x v="2"/>
    <x v="30"/>
    <x v="0"/>
    <n v="0"/>
    <x v="0"/>
    <n v="0"/>
    <n v="0"/>
    <n v="0"/>
    <x v="0"/>
    <x v="0"/>
    <x v="29"/>
    <n v="0"/>
    <x v="5"/>
    <x v="0"/>
  </r>
  <r>
    <x v="2"/>
    <x v="31"/>
    <x v="357"/>
    <n v="7.48"/>
    <x v="543"/>
    <n v="10.58"/>
    <n v="0.69"/>
    <n v="11.27"/>
    <x v="613"/>
    <x v="278"/>
    <x v="29"/>
    <n v="137.00000003999997"/>
    <x v="2"/>
    <x v="1"/>
  </r>
  <r>
    <x v="2"/>
    <x v="32"/>
    <x v="29"/>
    <n v="4.8899999999999997"/>
    <x v="544"/>
    <n v="9.7200000000000006"/>
    <n v="1.73"/>
    <n v="11.45"/>
    <x v="614"/>
    <x v="540"/>
    <x v="29"/>
    <n v="24"/>
    <x v="3"/>
    <x v="1"/>
  </r>
  <r>
    <x v="2"/>
    <x v="33"/>
    <x v="0"/>
    <n v="0"/>
    <x v="0"/>
    <n v="7.52"/>
    <n v="0.86"/>
    <n v="8.3800000000000008"/>
    <x v="615"/>
    <x v="0"/>
    <x v="29"/>
    <n v="0"/>
    <x v="3"/>
    <x v="1"/>
  </r>
  <r>
    <x v="2"/>
    <x v="34"/>
    <x v="54"/>
    <n v="6.91"/>
    <x v="545"/>
    <n v="9.17"/>
    <n v="1.72"/>
    <n v="10.89"/>
    <x v="616"/>
    <x v="541"/>
    <x v="29"/>
    <n v="66"/>
    <x v="4"/>
    <x v="1"/>
  </r>
  <r>
    <x v="2"/>
    <x v="38"/>
    <x v="358"/>
    <n v="9.7200000000000006"/>
    <x v="546"/>
    <n v="9.33"/>
    <n v="0.95"/>
    <n v="10.28"/>
    <x v="617"/>
    <x v="542"/>
    <x v="29"/>
    <n v="240"/>
    <x v="2"/>
    <x v="1"/>
  </r>
  <r>
    <x v="2"/>
    <x v="39"/>
    <x v="348"/>
    <n v="6.39"/>
    <x v="547"/>
    <n v="8.7899999999999991"/>
    <n v="0.03"/>
    <n v="8.82"/>
    <x v="618"/>
    <x v="543"/>
    <x v="29"/>
    <n v="110.000000004"/>
    <x v="2"/>
    <x v="1"/>
  </r>
  <r>
    <x v="2"/>
    <x v="40"/>
    <x v="0"/>
    <n v="0"/>
    <x v="0"/>
    <n v="8.01"/>
    <n v="0.3"/>
    <n v="8.31"/>
    <x v="619"/>
    <x v="0"/>
    <x v="29"/>
    <n v="0"/>
    <x v="3"/>
    <x v="1"/>
  </r>
  <r>
    <x v="2"/>
    <x v="41"/>
    <x v="135"/>
    <n v="0.4"/>
    <x v="548"/>
    <n v="7.26"/>
    <n v="0.88"/>
    <n v="8.14"/>
    <x v="620"/>
    <x v="544"/>
    <x v="29"/>
    <n v="3.96"/>
    <x v="5"/>
    <x v="1"/>
  </r>
  <r>
    <x v="2"/>
    <x v="42"/>
    <x v="359"/>
    <n v="9.5500000000000007"/>
    <x v="549"/>
    <n v="10.91"/>
    <n v="0.34"/>
    <n v="11.25"/>
    <x v="621"/>
    <x v="545"/>
    <x v="29"/>
    <n v="171.99999996000003"/>
    <x v="2"/>
    <x v="1"/>
  </r>
  <r>
    <x v="2"/>
    <x v="44"/>
    <x v="0"/>
    <n v="0"/>
    <x v="0"/>
    <n v="4.5"/>
    <n v="4.07"/>
    <n v="8.57"/>
    <x v="622"/>
    <x v="0"/>
    <x v="29"/>
    <n v="0"/>
    <x v="3"/>
    <x v="1"/>
  </r>
  <r>
    <x v="2"/>
    <x v="45"/>
    <x v="279"/>
    <n v="1.83"/>
    <x v="550"/>
    <n v="6.43"/>
    <n v="1.71"/>
    <n v="8.14"/>
    <x v="623"/>
    <x v="546"/>
    <x v="29"/>
    <n v="21"/>
    <x v="4"/>
    <x v="1"/>
  </r>
  <r>
    <x v="2"/>
    <x v="46"/>
    <x v="360"/>
    <n v="3.27"/>
    <x v="551"/>
    <n v="8.0500000000000007"/>
    <n v="0.56999999999999995"/>
    <n v="8.6199999999999992"/>
    <x v="624"/>
    <x v="547"/>
    <x v="29"/>
    <n v="13.320000000000002"/>
    <x v="4"/>
    <x v="1"/>
  </r>
  <r>
    <x v="2"/>
    <x v="47"/>
    <x v="361"/>
    <n v="4.12"/>
    <x v="552"/>
    <n v="7.8"/>
    <n v="0.26"/>
    <n v="8.06"/>
    <x v="625"/>
    <x v="548"/>
    <x v="29"/>
    <n v="73.959999995999993"/>
    <x v="5"/>
    <x v="1"/>
  </r>
  <r>
    <x v="2"/>
    <x v="48"/>
    <x v="0"/>
    <n v="0"/>
    <x v="0"/>
    <n v="0"/>
    <n v="0"/>
    <n v="0"/>
    <x v="0"/>
    <x v="0"/>
    <x v="29"/>
    <n v="0"/>
    <x v="6"/>
    <x v="0"/>
  </r>
  <r>
    <x v="2"/>
    <x v="49"/>
    <x v="24"/>
    <n v="3.58"/>
    <x v="553"/>
    <n v="7.66"/>
    <n v="0.41"/>
    <n v="8.07"/>
    <x v="128"/>
    <x v="549"/>
    <x v="29"/>
    <n v="30"/>
    <x v="3"/>
    <x v="1"/>
  </r>
  <r>
    <x v="2"/>
    <x v="50"/>
    <x v="0"/>
    <n v="0"/>
    <x v="0"/>
    <n v="9.5299999999999994"/>
    <n v="0.35"/>
    <n v="9.8800000000000008"/>
    <x v="105"/>
    <x v="0"/>
    <x v="29"/>
    <n v="0"/>
    <x v="4"/>
    <x v="1"/>
  </r>
  <r>
    <x v="0"/>
    <x v="0"/>
    <x v="362"/>
    <n v="9.4700000000000006"/>
    <x v="554"/>
    <n v="9.19"/>
    <n v="0.83"/>
    <n v="10.02"/>
    <x v="626"/>
    <x v="550"/>
    <x v="30"/>
    <n v="70.2"/>
    <x v="0"/>
    <x v="1"/>
  </r>
  <r>
    <x v="0"/>
    <x v="3"/>
    <x v="0"/>
    <n v="0"/>
    <x v="0"/>
    <n v="5.58"/>
    <n v="0.4"/>
    <n v="5.98"/>
    <x v="349"/>
    <x v="0"/>
    <x v="30"/>
    <n v="0"/>
    <x v="0"/>
    <x v="1"/>
  </r>
  <r>
    <x v="0"/>
    <x v="7"/>
    <x v="0"/>
    <n v="0"/>
    <x v="0"/>
    <n v="9.19"/>
    <n v="0.84"/>
    <n v="10.029999999999999"/>
    <x v="627"/>
    <x v="0"/>
    <x v="30"/>
    <n v="0"/>
    <x v="0"/>
    <x v="1"/>
  </r>
  <r>
    <x v="1"/>
    <x v="10"/>
    <x v="363"/>
    <n v="7.76"/>
    <x v="555"/>
    <n v="8.76"/>
    <n v="2.33"/>
    <n v="11.09"/>
    <x v="623"/>
    <x v="551"/>
    <x v="30"/>
    <n v="146.00000003999997"/>
    <x v="1"/>
    <x v="1"/>
  </r>
  <r>
    <x v="2"/>
    <x v="14"/>
    <x v="294"/>
    <n v="4.8899999999999997"/>
    <x v="556"/>
    <n v="6.67"/>
    <n v="3.04"/>
    <n v="9.7100000000000009"/>
    <x v="628"/>
    <x v="552"/>
    <x v="30"/>
    <n v="63"/>
    <x v="2"/>
    <x v="1"/>
  </r>
  <r>
    <x v="2"/>
    <x v="17"/>
    <x v="364"/>
    <n v="1.5"/>
    <x v="557"/>
    <n v="1.31"/>
    <n v="4.3600000000000003"/>
    <n v="5.67"/>
    <x v="629"/>
    <x v="553"/>
    <x v="30"/>
    <n v="9.9999999959999997"/>
    <x v="3"/>
    <x v="1"/>
  </r>
  <r>
    <x v="2"/>
    <x v="18"/>
    <x v="365"/>
    <n v="2.39"/>
    <x v="558"/>
    <n v="7.7"/>
    <n v="0.94"/>
    <n v="8.64"/>
    <x v="630"/>
    <x v="554"/>
    <x v="30"/>
    <n v="47.000000004"/>
    <x v="3"/>
    <x v="1"/>
  </r>
  <r>
    <x v="2"/>
    <x v="19"/>
    <x v="0"/>
    <n v="0"/>
    <x v="0"/>
    <n v="0"/>
    <n v="0"/>
    <n v="0"/>
    <x v="0"/>
    <x v="0"/>
    <x v="30"/>
    <n v="0"/>
    <x v="2"/>
    <x v="0"/>
  </r>
  <r>
    <x v="2"/>
    <x v="20"/>
    <x v="366"/>
    <n v="5.49"/>
    <x v="559"/>
    <n v="9.32"/>
    <n v="2.06"/>
    <n v="11.38"/>
    <x v="631"/>
    <x v="555"/>
    <x v="30"/>
    <n v="124.43999999999998"/>
    <x v="5"/>
    <x v="1"/>
  </r>
  <r>
    <x v="2"/>
    <x v="21"/>
    <x v="367"/>
    <n v="8.41"/>
    <x v="560"/>
    <n v="8.25"/>
    <n v="1.24"/>
    <n v="9.49"/>
    <x v="238"/>
    <x v="556"/>
    <x v="30"/>
    <n v="170.00000003999997"/>
    <x v="2"/>
    <x v="1"/>
  </r>
  <r>
    <x v="2"/>
    <x v="22"/>
    <x v="368"/>
    <n v="2.2000000000000002"/>
    <x v="561"/>
    <n v="9.17"/>
    <n v="0.82"/>
    <n v="9.99"/>
    <x v="632"/>
    <x v="275"/>
    <x v="30"/>
    <n v="14.000000004"/>
    <x v="4"/>
    <x v="1"/>
  </r>
  <r>
    <x v="2"/>
    <x v="23"/>
    <x v="369"/>
    <n v="6.88"/>
    <x v="562"/>
    <n v="3.41"/>
    <n v="5.73"/>
    <n v="9.14"/>
    <x v="633"/>
    <x v="557"/>
    <x v="30"/>
    <n v="9.6"/>
    <x v="3"/>
    <x v="1"/>
  </r>
  <r>
    <x v="2"/>
    <x v="24"/>
    <x v="370"/>
    <n v="6.9"/>
    <x v="563"/>
    <n v="8.67"/>
    <n v="1.01"/>
    <n v="9.68"/>
    <x v="634"/>
    <x v="558"/>
    <x v="30"/>
    <n v="92.679999996000006"/>
    <x v="5"/>
    <x v="1"/>
  </r>
  <r>
    <x v="2"/>
    <x v="26"/>
    <x v="335"/>
    <n v="1.07"/>
    <x v="564"/>
    <n v="7.47"/>
    <n v="0.61"/>
    <n v="8.08"/>
    <x v="635"/>
    <x v="559"/>
    <x v="30"/>
    <n v="18.999999996"/>
    <x v="3"/>
    <x v="1"/>
  </r>
  <r>
    <x v="2"/>
    <x v="29"/>
    <x v="371"/>
    <n v="7.99"/>
    <x v="565"/>
    <n v="6.83"/>
    <n v="2.4"/>
    <n v="9.23"/>
    <x v="636"/>
    <x v="560"/>
    <x v="30"/>
    <n v="149.84000004000001"/>
    <x v="5"/>
    <x v="1"/>
  </r>
  <r>
    <x v="2"/>
    <x v="30"/>
    <x v="0"/>
    <n v="0"/>
    <x v="0"/>
    <n v="0"/>
    <n v="0"/>
    <n v="0"/>
    <x v="0"/>
    <x v="0"/>
    <x v="30"/>
    <n v="0"/>
    <x v="5"/>
    <x v="0"/>
  </r>
  <r>
    <x v="2"/>
    <x v="32"/>
    <x v="307"/>
    <n v="4.97"/>
    <x v="566"/>
    <n v="5.23"/>
    <n v="3.94"/>
    <n v="9.17"/>
    <x v="637"/>
    <x v="561"/>
    <x v="30"/>
    <n v="3.9999999960000006"/>
    <x v="3"/>
    <x v="1"/>
  </r>
  <r>
    <x v="2"/>
    <x v="37"/>
    <x v="372"/>
    <n v="7.94"/>
    <x v="567"/>
    <n v="7.2"/>
    <n v="0.78"/>
    <n v="7.98"/>
    <x v="638"/>
    <x v="562"/>
    <x v="30"/>
    <n v="35.000000004"/>
    <x v="4"/>
    <x v="1"/>
  </r>
  <r>
    <x v="2"/>
    <x v="41"/>
    <x v="373"/>
    <n v="7.08"/>
    <x v="568"/>
    <n v="7.69"/>
    <n v="0.78"/>
    <n v="8.4700000000000006"/>
    <x v="639"/>
    <x v="563"/>
    <x v="30"/>
    <n v="115.68000000000002"/>
    <x v="5"/>
    <x v="1"/>
  </r>
  <r>
    <x v="2"/>
    <x v="43"/>
    <x v="374"/>
    <n v="6.19"/>
    <x v="569"/>
    <n v="6.6"/>
    <n v="1.51"/>
    <n v="8.11"/>
    <x v="640"/>
    <x v="564"/>
    <x v="30"/>
    <n v="26.000000003999997"/>
    <x v="3"/>
    <x v="1"/>
  </r>
  <r>
    <x v="2"/>
    <x v="44"/>
    <x v="0"/>
    <n v="0"/>
    <x v="0"/>
    <n v="5.75"/>
    <n v="2.14"/>
    <n v="7.89"/>
    <x v="641"/>
    <x v="0"/>
    <x v="30"/>
    <n v="0"/>
    <x v="3"/>
    <x v="1"/>
  </r>
  <r>
    <x v="2"/>
    <x v="48"/>
    <x v="0"/>
    <n v="0"/>
    <x v="0"/>
    <n v="0"/>
    <n v="0"/>
    <n v="0"/>
    <x v="0"/>
    <x v="0"/>
    <x v="30"/>
    <n v="0"/>
    <x v="6"/>
    <x v="0"/>
  </r>
  <r>
    <x v="2"/>
    <x v="49"/>
    <x v="0"/>
    <n v="0"/>
    <x v="0"/>
    <n v="6.92"/>
    <n v="1.18"/>
    <n v="8.1"/>
    <x v="642"/>
    <x v="0"/>
    <x v="30"/>
    <n v="0"/>
    <x v="3"/>
    <x v="1"/>
  </r>
  <r>
    <x v="2"/>
    <x v="50"/>
    <x v="375"/>
    <n v="3"/>
    <x v="483"/>
    <n v="9.19"/>
    <n v="0.28000000000000003"/>
    <n v="9.4700000000000006"/>
    <x v="643"/>
    <x v="565"/>
    <x v="30"/>
    <n v="39.999999996"/>
    <x v="4"/>
    <x v="1"/>
  </r>
  <r>
    <x v="0"/>
    <x v="0"/>
    <x v="0"/>
    <n v="0"/>
    <x v="0"/>
    <n v="8.9"/>
    <n v="1.1000000000000001"/>
    <n v="10"/>
    <x v="644"/>
    <x v="0"/>
    <x v="31"/>
    <n v="0"/>
    <x v="0"/>
    <x v="1"/>
  </r>
  <r>
    <x v="0"/>
    <x v="1"/>
    <x v="0"/>
    <n v="0"/>
    <x v="0"/>
    <n v="10.75"/>
    <n v="0.2"/>
    <n v="10.95"/>
    <x v="645"/>
    <x v="0"/>
    <x v="31"/>
    <n v="0"/>
    <x v="0"/>
    <x v="1"/>
  </r>
  <r>
    <x v="0"/>
    <x v="2"/>
    <x v="0"/>
    <n v="0"/>
    <x v="0"/>
    <n v="10.77"/>
    <n v="0.2"/>
    <n v="10.97"/>
    <x v="646"/>
    <x v="0"/>
    <x v="31"/>
    <n v="0"/>
    <x v="0"/>
    <x v="1"/>
  </r>
  <r>
    <x v="0"/>
    <x v="3"/>
    <x v="270"/>
    <n v="6.86"/>
    <x v="570"/>
    <n v="8.8800000000000008"/>
    <n v="1.1000000000000001"/>
    <n v="9.98"/>
    <x v="449"/>
    <x v="566"/>
    <x v="31"/>
    <n v="32.04"/>
    <x v="0"/>
    <x v="1"/>
  </r>
  <r>
    <x v="0"/>
    <x v="5"/>
    <x v="0"/>
    <n v="0"/>
    <x v="0"/>
    <n v="9.48"/>
    <n v="0.2"/>
    <n v="9.68"/>
    <x v="647"/>
    <x v="0"/>
    <x v="31"/>
    <n v="0"/>
    <x v="0"/>
    <x v="1"/>
  </r>
  <r>
    <x v="0"/>
    <x v="7"/>
    <x v="270"/>
    <n v="6.86"/>
    <x v="570"/>
    <n v="6.98"/>
    <n v="1"/>
    <n v="7.98"/>
    <x v="566"/>
    <x v="567"/>
    <x v="31"/>
    <n v="32.04"/>
    <x v="0"/>
    <x v="1"/>
  </r>
  <r>
    <x v="0"/>
    <x v="8"/>
    <x v="376"/>
    <n v="4.82"/>
    <x v="571"/>
    <n v="8.9499999999999993"/>
    <n v="1.1000000000000001"/>
    <n v="10.050000000000001"/>
    <x v="648"/>
    <x v="568"/>
    <x v="31"/>
    <n v="48.999999996"/>
    <x v="0"/>
    <x v="1"/>
  </r>
  <r>
    <x v="1"/>
    <x v="10"/>
    <x v="372"/>
    <n v="1.63"/>
    <x v="572"/>
    <n v="8.1999999999999993"/>
    <n v="2.84"/>
    <n v="11.04"/>
    <x v="649"/>
    <x v="569"/>
    <x v="31"/>
    <n v="35.000000004"/>
    <x v="1"/>
    <x v="1"/>
  </r>
  <r>
    <x v="1"/>
    <x v="11"/>
    <x v="0"/>
    <n v="0"/>
    <x v="0"/>
    <n v="3.63"/>
    <n v="4.58"/>
    <n v="8.2100000000000009"/>
    <x v="650"/>
    <x v="0"/>
    <x v="31"/>
    <n v="0"/>
    <x v="1"/>
    <x v="1"/>
  </r>
  <r>
    <x v="1"/>
    <x v="12"/>
    <x v="0"/>
    <n v="0"/>
    <x v="0"/>
    <n v="5.03"/>
    <n v="3.18"/>
    <n v="8.2100000000000009"/>
    <x v="651"/>
    <x v="0"/>
    <x v="31"/>
    <n v="0"/>
    <x v="1"/>
    <x v="1"/>
  </r>
  <r>
    <x v="1"/>
    <x v="13"/>
    <x v="0"/>
    <n v="0"/>
    <x v="0"/>
    <n v="5.01"/>
    <n v="3.19"/>
    <n v="8.1999999999999993"/>
    <x v="652"/>
    <x v="0"/>
    <x v="31"/>
    <n v="0"/>
    <x v="1"/>
    <x v="1"/>
  </r>
  <r>
    <x v="2"/>
    <x v="14"/>
    <x v="377"/>
    <n v="6.38"/>
    <x v="573"/>
    <n v="5.26"/>
    <n v="2.83"/>
    <n v="8.09"/>
    <x v="653"/>
    <x v="570"/>
    <x v="31"/>
    <n v="123.99999996000001"/>
    <x v="2"/>
    <x v="1"/>
  </r>
  <r>
    <x v="2"/>
    <x v="16"/>
    <x v="378"/>
    <n v="1.62"/>
    <x v="574"/>
    <n v="6.74"/>
    <n v="1.66"/>
    <n v="8.4"/>
    <x v="654"/>
    <x v="571"/>
    <x v="31"/>
    <n v="14.039999999999997"/>
    <x v="4"/>
    <x v="1"/>
  </r>
  <r>
    <x v="2"/>
    <x v="18"/>
    <x v="45"/>
    <n v="5.7"/>
    <x v="575"/>
    <n v="7.88"/>
    <n v="2.25"/>
    <n v="10.130000000000001"/>
    <x v="517"/>
    <x v="572"/>
    <x v="31"/>
    <n v="6"/>
    <x v="3"/>
    <x v="1"/>
  </r>
  <r>
    <x v="2"/>
    <x v="19"/>
    <x v="379"/>
    <n v="7.21"/>
    <x v="576"/>
    <n v="7.21"/>
    <n v="0.74"/>
    <n v="7.95"/>
    <x v="304"/>
    <x v="573"/>
    <x v="31"/>
    <n v="91.520000004000011"/>
    <x v="2"/>
    <x v="1"/>
  </r>
  <r>
    <x v="2"/>
    <x v="23"/>
    <x v="29"/>
    <n v="2.25"/>
    <x v="577"/>
    <n v="3.56"/>
    <n v="7.12"/>
    <n v="10.68"/>
    <x v="655"/>
    <x v="574"/>
    <x v="31"/>
    <n v="24"/>
    <x v="3"/>
    <x v="1"/>
  </r>
  <r>
    <x v="2"/>
    <x v="25"/>
    <x v="92"/>
    <n v="4.37"/>
    <x v="578"/>
    <n v="6.4"/>
    <n v="1.65"/>
    <n v="8.0500000000000007"/>
    <x v="656"/>
    <x v="575"/>
    <x v="31"/>
    <n v="69"/>
    <x v="2"/>
    <x v="1"/>
  </r>
  <r>
    <x v="2"/>
    <x v="26"/>
    <x v="380"/>
    <n v="3.28"/>
    <x v="579"/>
    <n v="7.01"/>
    <n v="1.0900000000000001"/>
    <n v="8.1"/>
    <x v="657"/>
    <x v="576"/>
    <x v="31"/>
    <n v="38.000000004"/>
    <x v="3"/>
    <x v="1"/>
  </r>
  <r>
    <x v="2"/>
    <x v="30"/>
    <x v="0"/>
    <n v="0"/>
    <x v="0"/>
    <n v="0"/>
    <n v="0"/>
    <n v="0"/>
    <x v="0"/>
    <x v="0"/>
    <x v="31"/>
    <n v="0"/>
    <x v="5"/>
    <x v="0"/>
  </r>
  <r>
    <x v="2"/>
    <x v="33"/>
    <x v="381"/>
    <n v="4.72"/>
    <x v="580"/>
    <n v="7.38"/>
    <n v="3.05"/>
    <n v="10.43"/>
    <x v="572"/>
    <x v="577"/>
    <x v="31"/>
    <n v="12.999999996"/>
    <x v="3"/>
    <x v="1"/>
  </r>
  <r>
    <x v="2"/>
    <x v="34"/>
    <x v="142"/>
    <n v="9.83"/>
    <x v="581"/>
    <n v="8.16"/>
    <n v="2.1800000000000002"/>
    <n v="10.34"/>
    <x v="658"/>
    <x v="578"/>
    <x v="31"/>
    <n v="72"/>
    <x v="4"/>
    <x v="1"/>
  </r>
  <r>
    <x v="2"/>
    <x v="35"/>
    <x v="382"/>
    <n v="5.48"/>
    <x v="582"/>
    <n v="6.63"/>
    <n v="1.44"/>
    <n v="8.07"/>
    <x v="659"/>
    <x v="579"/>
    <x v="31"/>
    <n v="191.00000003999997"/>
    <x v="2"/>
    <x v="1"/>
  </r>
  <r>
    <x v="2"/>
    <x v="36"/>
    <x v="3"/>
    <n v="2.35"/>
    <x v="583"/>
    <n v="7.25"/>
    <n v="3.19"/>
    <n v="10.44"/>
    <x v="660"/>
    <x v="580"/>
    <x v="31"/>
    <n v="18"/>
    <x v="4"/>
    <x v="1"/>
  </r>
  <r>
    <x v="2"/>
    <x v="37"/>
    <x v="29"/>
    <n v="2.04"/>
    <x v="584"/>
    <n v="9.35"/>
    <n v="1.0900000000000001"/>
    <n v="10.44"/>
    <x v="661"/>
    <x v="581"/>
    <x v="31"/>
    <n v="24"/>
    <x v="4"/>
    <x v="1"/>
  </r>
  <r>
    <x v="2"/>
    <x v="38"/>
    <x v="343"/>
    <n v="7.32"/>
    <x v="585"/>
    <n v="7.84"/>
    <n v="2.35"/>
    <n v="10.19"/>
    <x v="662"/>
    <x v="582"/>
    <x v="31"/>
    <n v="156.99999996000003"/>
    <x v="2"/>
    <x v="1"/>
  </r>
  <r>
    <x v="2"/>
    <x v="40"/>
    <x v="311"/>
    <n v="3.12"/>
    <x v="586"/>
    <n v="7.18"/>
    <n v="0.95"/>
    <n v="8.1300000000000008"/>
    <x v="663"/>
    <x v="583"/>
    <x v="31"/>
    <n v="39.119999999999997"/>
    <x v="3"/>
    <x v="1"/>
  </r>
  <r>
    <x v="2"/>
    <x v="44"/>
    <x v="4"/>
    <n v="1.23"/>
    <x v="587"/>
    <n v="6.78"/>
    <n v="1.32"/>
    <n v="8.1"/>
    <x v="664"/>
    <x v="584"/>
    <x v="31"/>
    <n v="12"/>
    <x v="3"/>
    <x v="1"/>
  </r>
  <r>
    <x v="2"/>
    <x v="45"/>
    <x v="0"/>
    <n v="0"/>
    <x v="0"/>
    <n v="6.38"/>
    <n v="1.95"/>
    <n v="8.33"/>
    <x v="665"/>
    <x v="0"/>
    <x v="31"/>
    <n v="0"/>
    <x v="4"/>
    <x v="1"/>
  </r>
  <r>
    <x v="2"/>
    <x v="46"/>
    <x v="86"/>
    <n v="1.73"/>
    <x v="588"/>
    <n v="6.16"/>
    <n v="2.21"/>
    <n v="8.3699999999999992"/>
    <x v="666"/>
    <x v="585"/>
    <x v="31"/>
    <n v="15.12"/>
    <x v="4"/>
    <x v="1"/>
  </r>
  <r>
    <x v="2"/>
    <x v="47"/>
    <x v="383"/>
    <n v="7.85"/>
    <x v="589"/>
    <n v="7.88"/>
    <n v="0.14000000000000001"/>
    <n v="8.02"/>
    <x v="667"/>
    <x v="586"/>
    <x v="31"/>
    <n v="155.12000003999998"/>
    <x v="5"/>
    <x v="1"/>
  </r>
  <r>
    <x v="2"/>
    <x v="48"/>
    <x v="0"/>
    <n v="0"/>
    <x v="0"/>
    <n v="0"/>
    <n v="0"/>
    <n v="0"/>
    <x v="0"/>
    <x v="0"/>
    <x v="31"/>
    <n v="0"/>
    <x v="6"/>
    <x v="0"/>
  </r>
  <r>
    <x v="2"/>
    <x v="49"/>
    <x v="0"/>
    <n v="0"/>
    <x v="0"/>
    <n v="7.24"/>
    <n v="0.84"/>
    <n v="8.08"/>
    <x v="668"/>
    <x v="0"/>
    <x v="31"/>
    <n v="0"/>
    <x v="3"/>
    <x v="1"/>
  </r>
  <r>
    <x v="2"/>
    <x v="50"/>
    <x v="384"/>
    <n v="7.37"/>
    <x v="590"/>
    <n v="8.18"/>
    <n v="1.18"/>
    <n v="9.36"/>
    <x v="669"/>
    <x v="587"/>
    <x v="31"/>
    <n v="68.000000004"/>
    <x v="4"/>
    <x v="1"/>
  </r>
  <r>
    <x v="0"/>
    <x v="0"/>
    <x v="385"/>
    <n v="3.57"/>
    <x v="591"/>
    <n v="7.12"/>
    <n v="0.92"/>
    <n v="8.0399999999999991"/>
    <x v="670"/>
    <x v="588"/>
    <x v="32"/>
    <n v="37.32"/>
    <x v="0"/>
    <x v="1"/>
  </r>
  <r>
    <x v="0"/>
    <x v="1"/>
    <x v="386"/>
    <n v="4.83"/>
    <x v="592"/>
    <n v="7.95"/>
    <n v="0.11"/>
    <n v="8.06"/>
    <x v="671"/>
    <x v="589"/>
    <x v="32"/>
    <n v="8.0400000000000009"/>
    <x v="0"/>
    <x v="1"/>
  </r>
  <r>
    <x v="0"/>
    <x v="2"/>
    <x v="386"/>
    <n v="4.83"/>
    <x v="592"/>
    <n v="7.95"/>
    <n v="0.11"/>
    <n v="8.06"/>
    <x v="671"/>
    <x v="589"/>
    <x v="32"/>
    <n v="8.0400000000000009"/>
    <x v="0"/>
    <x v="1"/>
  </r>
  <r>
    <x v="0"/>
    <x v="3"/>
    <x v="387"/>
    <n v="6.22"/>
    <x v="593"/>
    <n v="7.1"/>
    <n v="0.91"/>
    <n v="8.01"/>
    <x v="672"/>
    <x v="590"/>
    <x v="32"/>
    <n v="35.880000000000003"/>
    <x v="0"/>
    <x v="1"/>
  </r>
  <r>
    <x v="0"/>
    <x v="5"/>
    <x v="386"/>
    <n v="4.83"/>
    <x v="592"/>
    <n v="7.95"/>
    <n v="0.1"/>
    <n v="8.0500000000000007"/>
    <x v="673"/>
    <x v="591"/>
    <x v="32"/>
    <n v="8.0400000000000009"/>
    <x v="0"/>
    <x v="1"/>
  </r>
  <r>
    <x v="0"/>
    <x v="6"/>
    <x v="195"/>
    <n v="4.63"/>
    <x v="594"/>
    <n v="7.8"/>
    <n v="0.22"/>
    <n v="8.02"/>
    <x v="674"/>
    <x v="592"/>
    <x v="32"/>
    <n v="47.519999999999996"/>
    <x v="0"/>
    <x v="1"/>
  </r>
  <r>
    <x v="0"/>
    <x v="7"/>
    <x v="0"/>
    <n v="0"/>
    <x v="0"/>
    <n v="7.08"/>
    <n v="0.92"/>
    <n v="8"/>
    <x v="396"/>
    <x v="0"/>
    <x v="32"/>
    <n v="0"/>
    <x v="0"/>
    <x v="1"/>
  </r>
  <r>
    <x v="0"/>
    <x v="8"/>
    <x v="388"/>
    <n v="6.27"/>
    <x v="595"/>
    <n v="7.28"/>
    <n v="0.91"/>
    <n v="8.19"/>
    <x v="675"/>
    <x v="593"/>
    <x v="32"/>
    <n v="36.119999999999997"/>
    <x v="0"/>
    <x v="1"/>
  </r>
  <r>
    <x v="1"/>
    <x v="10"/>
    <x v="0"/>
    <n v="0"/>
    <x v="0"/>
    <n v="6.26"/>
    <n v="1.8"/>
    <n v="8.06"/>
    <x v="676"/>
    <x v="0"/>
    <x v="32"/>
    <n v="0"/>
    <x v="1"/>
    <x v="1"/>
  </r>
  <r>
    <x v="1"/>
    <x v="11"/>
    <x v="0"/>
    <n v="0"/>
    <x v="0"/>
    <n v="7.14"/>
    <n v="0.92"/>
    <n v="8.06"/>
    <x v="677"/>
    <x v="0"/>
    <x v="32"/>
    <n v="0"/>
    <x v="1"/>
    <x v="1"/>
  </r>
  <r>
    <x v="1"/>
    <x v="12"/>
    <x v="3"/>
    <n v="2.1"/>
    <x v="453"/>
    <n v="5.25"/>
    <n v="2.8"/>
    <n v="8.0500000000000007"/>
    <x v="678"/>
    <x v="594"/>
    <x v="32"/>
    <n v="18"/>
    <x v="1"/>
    <x v="1"/>
  </r>
  <r>
    <x v="1"/>
    <x v="13"/>
    <x v="29"/>
    <n v="2.8"/>
    <x v="453"/>
    <n v="6.32"/>
    <n v="1.73"/>
    <n v="8.0500000000000007"/>
    <x v="679"/>
    <x v="595"/>
    <x v="32"/>
    <n v="24"/>
    <x v="1"/>
    <x v="1"/>
  </r>
  <r>
    <x v="2"/>
    <x v="14"/>
    <x v="389"/>
    <n v="8.07"/>
    <x v="596"/>
    <n v="6.7"/>
    <n v="2.2599999999999998"/>
    <n v="8.9600000000000009"/>
    <x v="680"/>
    <x v="596"/>
    <x v="32"/>
    <n v="176.00000003999997"/>
    <x v="2"/>
    <x v="1"/>
  </r>
  <r>
    <x v="2"/>
    <x v="15"/>
    <x v="305"/>
    <n v="5.86"/>
    <x v="597"/>
    <n v="7.79"/>
    <n v="0.19"/>
    <n v="7.98"/>
    <x v="681"/>
    <x v="597"/>
    <x v="32"/>
    <n v="23.000000004"/>
    <x v="3"/>
    <x v="1"/>
  </r>
  <r>
    <x v="2"/>
    <x v="16"/>
    <x v="390"/>
    <n v="7.58"/>
    <x v="598"/>
    <n v="6.81"/>
    <n v="0.99"/>
    <n v="7.8"/>
    <x v="682"/>
    <x v="598"/>
    <x v="32"/>
    <n v="74.120000003999991"/>
    <x v="4"/>
    <x v="1"/>
  </r>
  <r>
    <x v="2"/>
    <x v="18"/>
    <x v="58"/>
    <n v="3.91"/>
    <x v="599"/>
    <n v="6.33"/>
    <n v="1.65"/>
    <n v="7.98"/>
    <x v="683"/>
    <x v="599"/>
    <x v="32"/>
    <n v="42"/>
    <x v="3"/>
    <x v="1"/>
  </r>
  <r>
    <x v="2"/>
    <x v="19"/>
    <x v="391"/>
    <n v="6.02"/>
    <x v="600"/>
    <n v="6.02"/>
    <n v="2.0299999999999998"/>
    <n v="8.0500000000000007"/>
    <x v="680"/>
    <x v="600"/>
    <x v="32"/>
    <n v="120.12"/>
    <x v="2"/>
    <x v="1"/>
  </r>
  <r>
    <x v="2"/>
    <x v="21"/>
    <x v="392"/>
    <n v="6.68"/>
    <x v="601"/>
    <n v="6.68"/>
    <n v="1.17"/>
    <n v="7.85"/>
    <x v="684"/>
    <x v="601"/>
    <x v="32"/>
    <n v="91.44"/>
    <x v="2"/>
    <x v="1"/>
  </r>
  <r>
    <x v="2"/>
    <x v="22"/>
    <x v="305"/>
    <n v="4.41"/>
    <x v="602"/>
    <n v="7.21"/>
    <n v="0.57999999999999996"/>
    <n v="7.79"/>
    <x v="685"/>
    <x v="602"/>
    <x v="32"/>
    <n v="23.000000004"/>
    <x v="4"/>
    <x v="1"/>
  </r>
  <r>
    <x v="2"/>
    <x v="23"/>
    <x v="393"/>
    <n v="0.01"/>
    <x v="603"/>
    <n v="2.62"/>
    <n v="5.35"/>
    <n v="7.97"/>
    <x v="686"/>
    <x v="603"/>
    <x v="32"/>
    <n v="0.999999996"/>
    <x v="3"/>
    <x v="1"/>
  </r>
  <r>
    <x v="2"/>
    <x v="26"/>
    <x v="0"/>
    <n v="0"/>
    <x v="0"/>
    <n v="7"/>
    <n v="0.94"/>
    <n v="7.94"/>
    <x v="687"/>
    <x v="0"/>
    <x v="32"/>
    <n v="0"/>
    <x v="3"/>
    <x v="1"/>
  </r>
  <r>
    <x v="2"/>
    <x v="30"/>
    <x v="0"/>
    <n v="0"/>
    <x v="0"/>
    <n v="0"/>
    <n v="0"/>
    <n v="0"/>
    <x v="0"/>
    <x v="0"/>
    <x v="32"/>
    <n v="0"/>
    <x v="5"/>
    <x v="0"/>
  </r>
  <r>
    <x v="2"/>
    <x v="31"/>
    <x v="394"/>
    <n v="8.11"/>
    <x v="604"/>
    <n v="6.89"/>
    <n v="1.27"/>
    <n v="8.16"/>
    <x v="688"/>
    <x v="604"/>
    <x v="32"/>
    <n v="92.039999999999992"/>
    <x v="2"/>
    <x v="1"/>
  </r>
  <r>
    <x v="2"/>
    <x v="32"/>
    <x v="395"/>
    <n v="2.36"/>
    <x v="605"/>
    <n v="7.4"/>
    <n v="2.59"/>
    <n v="9.99"/>
    <x v="689"/>
    <x v="605"/>
    <x v="32"/>
    <n v="32.720000003999999"/>
    <x v="3"/>
    <x v="1"/>
  </r>
  <r>
    <x v="2"/>
    <x v="33"/>
    <x v="396"/>
    <n v="4.16"/>
    <x v="606"/>
    <n v="6.05"/>
    <n v="4.16"/>
    <n v="10.210000000000001"/>
    <x v="690"/>
    <x v="606"/>
    <x v="32"/>
    <n v="41.64"/>
    <x v="3"/>
    <x v="1"/>
  </r>
  <r>
    <x v="2"/>
    <x v="35"/>
    <x v="397"/>
    <n v="7.98"/>
    <x v="607"/>
    <n v="6.83"/>
    <n v="1.37"/>
    <n v="8.1999999999999993"/>
    <x v="691"/>
    <x v="607"/>
    <x v="32"/>
    <n v="168.99999996000003"/>
    <x v="2"/>
    <x v="1"/>
  </r>
  <r>
    <x v="2"/>
    <x v="36"/>
    <x v="305"/>
    <n v="2.69"/>
    <x v="608"/>
    <n v="4.54"/>
    <n v="3.29"/>
    <n v="7.83"/>
    <x v="692"/>
    <x v="608"/>
    <x v="32"/>
    <n v="23.000000004"/>
    <x v="4"/>
    <x v="1"/>
  </r>
  <r>
    <x v="2"/>
    <x v="39"/>
    <x v="398"/>
    <n v="7.52"/>
    <x v="609"/>
    <n v="4.4400000000000004"/>
    <n v="3.73"/>
    <n v="8.17"/>
    <x v="693"/>
    <x v="609"/>
    <x v="32"/>
    <n v="93.999999996"/>
    <x v="2"/>
    <x v="1"/>
  </r>
  <r>
    <x v="2"/>
    <x v="40"/>
    <x v="399"/>
    <n v="5.97"/>
    <x v="610"/>
    <n v="4.63"/>
    <n v="3.37"/>
    <n v="8"/>
    <x v="694"/>
    <x v="610"/>
    <x v="32"/>
    <n v="44.360000004"/>
    <x v="3"/>
    <x v="1"/>
  </r>
  <r>
    <x v="2"/>
    <x v="42"/>
    <x v="400"/>
    <n v="6.05"/>
    <x v="611"/>
    <n v="6.88"/>
    <n v="1.29"/>
    <n v="8.17"/>
    <x v="616"/>
    <x v="611"/>
    <x v="32"/>
    <n v="131.07999996000001"/>
    <x v="2"/>
    <x v="1"/>
  </r>
  <r>
    <x v="2"/>
    <x v="43"/>
    <x v="73"/>
    <n v="5.54"/>
    <x v="612"/>
    <n v="5.82"/>
    <n v="2.15"/>
    <n v="7.97"/>
    <x v="695"/>
    <x v="612"/>
    <x v="32"/>
    <n v="60"/>
    <x v="3"/>
    <x v="1"/>
  </r>
  <r>
    <x v="2"/>
    <x v="45"/>
    <x v="0"/>
    <n v="0"/>
    <x v="0"/>
    <n v="0"/>
    <n v="0"/>
    <n v="0"/>
    <x v="0"/>
    <x v="0"/>
    <x v="32"/>
    <n v="0"/>
    <x v="4"/>
    <x v="0"/>
  </r>
  <r>
    <x v="2"/>
    <x v="46"/>
    <x v="76"/>
    <n v="7"/>
    <x v="613"/>
    <n v="7.27"/>
    <n v="0.53"/>
    <n v="7.8"/>
    <x v="696"/>
    <x v="613"/>
    <x v="32"/>
    <n v="51.6"/>
    <x v="4"/>
    <x v="1"/>
  </r>
  <r>
    <x v="2"/>
    <x v="48"/>
    <x v="0"/>
    <n v="0"/>
    <x v="0"/>
    <n v="0"/>
    <n v="0"/>
    <n v="0"/>
    <x v="0"/>
    <x v="0"/>
    <x v="32"/>
    <n v="0"/>
    <x v="6"/>
    <x v="0"/>
  </r>
  <r>
    <x v="2"/>
    <x v="49"/>
    <x v="401"/>
    <n v="7.92"/>
    <x v="614"/>
    <n v="7.9"/>
    <n v="0.4"/>
    <n v="8.3000000000000007"/>
    <x v="697"/>
    <x v="614"/>
    <x v="32"/>
    <n v="51.999999996"/>
    <x v="3"/>
    <x v="1"/>
  </r>
  <r>
    <x v="0"/>
    <x v="0"/>
    <x v="0"/>
    <n v="0"/>
    <x v="0"/>
    <n v="5.85"/>
    <n v="2.15"/>
    <n v="8"/>
    <x v="698"/>
    <x v="0"/>
    <x v="33"/>
    <n v="0"/>
    <x v="0"/>
    <x v="1"/>
  </r>
  <r>
    <x v="0"/>
    <x v="1"/>
    <x v="0"/>
    <n v="0"/>
    <x v="0"/>
    <n v="0"/>
    <n v="0"/>
    <n v="0"/>
    <x v="0"/>
    <x v="0"/>
    <x v="33"/>
    <n v="0"/>
    <x v="0"/>
    <x v="0"/>
  </r>
  <r>
    <x v="0"/>
    <x v="2"/>
    <x v="0"/>
    <n v="0"/>
    <x v="0"/>
    <n v="7.52"/>
    <n v="0.47"/>
    <n v="7.99"/>
    <x v="87"/>
    <x v="0"/>
    <x v="33"/>
    <n v="0"/>
    <x v="0"/>
    <x v="1"/>
  </r>
  <r>
    <x v="0"/>
    <x v="3"/>
    <x v="0"/>
    <n v="0"/>
    <x v="0"/>
    <n v="0"/>
    <n v="0"/>
    <n v="0"/>
    <x v="0"/>
    <x v="0"/>
    <x v="33"/>
    <n v="0"/>
    <x v="0"/>
    <x v="0"/>
  </r>
  <r>
    <x v="0"/>
    <x v="4"/>
    <x v="0"/>
    <n v="0"/>
    <x v="0"/>
    <n v="0"/>
    <n v="0"/>
    <n v="0"/>
    <x v="0"/>
    <x v="0"/>
    <x v="33"/>
    <n v="0"/>
    <x v="0"/>
    <x v="0"/>
  </r>
  <r>
    <x v="0"/>
    <x v="5"/>
    <x v="0"/>
    <n v="0"/>
    <x v="0"/>
    <n v="0"/>
    <n v="0"/>
    <n v="0"/>
    <x v="0"/>
    <x v="0"/>
    <x v="33"/>
    <n v="0"/>
    <x v="0"/>
    <x v="0"/>
  </r>
  <r>
    <x v="0"/>
    <x v="6"/>
    <x v="0"/>
    <n v="0"/>
    <x v="0"/>
    <n v="7.53"/>
    <n v="0.45"/>
    <n v="7.98"/>
    <x v="329"/>
    <x v="0"/>
    <x v="33"/>
    <n v="0"/>
    <x v="0"/>
    <x v="1"/>
  </r>
  <r>
    <x v="0"/>
    <x v="7"/>
    <x v="0"/>
    <n v="0"/>
    <x v="0"/>
    <n v="0"/>
    <n v="0"/>
    <n v="0"/>
    <x v="0"/>
    <x v="0"/>
    <x v="33"/>
    <n v="0"/>
    <x v="0"/>
    <x v="0"/>
  </r>
  <r>
    <x v="0"/>
    <x v="8"/>
    <x v="0"/>
    <n v="0"/>
    <x v="0"/>
    <n v="5.89"/>
    <n v="2.15"/>
    <n v="8.0399999999999991"/>
    <x v="699"/>
    <x v="0"/>
    <x v="33"/>
    <n v="0"/>
    <x v="0"/>
    <x v="1"/>
  </r>
  <r>
    <x v="1"/>
    <x v="9"/>
    <x v="0"/>
    <n v="0"/>
    <x v="0"/>
    <n v="0"/>
    <n v="0"/>
    <n v="0"/>
    <x v="0"/>
    <x v="0"/>
    <x v="33"/>
    <n v="0"/>
    <x v="1"/>
    <x v="0"/>
  </r>
  <r>
    <x v="1"/>
    <x v="10"/>
    <x v="0"/>
    <n v="0"/>
    <x v="0"/>
    <n v="3.99"/>
    <n v="4.09"/>
    <n v="8.08"/>
    <x v="700"/>
    <x v="0"/>
    <x v="33"/>
    <n v="0"/>
    <x v="1"/>
    <x v="1"/>
  </r>
  <r>
    <x v="1"/>
    <x v="11"/>
    <x v="0"/>
    <n v="0"/>
    <x v="0"/>
    <n v="0"/>
    <n v="0"/>
    <n v="0"/>
    <x v="0"/>
    <x v="0"/>
    <x v="33"/>
    <n v="0"/>
    <x v="1"/>
    <x v="0"/>
  </r>
  <r>
    <x v="1"/>
    <x v="12"/>
    <x v="0"/>
    <n v="0"/>
    <x v="0"/>
    <n v="6.63"/>
    <n v="1.47"/>
    <n v="8.1"/>
    <x v="701"/>
    <x v="0"/>
    <x v="33"/>
    <n v="0"/>
    <x v="1"/>
    <x v="1"/>
  </r>
  <r>
    <x v="1"/>
    <x v="13"/>
    <x v="0"/>
    <n v="0"/>
    <x v="0"/>
    <n v="0"/>
    <n v="0"/>
    <n v="0"/>
    <x v="0"/>
    <x v="0"/>
    <x v="33"/>
    <n v="0"/>
    <x v="1"/>
    <x v="0"/>
  </r>
  <r>
    <x v="2"/>
    <x v="15"/>
    <x v="0"/>
    <n v="0"/>
    <x v="0"/>
    <n v="0"/>
    <n v="0"/>
    <n v="0"/>
    <x v="0"/>
    <x v="0"/>
    <x v="33"/>
    <n v="0"/>
    <x v="3"/>
    <x v="0"/>
  </r>
  <r>
    <x v="2"/>
    <x v="16"/>
    <x v="0"/>
    <n v="0"/>
    <x v="0"/>
    <n v="0"/>
    <n v="0"/>
    <n v="0"/>
    <x v="0"/>
    <x v="0"/>
    <x v="33"/>
    <n v="0"/>
    <x v="4"/>
    <x v="0"/>
  </r>
  <r>
    <x v="2"/>
    <x v="17"/>
    <x v="0"/>
    <n v="0"/>
    <x v="0"/>
    <n v="0"/>
    <n v="0"/>
    <n v="0"/>
    <x v="0"/>
    <x v="0"/>
    <x v="33"/>
    <n v="0"/>
    <x v="3"/>
    <x v="0"/>
  </r>
  <r>
    <x v="2"/>
    <x v="18"/>
    <x v="126"/>
    <n v="2.41"/>
    <x v="615"/>
    <n v="5.59"/>
    <n v="2.4900000000000002"/>
    <n v="8.08"/>
    <x v="702"/>
    <x v="615"/>
    <x v="33"/>
    <n v="38.519999999999996"/>
    <x v="3"/>
    <x v="1"/>
  </r>
  <r>
    <x v="2"/>
    <x v="19"/>
    <x v="0"/>
    <n v="0"/>
    <x v="0"/>
    <n v="0"/>
    <n v="0"/>
    <n v="0"/>
    <x v="0"/>
    <x v="0"/>
    <x v="33"/>
    <n v="0"/>
    <x v="2"/>
    <x v="0"/>
  </r>
  <r>
    <x v="2"/>
    <x v="21"/>
    <x v="402"/>
    <n v="2.91"/>
    <x v="616"/>
    <n v="6.28"/>
    <n v="1.49"/>
    <n v="7.77"/>
    <x v="703"/>
    <x v="616"/>
    <x v="33"/>
    <n v="81.999999996"/>
    <x v="2"/>
    <x v="1"/>
  </r>
  <r>
    <x v="2"/>
    <x v="22"/>
    <x v="0"/>
    <n v="0"/>
    <x v="0"/>
    <n v="0"/>
    <n v="0"/>
    <n v="0"/>
    <x v="0"/>
    <x v="0"/>
    <x v="33"/>
    <n v="0"/>
    <x v="4"/>
    <x v="0"/>
  </r>
  <r>
    <x v="2"/>
    <x v="23"/>
    <x v="403"/>
    <n v="3.5"/>
    <x v="617"/>
    <n v="5.65"/>
    <n v="2.41"/>
    <n v="8.06"/>
    <x v="704"/>
    <x v="617"/>
    <x v="33"/>
    <n v="51.560000004000003"/>
    <x v="3"/>
    <x v="1"/>
  </r>
  <r>
    <x v="2"/>
    <x v="24"/>
    <x v="404"/>
    <n v="4.32"/>
    <x v="618"/>
    <n v="5.23"/>
    <n v="2.83"/>
    <n v="8.06"/>
    <x v="705"/>
    <x v="618"/>
    <x v="33"/>
    <n v="73.320000000000007"/>
    <x v="5"/>
    <x v="1"/>
  </r>
  <r>
    <x v="2"/>
    <x v="25"/>
    <x v="405"/>
    <n v="4.91"/>
    <x v="619"/>
    <n v="5.96"/>
    <n v="2.11"/>
    <n v="8.07"/>
    <x v="706"/>
    <x v="619"/>
    <x v="33"/>
    <n v="102.999999996"/>
    <x v="2"/>
    <x v="1"/>
  </r>
  <r>
    <x v="2"/>
    <x v="26"/>
    <x v="24"/>
    <n v="3.4"/>
    <x v="620"/>
    <n v="8.92"/>
    <n v="0.13"/>
    <n v="9.0500000000000007"/>
    <x v="707"/>
    <x v="334"/>
    <x v="33"/>
    <n v="30"/>
    <x v="3"/>
    <x v="1"/>
  </r>
  <r>
    <x v="2"/>
    <x v="27"/>
    <x v="406"/>
    <n v="4.13"/>
    <x v="621"/>
    <n v="5.67"/>
    <n v="2.4"/>
    <n v="8.07"/>
    <x v="708"/>
    <x v="620"/>
    <x v="33"/>
    <n v="78.47999999999999"/>
    <x v="5"/>
    <x v="1"/>
  </r>
  <r>
    <x v="2"/>
    <x v="30"/>
    <x v="0"/>
    <n v="0"/>
    <x v="0"/>
    <n v="0"/>
    <n v="0"/>
    <n v="0"/>
    <x v="0"/>
    <x v="0"/>
    <x v="33"/>
    <n v="0"/>
    <x v="5"/>
    <x v="0"/>
  </r>
  <r>
    <x v="2"/>
    <x v="31"/>
    <x v="407"/>
    <n v="6.16"/>
    <x v="622"/>
    <n v="6.23"/>
    <n v="1.84"/>
    <n v="8.07"/>
    <x v="709"/>
    <x v="621"/>
    <x v="33"/>
    <n v="104.64000000000001"/>
    <x v="2"/>
    <x v="1"/>
  </r>
  <r>
    <x v="2"/>
    <x v="32"/>
    <x v="0"/>
    <n v="0"/>
    <x v="0"/>
    <n v="0"/>
    <n v="0"/>
    <n v="0"/>
    <x v="0"/>
    <x v="0"/>
    <x v="33"/>
    <n v="0"/>
    <x v="3"/>
    <x v="0"/>
  </r>
  <r>
    <x v="2"/>
    <x v="34"/>
    <x v="0"/>
    <n v="0"/>
    <x v="0"/>
    <n v="0"/>
    <n v="0"/>
    <n v="0"/>
    <x v="0"/>
    <x v="0"/>
    <x v="33"/>
    <n v="0"/>
    <x v="4"/>
    <x v="0"/>
  </r>
  <r>
    <x v="2"/>
    <x v="35"/>
    <x v="0"/>
    <n v="0"/>
    <x v="0"/>
    <n v="0"/>
    <n v="0"/>
    <n v="0"/>
    <x v="0"/>
    <x v="0"/>
    <x v="33"/>
    <n v="0"/>
    <x v="2"/>
    <x v="0"/>
  </r>
  <r>
    <x v="2"/>
    <x v="36"/>
    <x v="0"/>
    <n v="0"/>
    <x v="0"/>
    <n v="7.06"/>
    <n v="1.03"/>
    <n v="8.09"/>
    <x v="710"/>
    <x v="0"/>
    <x v="33"/>
    <n v="0"/>
    <x v="4"/>
    <x v="1"/>
  </r>
  <r>
    <x v="2"/>
    <x v="37"/>
    <x v="0"/>
    <n v="0"/>
    <x v="0"/>
    <n v="0"/>
    <n v="0"/>
    <n v="0"/>
    <x v="0"/>
    <x v="0"/>
    <x v="33"/>
    <n v="0"/>
    <x v="4"/>
    <x v="0"/>
  </r>
  <r>
    <x v="2"/>
    <x v="41"/>
    <x v="0"/>
    <n v="0"/>
    <x v="0"/>
    <n v="0"/>
    <n v="0"/>
    <n v="0"/>
    <x v="0"/>
    <x v="0"/>
    <x v="33"/>
    <n v="0"/>
    <x v="5"/>
    <x v="0"/>
  </r>
  <r>
    <x v="2"/>
    <x v="43"/>
    <x v="408"/>
    <n v="3"/>
    <x v="623"/>
    <n v="5.2"/>
    <n v="2.87"/>
    <n v="8.07"/>
    <x v="711"/>
    <x v="622"/>
    <x v="33"/>
    <n v="71.000000004"/>
    <x v="3"/>
    <x v="1"/>
  </r>
  <r>
    <x v="2"/>
    <x v="44"/>
    <x v="0"/>
    <n v="0"/>
    <x v="0"/>
    <n v="0"/>
    <n v="0"/>
    <n v="0"/>
    <x v="0"/>
    <x v="0"/>
    <x v="33"/>
    <n v="0"/>
    <x v="3"/>
    <x v="0"/>
  </r>
  <r>
    <x v="2"/>
    <x v="45"/>
    <x v="409"/>
    <n v="3.33"/>
    <x v="624"/>
    <n v="3.33"/>
    <n v="4.74"/>
    <n v="8.07"/>
    <x v="712"/>
    <x v="623"/>
    <x v="33"/>
    <n v="33.999999996"/>
    <x v="4"/>
    <x v="1"/>
  </r>
  <r>
    <x v="2"/>
    <x v="46"/>
    <x v="0"/>
    <n v="0"/>
    <x v="0"/>
    <n v="0"/>
    <n v="0"/>
    <n v="0"/>
    <x v="0"/>
    <x v="0"/>
    <x v="33"/>
    <n v="0"/>
    <x v="4"/>
    <x v="0"/>
  </r>
  <r>
    <x v="2"/>
    <x v="47"/>
    <x v="410"/>
    <n v="6.1"/>
    <x v="625"/>
    <n v="6.1"/>
    <n v="1.98"/>
    <n v="8.08"/>
    <x v="713"/>
    <x v="624"/>
    <x v="33"/>
    <n v="161.00000003999997"/>
    <x v="5"/>
    <x v="1"/>
  </r>
  <r>
    <x v="2"/>
    <x v="48"/>
    <x v="0"/>
    <n v="0"/>
    <x v="0"/>
    <n v="0"/>
    <n v="0"/>
    <n v="0"/>
    <x v="0"/>
    <x v="0"/>
    <x v="33"/>
    <n v="0"/>
    <x v="6"/>
    <x v="0"/>
  </r>
  <r>
    <x v="2"/>
    <x v="49"/>
    <x v="411"/>
    <n v="2.5"/>
    <x v="626"/>
    <n v="5.71"/>
    <n v="2.36"/>
    <n v="8.07"/>
    <x v="572"/>
    <x v="625"/>
    <x v="33"/>
    <n v="39.560000004000003"/>
    <x v="3"/>
    <x v="1"/>
  </r>
  <r>
    <x v="2"/>
    <x v="50"/>
    <x v="0"/>
    <n v="0"/>
    <x v="0"/>
    <n v="7.68"/>
    <n v="0.28000000000000003"/>
    <n v="7.96"/>
    <x v="714"/>
    <x v="0"/>
    <x v="33"/>
    <n v="0"/>
    <x v="4"/>
    <x v="1"/>
  </r>
  <r>
    <x v="0"/>
    <x v="0"/>
    <x v="0"/>
    <n v="0"/>
    <x v="0"/>
    <n v="0"/>
    <n v="0"/>
    <n v="0"/>
    <x v="0"/>
    <x v="0"/>
    <x v="34"/>
    <n v="0"/>
    <x v="0"/>
    <x v="0"/>
  </r>
  <r>
    <x v="0"/>
    <x v="1"/>
    <x v="0"/>
    <n v="0"/>
    <x v="0"/>
    <n v="0"/>
    <n v="0"/>
    <n v="0"/>
    <x v="0"/>
    <x v="0"/>
    <x v="34"/>
    <n v="0"/>
    <x v="0"/>
    <x v="0"/>
  </r>
  <r>
    <x v="0"/>
    <x v="2"/>
    <x v="0"/>
    <n v="0"/>
    <x v="0"/>
    <n v="0"/>
    <n v="0"/>
    <n v="0"/>
    <x v="0"/>
    <x v="0"/>
    <x v="34"/>
    <n v="0"/>
    <x v="0"/>
    <x v="0"/>
  </r>
  <r>
    <x v="0"/>
    <x v="3"/>
    <x v="0"/>
    <n v="0"/>
    <x v="0"/>
    <n v="0"/>
    <n v="0"/>
    <n v="0"/>
    <x v="0"/>
    <x v="0"/>
    <x v="34"/>
    <n v="0"/>
    <x v="0"/>
    <x v="0"/>
  </r>
  <r>
    <x v="0"/>
    <x v="4"/>
    <x v="0"/>
    <n v="0"/>
    <x v="0"/>
    <n v="0"/>
    <n v="0"/>
    <n v="0"/>
    <x v="0"/>
    <x v="0"/>
    <x v="34"/>
    <n v="0"/>
    <x v="0"/>
    <x v="0"/>
  </r>
  <r>
    <x v="0"/>
    <x v="5"/>
    <x v="0"/>
    <n v="0"/>
    <x v="0"/>
    <n v="0"/>
    <n v="0"/>
    <n v="0"/>
    <x v="0"/>
    <x v="0"/>
    <x v="34"/>
    <n v="0"/>
    <x v="0"/>
    <x v="0"/>
  </r>
  <r>
    <x v="0"/>
    <x v="6"/>
    <x v="0"/>
    <n v="0"/>
    <x v="0"/>
    <n v="0"/>
    <n v="0"/>
    <n v="0"/>
    <x v="0"/>
    <x v="0"/>
    <x v="34"/>
    <n v="0"/>
    <x v="0"/>
    <x v="0"/>
  </r>
  <r>
    <x v="0"/>
    <x v="7"/>
    <x v="0"/>
    <n v="0"/>
    <x v="0"/>
    <n v="0"/>
    <n v="0"/>
    <n v="0"/>
    <x v="0"/>
    <x v="0"/>
    <x v="34"/>
    <n v="0"/>
    <x v="0"/>
    <x v="0"/>
  </r>
  <r>
    <x v="0"/>
    <x v="8"/>
    <x v="0"/>
    <n v="0"/>
    <x v="0"/>
    <n v="0"/>
    <n v="0"/>
    <n v="0"/>
    <x v="0"/>
    <x v="0"/>
    <x v="34"/>
    <n v="0"/>
    <x v="0"/>
    <x v="0"/>
  </r>
  <r>
    <x v="1"/>
    <x v="9"/>
    <x v="0"/>
    <n v="0"/>
    <x v="0"/>
    <n v="0"/>
    <n v="0"/>
    <n v="0"/>
    <x v="0"/>
    <x v="0"/>
    <x v="34"/>
    <n v="0"/>
    <x v="1"/>
    <x v="0"/>
  </r>
  <r>
    <x v="1"/>
    <x v="10"/>
    <x v="0"/>
    <n v="0"/>
    <x v="0"/>
    <n v="0"/>
    <n v="0"/>
    <n v="0"/>
    <x v="0"/>
    <x v="0"/>
    <x v="34"/>
    <n v="0"/>
    <x v="1"/>
    <x v="0"/>
  </r>
  <r>
    <x v="1"/>
    <x v="11"/>
    <x v="0"/>
    <n v="0"/>
    <x v="0"/>
    <n v="0"/>
    <n v="0"/>
    <n v="0"/>
    <x v="0"/>
    <x v="0"/>
    <x v="34"/>
    <n v="0"/>
    <x v="1"/>
    <x v="0"/>
  </r>
  <r>
    <x v="1"/>
    <x v="12"/>
    <x v="0"/>
    <n v="0"/>
    <x v="0"/>
    <n v="0"/>
    <n v="0"/>
    <n v="0"/>
    <x v="0"/>
    <x v="0"/>
    <x v="34"/>
    <n v="0"/>
    <x v="1"/>
    <x v="0"/>
  </r>
  <r>
    <x v="1"/>
    <x v="13"/>
    <x v="0"/>
    <n v="0"/>
    <x v="0"/>
    <n v="0"/>
    <n v="0"/>
    <n v="0"/>
    <x v="0"/>
    <x v="0"/>
    <x v="34"/>
    <n v="0"/>
    <x v="1"/>
    <x v="0"/>
  </r>
  <r>
    <x v="2"/>
    <x v="14"/>
    <x v="0"/>
    <n v="0"/>
    <x v="0"/>
    <n v="0"/>
    <n v="0"/>
    <n v="0"/>
    <x v="0"/>
    <x v="0"/>
    <x v="34"/>
    <n v="0"/>
    <x v="2"/>
    <x v="0"/>
  </r>
  <r>
    <x v="2"/>
    <x v="15"/>
    <x v="0"/>
    <n v="0"/>
    <x v="0"/>
    <n v="0"/>
    <n v="0"/>
    <n v="0"/>
    <x v="0"/>
    <x v="0"/>
    <x v="34"/>
    <n v="0"/>
    <x v="3"/>
    <x v="0"/>
  </r>
  <r>
    <x v="2"/>
    <x v="16"/>
    <x v="0"/>
    <n v="0"/>
    <x v="0"/>
    <n v="0"/>
    <n v="0"/>
    <n v="0"/>
    <x v="0"/>
    <x v="0"/>
    <x v="34"/>
    <n v="0"/>
    <x v="4"/>
    <x v="0"/>
  </r>
  <r>
    <x v="2"/>
    <x v="17"/>
    <x v="0"/>
    <n v="0"/>
    <x v="0"/>
    <n v="0"/>
    <n v="0"/>
    <n v="0"/>
    <x v="0"/>
    <x v="0"/>
    <x v="34"/>
    <n v="0"/>
    <x v="3"/>
    <x v="0"/>
  </r>
  <r>
    <x v="2"/>
    <x v="18"/>
    <x v="0"/>
    <n v="0"/>
    <x v="0"/>
    <n v="0"/>
    <n v="0"/>
    <n v="0"/>
    <x v="0"/>
    <x v="0"/>
    <x v="34"/>
    <n v="0"/>
    <x v="3"/>
    <x v="0"/>
  </r>
  <r>
    <x v="2"/>
    <x v="19"/>
    <x v="0"/>
    <n v="0"/>
    <x v="0"/>
    <n v="0"/>
    <n v="0"/>
    <n v="0"/>
    <x v="0"/>
    <x v="0"/>
    <x v="34"/>
    <n v="0"/>
    <x v="2"/>
    <x v="0"/>
  </r>
  <r>
    <x v="2"/>
    <x v="20"/>
    <x v="0"/>
    <n v="0"/>
    <x v="0"/>
    <n v="0"/>
    <n v="0"/>
    <n v="0"/>
    <x v="0"/>
    <x v="0"/>
    <x v="34"/>
    <n v="0"/>
    <x v="5"/>
    <x v="0"/>
  </r>
  <r>
    <x v="2"/>
    <x v="21"/>
    <x v="0"/>
    <n v="0"/>
    <x v="0"/>
    <n v="0"/>
    <n v="0"/>
    <n v="0"/>
    <x v="0"/>
    <x v="0"/>
    <x v="34"/>
    <n v="0"/>
    <x v="2"/>
    <x v="0"/>
  </r>
  <r>
    <x v="2"/>
    <x v="22"/>
    <x v="0"/>
    <n v="0"/>
    <x v="0"/>
    <n v="0"/>
    <n v="0"/>
    <n v="0"/>
    <x v="0"/>
    <x v="0"/>
    <x v="34"/>
    <n v="0"/>
    <x v="4"/>
    <x v="0"/>
  </r>
  <r>
    <x v="2"/>
    <x v="23"/>
    <x v="0"/>
    <n v="0"/>
    <x v="0"/>
    <n v="0"/>
    <n v="0"/>
    <n v="0"/>
    <x v="0"/>
    <x v="0"/>
    <x v="34"/>
    <n v="0"/>
    <x v="3"/>
    <x v="0"/>
  </r>
  <r>
    <x v="2"/>
    <x v="24"/>
    <x v="0"/>
    <n v="0"/>
    <x v="0"/>
    <n v="0"/>
    <n v="0"/>
    <n v="0"/>
    <x v="0"/>
    <x v="0"/>
    <x v="34"/>
    <n v="0"/>
    <x v="5"/>
    <x v="0"/>
  </r>
  <r>
    <x v="2"/>
    <x v="25"/>
    <x v="0"/>
    <n v="0"/>
    <x v="0"/>
    <n v="0"/>
    <n v="0"/>
    <n v="0"/>
    <x v="0"/>
    <x v="0"/>
    <x v="34"/>
    <n v="0"/>
    <x v="2"/>
    <x v="0"/>
  </r>
  <r>
    <x v="2"/>
    <x v="26"/>
    <x v="0"/>
    <n v="0"/>
    <x v="0"/>
    <n v="0"/>
    <n v="0"/>
    <n v="0"/>
    <x v="0"/>
    <x v="0"/>
    <x v="34"/>
    <n v="0"/>
    <x v="3"/>
    <x v="0"/>
  </r>
  <r>
    <x v="2"/>
    <x v="27"/>
    <x v="0"/>
    <n v="0"/>
    <x v="0"/>
    <n v="0"/>
    <n v="0"/>
    <n v="0"/>
    <x v="0"/>
    <x v="0"/>
    <x v="34"/>
    <n v="0"/>
    <x v="5"/>
    <x v="0"/>
  </r>
  <r>
    <x v="2"/>
    <x v="29"/>
    <x v="0"/>
    <n v="0"/>
    <x v="0"/>
    <n v="0"/>
    <n v="0"/>
    <n v="0"/>
    <x v="0"/>
    <x v="0"/>
    <x v="34"/>
    <n v="0"/>
    <x v="5"/>
    <x v="0"/>
  </r>
  <r>
    <x v="2"/>
    <x v="30"/>
    <x v="0"/>
    <n v="0"/>
    <x v="0"/>
    <n v="0"/>
    <n v="0"/>
    <n v="0"/>
    <x v="0"/>
    <x v="0"/>
    <x v="34"/>
    <n v="0"/>
    <x v="5"/>
    <x v="0"/>
  </r>
  <r>
    <x v="2"/>
    <x v="31"/>
    <x v="0"/>
    <n v="0"/>
    <x v="0"/>
    <n v="0"/>
    <n v="0"/>
    <n v="0"/>
    <x v="0"/>
    <x v="0"/>
    <x v="34"/>
    <n v="0"/>
    <x v="2"/>
    <x v="0"/>
  </r>
  <r>
    <x v="2"/>
    <x v="32"/>
    <x v="0"/>
    <n v="0"/>
    <x v="0"/>
    <n v="0"/>
    <n v="0"/>
    <n v="0"/>
    <x v="0"/>
    <x v="0"/>
    <x v="34"/>
    <n v="0"/>
    <x v="3"/>
    <x v="0"/>
  </r>
  <r>
    <x v="2"/>
    <x v="33"/>
    <x v="0"/>
    <n v="0"/>
    <x v="0"/>
    <n v="0"/>
    <n v="0"/>
    <n v="0"/>
    <x v="0"/>
    <x v="0"/>
    <x v="34"/>
    <n v="0"/>
    <x v="3"/>
    <x v="0"/>
  </r>
  <r>
    <x v="2"/>
    <x v="34"/>
    <x v="0"/>
    <n v="0"/>
    <x v="0"/>
    <n v="0"/>
    <n v="0"/>
    <n v="0"/>
    <x v="0"/>
    <x v="0"/>
    <x v="34"/>
    <n v="0"/>
    <x v="4"/>
    <x v="0"/>
  </r>
  <r>
    <x v="2"/>
    <x v="35"/>
    <x v="0"/>
    <n v="0"/>
    <x v="0"/>
    <n v="0"/>
    <n v="0"/>
    <n v="0"/>
    <x v="0"/>
    <x v="0"/>
    <x v="34"/>
    <n v="0"/>
    <x v="2"/>
    <x v="0"/>
  </r>
  <r>
    <x v="2"/>
    <x v="36"/>
    <x v="0"/>
    <n v="0"/>
    <x v="0"/>
    <n v="0"/>
    <n v="0"/>
    <n v="0"/>
    <x v="0"/>
    <x v="0"/>
    <x v="34"/>
    <n v="0"/>
    <x v="4"/>
    <x v="0"/>
  </r>
  <r>
    <x v="2"/>
    <x v="37"/>
    <x v="0"/>
    <n v="0"/>
    <x v="0"/>
    <n v="0"/>
    <n v="0"/>
    <n v="0"/>
    <x v="0"/>
    <x v="0"/>
    <x v="34"/>
    <n v="0"/>
    <x v="4"/>
    <x v="0"/>
  </r>
  <r>
    <x v="2"/>
    <x v="38"/>
    <x v="0"/>
    <n v="0"/>
    <x v="0"/>
    <n v="0"/>
    <n v="0"/>
    <n v="0"/>
    <x v="0"/>
    <x v="0"/>
    <x v="34"/>
    <n v="0"/>
    <x v="2"/>
    <x v="0"/>
  </r>
  <r>
    <x v="2"/>
    <x v="39"/>
    <x v="0"/>
    <n v="0"/>
    <x v="0"/>
    <n v="0"/>
    <n v="0"/>
    <n v="0"/>
    <x v="0"/>
    <x v="0"/>
    <x v="34"/>
    <n v="0"/>
    <x v="2"/>
    <x v="0"/>
  </r>
  <r>
    <x v="2"/>
    <x v="40"/>
    <x v="0"/>
    <n v="0"/>
    <x v="0"/>
    <n v="0"/>
    <n v="0"/>
    <n v="0"/>
    <x v="0"/>
    <x v="0"/>
    <x v="34"/>
    <n v="0"/>
    <x v="3"/>
    <x v="0"/>
  </r>
  <r>
    <x v="2"/>
    <x v="41"/>
    <x v="0"/>
    <n v="0"/>
    <x v="0"/>
    <n v="0"/>
    <n v="0"/>
    <n v="0"/>
    <x v="0"/>
    <x v="0"/>
    <x v="34"/>
    <n v="0"/>
    <x v="5"/>
    <x v="0"/>
  </r>
  <r>
    <x v="2"/>
    <x v="42"/>
    <x v="0"/>
    <n v="0"/>
    <x v="0"/>
    <n v="0"/>
    <n v="0"/>
    <n v="0"/>
    <x v="0"/>
    <x v="0"/>
    <x v="34"/>
    <n v="0"/>
    <x v="2"/>
    <x v="0"/>
  </r>
  <r>
    <x v="2"/>
    <x v="43"/>
    <x v="0"/>
    <n v="0"/>
    <x v="0"/>
    <n v="0"/>
    <n v="0"/>
    <n v="0"/>
    <x v="0"/>
    <x v="0"/>
    <x v="34"/>
    <n v="0"/>
    <x v="3"/>
    <x v="0"/>
  </r>
  <r>
    <x v="2"/>
    <x v="44"/>
    <x v="0"/>
    <n v="0"/>
    <x v="0"/>
    <n v="0"/>
    <n v="0"/>
    <n v="0"/>
    <x v="0"/>
    <x v="0"/>
    <x v="34"/>
    <n v="0"/>
    <x v="3"/>
    <x v="0"/>
  </r>
  <r>
    <x v="2"/>
    <x v="45"/>
    <x v="0"/>
    <n v="0"/>
    <x v="0"/>
    <n v="0"/>
    <n v="0"/>
    <n v="0"/>
    <x v="0"/>
    <x v="0"/>
    <x v="34"/>
    <n v="0"/>
    <x v="4"/>
    <x v="0"/>
  </r>
  <r>
    <x v="2"/>
    <x v="46"/>
    <x v="0"/>
    <n v="0"/>
    <x v="0"/>
    <n v="0"/>
    <n v="0"/>
    <n v="0"/>
    <x v="0"/>
    <x v="0"/>
    <x v="34"/>
    <n v="0"/>
    <x v="4"/>
    <x v="0"/>
  </r>
  <r>
    <x v="2"/>
    <x v="47"/>
    <x v="0"/>
    <n v="0"/>
    <x v="0"/>
    <n v="0"/>
    <n v="0"/>
    <n v="0"/>
    <x v="0"/>
    <x v="0"/>
    <x v="34"/>
    <n v="0"/>
    <x v="5"/>
    <x v="0"/>
  </r>
  <r>
    <x v="2"/>
    <x v="48"/>
    <x v="0"/>
    <n v="0"/>
    <x v="0"/>
    <n v="0"/>
    <n v="0"/>
    <n v="0"/>
    <x v="0"/>
    <x v="0"/>
    <x v="34"/>
    <n v="0"/>
    <x v="6"/>
    <x v="0"/>
  </r>
  <r>
    <x v="2"/>
    <x v="49"/>
    <x v="0"/>
    <n v="0"/>
    <x v="0"/>
    <n v="0"/>
    <n v="0"/>
    <n v="0"/>
    <x v="0"/>
    <x v="0"/>
    <x v="34"/>
    <n v="0"/>
    <x v="3"/>
    <x v="0"/>
  </r>
  <r>
    <x v="2"/>
    <x v="50"/>
    <x v="0"/>
    <n v="0"/>
    <x v="0"/>
    <n v="0"/>
    <n v="0"/>
    <n v="0"/>
    <x v="0"/>
    <x v="0"/>
    <x v="34"/>
    <n v="0"/>
    <x v="4"/>
    <x v="0"/>
  </r>
  <r>
    <x v="0"/>
    <x v="3"/>
    <x v="181"/>
    <n v="7.1"/>
    <x v="627"/>
    <n v="4.96"/>
    <n v="2.89"/>
    <n v="7.85"/>
    <x v="715"/>
    <x v="626"/>
    <x v="35"/>
    <n v="15"/>
    <x v="0"/>
    <x v="1"/>
  </r>
  <r>
    <x v="0"/>
    <x v="4"/>
    <x v="412"/>
    <n v="5.22"/>
    <x v="628"/>
    <n v="7.75"/>
    <n v="0.2"/>
    <n v="7.95"/>
    <x v="716"/>
    <x v="627"/>
    <x v="35"/>
    <n v="67.160000004000011"/>
    <x v="0"/>
    <x v="1"/>
  </r>
  <r>
    <x v="0"/>
    <x v="6"/>
    <x v="150"/>
    <n v="3.68"/>
    <x v="629"/>
    <n v="7.75"/>
    <n v="0.2"/>
    <n v="7.95"/>
    <x v="716"/>
    <x v="628"/>
    <x v="35"/>
    <n v="49.92"/>
    <x v="0"/>
    <x v="1"/>
  </r>
  <r>
    <x v="0"/>
    <x v="7"/>
    <x v="86"/>
    <n v="7.09"/>
    <x v="630"/>
    <n v="4.96"/>
    <n v="2.91"/>
    <n v="7.87"/>
    <x v="717"/>
    <x v="233"/>
    <x v="35"/>
    <n v="15.12"/>
    <x v="0"/>
    <x v="1"/>
  </r>
  <r>
    <x v="1"/>
    <x v="11"/>
    <x v="413"/>
    <n v="5.7"/>
    <x v="631"/>
    <n v="3.86"/>
    <n v="4.13"/>
    <n v="7.99"/>
    <x v="718"/>
    <x v="629"/>
    <x v="35"/>
    <n v="138.47999999999999"/>
    <x v="1"/>
    <x v="1"/>
  </r>
  <r>
    <x v="1"/>
    <x v="12"/>
    <x v="414"/>
    <n v="3.85"/>
    <x v="632"/>
    <n v="3.63"/>
    <n v="4.3600000000000003"/>
    <n v="7.99"/>
    <x v="719"/>
    <x v="630"/>
    <x v="35"/>
    <n v="79.640000004000001"/>
    <x v="1"/>
    <x v="1"/>
  </r>
  <r>
    <x v="1"/>
    <x v="13"/>
    <x v="132"/>
    <n v="3.08"/>
    <x v="633"/>
    <n v="3.63"/>
    <n v="4.3600000000000003"/>
    <n v="7.99"/>
    <x v="719"/>
    <x v="631"/>
    <x v="35"/>
    <n v="23.4"/>
    <x v="1"/>
    <x v="1"/>
  </r>
  <r>
    <x v="2"/>
    <x v="14"/>
    <x v="415"/>
    <n v="6.68"/>
    <x v="634"/>
    <n v="7.73"/>
    <n v="0.33"/>
    <n v="8.06"/>
    <x v="720"/>
    <x v="632"/>
    <x v="35"/>
    <n v="115.59999999599999"/>
    <x v="2"/>
    <x v="1"/>
  </r>
  <r>
    <x v="2"/>
    <x v="15"/>
    <x v="0"/>
    <n v="0"/>
    <x v="0"/>
    <n v="6.88"/>
    <n v="1.19"/>
    <n v="8.07"/>
    <x v="22"/>
    <x v="0"/>
    <x v="35"/>
    <n v="0"/>
    <x v="3"/>
    <x v="1"/>
  </r>
  <r>
    <x v="2"/>
    <x v="16"/>
    <x v="185"/>
    <n v="4.6100000000000003"/>
    <x v="635"/>
    <n v="7.68"/>
    <n v="0.41"/>
    <n v="8.09"/>
    <x v="721"/>
    <x v="633"/>
    <x v="35"/>
    <n v="36.36"/>
    <x v="4"/>
    <x v="1"/>
  </r>
  <r>
    <x v="2"/>
    <x v="18"/>
    <x v="416"/>
    <n v="3.61"/>
    <x v="636"/>
    <n v="5.9"/>
    <n v="2.11"/>
    <n v="8.01"/>
    <x v="722"/>
    <x v="634"/>
    <x v="35"/>
    <n v="77.240000003999995"/>
    <x v="3"/>
    <x v="1"/>
  </r>
  <r>
    <x v="2"/>
    <x v="19"/>
    <x v="0"/>
    <n v="0"/>
    <x v="0"/>
    <n v="0"/>
    <n v="0"/>
    <n v="0"/>
    <x v="0"/>
    <x v="0"/>
    <x v="35"/>
    <n v="0"/>
    <x v="2"/>
    <x v="0"/>
  </r>
  <r>
    <x v="2"/>
    <x v="23"/>
    <x v="380"/>
    <n v="3.48"/>
    <x v="637"/>
    <n v="8.23"/>
    <n v="3.27"/>
    <n v="11.5"/>
    <x v="723"/>
    <x v="635"/>
    <x v="35"/>
    <n v="38.000000004"/>
    <x v="3"/>
    <x v="1"/>
  </r>
  <r>
    <x v="2"/>
    <x v="24"/>
    <x v="417"/>
    <n v="5.99"/>
    <x v="638"/>
    <n v="6.58"/>
    <n v="1.49"/>
    <n v="8.07"/>
    <x v="553"/>
    <x v="636"/>
    <x v="35"/>
    <n v="107.76000000000002"/>
    <x v="5"/>
    <x v="1"/>
  </r>
  <r>
    <x v="2"/>
    <x v="29"/>
    <x v="73"/>
    <n v="3.25"/>
    <x v="639"/>
    <n v="3.25"/>
    <n v="0.73"/>
    <n v="3.98"/>
    <x v="724"/>
    <x v="637"/>
    <x v="35"/>
    <n v="60"/>
    <x v="5"/>
    <x v="1"/>
  </r>
  <r>
    <x v="2"/>
    <x v="30"/>
    <x v="0"/>
    <n v="0"/>
    <x v="0"/>
    <n v="0"/>
    <n v="0"/>
    <n v="0"/>
    <x v="0"/>
    <x v="0"/>
    <x v="35"/>
    <n v="0"/>
    <x v="5"/>
    <x v="0"/>
  </r>
  <r>
    <x v="2"/>
    <x v="31"/>
    <x v="418"/>
    <n v="7.29"/>
    <x v="640"/>
    <n v="6.82"/>
    <n v="1.25"/>
    <n v="8.07"/>
    <x v="725"/>
    <x v="638"/>
    <x v="35"/>
    <n v="80.000000004"/>
    <x v="2"/>
    <x v="1"/>
  </r>
  <r>
    <x v="2"/>
    <x v="33"/>
    <x v="419"/>
    <n v="5.55"/>
    <x v="641"/>
    <n v="7.57"/>
    <n v="0.55000000000000004"/>
    <n v="8.1199999999999992"/>
    <x v="726"/>
    <x v="367"/>
    <x v="35"/>
    <n v="46.559999999999995"/>
    <x v="3"/>
    <x v="1"/>
  </r>
  <r>
    <x v="2"/>
    <x v="34"/>
    <x v="3"/>
    <n v="3.48"/>
    <x v="642"/>
    <n v="8.18"/>
    <n v="1.93"/>
    <n v="10.11"/>
    <x v="727"/>
    <x v="639"/>
    <x v="35"/>
    <n v="18"/>
    <x v="4"/>
    <x v="1"/>
  </r>
  <r>
    <x v="2"/>
    <x v="35"/>
    <x v="418"/>
    <n v="2.46"/>
    <x v="643"/>
    <n v="7.53"/>
    <n v="1.1200000000000001"/>
    <n v="8.65"/>
    <x v="728"/>
    <x v="640"/>
    <x v="35"/>
    <n v="80.000000004"/>
    <x v="2"/>
    <x v="1"/>
  </r>
  <r>
    <x v="2"/>
    <x v="37"/>
    <x v="4"/>
    <n v="0.62"/>
    <x v="644"/>
    <n v="7.62"/>
    <n v="0.64"/>
    <n v="8.26"/>
    <x v="729"/>
    <x v="641"/>
    <x v="35"/>
    <n v="12"/>
    <x v="4"/>
    <x v="1"/>
  </r>
  <r>
    <x v="2"/>
    <x v="38"/>
    <x v="420"/>
    <n v="6.93"/>
    <x v="645"/>
    <n v="6.52"/>
    <n v="1.43"/>
    <n v="7.95"/>
    <x v="730"/>
    <x v="642"/>
    <x v="35"/>
    <n v="144.99999996000003"/>
    <x v="2"/>
    <x v="1"/>
  </r>
  <r>
    <x v="2"/>
    <x v="39"/>
    <x v="296"/>
    <n v="4.5199999999999996"/>
    <x v="646"/>
    <n v="4.8899999999999997"/>
    <n v="3.18"/>
    <n v="8.07"/>
    <x v="731"/>
    <x v="643"/>
    <x v="35"/>
    <n v="75.999999996"/>
    <x v="2"/>
    <x v="1"/>
  </r>
  <r>
    <x v="2"/>
    <x v="41"/>
    <x v="421"/>
    <n v="4.25"/>
    <x v="647"/>
    <n v="8.36"/>
    <n v="0.37"/>
    <n v="8.73"/>
    <x v="732"/>
    <x v="644"/>
    <x v="35"/>
    <n v="47.960000004000001"/>
    <x v="5"/>
    <x v="1"/>
  </r>
  <r>
    <x v="2"/>
    <x v="42"/>
    <x v="92"/>
    <n v="4.58"/>
    <x v="648"/>
    <n v="7.51"/>
    <n v="0.65"/>
    <n v="8.16"/>
    <x v="561"/>
    <x v="645"/>
    <x v="35"/>
    <n v="69"/>
    <x v="2"/>
    <x v="1"/>
  </r>
  <r>
    <x v="2"/>
    <x v="43"/>
    <x v="422"/>
    <n v="4.03"/>
    <x v="649"/>
    <n v="5.04"/>
    <n v="2.98"/>
    <n v="8.02"/>
    <x v="733"/>
    <x v="646"/>
    <x v="35"/>
    <n v="69.999999996"/>
    <x v="3"/>
    <x v="1"/>
  </r>
  <r>
    <x v="2"/>
    <x v="44"/>
    <x v="0"/>
    <n v="0"/>
    <x v="0"/>
    <n v="6.64"/>
    <n v="1.55"/>
    <n v="8.19"/>
    <x v="734"/>
    <x v="0"/>
    <x v="35"/>
    <n v="0"/>
    <x v="3"/>
    <x v="1"/>
  </r>
  <r>
    <x v="2"/>
    <x v="46"/>
    <x v="423"/>
    <n v="7.58"/>
    <x v="650"/>
    <n v="7.71"/>
    <n v="0.4"/>
    <n v="8.11"/>
    <x v="735"/>
    <x v="647"/>
    <x v="35"/>
    <n v="49.679999999999993"/>
    <x v="4"/>
    <x v="1"/>
  </r>
  <r>
    <x v="2"/>
    <x v="47"/>
    <x v="327"/>
    <n v="4.1900000000000004"/>
    <x v="651"/>
    <n v="7.63"/>
    <n v="0.38"/>
    <n v="8.01"/>
    <x v="736"/>
    <x v="648"/>
    <x v="35"/>
    <n v="72.999999996"/>
    <x v="5"/>
    <x v="1"/>
  </r>
  <r>
    <x v="2"/>
    <x v="48"/>
    <x v="0"/>
    <n v="0"/>
    <x v="0"/>
    <n v="0"/>
    <n v="0"/>
    <n v="0"/>
    <x v="0"/>
    <x v="0"/>
    <x v="35"/>
    <n v="0"/>
    <x v="6"/>
    <x v="0"/>
  </r>
  <r>
    <x v="2"/>
    <x v="50"/>
    <x v="306"/>
    <n v="4.41"/>
    <x v="652"/>
    <n v="8.33"/>
    <n v="1.19"/>
    <n v="9.52"/>
    <x v="737"/>
    <x v="649"/>
    <x v="35"/>
    <n v="66.999999996"/>
    <x v="4"/>
    <x v="1"/>
  </r>
  <r>
    <x v="0"/>
    <x v="0"/>
    <x v="0"/>
    <n v="0"/>
    <x v="0"/>
    <n v="3.4"/>
    <n v="4.6500000000000004"/>
    <n v="8.0500000000000007"/>
    <x v="738"/>
    <x v="0"/>
    <x v="36"/>
    <n v="0"/>
    <x v="0"/>
    <x v="1"/>
  </r>
  <r>
    <x v="0"/>
    <x v="3"/>
    <x v="0"/>
    <n v="0"/>
    <x v="0"/>
    <n v="0"/>
    <n v="8.1"/>
    <n v="8.1"/>
    <x v="0"/>
    <x v="0"/>
    <x v="36"/>
    <n v="0"/>
    <x v="0"/>
    <x v="1"/>
  </r>
  <r>
    <x v="0"/>
    <x v="5"/>
    <x v="286"/>
    <n v="7.68"/>
    <x v="653"/>
    <n v="7.74"/>
    <n v="0.26"/>
    <n v="8"/>
    <x v="739"/>
    <x v="650"/>
    <x v="36"/>
    <n v="18.36"/>
    <x v="0"/>
    <x v="1"/>
  </r>
  <r>
    <x v="0"/>
    <x v="7"/>
    <x v="0"/>
    <n v="0"/>
    <x v="0"/>
    <n v="0"/>
    <n v="8.1"/>
    <n v="8.1"/>
    <x v="0"/>
    <x v="0"/>
    <x v="36"/>
    <n v="0"/>
    <x v="0"/>
    <x v="1"/>
  </r>
  <r>
    <x v="0"/>
    <x v="8"/>
    <x v="285"/>
    <n v="3.73"/>
    <x v="654"/>
    <n v="3.47"/>
    <n v="4.58"/>
    <n v="8.0500000000000007"/>
    <x v="740"/>
    <x v="651"/>
    <x v="36"/>
    <n v="53.000000004"/>
    <x v="0"/>
    <x v="1"/>
  </r>
  <r>
    <x v="1"/>
    <x v="9"/>
    <x v="0"/>
    <n v="0"/>
    <x v="0"/>
    <n v="2.97"/>
    <n v="5.1100000000000003"/>
    <n v="8.08"/>
    <x v="741"/>
    <x v="0"/>
    <x v="36"/>
    <n v="0"/>
    <x v="1"/>
    <x v="1"/>
  </r>
  <r>
    <x v="1"/>
    <x v="11"/>
    <x v="389"/>
    <n v="7.06"/>
    <x v="655"/>
    <n v="2.97"/>
    <n v="5.13"/>
    <n v="8.1"/>
    <x v="742"/>
    <x v="652"/>
    <x v="36"/>
    <n v="176.00000003999997"/>
    <x v="1"/>
    <x v="1"/>
  </r>
  <r>
    <x v="1"/>
    <x v="12"/>
    <x v="0"/>
    <n v="0"/>
    <x v="0"/>
    <n v="2.15"/>
    <n v="6.01"/>
    <n v="8.16"/>
    <x v="743"/>
    <x v="0"/>
    <x v="36"/>
    <n v="0"/>
    <x v="1"/>
    <x v="1"/>
  </r>
  <r>
    <x v="1"/>
    <x v="13"/>
    <x v="0"/>
    <n v="0"/>
    <x v="0"/>
    <n v="3.17"/>
    <n v="4.9400000000000004"/>
    <n v="8.11"/>
    <x v="744"/>
    <x v="0"/>
    <x v="36"/>
    <n v="0"/>
    <x v="1"/>
    <x v="1"/>
  </r>
  <r>
    <x v="2"/>
    <x v="15"/>
    <x v="29"/>
    <n v="2.2400000000000002"/>
    <x v="656"/>
    <n v="7.58"/>
    <n v="0.45"/>
    <n v="8.0299999999999994"/>
    <x v="745"/>
    <x v="653"/>
    <x v="36"/>
    <n v="24"/>
    <x v="3"/>
    <x v="1"/>
  </r>
  <r>
    <x v="2"/>
    <x v="16"/>
    <x v="381"/>
    <n v="3.66"/>
    <x v="657"/>
    <n v="7.71"/>
    <n v="0.33"/>
    <n v="8.0399999999999991"/>
    <x v="746"/>
    <x v="654"/>
    <x v="36"/>
    <n v="12.999999996"/>
    <x v="4"/>
    <x v="1"/>
  </r>
  <r>
    <x v="2"/>
    <x v="17"/>
    <x v="0"/>
    <n v="0"/>
    <x v="0"/>
    <n v="0"/>
    <n v="0"/>
    <n v="0"/>
    <x v="0"/>
    <x v="0"/>
    <x v="36"/>
    <n v="0"/>
    <x v="3"/>
    <x v="0"/>
  </r>
  <r>
    <x v="2"/>
    <x v="19"/>
    <x v="0"/>
    <n v="0"/>
    <x v="0"/>
    <n v="0"/>
    <n v="0"/>
    <n v="0"/>
    <x v="0"/>
    <x v="0"/>
    <x v="36"/>
    <n v="0"/>
    <x v="2"/>
    <x v="0"/>
  </r>
  <r>
    <x v="2"/>
    <x v="21"/>
    <x v="424"/>
    <n v="7.59"/>
    <x v="658"/>
    <n v="7.52"/>
    <n v="0.65"/>
    <n v="8.17"/>
    <x v="747"/>
    <x v="655"/>
    <x v="36"/>
    <n v="109.52000000400001"/>
    <x v="2"/>
    <x v="1"/>
  </r>
  <r>
    <x v="2"/>
    <x v="22"/>
    <x v="285"/>
    <n v="4.1100000000000003"/>
    <x v="659"/>
    <n v="8.0399999999999991"/>
    <n v="0.2"/>
    <n v="8.24"/>
    <x v="748"/>
    <x v="656"/>
    <x v="36"/>
    <n v="53.000000004"/>
    <x v="4"/>
    <x v="1"/>
  </r>
  <r>
    <x v="2"/>
    <x v="23"/>
    <x v="260"/>
    <n v="5.85"/>
    <x v="660"/>
    <n v="0.88"/>
    <n v="9.1199999999999992"/>
    <n v="10"/>
    <x v="749"/>
    <x v="657"/>
    <x v="36"/>
    <n v="48"/>
    <x v="3"/>
    <x v="1"/>
  </r>
  <r>
    <x v="2"/>
    <x v="24"/>
    <x v="425"/>
    <n v="7.75"/>
    <x v="661"/>
    <n v="6.97"/>
    <n v="2.5299999999999998"/>
    <n v="9.5"/>
    <x v="750"/>
    <x v="658"/>
    <x v="36"/>
    <n v="103.31999999999998"/>
    <x v="5"/>
    <x v="1"/>
  </r>
  <r>
    <x v="2"/>
    <x v="25"/>
    <x v="231"/>
    <n v="3.65"/>
    <x v="662"/>
    <n v="7.37"/>
    <n v="0.62"/>
    <n v="7.99"/>
    <x v="751"/>
    <x v="659"/>
    <x v="36"/>
    <n v="93"/>
    <x v="2"/>
    <x v="1"/>
  </r>
  <r>
    <x v="2"/>
    <x v="26"/>
    <x v="426"/>
    <n v="6.74"/>
    <x v="663"/>
    <n v="6.7"/>
    <n v="1.28"/>
    <n v="7.98"/>
    <x v="752"/>
    <x v="660"/>
    <x v="36"/>
    <n v="84.72"/>
    <x v="3"/>
    <x v="1"/>
  </r>
  <r>
    <x v="2"/>
    <x v="27"/>
    <x v="427"/>
    <n v="8.57"/>
    <x v="664"/>
    <n v="6.94"/>
    <n v="2.57"/>
    <n v="9.51"/>
    <x v="753"/>
    <x v="661"/>
    <x v="36"/>
    <n v="126.87999996000001"/>
    <x v="5"/>
    <x v="1"/>
  </r>
  <r>
    <x v="2"/>
    <x v="29"/>
    <x v="428"/>
    <n v="4.54"/>
    <x v="665"/>
    <n v="6.35"/>
    <n v="1.62"/>
    <n v="7.97"/>
    <x v="754"/>
    <x v="662"/>
    <x v="36"/>
    <n v="87.800000003999997"/>
    <x v="5"/>
    <x v="1"/>
  </r>
  <r>
    <x v="2"/>
    <x v="30"/>
    <x v="0"/>
    <n v="0"/>
    <x v="0"/>
    <n v="0"/>
    <n v="0"/>
    <n v="0"/>
    <x v="0"/>
    <x v="0"/>
    <x v="36"/>
    <n v="0"/>
    <x v="5"/>
    <x v="0"/>
  </r>
  <r>
    <x v="2"/>
    <x v="33"/>
    <x v="429"/>
    <n v="3.67"/>
    <x v="666"/>
    <n v="4.55"/>
    <n v="3.42"/>
    <n v="7.97"/>
    <x v="755"/>
    <x v="663"/>
    <x v="36"/>
    <n v="59.919999996000001"/>
    <x v="3"/>
    <x v="1"/>
  </r>
  <r>
    <x v="2"/>
    <x v="34"/>
    <x v="342"/>
    <n v="3.9"/>
    <x v="667"/>
    <n v="6.32"/>
    <n v="1.95"/>
    <n v="8.27"/>
    <x v="756"/>
    <x v="664"/>
    <x v="36"/>
    <n v="50.000000004"/>
    <x v="4"/>
    <x v="1"/>
  </r>
  <r>
    <x v="2"/>
    <x v="36"/>
    <x v="22"/>
    <n v="2.35"/>
    <x v="668"/>
    <n v="9.33"/>
    <n v="2.0699999999999998"/>
    <n v="11.4"/>
    <x v="757"/>
    <x v="665"/>
    <x v="36"/>
    <n v="36"/>
    <x v="4"/>
    <x v="1"/>
  </r>
  <r>
    <x v="2"/>
    <x v="37"/>
    <x v="430"/>
    <n v="4.28"/>
    <x v="669"/>
    <n v="6.94"/>
    <n v="1.56"/>
    <n v="8.5"/>
    <x v="758"/>
    <x v="666"/>
    <x v="36"/>
    <n v="41.000000004"/>
    <x v="4"/>
    <x v="1"/>
  </r>
  <r>
    <x v="2"/>
    <x v="39"/>
    <x v="431"/>
    <n v="7.02"/>
    <x v="670"/>
    <n v="5.95"/>
    <n v="2.2200000000000002"/>
    <n v="8.17"/>
    <x v="759"/>
    <x v="667"/>
    <x v="36"/>
    <n v="104.000000004"/>
    <x v="2"/>
    <x v="1"/>
  </r>
  <r>
    <x v="2"/>
    <x v="40"/>
    <x v="432"/>
    <n v="5.62"/>
    <x v="671"/>
    <n v="5.57"/>
    <n v="2.39"/>
    <n v="7.96"/>
    <x v="591"/>
    <x v="668"/>
    <x v="36"/>
    <n v="87.47999999999999"/>
    <x v="3"/>
    <x v="1"/>
  </r>
  <r>
    <x v="2"/>
    <x v="43"/>
    <x v="203"/>
    <n v="9.5399999999999991"/>
    <x v="672"/>
    <n v="6.15"/>
    <n v="3.45"/>
    <n v="9.6"/>
    <x v="760"/>
    <x v="669"/>
    <x v="36"/>
    <n v="124.56000000000002"/>
    <x v="3"/>
    <x v="1"/>
  </r>
  <r>
    <x v="2"/>
    <x v="44"/>
    <x v="181"/>
    <n v="1.22"/>
    <x v="673"/>
    <n v="5.1100000000000003"/>
    <n v="2.89"/>
    <n v="8"/>
    <x v="761"/>
    <x v="670"/>
    <x v="36"/>
    <n v="15"/>
    <x v="3"/>
    <x v="1"/>
  </r>
  <r>
    <x v="2"/>
    <x v="45"/>
    <x v="0"/>
    <n v="0"/>
    <x v="0"/>
    <n v="0"/>
    <n v="0"/>
    <n v="0"/>
    <x v="0"/>
    <x v="0"/>
    <x v="36"/>
    <n v="0"/>
    <x v="4"/>
    <x v="0"/>
  </r>
  <r>
    <x v="2"/>
    <x v="46"/>
    <x v="24"/>
    <n v="5.64"/>
    <x v="674"/>
    <n v="7.71"/>
    <n v="0.31"/>
    <n v="8.02"/>
    <x v="762"/>
    <x v="671"/>
    <x v="36"/>
    <n v="30"/>
    <x v="4"/>
    <x v="1"/>
  </r>
  <r>
    <x v="2"/>
    <x v="48"/>
    <x v="0"/>
    <n v="0"/>
    <x v="0"/>
    <n v="0"/>
    <n v="0"/>
    <n v="0"/>
    <x v="0"/>
    <x v="0"/>
    <x v="36"/>
    <n v="0"/>
    <x v="6"/>
    <x v="0"/>
  </r>
  <r>
    <x v="2"/>
    <x v="50"/>
    <x v="433"/>
    <n v="5.27"/>
    <x v="675"/>
    <n v="10.220000000000001"/>
    <n v="0.3"/>
    <n v="10.52"/>
    <x v="763"/>
    <x v="672"/>
    <x v="36"/>
    <n v="60.999999996"/>
    <x v="4"/>
    <x v="1"/>
  </r>
  <r>
    <x v="0"/>
    <x v="1"/>
    <x v="434"/>
    <n v="3.88"/>
    <x v="676"/>
    <n v="0"/>
    <n v="8.0399999999999991"/>
    <n v="8.0399999999999991"/>
    <x v="0"/>
    <x v="673"/>
    <x v="37"/>
    <n v="13.679999999999998"/>
    <x v="0"/>
    <x v="1"/>
  </r>
  <r>
    <x v="0"/>
    <x v="2"/>
    <x v="434"/>
    <n v="3.88"/>
    <x v="676"/>
    <n v="0"/>
    <n v="8.0299999999999994"/>
    <n v="8.0299999999999994"/>
    <x v="0"/>
    <x v="674"/>
    <x v="37"/>
    <n v="13.679999999999998"/>
    <x v="0"/>
    <x v="1"/>
  </r>
  <r>
    <x v="0"/>
    <x v="3"/>
    <x v="243"/>
    <n v="5.4"/>
    <x v="677"/>
    <n v="0"/>
    <n v="8.0399999999999991"/>
    <n v="8.0399999999999991"/>
    <x v="0"/>
    <x v="567"/>
    <x v="37"/>
    <n v="32.28"/>
    <x v="0"/>
    <x v="1"/>
  </r>
  <r>
    <x v="0"/>
    <x v="5"/>
    <x v="434"/>
    <n v="3.88"/>
    <x v="676"/>
    <n v="0"/>
    <n v="8.0399999999999991"/>
    <n v="8.0399999999999991"/>
    <x v="0"/>
    <x v="673"/>
    <x v="37"/>
    <n v="13.679999999999998"/>
    <x v="0"/>
    <x v="1"/>
  </r>
  <r>
    <x v="0"/>
    <x v="8"/>
    <x v="435"/>
    <n v="7.02"/>
    <x v="678"/>
    <n v="0"/>
    <n v="8.0500000000000007"/>
    <n v="8.0500000000000007"/>
    <x v="0"/>
    <x v="675"/>
    <x v="37"/>
    <n v="47.760000000000005"/>
    <x v="0"/>
    <x v="1"/>
  </r>
  <r>
    <x v="1"/>
    <x v="9"/>
    <x v="0"/>
    <n v="0"/>
    <x v="0"/>
    <n v="3.05"/>
    <n v="4.99"/>
    <n v="8.0399999999999991"/>
    <x v="764"/>
    <x v="0"/>
    <x v="37"/>
    <n v="0"/>
    <x v="1"/>
    <x v="1"/>
  </r>
  <r>
    <x v="1"/>
    <x v="11"/>
    <x v="436"/>
    <n v="5.72"/>
    <x v="679"/>
    <n v="0"/>
    <n v="8.0500000000000007"/>
    <n v="8.0500000000000007"/>
    <x v="0"/>
    <x v="676"/>
    <x v="37"/>
    <n v="119.88"/>
    <x v="1"/>
    <x v="1"/>
  </r>
  <r>
    <x v="1"/>
    <x v="12"/>
    <x v="311"/>
    <n v="4.38"/>
    <x v="680"/>
    <n v="0"/>
    <n v="8.0500000000000007"/>
    <n v="8.0500000000000007"/>
    <x v="0"/>
    <x v="677"/>
    <x v="37"/>
    <n v="39.119999999999997"/>
    <x v="1"/>
    <x v="1"/>
  </r>
  <r>
    <x v="2"/>
    <x v="14"/>
    <x v="437"/>
    <n v="7.39"/>
    <x v="681"/>
    <n v="6.74"/>
    <n v="1.26"/>
    <n v="8"/>
    <x v="480"/>
    <x v="678"/>
    <x v="37"/>
    <n v="142.71999996000002"/>
    <x v="2"/>
    <x v="1"/>
  </r>
  <r>
    <x v="2"/>
    <x v="17"/>
    <x v="0"/>
    <n v="0"/>
    <x v="0"/>
    <n v="0"/>
    <n v="0"/>
    <n v="0"/>
    <x v="0"/>
    <x v="0"/>
    <x v="37"/>
    <n v="0"/>
    <x v="3"/>
    <x v="0"/>
  </r>
  <r>
    <x v="2"/>
    <x v="19"/>
    <x v="0"/>
    <n v="0"/>
    <x v="0"/>
    <n v="0"/>
    <n v="0"/>
    <n v="0"/>
    <x v="0"/>
    <x v="0"/>
    <x v="37"/>
    <n v="0"/>
    <x v="2"/>
    <x v="0"/>
  </r>
  <r>
    <x v="2"/>
    <x v="21"/>
    <x v="438"/>
    <n v="6.05"/>
    <x v="682"/>
    <n v="5.78"/>
    <n v="2.27"/>
    <n v="8.0500000000000007"/>
    <x v="765"/>
    <x v="679"/>
    <x v="37"/>
    <n v="118.280000004"/>
    <x v="2"/>
    <x v="1"/>
  </r>
  <r>
    <x v="2"/>
    <x v="24"/>
    <x v="439"/>
    <n v="7.49"/>
    <x v="683"/>
    <n v="6.47"/>
    <n v="1.02"/>
    <n v="7.49"/>
    <x v="766"/>
    <x v="680"/>
    <x v="37"/>
    <n v="109.64000000400002"/>
    <x v="5"/>
    <x v="1"/>
  </r>
  <r>
    <x v="2"/>
    <x v="25"/>
    <x v="440"/>
    <n v="6.33"/>
    <x v="684"/>
    <n v="6.33"/>
    <n v="1.67"/>
    <n v="8"/>
    <x v="767"/>
    <x v="681"/>
    <x v="37"/>
    <n v="160.95999996"/>
    <x v="2"/>
    <x v="1"/>
  </r>
  <r>
    <x v="2"/>
    <x v="30"/>
    <x v="0"/>
    <n v="0"/>
    <x v="0"/>
    <n v="0"/>
    <n v="0"/>
    <n v="0"/>
    <x v="0"/>
    <x v="0"/>
    <x v="37"/>
    <n v="0"/>
    <x v="5"/>
    <x v="0"/>
  </r>
  <r>
    <x v="2"/>
    <x v="31"/>
    <x v="19"/>
    <n v="4.76"/>
    <x v="685"/>
    <n v="4.76"/>
    <n v="3.25"/>
    <n v="8.01"/>
    <x v="768"/>
    <x v="682"/>
    <x v="37"/>
    <n v="99"/>
    <x v="2"/>
    <x v="1"/>
  </r>
  <r>
    <x v="2"/>
    <x v="32"/>
    <x v="441"/>
    <n v="6.37"/>
    <x v="686"/>
    <n v="4.32"/>
    <n v="3.86"/>
    <n v="8.18"/>
    <x v="769"/>
    <x v="683"/>
    <x v="37"/>
    <n v="94.599999996000008"/>
    <x v="3"/>
    <x v="1"/>
  </r>
  <r>
    <x v="2"/>
    <x v="34"/>
    <x v="442"/>
    <n v="7.35"/>
    <x v="687"/>
    <n v="3.85"/>
    <n v="4.3"/>
    <n v="8.15"/>
    <x v="770"/>
    <x v="684"/>
    <x v="37"/>
    <n v="86.079999995999998"/>
    <x v="4"/>
    <x v="1"/>
  </r>
  <r>
    <x v="2"/>
    <x v="39"/>
    <x v="422"/>
    <n v="2.87"/>
    <x v="688"/>
    <n v="2.87"/>
    <n v="1.03"/>
    <n v="3.9"/>
    <x v="771"/>
    <x v="685"/>
    <x v="37"/>
    <n v="69.999999996"/>
    <x v="2"/>
    <x v="1"/>
  </r>
  <r>
    <x v="2"/>
    <x v="44"/>
    <x v="443"/>
    <n v="8.1"/>
    <x v="689"/>
    <n v="3.32"/>
    <n v="5.44"/>
    <n v="8.76"/>
    <x v="772"/>
    <x v="686"/>
    <x v="37"/>
    <n v="136.76000003999999"/>
    <x v="3"/>
    <x v="1"/>
  </r>
  <r>
    <x v="2"/>
    <x v="48"/>
    <x v="0"/>
    <n v="0"/>
    <x v="0"/>
    <n v="0"/>
    <n v="0"/>
    <n v="0"/>
    <x v="0"/>
    <x v="0"/>
    <x v="37"/>
    <n v="0"/>
    <x v="6"/>
    <x v="0"/>
  </r>
  <r>
    <x v="2"/>
    <x v="49"/>
    <x v="260"/>
    <n v="5.0999999999999996"/>
    <x v="690"/>
    <n v="4.5599999999999996"/>
    <n v="3.61"/>
    <n v="8.17"/>
    <x v="773"/>
    <x v="687"/>
    <x v="37"/>
    <n v="48"/>
    <x v="3"/>
    <x v="1"/>
  </r>
  <r>
    <x v="0"/>
    <x v="0"/>
    <x v="0"/>
    <n v="0"/>
    <x v="0"/>
    <n v="0"/>
    <n v="0"/>
    <n v="0"/>
    <x v="0"/>
    <x v="0"/>
    <x v="38"/>
    <n v="0"/>
    <x v="0"/>
    <x v="0"/>
  </r>
  <r>
    <x v="0"/>
    <x v="1"/>
    <x v="0"/>
    <n v="0"/>
    <x v="0"/>
    <n v="0"/>
    <n v="0"/>
    <n v="0"/>
    <x v="0"/>
    <x v="0"/>
    <x v="38"/>
    <n v="0"/>
    <x v="0"/>
    <x v="0"/>
  </r>
  <r>
    <x v="0"/>
    <x v="2"/>
    <x v="0"/>
    <n v="0"/>
    <x v="0"/>
    <n v="0"/>
    <n v="0"/>
    <n v="0"/>
    <x v="0"/>
    <x v="0"/>
    <x v="38"/>
    <n v="0"/>
    <x v="0"/>
    <x v="0"/>
  </r>
  <r>
    <x v="0"/>
    <x v="3"/>
    <x v="0"/>
    <n v="0"/>
    <x v="0"/>
    <n v="0"/>
    <n v="0"/>
    <n v="0"/>
    <x v="0"/>
    <x v="0"/>
    <x v="38"/>
    <n v="0"/>
    <x v="0"/>
    <x v="0"/>
  </r>
  <r>
    <x v="0"/>
    <x v="4"/>
    <x v="0"/>
    <n v="0"/>
    <x v="0"/>
    <n v="0"/>
    <n v="0"/>
    <n v="0"/>
    <x v="0"/>
    <x v="0"/>
    <x v="38"/>
    <n v="0"/>
    <x v="0"/>
    <x v="0"/>
  </r>
  <r>
    <x v="0"/>
    <x v="5"/>
    <x v="0"/>
    <n v="0"/>
    <x v="0"/>
    <n v="0"/>
    <n v="0"/>
    <n v="0"/>
    <x v="0"/>
    <x v="0"/>
    <x v="38"/>
    <n v="0"/>
    <x v="0"/>
    <x v="0"/>
  </r>
  <r>
    <x v="0"/>
    <x v="6"/>
    <x v="0"/>
    <n v="0"/>
    <x v="0"/>
    <n v="0"/>
    <n v="0"/>
    <n v="0"/>
    <x v="0"/>
    <x v="0"/>
    <x v="38"/>
    <n v="0"/>
    <x v="0"/>
    <x v="0"/>
  </r>
  <r>
    <x v="0"/>
    <x v="7"/>
    <x v="0"/>
    <n v="0"/>
    <x v="0"/>
    <n v="0"/>
    <n v="0"/>
    <n v="0"/>
    <x v="0"/>
    <x v="0"/>
    <x v="38"/>
    <n v="0"/>
    <x v="0"/>
    <x v="0"/>
  </r>
  <r>
    <x v="0"/>
    <x v="8"/>
    <x v="0"/>
    <n v="0"/>
    <x v="0"/>
    <n v="0"/>
    <n v="0"/>
    <n v="0"/>
    <x v="0"/>
    <x v="0"/>
    <x v="38"/>
    <n v="0"/>
    <x v="0"/>
    <x v="0"/>
  </r>
  <r>
    <x v="1"/>
    <x v="9"/>
    <x v="0"/>
    <n v="0"/>
    <x v="0"/>
    <n v="0"/>
    <n v="0"/>
    <n v="0"/>
    <x v="0"/>
    <x v="0"/>
    <x v="38"/>
    <n v="0"/>
    <x v="1"/>
    <x v="0"/>
  </r>
  <r>
    <x v="1"/>
    <x v="10"/>
    <x v="0"/>
    <n v="0"/>
    <x v="0"/>
    <n v="0"/>
    <n v="0"/>
    <n v="0"/>
    <x v="0"/>
    <x v="0"/>
    <x v="38"/>
    <n v="0"/>
    <x v="1"/>
    <x v="0"/>
  </r>
  <r>
    <x v="1"/>
    <x v="11"/>
    <x v="0"/>
    <n v="0"/>
    <x v="0"/>
    <n v="0"/>
    <n v="0"/>
    <n v="0"/>
    <x v="0"/>
    <x v="0"/>
    <x v="38"/>
    <n v="0"/>
    <x v="1"/>
    <x v="0"/>
  </r>
  <r>
    <x v="1"/>
    <x v="12"/>
    <x v="0"/>
    <n v="0"/>
    <x v="0"/>
    <n v="0"/>
    <n v="0"/>
    <n v="0"/>
    <x v="0"/>
    <x v="0"/>
    <x v="38"/>
    <n v="0"/>
    <x v="1"/>
    <x v="0"/>
  </r>
  <r>
    <x v="1"/>
    <x v="13"/>
    <x v="0"/>
    <n v="0"/>
    <x v="0"/>
    <n v="0"/>
    <n v="0"/>
    <n v="0"/>
    <x v="0"/>
    <x v="0"/>
    <x v="38"/>
    <n v="0"/>
    <x v="1"/>
    <x v="0"/>
  </r>
  <r>
    <x v="2"/>
    <x v="14"/>
    <x v="0"/>
    <n v="0"/>
    <x v="0"/>
    <n v="0"/>
    <n v="0"/>
    <n v="0"/>
    <x v="0"/>
    <x v="0"/>
    <x v="38"/>
    <n v="0"/>
    <x v="2"/>
    <x v="0"/>
  </r>
  <r>
    <x v="2"/>
    <x v="15"/>
    <x v="0"/>
    <n v="0"/>
    <x v="0"/>
    <n v="0"/>
    <n v="0"/>
    <n v="0"/>
    <x v="0"/>
    <x v="0"/>
    <x v="38"/>
    <n v="0"/>
    <x v="3"/>
    <x v="0"/>
  </r>
  <r>
    <x v="2"/>
    <x v="16"/>
    <x v="0"/>
    <n v="0"/>
    <x v="0"/>
    <n v="0"/>
    <n v="0"/>
    <n v="0"/>
    <x v="0"/>
    <x v="0"/>
    <x v="38"/>
    <n v="0"/>
    <x v="4"/>
    <x v="0"/>
  </r>
  <r>
    <x v="2"/>
    <x v="17"/>
    <x v="0"/>
    <n v="0"/>
    <x v="0"/>
    <n v="0"/>
    <n v="0"/>
    <n v="0"/>
    <x v="0"/>
    <x v="0"/>
    <x v="38"/>
    <n v="0"/>
    <x v="3"/>
    <x v="0"/>
  </r>
  <r>
    <x v="2"/>
    <x v="18"/>
    <x v="0"/>
    <n v="0"/>
    <x v="0"/>
    <n v="0"/>
    <n v="0"/>
    <n v="0"/>
    <x v="0"/>
    <x v="0"/>
    <x v="38"/>
    <n v="0"/>
    <x v="3"/>
    <x v="0"/>
  </r>
  <r>
    <x v="2"/>
    <x v="19"/>
    <x v="0"/>
    <n v="0"/>
    <x v="0"/>
    <n v="0"/>
    <n v="0"/>
    <n v="0"/>
    <x v="0"/>
    <x v="0"/>
    <x v="38"/>
    <n v="0"/>
    <x v="2"/>
    <x v="0"/>
  </r>
  <r>
    <x v="2"/>
    <x v="21"/>
    <x v="273"/>
    <n v="4.72"/>
    <x v="422"/>
    <n v="4.72"/>
    <n v="3.43"/>
    <n v="8.15"/>
    <x v="774"/>
    <x v="422"/>
    <x v="38"/>
    <n v="65.000000004"/>
    <x v="2"/>
    <x v="1"/>
  </r>
  <r>
    <x v="2"/>
    <x v="22"/>
    <x v="0"/>
    <n v="0"/>
    <x v="0"/>
    <n v="0"/>
    <n v="0"/>
    <n v="0"/>
    <x v="0"/>
    <x v="0"/>
    <x v="38"/>
    <n v="0"/>
    <x v="4"/>
    <x v="0"/>
  </r>
  <r>
    <x v="2"/>
    <x v="23"/>
    <x v="0"/>
    <n v="0"/>
    <x v="0"/>
    <n v="0"/>
    <n v="8.18"/>
    <n v="8.18"/>
    <x v="0"/>
    <x v="0"/>
    <x v="38"/>
    <n v="0"/>
    <x v="3"/>
    <x v="1"/>
  </r>
  <r>
    <x v="2"/>
    <x v="24"/>
    <x v="0"/>
    <n v="0"/>
    <x v="0"/>
    <n v="0"/>
    <n v="0"/>
    <n v="0"/>
    <x v="0"/>
    <x v="0"/>
    <x v="38"/>
    <n v="0"/>
    <x v="5"/>
    <x v="0"/>
  </r>
  <r>
    <x v="2"/>
    <x v="26"/>
    <x v="0"/>
    <n v="0"/>
    <x v="0"/>
    <n v="0"/>
    <n v="0"/>
    <n v="0"/>
    <x v="0"/>
    <x v="0"/>
    <x v="38"/>
    <n v="0"/>
    <x v="3"/>
    <x v="0"/>
  </r>
  <r>
    <x v="2"/>
    <x v="27"/>
    <x v="444"/>
    <n v="3.53"/>
    <x v="691"/>
    <n v="3.53"/>
    <n v="4.6500000000000004"/>
    <n v="8.18"/>
    <x v="775"/>
    <x v="688"/>
    <x v="38"/>
    <n v="77.480000004000004"/>
    <x v="5"/>
    <x v="1"/>
  </r>
  <r>
    <x v="2"/>
    <x v="29"/>
    <x v="0"/>
    <n v="0"/>
    <x v="0"/>
    <n v="0"/>
    <n v="0"/>
    <n v="0"/>
    <x v="0"/>
    <x v="0"/>
    <x v="38"/>
    <n v="0"/>
    <x v="5"/>
    <x v="0"/>
  </r>
  <r>
    <x v="2"/>
    <x v="30"/>
    <x v="0"/>
    <n v="0"/>
    <x v="0"/>
    <n v="0"/>
    <n v="0"/>
    <n v="0"/>
    <x v="0"/>
    <x v="0"/>
    <x v="38"/>
    <n v="0"/>
    <x v="5"/>
    <x v="0"/>
  </r>
  <r>
    <x v="2"/>
    <x v="31"/>
    <x v="0"/>
    <n v="0"/>
    <x v="0"/>
    <n v="0"/>
    <n v="0"/>
    <n v="0"/>
    <x v="0"/>
    <x v="0"/>
    <x v="38"/>
    <n v="0"/>
    <x v="2"/>
    <x v="0"/>
  </r>
  <r>
    <x v="2"/>
    <x v="32"/>
    <x v="0"/>
    <n v="0"/>
    <x v="0"/>
    <n v="0"/>
    <n v="0"/>
    <n v="0"/>
    <x v="0"/>
    <x v="0"/>
    <x v="38"/>
    <n v="0"/>
    <x v="3"/>
    <x v="0"/>
  </r>
  <r>
    <x v="2"/>
    <x v="33"/>
    <x v="0"/>
    <n v="0"/>
    <x v="0"/>
    <n v="0"/>
    <n v="0"/>
    <n v="0"/>
    <x v="0"/>
    <x v="0"/>
    <x v="38"/>
    <n v="0"/>
    <x v="3"/>
    <x v="0"/>
  </r>
  <r>
    <x v="2"/>
    <x v="34"/>
    <x v="445"/>
    <n v="3.3"/>
    <x v="692"/>
    <n v="3.97"/>
    <n v="5.08"/>
    <n v="9.0500000000000007"/>
    <x v="776"/>
    <x v="689"/>
    <x v="38"/>
    <n v="50.439999995999997"/>
    <x v="4"/>
    <x v="1"/>
  </r>
  <r>
    <x v="2"/>
    <x v="36"/>
    <x v="0"/>
    <n v="0"/>
    <x v="0"/>
    <n v="0"/>
    <n v="0"/>
    <n v="0"/>
    <x v="0"/>
    <x v="0"/>
    <x v="38"/>
    <n v="0"/>
    <x v="4"/>
    <x v="0"/>
  </r>
  <r>
    <x v="2"/>
    <x v="37"/>
    <x v="0"/>
    <n v="0"/>
    <x v="0"/>
    <n v="0"/>
    <n v="0"/>
    <n v="0"/>
    <x v="0"/>
    <x v="0"/>
    <x v="38"/>
    <n v="0"/>
    <x v="4"/>
    <x v="0"/>
  </r>
  <r>
    <x v="2"/>
    <x v="38"/>
    <x v="0"/>
    <n v="0"/>
    <x v="0"/>
    <n v="0"/>
    <n v="0"/>
    <n v="0"/>
    <x v="0"/>
    <x v="0"/>
    <x v="38"/>
    <n v="0"/>
    <x v="2"/>
    <x v="0"/>
  </r>
  <r>
    <x v="2"/>
    <x v="39"/>
    <x v="294"/>
    <n v="3.77"/>
    <x v="693"/>
    <n v="3.77"/>
    <n v="4.4000000000000004"/>
    <n v="8.17"/>
    <x v="777"/>
    <x v="690"/>
    <x v="38"/>
    <n v="63"/>
    <x v="2"/>
    <x v="1"/>
  </r>
  <r>
    <x v="2"/>
    <x v="40"/>
    <x v="0"/>
    <n v="0"/>
    <x v="0"/>
    <n v="0"/>
    <n v="0"/>
    <n v="0"/>
    <x v="0"/>
    <x v="0"/>
    <x v="38"/>
    <n v="0"/>
    <x v="3"/>
    <x v="0"/>
  </r>
  <r>
    <x v="2"/>
    <x v="41"/>
    <x v="446"/>
    <n v="3.17"/>
    <x v="694"/>
    <n v="3.17"/>
    <n v="5.01"/>
    <n v="8.18"/>
    <x v="778"/>
    <x v="691"/>
    <x v="38"/>
    <n v="66.84"/>
    <x v="5"/>
    <x v="1"/>
  </r>
  <r>
    <x v="2"/>
    <x v="42"/>
    <x v="0"/>
    <n v="0"/>
    <x v="0"/>
    <n v="0"/>
    <n v="0"/>
    <n v="0"/>
    <x v="0"/>
    <x v="0"/>
    <x v="38"/>
    <n v="0"/>
    <x v="2"/>
    <x v="0"/>
  </r>
  <r>
    <x v="2"/>
    <x v="43"/>
    <x v="0"/>
    <n v="0"/>
    <x v="0"/>
    <n v="0"/>
    <n v="0"/>
    <n v="0"/>
    <x v="0"/>
    <x v="0"/>
    <x v="38"/>
    <n v="0"/>
    <x v="3"/>
    <x v="0"/>
  </r>
  <r>
    <x v="2"/>
    <x v="44"/>
    <x v="0"/>
    <n v="0"/>
    <x v="0"/>
    <n v="0"/>
    <n v="0"/>
    <n v="0"/>
    <x v="0"/>
    <x v="0"/>
    <x v="38"/>
    <n v="0"/>
    <x v="3"/>
    <x v="0"/>
  </r>
  <r>
    <x v="2"/>
    <x v="45"/>
    <x v="0"/>
    <n v="0"/>
    <x v="0"/>
    <n v="0"/>
    <n v="0"/>
    <n v="0"/>
    <x v="0"/>
    <x v="0"/>
    <x v="38"/>
    <n v="0"/>
    <x v="4"/>
    <x v="0"/>
  </r>
  <r>
    <x v="2"/>
    <x v="46"/>
    <x v="0"/>
    <n v="0"/>
    <x v="0"/>
    <n v="0"/>
    <n v="0"/>
    <n v="0"/>
    <x v="0"/>
    <x v="0"/>
    <x v="38"/>
    <n v="0"/>
    <x v="4"/>
    <x v="0"/>
  </r>
  <r>
    <x v="2"/>
    <x v="47"/>
    <x v="0"/>
    <n v="0"/>
    <x v="0"/>
    <n v="0"/>
    <n v="0"/>
    <n v="0"/>
    <x v="0"/>
    <x v="0"/>
    <x v="38"/>
    <n v="0"/>
    <x v="5"/>
    <x v="0"/>
  </r>
  <r>
    <x v="2"/>
    <x v="48"/>
    <x v="0"/>
    <n v="0"/>
    <x v="0"/>
    <n v="0"/>
    <n v="0"/>
    <n v="0"/>
    <x v="0"/>
    <x v="0"/>
    <x v="38"/>
    <n v="0"/>
    <x v="6"/>
    <x v="0"/>
  </r>
  <r>
    <x v="2"/>
    <x v="49"/>
    <x v="0"/>
    <n v="0"/>
    <x v="0"/>
    <n v="0"/>
    <n v="0"/>
    <n v="0"/>
    <x v="0"/>
    <x v="0"/>
    <x v="38"/>
    <n v="0"/>
    <x v="3"/>
    <x v="0"/>
  </r>
  <r>
    <x v="2"/>
    <x v="50"/>
    <x v="447"/>
    <n v="2.7"/>
    <x v="695"/>
    <n v="2.7"/>
    <n v="5.55"/>
    <n v="8.25"/>
    <x v="779"/>
    <x v="692"/>
    <x v="38"/>
    <n v="37.440000000000005"/>
    <x v="4"/>
    <x v="1"/>
  </r>
  <r>
    <x v="0"/>
    <x v="0"/>
    <x v="0"/>
    <n v="0"/>
    <x v="0"/>
    <n v="0"/>
    <n v="0"/>
    <n v="0"/>
    <x v="0"/>
    <x v="0"/>
    <x v="39"/>
    <n v="0"/>
    <x v="0"/>
    <x v="0"/>
  </r>
  <r>
    <x v="0"/>
    <x v="1"/>
    <x v="0"/>
    <n v="0"/>
    <x v="0"/>
    <n v="0"/>
    <n v="0"/>
    <n v="0"/>
    <x v="0"/>
    <x v="0"/>
    <x v="39"/>
    <n v="0"/>
    <x v="0"/>
    <x v="0"/>
  </r>
  <r>
    <x v="0"/>
    <x v="2"/>
    <x v="0"/>
    <n v="0"/>
    <x v="0"/>
    <n v="0"/>
    <n v="0"/>
    <n v="0"/>
    <x v="0"/>
    <x v="0"/>
    <x v="39"/>
    <n v="0"/>
    <x v="0"/>
    <x v="0"/>
  </r>
  <r>
    <x v="0"/>
    <x v="3"/>
    <x v="0"/>
    <n v="0"/>
    <x v="0"/>
    <n v="0"/>
    <n v="0"/>
    <n v="0"/>
    <x v="0"/>
    <x v="0"/>
    <x v="39"/>
    <n v="0"/>
    <x v="0"/>
    <x v="0"/>
  </r>
  <r>
    <x v="0"/>
    <x v="4"/>
    <x v="0"/>
    <n v="0"/>
    <x v="0"/>
    <n v="0"/>
    <n v="0"/>
    <n v="0"/>
    <x v="0"/>
    <x v="0"/>
    <x v="39"/>
    <n v="0"/>
    <x v="0"/>
    <x v="0"/>
  </r>
  <r>
    <x v="0"/>
    <x v="5"/>
    <x v="0"/>
    <n v="0"/>
    <x v="0"/>
    <n v="0"/>
    <n v="0"/>
    <n v="0"/>
    <x v="0"/>
    <x v="0"/>
    <x v="39"/>
    <n v="0"/>
    <x v="0"/>
    <x v="0"/>
  </r>
  <r>
    <x v="0"/>
    <x v="6"/>
    <x v="0"/>
    <n v="0"/>
    <x v="0"/>
    <n v="0"/>
    <n v="0"/>
    <n v="0"/>
    <x v="0"/>
    <x v="0"/>
    <x v="39"/>
    <n v="0"/>
    <x v="0"/>
    <x v="0"/>
  </r>
  <r>
    <x v="0"/>
    <x v="7"/>
    <x v="0"/>
    <n v="0"/>
    <x v="0"/>
    <n v="0"/>
    <n v="0"/>
    <n v="0"/>
    <x v="0"/>
    <x v="0"/>
    <x v="39"/>
    <n v="0"/>
    <x v="0"/>
    <x v="0"/>
  </r>
  <r>
    <x v="0"/>
    <x v="8"/>
    <x v="0"/>
    <n v="0"/>
    <x v="0"/>
    <n v="0"/>
    <n v="0"/>
    <n v="0"/>
    <x v="0"/>
    <x v="0"/>
    <x v="39"/>
    <n v="0"/>
    <x v="0"/>
    <x v="0"/>
  </r>
  <r>
    <x v="1"/>
    <x v="9"/>
    <x v="0"/>
    <n v="0"/>
    <x v="0"/>
    <n v="0"/>
    <n v="0"/>
    <n v="0"/>
    <x v="0"/>
    <x v="0"/>
    <x v="39"/>
    <n v="0"/>
    <x v="1"/>
    <x v="0"/>
  </r>
  <r>
    <x v="1"/>
    <x v="10"/>
    <x v="0"/>
    <n v="0"/>
    <x v="0"/>
    <n v="0"/>
    <n v="0"/>
    <n v="0"/>
    <x v="0"/>
    <x v="0"/>
    <x v="39"/>
    <n v="0"/>
    <x v="1"/>
    <x v="0"/>
  </r>
  <r>
    <x v="1"/>
    <x v="11"/>
    <x v="0"/>
    <n v="0"/>
    <x v="0"/>
    <n v="0"/>
    <n v="0"/>
    <n v="0"/>
    <x v="0"/>
    <x v="0"/>
    <x v="39"/>
    <n v="0"/>
    <x v="1"/>
    <x v="0"/>
  </r>
  <r>
    <x v="1"/>
    <x v="12"/>
    <x v="0"/>
    <n v="0"/>
    <x v="0"/>
    <n v="0"/>
    <n v="0"/>
    <n v="0"/>
    <x v="0"/>
    <x v="0"/>
    <x v="39"/>
    <n v="0"/>
    <x v="1"/>
    <x v="0"/>
  </r>
  <r>
    <x v="1"/>
    <x v="13"/>
    <x v="0"/>
    <n v="0"/>
    <x v="0"/>
    <n v="0"/>
    <n v="0"/>
    <n v="0"/>
    <x v="0"/>
    <x v="0"/>
    <x v="39"/>
    <n v="0"/>
    <x v="1"/>
    <x v="0"/>
  </r>
  <r>
    <x v="2"/>
    <x v="14"/>
    <x v="0"/>
    <n v="0"/>
    <x v="0"/>
    <n v="0"/>
    <n v="0"/>
    <n v="0"/>
    <x v="0"/>
    <x v="0"/>
    <x v="39"/>
    <n v="0"/>
    <x v="2"/>
    <x v="0"/>
  </r>
  <r>
    <x v="2"/>
    <x v="15"/>
    <x v="0"/>
    <n v="0"/>
    <x v="0"/>
    <n v="0"/>
    <n v="0"/>
    <n v="0"/>
    <x v="0"/>
    <x v="0"/>
    <x v="39"/>
    <n v="0"/>
    <x v="3"/>
    <x v="0"/>
  </r>
  <r>
    <x v="2"/>
    <x v="16"/>
    <x v="0"/>
    <n v="0"/>
    <x v="0"/>
    <n v="0"/>
    <n v="0"/>
    <n v="0"/>
    <x v="0"/>
    <x v="0"/>
    <x v="39"/>
    <n v="0"/>
    <x v="4"/>
    <x v="0"/>
  </r>
  <r>
    <x v="2"/>
    <x v="17"/>
    <x v="0"/>
    <n v="0"/>
    <x v="0"/>
    <n v="0"/>
    <n v="0"/>
    <n v="0"/>
    <x v="0"/>
    <x v="0"/>
    <x v="39"/>
    <n v="0"/>
    <x v="3"/>
    <x v="0"/>
  </r>
  <r>
    <x v="2"/>
    <x v="18"/>
    <x v="0"/>
    <n v="0"/>
    <x v="0"/>
    <n v="0"/>
    <n v="0"/>
    <n v="0"/>
    <x v="0"/>
    <x v="0"/>
    <x v="39"/>
    <n v="0"/>
    <x v="3"/>
    <x v="0"/>
  </r>
  <r>
    <x v="2"/>
    <x v="19"/>
    <x v="0"/>
    <n v="0"/>
    <x v="0"/>
    <n v="0"/>
    <n v="0"/>
    <n v="0"/>
    <x v="0"/>
    <x v="0"/>
    <x v="39"/>
    <n v="0"/>
    <x v="2"/>
    <x v="0"/>
  </r>
  <r>
    <x v="2"/>
    <x v="20"/>
    <x v="0"/>
    <n v="0"/>
    <x v="0"/>
    <n v="0"/>
    <n v="0"/>
    <n v="0"/>
    <x v="0"/>
    <x v="0"/>
    <x v="39"/>
    <n v="0"/>
    <x v="5"/>
    <x v="0"/>
  </r>
  <r>
    <x v="2"/>
    <x v="21"/>
    <x v="0"/>
    <n v="0"/>
    <x v="0"/>
    <n v="0"/>
    <n v="0"/>
    <n v="0"/>
    <x v="0"/>
    <x v="0"/>
    <x v="39"/>
    <n v="0"/>
    <x v="2"/>
    <x v="0"/>
  </r>
  <r>
    <x v="2"/>
    <x v="22"/>
    <x v="0"/>
    <n v="0"/>
    <x v="0"/>
    <n v="0"/>
    <n v="0"/>
    <n v="0"/>
    <x v="0"/>
    <x v="0"/>
    <x v="39"/>
    <n v="0"/>
    <x v="4"/>
    <x v="0"/>
  </r>
  <r>
    <x v="2"/>
    <x v="23"/>
    <x v="0"/>
    <n v="0"/>
    <x v="0"/>
    <n v="0"/>
    <n v="0"/>
    <n v="0"/>
    <x v="0"/>
    <x v="0"/>
    <x v="39"/>
    <n v="0"/>
    <x v="3"/>
    <x v="0"/>
  </r>
  <r>
    <x v="2"/>
    <x v="24"/>
    <x v="0"/>
    <n v="0"/>
    <x v="0"/>
    <n v="0"/>
    <n v="0"/>
    <n v="0"/>
    <x v="0"/>
    <x v="0"/>
    <x v="39"/>
    <n v="0"/>
    <x v="5"/>
    <x v="0"/>
  </r>
  <r>
    <x v="2"/>
    <x v="25"/>
    <x v="0"/>
    <n v="0"/>
    <x v="0"/>
    <n v="0"/>
    <n v="0"/>
    <n v="0"/>
    <x v="0"/>
    <x v="0"/>
    <x v="39"/>
    <n v="0"/>
    <x v="2"/>
    <x v="0"/>
  </r>
  <r>
    <x v="2"/>
    <x v="26"/>
    <x v="0"/>
    <n v="0"/>
    <x v="0"/>
    <n v="0"/>
    <n v="0"/>
    <n v="0"/>
    <x v="0"/>
    <x v="0"/>
    <x v="39"/>
    <n v="0"/>
    <x v="3"/>
    <x v="0"/>
  </r>
  <r>
    <x v="2"/>
    <x v="27"/>
    <x v="0"/>
    <n v="0"/>
    <x v="0"/>
    <n v="0"/>
    <n v="0"/>
    <n v="0"/>
    <x v="0"/>
    <x v="0"/>
    <x v="39"/>
    <n v="0"/>
    <x v="5"/>
    <x v="0"/>
  </r>
  <r>
    <x v="2"/>
    <x v="29"/>
    <x v="0"/>
    <n v="0"/>
    <x v="0"/>
    <n v="0"/>
    <n v="0"/>
    <n v="0"/>
    <x v="0"/>
    <x v="0"/>
    <x v="39"/>
    <n v="0"/>
    <x v="5"/>
    <x v="0"/>
  </r>
  <r>
    <x v="2"/>
    <x v="30"/>
    <x v="0"/>
    <n v="0"/>
    <x v="0"/>
    <n v="0"/>
    <n v="0"/>
    <n v="0"/>
    <x v="0"/>
    <x v="0"/>
    <x v="39"/>
    <n v="0"/>
    <x v="5"/>
    <x v="0"/>
  </r>
  <r>
    <x v="2"/>
    <x v="31"/>
    <x v="0"/>
    <n v="0"/>
    <x v="0"/>
    <n v="0"/>
    <n v="0"/>
    <n v="0"/>
    <x v="0"/>
    <x v="0"/>
    <x v="39"/>
    <n v="0"/>
    <x v="2"/>
    <x v="0"/>
  </r>
  <r>
    <x v="2"/>
    <x v="32"/>
    <x v="0"/>
    <n v="0"/>
    <x v="0"/>
    <n v="0"/>
    <n v="0"/>
    <n v="0"/>
    <x v="0"/>
    <x v="0"/>
    <x v="39"/>
    <n v="0"/>
    <x v="3"/>
    <x v="0"/>
  </r>
  <r>
    <x v="2"/>
    <x v="33"/>
    <x v="0"/>
    <n v="0"/>
    <x v="0"/>
    <n v="0"/>
    <n v="0"/>
    <n v="0"/>
    <x v="0"/>
    <x v="0"/>
    <x v="39"/>
    <n v="0"/>
    <x v="3"/>
    <x v="0"/>
  </r>
  <r>
    <x v="2"/>
    <x v="34"/>
    <x v="0"/>
    <n v="0"/>
    <x v="0"/>
    <n v="0"/>
    <n v="0"/>
    <n v="0"/>
    <x v="0"/>
    <x v="0"/>
    <x v="39"/>
    <n v="0"/>
    <x v="4"/>
    <x v="0"/>
  </r>
  <r>
    <x v="2"/>
    <x v="35"/>
    <x v="0"/>
    <n v="0"/>
    <x v="0"/>
    <n v="0"/>
    <n v="0"/>
    <n v="0"/>
    <x v="0"/>
    <x v="0"/>
    <x v="39"/>
    <n v="0"/>
    <x v="2"/>
    <x v="0"/>
  </r>
  <r>
    <x v="2"/>
    <x v="36"/>
    <x v="0"/>
    <n v="0"/>
    <x v="0"/>
    <n v="0"/>
    <n v="0"/>
    <n v="0"/>
    <x v="0"/>
    <x v="0"/>
    <x v="39"/>
    <n v="0"/>
    <x v="4"/>
    <x v="0"/>
  </r>
  <r>
    <x v="2"/>
    <x v="37"/>
    <x v="0"/>
    <n v="0"/>
    <x v="0"/>
    <n v="0"/>
    <n v="0"/>
    <n v="0"/>
    <x v="0"/>
    <x v="0"/>
    <x v="39"/>
    <n v="0"/>
    <x v="4"/>
    <x v="0"/>
  </r>
  <r>
    <x v="2"/>
    <x v="38"/>
    <x v="0"/>
    <n v="0"/>
    <x v="0"/>
    <n v="0"/>
    <n v="0"/>
    <n v="0"/>
    <x v="0"/>
    <x v="0"/>
    <x v="39"/>
    <n v="0"/>
    <x v="2"/>
    <x v="0"/>
  </r>
  <r>
    <x v="2"/>
    <x v="39"/>
    <x v="0"/>
    <n v="0"/>
    <x v="0"/>
    <n v="0"/>
    <n v="0"/>
    <n v="0"/>
    <x v="0"/>
    <x v="0"/>
    <x v="39"/>
    <n v="0"/>
    <x v="2"/>
    <x v="0"/>
  </r>
  <r>
    <x v="2"/>
    <x v="40"/>
    <x v="0"/>
    <n v="0"/>
    <x v="0"/>
    <n v="0"/>
    <n v="0"/>
    <n v="0"/>
    <x v="0"/>
    <x v="0"/>
    <x v="39"/>
    <n v="0"/>
    <x v="3"/>
    <x v="0"/>
  </r>
  <r>
    <x v="2"/>
    <x v="41"/>
    <x v="0"/>
    <n v="0"/>
    <x v="0"/>
    <n v="0"/>
    <n v="0"/>
    <n v="0"/>
    <x v="0"/>
    <x v="0"/>
    <x v="39"/>
    <n v="0"/>
    <x v="5"/>
    <x v="0"/>
  </r>
  <r>
    <x v="2"/>
    <x v="42"/>
    <x v="0"/>
    <n v="0"/>
    <x v="0"/>
    <n v="0"/>
    <n v="0"/>
    <n v="0"/>
    <x v="0"/>
    <x v="0"/>
    <x v="39"/>
    <n v="0"/>
    <x v="2"/>
    <x v="0"/>
  </r>
  <r>
    <x v="2"/>
    <x v="43"/>
    <x v="0"/>
    <n v="0"/>
    <x v="0"/>
    <n v="0"/>
    <n v="0"/>
    <n v="0"/>
    <x v="0"/>
    <x v="0"/>
    <x v="39"/>
    <n v="0"/>
    <x v="3"/>
    <x v="0"/>
  </r>
  <r>
    <x v="2"/>
    <x v="44"/>
    <x v="0"/>
    <n v="0"/>
    <x v="0"/>
    <n v="0"/>
    <n v="0"/>
    <n v="0"/>
    <x v="0"/>
    <x v="0"/>
    <x v="39"/>
    <n v="0"/>
    <x v="3"/>
    <x v="0"/>
  </r>
  <r>
    <x v="2"/>
    <x v="45"/>
    <x v="0"/>
    <n v="0"/>
    <x v="0"/>
    <n v="0"/>
    <n v="0"/>
    <n v="0"/>
    <x v="0"/>
    <x v="0"/>
    <x v="39"/>
    <n v="0"/>
    <x v="4"/>
    <x v="0"/>
  </r>
  <r>
    <x v="2"/>
    <x v="46"/>
    <x v="0"/>
    <n v="0"/>
    <x v="0"/>
    <n v="0"/>
    <n v="0"/>
    <n v="0"/>
    <x v="0"/>
    <x v="0"/>
    <x v="39"/>
    <n v="0"/>
    <x v="4"/>
    <x v="0"/>
  </r>
  <r>
    <x v="2"/>
    <x v="47"/>
    <x v="0"/>
    <n v="0"/>
    <x v="0"/>
    <n v="0"/>
    <n v="0"/>
    <n v="0"/>
    <x v="0"/>
    <x v="0"/>
    <x v="39"/>
    <n v="0"/>
    <x v="5"/>
    <x v="0"/>
  </r>
  <r>
    <x v="2"/>
    <x v="48"/>
    <x v="0"/>
    <n v="0"/>
    <x v="0"/>
    <n v="0"/>
    <n v="0"/>
    <n v="0"/>
    <x v="0"/>
    <x v="0"/>
    <x v="39"/>
    <n v="0"/>
    <x v="6"/>
    <x v="0"/>
  </r>
  <r>
    <x v="2"/>
    <x v="49"/>
    <x v="0"/>
    <n v="0"/>
    <x v="0"/>
    <n v="0"/>
    <n v="0"/>
    <n v="0"/>
    <x v="0"/>
    <x v="0"/>
    <x v="39"/>
    <n v="0"/>
    <x v="3"/>
    <x v="0"/>
  </r>
  <r>
    <x v="2"/>
    <x v="50"/>
    <x v="0"/>
    <n v="0"/>
    <x v="0"/>
    <n v="0"/>
    <n v="0"/>
    <n v="0"/>
    <x v="0"/>
    <x v="0"/>
    <x v="39"/>
    <n v="0"/>
    <x v="4"/>
    <x v="0"/>
  </r>
  <r>
    <x v="0"/>
    <x v="0"/>
    <x v="0"/>
    <n v="0"/>
    <x v="0"/>
    <n v="0"/>
    <n v="0"/>
    <n v="0"/>
    <x v="0"/>
    <x v="0"/>
    <x v="40"/>
    <n v="0"/>
    <x v="0"/>
    <x v="0"/>
  </r>
  <r>
    <x v="0"/>
    <x v="1"/>
    <x v="0"/>
    <n v="0"/>
    <x v="0"/>
    <n v="0"/>
    <n v="0"/>
    <n v="0"/>
    <x v="0"/>
    <x v="0"/>
    <x v="40"/>
    <n v="0"/>
    <x v="0"/>
    <x v="0"/>
  </r>
  <r>
    <x v="0"/>
    <x v="2"/>
    <x v="0"/>
    <n v="0"/>
    <x v="0"/>
    <n v="0"/>
    <n v="0"/>
    <n v="0"/>
    <x v="0"/>
    <x v="0"/>
    <x v="40"/>
    <n v="0"/>
    <x v="0"/>
    <x v="0"/>
  </r>
  <r>
    <x v="0"/>
    <x v="3"/>
    <x v="0"/>
    <n v="0"/>
    <x v="0"/>
    <n v="0"/>
    <n v="0"/>
    <n v="0"/>
    <x v="0"/>
    <x v="0"/>
    <x v="40"/>
    <n v="0"/>
    <x v="0"/>
    <x v="0"/>
  </r>
  <r>
    <x v="0"/>
    <x v="4"/>
    <x v="0"/>
    <n v="0"/>
    <x v="0"/>
    <n v="0"/>
    <n v="0"/>
    <n v="0"/>
    <x v="0"/>
    <x v="0"/>
    <x v="40"/>
    <n v="0"/>
    <x v="0"/>
    <x v="0"/>
  </r>
  <r>
    <x v="0"/>
    <x v="5"/>
    <x v="0"/>
    <n v="0"/>
    <x v="0"/>
    <n v="0"/>
    <n v="0"/>
    <n v="0"/>
    <x v="0"/>
    <x v="0"/>
    <x v="40"/>
    <n v="0"/>
    <x v="0"/>
    <x v="0"/>
  </r>
  <r>
    <x v="0"/>
    <x v="6"/>
    <x v="0"/>
    <n v="0"/>
    <x v="0"/>
    <n v="0"/>
    <n v="0"/>
    <n v="0"/>
    <x v="0"/>
    <x v="0"/>
    <x v="40"/>
    <n v="0"/>
    <x v="0"/>
    <x v="0"/>
  </r>
  <r>
    <x v="0"/>
    <x v="7"/>
    <x v="0"/>
    <n v="0"/>
    <x v="0"/>
    <n v="0"/>
    <n v="0"/>
    <n v="0"/>
    <x v="0"/>
    <x v="0"/>
    <x v="40"/>
    <n v="0"/>
    <x v="0"/>
    <x v="0"/>
  </r>
  <r>
    <x v="0"/>
    <x v="8"/>
    <x v="0"/>
    <n v="0"/>
    <x v="0"/>
    <n v="0"/>
    <n v="0"/>
    <n v="0"/>
    <x v="0"/>
    <x v="0"/>
    <x v="40"/>
    <n v="0"/>
    <x v="0"/>
    <x v="0"/>
  </r>
  <r>
    <x v="1"/>
    <x v="9"/>
    <x v="0"/>
    <n v="0"/>
    <x v="0"/>
    <n v="0"/>
    <n v="0"/>
    <n v="0"/>
    <x v="0"/>
    <x v="0"/>
    <x v="40"/>
    <n v="0"/>
    <x v="1"/>
    <x v="0"/>
  </r>
  <r>
    <x v="1"/>
    <x v="10"/>
    <x v="0"/>
    <n v="0"/>
    <x v="0"/>
    <n v="0"/>
    <n v="0"/>
    <n v="0"/>
    <x v="0"/>
    <x v="0"/>
    <x v="40"/>
    <n v="0"/>
    <x v="1"/>
    <x v="0"/>
  </r>
  <r>
    <x v="1"/>
    <x v="11"/>
    <x v="0"/>
    <n v="0"/>
    <x v="0"/>
    <n v="0"/>
    <n v="0"/>
    <n v="0"/>
    <x v="0"/>
    <x v="0"/>
    <x v="40"/>
    <n v="0"/>
    <x v="1"/>
    <x v="0"/>
  </r>
  <r>
    <x v="1"/>
    <x v="12"/>
    <x v="0"/>
    <n v="0"/>
    <x v="0"/>
    <n v="0"/>
    <n v="0"/>
    <n v="0"/>
    <x v="0"/>
    <x v="0"/>
    <x v="40"/>
    <n v="0"/>
    <x v="1"/>
    <x v="0"/>
  </r>
  <r>
    <x v="1"/>
    <x v="13"/>
    <x v="0"/>
    <n v="0"/>
    <x v="0"/>
    <n v="0"/>
    <n v="0"/>
    <n v="0"/>
    <x v="0"/>
    <x v="0"/>
    <x v="40"/>
    <n v="0"/>
    <x v="1"/>
    <x v="0"/>
  </r>
  <r>
    <x v="2"/>
    <x v="14"/>
    <x v="0"/>
    <n v="0"/>
    <x v="0"/>
    <n v="0"/>
    <n v="0"/>
    <n v="0"/>
    <x v="0"/>
    <x v="0"/>
    <x v="40"/>
    <n v="0"/>
    <x v="2"/>
    <x v="0"/>
  </r>
  <r>
    <x v="2"/>
    <x v="15"/>
    <x v="0"/>
    <n v="0"/>
    <x v="0"/>
    <n v="0"/>
    <n v="0"/>
    <n v="0"/>
    <x v="0"/>
    <x v="0"/>
    <x v="40"/>
    <n v="0"/>
    <x v="3"/>
    <x v="0"/>
  </r>
  <r>
    <x v="2"/>
    <x v="16"/>
    <x v="0"/>
    <n v="0"/>
    <x v="0"/>
    <n v="0"/>
    <n v="0"/>
    <n v="0"/>
    <x v="0"/>
    <x v="0"/>
    <x v="40"/>
    <n v="0"/>
    <x v="4"/>
    <x v="0"/>
  </r>
  <r>
    <x v="2"/>
    <x v="17"/>
    <x v="0"/>
    <n v="0"/>
    <x v="0"/>
    <n v="0"/>
    <n v="0"/>
    <n v="0"/>
    <x v="0"/>
    <x v="0"/>
    <x v="40"/>
    <n v="0"/>
    <x v="3"/>
    <x v="0"/>
  </r>
  <r>
    <x v="2"/>
    <x v="18"/>
    <x v="0"/>
    <n v="0"/>
    <x v="0"/>
    <n v="0"/>
    <n v="0"/>
    <n v="0"/>
    <x v="0"/>
    <x v="0"/>
    <x v="40"/>
    <n v="0"/>
    <x v="3"/>
    <x v="0"/>
  </r>
  <r>
    <x v="2"/>
    <x v="19"/>
    <x v="0"/>
    <n v="0"/>
    <x v="0"/>
    <n v="0"/>
    <n v="0"/>
    <n v="0"/>
    <x v="0"/>
    <x v="0"/>
    <x v="40"/>
    <n v="0"/>
    <x v="2"/>
    <x v="0"/>
  </r>
  <r>
    <x v="2"/>
    <x v="20"/>
    <x v="0"/>
    <n v="0"/>
    <x v="0"/>
    <n v="0"/>
    <n v="0"/>
    <n v="0"/>
    <x v="0"/>
    <x v="0"/>
    <x v="40"/>
    <n v="0"/>
    <x v="5"/>
    <x v="0"/>
  </r>
  <r>
    <x v="2"/>
    <x v="21"/>
    <x v="0"/>
    <n v="0"/>
    <x v="0"/>
    <n v="0"/>
    <n v="0"/>
    <n v="0"/>
    <x v="0"/>
    <x v="0"/>
    <x v="40"/>
    <n v="0"/>
    <x v="2"/>
    <x v="0"/>
  </r>
  <r>
    <x v="2"/>
    <x v="22"/>
    <x v="0"/>
    <n v="0"/>
    <x v="0"/>
    <n v="0"/>
    <n v="0"/>
    <n v="0"/>
    <x v="0"/>
    <x v="0"/>
    <x v="40"/>
    <n v="0"/>
    <x v="4"/>
    <x v="0"/>
  </r>
  <r>
    <x v="2"/>
    <x v="23"/>
    <x v="0"/>
    <n v="0"/>
    <x v="0"/>
    <n v="0"/>
    <n v="0"/>
    <n v="0"/>
    <x v="0"/>
    <x v="0"/>
    <x v="40"/>
    <n v="0"/>
    <x v="3"/>
    <x v="0"/>
  </r>
  <r>
    <x v="2"/>
    <x v="24"/>
    <x v="0"/>
    <n v="0"/>
    <x v="0"/>
    <n v="0"/>
    <n v="0"/>
    <n v="0"/>
    <x v="0"/>
    <x v="0"/>
    <x v="40"/>
    <n v="0"/>
    <x v="5"/>
    <x v="0"/>
  </r>
  <r>
    <x v="2"/>
    <x v="25"/>
    <x v="0"/>
    <n v="0"/>
    <x v="0"/>
    <n v="0"/>
    <n v="0"/>
    <n v="0"/>
    <x v="0"/>
    <x v="0"/>
    <x v="40"/>
    <n v="0"/>
    <x v="2"/>
    <x v="0"/>
  </r>
  <r>
    <x v="2"/>
    <x v="26"/>
    <x v="0"/>
    <n v="0"/>
    <x v="0"/>
    <n v="0"/>
    <n v="0"/>
    <n v="0"/>
    <x v="0"/>
    <x v="0"/>
    <x v="40"/>
    <n v="0"/>
    <x v="3"/>
    <x v="0"/>
  </r>
  <r>
    <x v="2"/>
    <x v="27"/>
    <x v="0"/>
    <n v="0"/>
    <x v="0"/>
    <n v="0"/>
    <n v="0"/>
    <n v="0"/>
    <x v="0"/>
    <x v="0"/>
    <x v="40"/>
    <n v="0"/>
    <x v="5"/>
    <x v="0"/>
  </r>
  <r>
    <x v="2"/>
    <x v="29"/>
    <x v="0"/>
    <n v="0"/>
    <x v="0"/>
    <n v="0"/>
    <n v="0"/>
    <n v="0"/>
    <x v="0"/>
    <x v="0"/>
    <x v="40"/>
    <n v="0"/>
    <x v="5"/>
    <x v="0"/>
  </r>
  <r>
    <x v="2"/>
    <x v="30"/>
    <x v="0"/>
    <n v="0"/>
    <x v="0"/>
    <n v="0"/>
    <n v="0"/>
    <n v="0"/>
    <x v="0"/>
    <x v="0"/>
    <x v="40"/>
    <n v="0"/>
    <x v="5"/>
    <x v="0"/>
  </r>
  <r>
    <x v="2"/>
    <x v="31"/>
    <x v="0"/>
    <n v="0"/>
    <x v="0"/>
    <n v="0"/>
    <n v="0"/>
    <n v="0"/>
    <x v="0"/>
    <x v="0"/>
    <x v="40"/>
    <n v="0"/>
    <x v="2"/>
    <x v="0"/>
  </r>
  <r>
    <x v="2"/>
    <x v="32"/>
    <x v="0"/>
    <n v="0"/>
    <x v="0"/>
    <n v="0"/>
    <n v="0"/>
    <n v="0"/>
    <x v="0"/>
    <x v="0"/>
    <x v="40"/>
    <n v="0"/>
    <x v="3"/>
    <x v="0"/>
  </r>
  <r>
    <x v="2"/>
    <x v="33"/>
    <x v="0"/>
    <n v="0"/>
    <x v="0"/>
    <n v="0"/>
    <n v="0"/>
    <n v="0"/>
    <x v="0"/>
    <x v="0"/>
    <x v="40"/>
    <n v="0"/>
    <x v="3"/>
    <x v="0"/>
  </r>
  <r>
    <x v="2"/>
    <x v="34"/>
    <x v="0"/>
    <n v="0"/>
    <x v="0"/>
    <n v="0"/>
    <n v="0"/>
    <n v="0"/>
    <x v="0"/>
    <x v="0"/>
    <x v="40"/>
    <n v="0"/>
    <x v="4"/>
    <x v="0"/>
  </r>
  <r>
    <x v="2"/>
    <x v="35"/>
    <x v="0"/>
    <n v="0"/>
    <x v="0"/>
    <n v="0"/>
    <n v="0"/>
    <n v="0"/>
    <x v="0"/>
    <x v="0"/>
    <x v="40"/>
    <n v="0"/>
    <x v="2"/>
    <x v="0"/>
  </r>
  <r>
    <x v="2"/>
    <x v="36"/>
    <x v="0"/>
    <n v="0"/>
    <x v="0"/>
    <n v="0"/>
    <n v="0"/>
    <n v="0"/>
    <x v="0"/>
    <x v="0"/>
    <x v="40"/>
    <n v="0"/>
    <x v="4"/>
    <x v="0"/>
  </r>
  <r>
    <x v="2"/>
    <x v="37"/>
    <x v="0"/>
    <n v="0"/>
    <x v="0"/>
    <n v="0"/>
    <n v="0"/>
    <n v="0"/>
    <x v="0"/>
    <x v="0"/>
    <x v="40"/>
    <n v="0"/>
    <x v="4"/>
    <x v="0"/>
  </r>
  <r>
    <x v="2"/>
    <x v="38"/>
    <x v="0"/>
    <n v="0"/>
    <x v="0"/>
    <n v="0"/>
    <n v="0"/>
    <n v="0"/>
    <x v="0"/>
    <x v="0"/>
    <x v="40"/>
    <n v="0"/>
    <x v="2"/>
    <x v="0"/>
  </r>
  <r>
    <x v="2"/>
    <x v="39"/>
    <x v="0"/>
    <n v="0"/>
    <x v="0"/>
    <n v="0"/>
    <n v="0"/>
    <n v="0"/>
    <x v="0"/>
    <x v="0"/>
    <x v="40"/>
    <n v="0"/>
    <x v="2"/>
    <x v="0"/>
  </r>
  <r>
    <x v="2"/>
    <x v="40"/>
    <x v="0"/>
    <n v="0"/>
    <x v="0"/>
    <n v="0"/>
    <n v="0"/>
    <n v="0"/>
    <x v="0"/>
    <x v="0"/>
    <x v="40"/>
    <n v="0"/>
    <x v="3"/>
    <x v="0"/>
  </r>
  <r>
    <x v="2"/>
    <x v="41"/>
    <x v="0"/>
    <n v="0"/>
    <x v="0"/>
    <n v="0"/>
    <n v="0"/>
    <n v="0"/>
    <x v="0"/>
    <x v="0"/>
    <x v="40"/>
    <n v="0"/>
    <x v="5"/>
    <x v="0"/>
  </r>
  <r>
    <x v="2"/>
    <x v="42"/>
    <x v="0"/>
    <n v="0"/>
    <x v="0"/>
    <n v="0"/>
    <n v="0"/>
    <n v="0"/>
    <x v="0"/>
    <x v="0"/>
    <x v="40"/>
    <n v="0"/>
    <x v="2"/>
    <x v="0"/>
  </r>
  <r>
    <x v="2"/>
    <x v="43"/>
    <x v="0"/>
    <n v="0"/>
    <x v="0"/>
    <n v="0"/>
    <n v="0"/>
    <n v="0"/>
    <x v="0"/>
    <x v="0"/>
    <x v="40"/>
    <n v="0"/>
    <x v="3"/>
    <x v="0"/>
  </r>
  <r>
    <x v="2"/>
    <x v="44"/>
    <x v="0"/>
    <n v="0"/>
    <x v="0"/>
    <n v="0"/>
    <n v="0"/>
    <n v="0"/>
    <x v="0"/>
    <x v="0"/>
    <x v="40"/>
    <n v="0"/>
    <x v="3"/>
    <x v="0"/>
  </r>
  <r>
    <x v="2"/>
    <x v="45"/>
    <x v="0"/>
    <n v="0"/>
    <x v="0"/>
    <n v="0"/>
    <n v="0"/>
    <n v="0"/>
    <x v="0"/>
    <x v="0"/>
    <x v="40"/>
    <n v="0"/>
    <x v="4"/>
    <x v="0"/>
  </r>
  <r>
    <x v="2"/>
    <x v="46"/>
    <x v="0"/>
    <n v="0"/>
    <x v="0"/>
    <n v="0"/>
    <n v="0"/>
    <n v="0"/>
    <x v="0"/>
    <x v="0"/>
    <x v="40"/>
    <n v="0"/>
    <x v="4"/>
    <x v="0"/>
  </r>
  <r>
    <x v="2"/>
    <x v="47"/>
    <x v="0"/>
    <n v="0"/>
    <x v="0"/>
    <n v="0"/>
    <n v="0"/>
    <n v="0"/>
    <x v="0"/>
    <x v="0"/>
    <x v="40"/>
    <n v="0"/>
    <x v="5"/>
    <x v="0"/>
  </r>
  <r>
    <x v="2"/>
    <x v="48"/>
    <x v="0"/>
    <n v="0"/>
    <x v="0"/>
    <n v="0"/>
    <n v="0"/>
    <n v="0"/>
    <x v="0"/>
    <x v="0"/>
    <x v="40"/>
    <n v="0"/>
    <x v="6"/>
    <x v="0"/>
  </r>
  <r>
    <x v="2"/>
    <x v="49"/>
    <x v="0"/>
    <n v="0"/>
    <x v="0"/>
    <n v="0"/>
    <n v="0"/>
    <n v="0"/>
    <x v="0"/>
    <x v="0"/>
    <x v="40"/>
    <n v="0"/>
    <x v="3"/>
    <x v="0"/>
  </r>
  <r>
    <x v="2"/>
    <x v="50"/>
    <x v="0"/>
    <n v="0"/>
    <x v="0"/>
    <n v="0"/>
    <n v="0"/>
    <n v="0"/>
    <x v="0"/>
    <x v="0"/>
    <x v="40"/>
    <n v="0"/>
    <x v="4"/>
    <x v="0"/>
  </r>
  <r>
    <x v="0"/>
    <x v="0"/>
    <x v="0"/>
    <n v="0"/>
    <x v="0"/>
    <n v="0"/>
    <n v="0"/>
    <n v="0"/>
    <x v="0"/>
    <x v="0"/>
    <x v="41"/>
    <n v="0"/>
    <x v="0"/>
    <x v="0"/>
  </r>
  <r>
    <x v="0"/>
    <x v="1"/>
    <x v="0"/>
    <n v="0"/>
    <x v="0"/>
    <n v="0"/>
    <n v="0"/>
    <n v="0"/>
    <x v="0"/>
    <x v="0"/>
    <x v="41"/>
    <n v="0"/>
    <x v="0"/>
    <x v="0"/>
  </r>
  <r>
    <x v="0"/>
    <x v="2"/>
    <x v="0"/>
    <n v="0"/>
    <x v="0"/>
    <n v="0"/>
    <n v="0"/>
    <n v="0"/>
    <x v="0"/>
    <x v="0"/>
    <x v="41"/>
    <n v="0"/>
    <x v="0"/>
    <x v="0"/>
  </r>
  <r>
    <x v="0"/>
    <x v="3"/>
    <x v="0"/>
    <n v="0"/>
    <x v="0"/>
    <n v="0"/>
    <n v="0"/>
    <n v="0"/>
    <x v="0"/>
    <x v="0"/>
    <x v="41"/>
    <n v="0"/>
    <x v="0"/>
    <x v="0"/>
  </r>
  <r>
    <x v="0"/>
    <x v="4"/>
    <x v="0"/>
    <n v="0"/>
    <x v="0"/>
    <n v="0"/>
    <n v="0"/>
    <n v="0"/>
    <x v="0"/>
    <x v="0"/>
    <x v="41"/>
    <n v="0"/>
    <x v="0"/>
    <x v="0"/>
  </r>
  <r>
    <x v="0"/>
    <x v="5"/>
    <x v="0"/>
    <n v="0"/>
    <x v="0"/>
    <n v="0"/>
    <n v="0"/>
    <n v="0"/>
    <x v="0"/>
    <x v="0"/>
    <x v="41"/>
    <n v="0"/>
    <x v="0"/>
    <x v="0"/>
  </r>
  <r>
    <x v="0"/>
    <x v="6"/>
    <x v="0"/>
    <n v="0"/>
    <x v="0"/>
    <n v="0"/>
    <n v="0"/>
    <n v="0"/>
    <x v="0"/>
    <x v="0"/>
    <x v="41"/>
    <n v="0"/>
    <x v="0"/>
    <x v="0"/>
  </r>
  <r>
    <x v="0"/>
    <x v="7"/>
    <x v="0"/>
    <n v="0"/>
    <x v="0"/>
    <n v="0"/>
    <n v="0"/>
    <n v="0"/>
    <x v="0"/>
    <x v="0"/>
    <x v="41"/>
    <n v="0"/>
    <x v="0"/>
    <x v="0"/>
  </r>
  <r>
    <x v="0"/>
    <x v="8"/>
    <x v="0"/>
    <n v="0"/>
    <x v="0"/>
    <n v="0"/>
    <n v="0"/>
    <n v="0"/>
    <x v="0"/>
    <x v="0"/>
    <x v="41"/>
    <n v="0"/>
    <x v="0"/>
    <x v="0"/>
  </r>
  <r>
    <x v="1"/>
    <x v="9"/>
    <x v="0"/>
    <n v="0"/>
    <x v="0"/>
    <n v="0"/>
    <n v="0"/>
    <n v="0"/>
    <x v="0"/>
    <x v="0"/>
    <x v="41"/>
    <n v="0"/>
    <x v="1"/>
    <x v="0"/>
  </r>
  <r>
    <x v="1"/>
    <x v="10"/>
    <x v="0"/>
    <n v="0"/>
    <x v="0"/>
    <n v="0"/>
    <n v="0"/>
    <n v="0"/>
    <x v="0"/>
    <x v="0"/>
    <x v="41"/>
    <n v="0"/>
    <x v="1"/>
    <x v="0"/>
  </r>
  <r>
    <x v="1"/>
    <x v="11"/>
    <x v="0"/>
    <n v="0"/>
    <x v="0"/>
    <n v="0"/>
    <n v="0"/>
    <n v="0"/>
    <x v="0"/>
    <x v="0"/>
    <x v="41"/>
    <n v="0"/>
    <x v="1"/>
    <x v="0"/>
  </r>
  <r>
    <x v="1"/>
    <x v="12"/>
    <x v="0"/>
    <n v="0"/>
    <x v="0"/>
    <n v="0"/>
    <n v="0"/>
    <n v="0"/>
    <x v="0"/>
    <x v="0"/>
    <x v="41"/>
    <n v="0"/>
    <x v="1"/>
    <x v="0"/>
  </r>
  <r>
    <x v="1"/>
    <x v="13"/>
    <x v="0"/>
    <n v="0"/>
    <x v="0"/>
    <n v="0"/>
    <n v="0"/>
    <n v="0"/>
    <x v="0"/>
    <x v="0"/>
    <x v="41"/>
    <n v="0"/>
    <x v="1"/>
    <x v="0"/>
  </r>
  <r>
    <x v="2"/>
    <x v="14"/>
    <x v="0"/>
    <n v="0"/>
    <x v="0"/>
    <n v="0"/>
    <n v="0"/>
    <n v="0"/>
    <x v="0"/>
    <x v="0"/>
    <x v="41"/>
    <n v="0"/>
    <x v="2"/>
    <x v="0"/>
  </r>
  <r>
    <x v="2"/>
    <x v="15"/>
    <x v="0"/>
    <n v="0"/>
    <x v="0"/>
    <n v="0"/>
    <n v="0"/>
    <n v="0"/>
    <x v="0"/>
    <x v="0"/>
    <x v="41"/>
    <n v="0"/>
    <x v="3"/>
    <x v="0"/>
  </r>
  <r>
    <x v="2"/>
    <x v="16"/>
    <x v="0"/>
    <n v="0"/>
    <x v="0"/>
    <n v="0"/>
    <n v="0"/>
    <n v="0"/>
    <x v="0"/>
    <x v="0"/>
    <x v="41"/>
    <n v="0"/>
    <x v="4"/>
    <x v="0"/>
  </r>
  <r>
    <x v="2"/>
    <x v="17"/>
    <x v="0"/>
    <n v="0"/>
    <x v="0"/>
    <n v="0"/>
    <n v="0"/>
    <n v="0"/>
    <x v="0"/>
    <x v="0"/>
    <x v="41"/>
    <n v="0"/>
    <x v="3"/>
    <x v="0"/>
  </r>
  <r>
    <x v="2"/>
    <x v="18"/>
    <x v="0"/>
    <n v="0"/>
    <x v="0"/>
    <n v="0"/>
    <n v="0"/>
    <n v="0"/>
    <x v="0"/>
    <x v="0"/>
    <x v="41"/>
    <n v="0"/>
    <x v="3"/>
    <x v="0"/>
  </r>
  <r>
    <x v="2"/>
    <x v="19"/>
    <x v="0"/>
    <n v="0"/>
    <x v="0"/>
    <n v="0"/>
    <n v="0"/>
    <n v="0"/>
    <x v="0"/>
    <x v="0"/>
    <x v="41"/>
    <n v="0"/>
    <x v="2"/>
    <x v="0"/>
  </r>
  <r>
    <x v="2"/>
    <x v="20"/>
    <x v="0"/>
    <n v="0"/>
    <x v="0"/>
    <n v="0"/>
    <n v="0"/>
    <n v="0"/>
    <x v="0"/>
    <x v="0"/>
    <x v="41"/>
    <n v="0"/>
    <x v="5"/>
    <x v="0"/>
  </r>
  <r>
    <x v="2"/>
    <x v="21"/>
    <x v="0"/>
    <n v="0"/>
    <x v="0"/>
    <n v="0"/>
    <n v="0"/>
    <n v="0"/>
    <x v="0"/>
    <x v="0"/>
    <x v="41"/>
    <n v="0"/>
    <x v="2"/>
    <x v="0"/>
  </r>
  <r>
    <x v="2"/>
    <x v="22"/>
    <x v="0"/>
    <n v="0"/>
    <x v="0"/>
    <n v="0"/>
    <n v="0"/>
    <n v="0"/>
    <x v="0"/>
    <x v="0"/>
    <x v="41"/>
    <n v="0"/>
    <x v="4"/>
    <x v="0"/>
  </r>
  <r>
    <x v="2"/>
    <x v="23"/>
    <x v="0"/>
    <n v="0"/>
    <x v="0"/>
    <n v="0"/>
    <n v="0"/>
    <n v="0"/>
    <x v="0"/>
    <x v="0"/>
    <x v="41"/>
    <n v="0"/>
    <x v="3"/>
    <x v="0"/>
  </r>
  <r>
    <x v="2"/>
    <x v="24"/>
    <x v="0"/>
    <n v="0"/>
    <x v="0"/>
    <n v="0"/>
    <n v="0"/>
    <n v="0"/>
    <x v="0"/>
    <x v="0"/>
    <x v="41"/>
    <n v="0"/>
    <x v="5"/>
    <x v="0"/>
  </r>
  <r>
    <x v="2"/>
    <x v="25"/>
    <x v="0"/>
    <n v="0"/>
    <x v="0"/>
    <n v="0"/>
    <n v="0"/>
    <n v="0"/>
    <x v="0"/>
    <x v="0"/>
    <x v="41"/>
    <n v="0"/>
    <x v="2"/>
    <x v="0"/>
  </r>
  <r>
    <x v="2"/>
    <x v="26"/>
    <x v="0"/>
    <n v="0"/>
    <x v="0"/>
    <n v="0"/>
    <n v="0"/>
    <n v="0"/>
    <x v="0"/>
    <x v="0"/>
    <x v="41"/>
    <n v="0"/>
    <x v="3"/>
    <x v="0"/>
  </r>
  <r>
    <x v="2"/>
    <x v="27"/>
    <x v="0"/>
    <n v="0"/>
    <x v="0"/>
    <n v="0"/>
    <n v="0"/>
    <n v="0"/>
    <x v="0"/>
    <x v="0"/>
    <x v="41"/>
    <n v="0"/>
    <x v="5"/>
    <x v="0"/>
  </r>
  <r>
    <x v="2"/>
    <x v="29"/>
    <x v="0"/>
    <n v="0"/>
    <x v="0"/>
    <n v="0"/>
    <n v="0"/>
    <n v="0"/>
    <x v="0"/>
    <x v="0"/>
    <x v="41"/>
    <n v="0"/>
    <x v="5"/>
    <x v="0"/>
  </r>
  <r>
    <x v="2"/>
    <x v="30"/>
    <x v="0"/>
    <n v="0"/>
    <x v="0"/>
    <n v="0"/>
    <n v="0"/>
    <n v="0"/>
    <x v="0"/>
    <x v="0"/>
    <x v="41"/>
    <n v="0"/>
    <x v="5"/>
    <x v="0"/>
  </r>
  <r>
    <x v="2"/>
    <x v="31"/>
    <x v="0"/>
    <n v="0"/>
    <x v="0"/>
    <n v="0"/>
    <n v="0"/>
    <n v="0"/>
    <x v="0"/>
    <x v="0"/>
    <x v="41"/>
    <n v="0"/>
    <x v="2"/>
    <x v="0"/>
  </r>
  <r>
    <x v="2"/>
    <x v="32"/>
    <x v="0"/>
    <n v="0"/>
    <x v="0"/>
    <n v="0"/>
    <n v="0"/>
    <n v="0"/>
    <x v="0"/>
    <x v="0"/>
    <x v="41"/>
    <n v="0"/>
    <x v="3"/>
    <x v="0"/>
  </r>
  <r>
    <x v="2"/>
    <x v="33"/>
    <x v="0"/>
    <n v="0"/>
    <x v="0"/>
    <n v="0"/>
    <n v="0"/>
    <n v="0"/>
    <x v="0"/>
    <x v="0"/>
    <x v="41"/>
    <n v="0"/>
    <x v="3"/>
    <x v="0"/>
  </r>
  <r>
    <x v="2"/>
    <x v="34"/>
    <x v="0"/>
    <n v="0"/>
    <x v="0"/>
    <n v="0"/>
    <n v="0"/>
    <n v="0"/>
    <x v="0"/>
    <x v="0"/>
    <x v="41"/>
    <n v="0"/>
    <x v="4"/>
    <x v="0"/>
  </r>
  <r>
    <x v="2"/>
    <x v="35"/>
    <x v="0"/>
    <n v="0"/>
    <x v="0"/>
    <n v="0"/>
    <n v="0"/>
    <n v="0"/>
    <x v="0"/>
    <x v="0"/>
    <x v="41"/>
    <n v="0"/>
    <x v="2"/>
    <x v="0"/>
  </r>
  <r>
    <x v="2"/>
    <x v="36"/>
    <x v="0"/>
    <n v="0"/>
    <x v="0"/>
    <n v="0"/>
    <n v="0"/>
    <n v="0"/>
    <x v="0"/>
    <x v="0"/>
    <x v="41"/>
    <n v="0"/>
    <x v="4"/>
    <x v="0"/>
  </r>
  <r>
    <x v="2"/>
    <x v="37"/>
    <x v="0"/>
    <n v="0"/>
    <x v="0"/>
    <n v="0"/>
    <n v="0"/>
    <n v="0"/>
    <x v="0"/>
    <x v="0"/>
    <x v="41"/>
    <n v="0"/>
    <x v="4"/>
    <x v="0"/>
  </r>
  <r>
    <x v="2"/>
    <x v="38"/>
    <x v="0"/>
    <n v="0"/>
    <x v="0"/>
    <n v="0"/>
    <n v="0"/>
    <n v="0"/>
    <x v="0"/>
    <x v="0"/>
    <x v="41"/>
    <n v="0"/>
    <x v="2"/>
    <x v="0"/>
  </r>
  <r>
    <x v="2"/>
    <x v="39"/>
    <x v="0"/>
    <n v="0"/>
    <x v="0"/>
    <n v="0"/>
    <n v="0"/>
    <n v="0"/>
    <x v="0"/>
    <x v="0"/>
    <x v="41"/>
    <n v="0"/>
    <x v="2"/>
    <x v="0"/>
  </r>
  <r>
    <x v="2"/>
    <x v="40"/>
    <x v="0"/>
    <n v="0"/>
    <x v="0"/>
    <n v="0"/>
    <n v="0"/>
    <n v="0"/>
    <x v="0"/>
    <x v="0"/>
    <x v="41"/>
    <n v="0"/>
    <x v="3"/>
    <x v="0"/>
  </r>
  <r>
    <x v="2"/>
    <x v="41"/>
    <x v="0"/>
    <n v="0"/>
    <x v="0"/>
    <n v="0"/>
    <n v="0"/>
    <n v="0"/>
    <x v="0"/>
    <x v="0"/>
    <x v="41"/>
    <n v="0"/>
    <x v="5"/>
    <x v="0"/>
  </r>
  <r>
    <x v="2"/>
    <x v="42"/>
    <x v="0"/>
    <n v="0"/>
    <x v="0"/>
    <n v="0"/>
    <n v="0"/>
    <n v="0"/>
    <x v="0"/>
    <x v="0"/>
    <x v="41"/>
    <n v="0"/>
    <x v="2"/>
    <x v="0"/>
  </r>
  <r>
    <x v="2"/>
    <x v="43"/>
    <x v="0"/>
    <n v="0"/>
    <x v="0"/>
    <n v="0"/>
    <n v="0"/>
    <n v="0"/>
    <x v="0"/>
    <x v="0"/>
    <x v="41"/>
    <n v="0"/>
    <x v="3"/>
    <x v="0"/>
  </r>
  <r>
    <x v="2"/>
    <x v="44"/>
    <x v="0"/>
    <n v="0"/>
    <x v="0"/>
    <n v="0"/>
    <n v="0"/>
    <n v="0"/>
    <x v="0"/>
    <x v="0"/>
    <x v="41"/>
    <n v="0"/>
    <x v="3"/>
    <x v="0"/>
  </r>
  <r>
    <x v="2"/>
    <x v="45"/>
    <x v="0"/>
    <n v="0"/>
    <x v="0"/>
    <n v="0"/>
    <n v="0"/>
    <n v="0"/>
    <x v="0"/>
    <x v="0"/>
    <x v="41"/>
    <n v="0"/>
    <x v="4"/>
    <x v="0"/>
  </r>
  <r>
    <x v="2"/>
    <x v="46"/>
    <x v="0"/>
    <n v="0"/>
    <x v="0"/>
    <n v="0"/>
    <n v="0"/>
    <n v="0"/>
    <x v="0"/>
    <x v="0"/>
    <x v="41"/>
    <n v="0"/>
    <x v="4"/>
    <x v="0"/>
  </r>
  <r>
    <x v="2"/>
    <x v="47"/>
    <x v="0"/>
    <n v="0"/>
    <x v="0"/>
    <n v="0"/>
    <n v="0"/>
    <n v="0"/>
    <x v="0"/>
    <x v="0"/>
    <x v="41"/>
    <n v="0"/>
    <x v="5"/>
    <x v="0"/>
  </r>
  <r>
    <x v="2"/>
    <x v="48"/>
    <x v="0"/>
    <n v="0"/>
    <x v="0"/>
    <n v="0"/>
    <n v="0"/>
    <n v="0"/>
    <x v="0"/>
    <x v="0"/>
    <x v="41"/>
    <n v="0"/>
    <x v="6"/>
    <x v="0"/>
  </r>
  <r>
    <x v="2"/>
    <x v="49"/>
    <x v="0"/>
    <n v="0"/>
    <x v="0"/>
    <n v="0"/>
    <n v="0"/>
    <n v="0"/>
    <x v="0"/>
    <x v="0"/>
    <x v="41"/>
    <n v="0"/>
    <x v="3"/>
    <x v="0"/>
  </r>
  <r>
    <x v="2"/>
    <x v="50"/>
    <x v="0"/>
    <n v="0"/>
    <x v="0"/>
    <n v="0"/>
    <n v="0"/>
    <n v="0"/>
    <x v="0"/>
    <x v="0"/>
    <x v="41"/>
    <n v="0"/>
    <x v="4"/>
    <x v="0"/>
  </r>
  <r>
    <x v="0"/>
    <x v="0"/>
    <x v="0"/>
    <n v="0"/>
    <x v="0"/>
    <n v="0"/>
    <n v="0"/>
    <n v="0"/>
    <x v="0"/>
    <x v="0"/>
    <x v="42"/>
    <n v="0"/>
    <x v="0"/>
    <x v="0"/>
  </r>
  <r>
    <x v="0"/>
    <x v="1"/>
    <x v="0"/>
    <n v="0"/>
    <x v="0"/>
    <n v="0"/>
    <n v="0"/>
    <n v="0"/>
    <x v="0"/>
    <x v="0"/>
    <x v="42"/>
    <n v="0"/>
    <x v="0"/>
    <x v="0"/>
  </r>
  <r>
    <x v="0"/>
    <x v="2"/>
    <x v="0"/>
    <n v="0"/>
    <x v="0"/>
    <n v="0"/>
    <n v="0"/>
    <n v="0"/>
    <x v="0"/>
    <x v="0"/>
    <x v="42"/>
    <n v="0"/>
    <x v="0"/>
    <x v="0"/>
  </r>
  <r>
    <x v="0"/>
    <x v="3"/>
    <x v="0"/>
    <n v="0"/>
    <x v="0"/>
    <n v="0"/>
    <n v="0"/>
    <n v="0"/>
    <x v="0"/>
    <x v="0"/>
    <x v="42"/>
    <n v="0"/>
    <x v="0"/>
    <x v="0"/>
  </r>
  <r>
    <x v="0"/>
    <x v="4"/>
    <x v="0"/>
    <n v="0"/>
    <x v="0"/>
    <n v="0"/>
    <n v="0"/>
    <n v="0"/>
    <x v="0"/>
    <x v="0"/>
    <x v="42"/>
    <n v="0"/>
    <x v="0"/>
    <x v="0"/>
  </r>
  <r>
    <x v="0"/>
    <x v="5"/>
    <x v="0"/>
    <n v="0"/>
    <x v="0"/>
    <n v="0"/>
    <n v="0"/>
    <n v="0"/>
    <x v="0"/>
    <x v="0"/>
    <x v="42"/>
    <n v="0"/>
    <x v="0"/>
    <x v="0"/>
  </r>
  <r>
    <x v="0"/>
    <x v="6"/>
    <x v="0"/>
    <n v="0"/>
    <x v="0"/>
    <n v="0"/>
    <n v="0"/>
    <n v="0"/>
    <x v="0"/>
    <x v="0"/>
    <x v="42"/>
    <n v="0"/>
    <x v="0"/>
    <x v="0"/>
  </r>
  <r>
    <x v="0"/>
    <x v="7"/>
    <x v="0"/>
    <n v="0"/>
    <x v="0"/>
    <n v="0"/>
    <n v="0"/>
    <n v="0"/>
    <x v="0"/>
    <x v="0"/>
    <x v="42"/>
    <n v="0"/>
    <x v="0"/>
    <x v="0"/>
  </r>
  <r>
    <x v="0"/>
    <x v="8"/>
    <x v="0"/>
    <n v="0"/>
    <x v="0"/>
    <n v="0"/>
    <n v="0"/>
    <n v="0"/>
    <x v="0"/>
    <x v="0"/>
    <x v="42"/>
    <n v="0"/>
    <x v="0"/>
    <x v="0"/>
  </r>
  <r>
    <x v="1"/>
    <x v="9"/>
    <x v="0"/>
    <n v="0"/>
    <x v="0"/>
    <n v="0"/>
    <n v="0"/>
    <n v="0"/>
    <x v="0"/>
    <x v="0"/>
    <x v="42"/>
    <n v="0"/>
    <x v="1"/>
    <x v="0"/>
  </r>
  <r>
    <x v="1"/>
    <x v="10"/>
    <x v="0"/>
    <n v="0"/>
    <x v="0"/>
    <n v="0"/>
    <n v="0"/>
    <n v="0"/>
    <x v="0"/>
    <x v="0"/>
    <x v="42"/>
    <n v="0"/>
    <x v="1"/>
    <x v="0"/>
  </r>
  <r>
    <x v="1"/>
    <x v="11"/>
    <x v="0"/>
    <n v="0"/>
    <x v="0"/>
    <n v="0"/>
    <n v="0"/>
    <n v="0"/>
    <x v="0"/>
    <x v="0"/>
    <x v="42"/>
    <n v="0"/>
    <x v="1"/>
    <x v="0"/>
  </r>
  <r>
    <x v="1"/>
    <x v="12"/>
    <x v="0"/>
    <n v="0"/>
    <x v="0"/>
    <n v="0"/>
    <n v="0"/>
    <n v="0"/>
    <x v="0"/>
    <x v="0"/>
    <x v="42"/>
    <n v="0"/>
    <x v="1"/>
    <x v="0"/>
  </r>
  <r>
    <x v="1"/>
    <x v="13"/>
    <x v="0"/>
    <n v="0"/>
    <x v="0"/>
    <n v="0"/>
    <n v="0"/>
    <n v="0"/>
    <x v="0"/>
    <x v="0"/>
    <x v="42"/>
    <n v="0"/>
    <x v="1"/>
    <x v="0"/>
  </r>
  <r>
    <x v="2"/>
    <x v="14"/>
    <x v="0"/>
    <n v="0"/>
    <x v="0"/>
    <n v="0"/>
    <n v="0"/>
    <n v="0"/>
    <x v="0"/>
    <x v="0"/>
    <x v="42"/>
    <n v="0"/>
    <x v="2"/>
    <x v="0"/>
  </r>
  <r>
    <x v="2"/>
    <x v="15"/>
    <x v="0"/>
    <n v="0"/>
    <x v="0"/>
    <n v="0"/>
    <n v="0"/>
    <n v="0"/>
    <x v="0"/>
    <x v="0"/>
    <x v="42"/>
    <n v="0"/>
    <x v="3"/>
    <x v="0"/>
  </r>
  <r>
    <x v="2"/>
    <x v="16"/>
    <x v="0"/>
    <n v="0"/>
    <x v="0"/>
    <n v="0"/>
    <n v="0"/>
    <n v="0"/>
    <x v="0"/>
    <x v="0"/>
    <x v="42"/>
    <n v="0"/>
    <x v="4"/>
    <x v="0"/>
  </r>
  <r>
    <x v="2"/>
    <x v="17"/>
    <x v="0"/>
    <n v="0"/>
    <x v="0"/>
    <n v="0"/>
    <n v="0"/>
    <n v="0"/>
    <x v="0"/>
    <x v="0"/>
    <x v="42"/>
    <n v="0"/>
    <x v="3"/>
    <x v="0"/>
  </r>
  <r>
    <x v="2"/>
    <x v="18"/>
    <x v="0"/>
    <n v="0"/>
    <x v="0"/>
    <n v="0"/>
    <n v="0"/>
    <n v="0"/>
    <x v="0"/>
    <x v="0"/>
    <x v="42"/>
    <n v="0"/>
    <x v="3"/>
    <x v="0"/>
  </r>
  <r>
    <x v="2"/>
    <x v="19"/>
    <x v="0"/>
    <n v="0"/>
    <x v="0"/>
    <n v="0"/>
    <n v="0"/>
    <n v="0"/>
    <x v="0"/>
    <x v="0"/>
    <x v="42"/>
    <n v="0"/>
    <x v="2"/>
    <x v="0"/>
  </r>
  <r>
    <x v="2"/>
    <x v="20"/>
    <x v="0"/>
    <n v="0"/>
    <x v="0"/>
    <n v="0"/>
    <n v="0"/>
    <n v="0"/>
    <x v="0"/>
    <x v="0"/>
    <x v="42"/>
    <n v="0"/>
    <x v="5"/>
    <x v="0"/>
  </r>
  <r>
    <x v="2"/>
    <x v="21"/>
    <x v="0"/>
    <n v="0"/>
    <x v="0"/>
    <n v="0"/>
    <n v="0"/>
    <n v="0"/>
    <x v="0"/>
    <x v="0"/>
    <x v="42"/>
    <n v="0"/>
    <x v="2"/>
    <x v="0"/>
  </r>
  <r>
    <x v="2"/>
    <x v="22"/>
    <x v="0"/>
    <n v="0"/>
    <x v="0"/>
    <n v="0"/>
    <n v="0"/>
    <n v="0"/>
    <x v="0"/>
    <x v="0"/>
    <x v="42"/>
    <n v="0"/>
    <x v="4"/>
    <x v="0"/>
  </r>
  <r>
    <x v="2"/>
    <x v="23"/>
    <x v="0"/>
    <n v="0"/>
    <x v="0"/>
    <n v="0"/>
    <n v="0"/>
    <n v="0"/>
    <x v="0"/>
    <x v="0"/>
    <x v="42"/>
    <n v="0"/>
    <x v="3"/>
    <x v="0"/>
  </r>
  <r>
    <x v="2"/>
    <x v="24"/>
    <x v="0"/>
    <n v="0"/>
    <x v="0"/>
    <n v="0"/>
    <n v="0"/>
    <n v="0"/>
    <x v="0"/>
    <x v="0"/>
    <x v="42"/>
    <n v="0"/>
    <x v="5"/>
    <x v="0"/>
  </r>
  <r>
    <x v="2"/>
    <x v="25"/>
    <x v="0"/>
    <n v="0"/>
    <x v="0"/>
    <n v="0"/>
    <n v="0"/>
    <n v="0"/>
    <x v="0"/>
    <x v="0"/>
    <x v="42"/>
    <n v="0"/>
    <x v="2"/>
    <x v="0"/>
  </r>
  <r>
    <x v="2"/>
    <x v="26"/>
    <x v="0"/>
    <n v="0"/>
    <x v="0"/>
    <n v="0"/>
    <n v="0"/>
    <n v="0"/>
    <x v="0"/>
    <x v="0"/>
    <x v="42"/>
    <n v="0"/>
    <x v="3"/>
    <x v="0"/>
  </r>
  <r>
    <x v="2"/>
    <x v="27"/>
    <x v="0"/>
    <n v="0"/>
    <x v="0"/>
    <n v="0"/>
    <n v="0"/>
    <n v="0"/>
    <x v="0"/>
    <x v="0"/>
    <x v="42"/>
    <n v="0"/>
    <x v="5"/>
    <x v="0"/>
  </r>
  <r>
    <x v="2"/>
    <x v="29"/>
    <x v="0"/>
    <n v="0"/>
    <x v="0"/>
    <n v="0"/>
    <n v="0"/>
    <n v="0"/>
    <x v="0"/>
    <x v="0"/>
    <x v="42"/>
    <n v="0"/>
    <x v="5"/>
    <x v="0"/>
  </r>
  <r>
    <x v="2"/>
    <x v="30"/>
    <x v="0"/>
    <n v="0"/>
    <x v="0"/>
    <n v="0"/>
    <n v="0"/>
    <n v="0"/>
    <x v="0"/>
    <x v="0"/>
    <x v="42"/>
    <n v="0"/>
    <x v="5"/>
    <x v="0"/>
  </r>
  <r>
    <x v="2"/>
    <x v="31"/>
    <x v="0"/>
    <n v="0"/>
    <x v="0"/>
    <n v="0"/>
    <n v="0"/>
    <n v="0"/>
    <x v="0"/>
    <x v="0"/>
    <x v="42"/>
    <n v="0"/>
    <x v="2"/>
    <x v="0"/>
  </r>
  <r>
    <x v="2"/>
    <x v="32"/>
    <x v="0"/>
    <n v="0"/>
    <x v="0"/>
    <n v="0"/>
    <n v="0"/>
    <n v="0"/>
    <x v="0"/>
    <x v="0"/>
    <x v="42"/>
    <n v="0"/>
    <x v="3"/>
    <x v="0"/>
  </r>
  <r>
    <x v="2"/>
    <x v="33"/>
    <x v="0"/>
    <n v="0"/>
    <x v="0"/>
    <n v="0"/>
    <n v="0"/>
    <n v="0"/>
    <x v="0"/>
    <x v="0"/>
    <x v="42"/>
    <n v="0"/>
    <x v="3"/>
    <x v="0"/>
  </r>
  <r>
    <x v="2"/>
    <x v="34"/>
    <x v="0"/>
    <n v="0"/>
    <x v="0"/>
    <n v="0"/>
    <n v="0"/>
    <n v="0"/>
    <x v="0"/>
    <x v="0"/>
    <x v="42"/>
    <n v="0"/>
    <x v="4"/>
    <x v="0"/>
  </r>
  <r>
    <x v="2"/>
    <x v="35"/>
    <x v="0"/>
    <n v="0"/>
    <x v="0"/>
    <n v="0"/>
    <n v="0"/>
    <n v="0"/>
    <x v="0"/>
    <x v="0"/>
    <x v="42"/>
    <n v="0"/>
    <x v="2"/>
    <x v="0"/>
  </r>
  <r>
    <x v="2"/>
    <x v="36"/>
    <x v="0"/>
    <n v="0"/>
    <x v="0"/>
    <n v="0"/>
    <n v="0"/>
    <n v="0"/>
    <x v="0"/>
    <x v="0"/>
    <x v="42"/>
    <n v="0"/>
    <x v="4"/>
    <x v="0"/>
  </r>
  <r>
    <x v="2"/>
    <x v="37"/>
    <x v="0"/>
    <n v="0"/>
    <x v="0"/>
    <n v="0"/>
    <n v="0"/>
    <n v="0"/>
    <x v="0"/>
    <x v="0"/>
    <x v="42"/>
    <n v="0"/>
    <x v="4"/>
    <x v="0"/>
  </r>
  <r>
    <x v="2"/>
    <x v="38"/>
    <x v="0"/>
    <n v="0"/>
    <x v="0"/>
    <n v="0"/>
    <n v="0"/>
    <n v="0"/>
    <x v="0"/>
    <x v="0"/>
    <x v="42"/>
    <n v="0"/>
    <x v="2"/>
    <x v="0"/>
  </r>
  <r>
    <x v="2"/>
    <x v="39"/>
    <x v="0"/>
    <n v="0"/>
    <x v="0"/>
    <n v="0"/>
    <n v="0"/>
    <n v="0"/>
    <x v="0"/>
    <x v="0"/>
    <x v="42"/>
    <n v="0"/>
    <x v="2"/>
    <x v="0"/>
  </r>
  <r>
    <x v="2"/>
    <x v="40"/>
    <x v="0"/>
    <n v="0"/>
    <x v="0"/>
    <n v="0"/>
    <n v="0"/>
    <n v="0"/>
    <x v="0"/>
    <x v="0"/>
    <x v="42"/>
    <n v="0"/>
    <x v="3"/>
    <x v="0"/>
  </r>
  <r>
    <x v="2"/>
    <x v="41"/>
    <x v="0"/>
    <n v="0"/>
    <x v="0"/>
    <n v="0"/>
    <n v="0"/>
    <n v="0"/>
    <x v="0"/>
    <x v="0"/>
    <x v="42"/>
    <n v="0"/>
    <x v="5"/>
    <x v="0"/>
  </r>
  <r>
    <x v="2"/>
    <x v="42"/>
    <x v="0"/>
    <n v="0"/>
    <x v="0"/>
    <n v="0"/>
    <n v="0"/>
    <n v="0"/>
    <x v="0"/>
    <x v="0"/>
    <x v="42"/>
    <n v="0"/>
    <x v="2"/>
    <x v="0"/>
  </r>
  <r>
    <x v="2"/>
    <x v="43"/>
    <x v="0"/>
    <n v="0"/>
    <x v="0"/>
    <n v="0"/>
    <n v="0"/>
    <n v="0"/>
    <x v="0"/>
    <x v="0"/>
    <x v="42"/>
    <n v="0"/>
    <x v="3"/>
    <x v="0"/>
  </r>
  <r>
    <x v="2"/>
    <x v="44"/>
    <x v="0"/>
    <n v="0"/>
    <x v="0"/>
    <n v="0"/>
    <n v="0"/>
    <n v="0"/>
    <x v="0"/>
    <x v="0"/>
    <x v="42"/>
    <n v="0"/>
    <x v="3"/>
    <x v="0"/>
  </r>
  <r>
    <x v="2"/>
    <x v="45"/>
    <x v="0"/>
    <n v="0"/>
    <x v="0"/>
    <n v="0"/>
    <n v="0"/>
    <n v="0"/>
    <x v="0"/>
    <x v="0"/>
    <x v="42"/>
    <n v="0"/>
    <x v="4"/>
    <x v="0"/>
  </r>
  <r>
    <x v="2"/>
    <x v="46"/>
    <x v="0"/>
    <n v="0"/>
    <x v="0"/>
    <n v="0"/>
    <n v="0"/>
    <n v="0"/>
    <x v="0"/>
    <x v="0"/>
    <x v="42"/>
    <n v="0"/>
    <x v="4"/>
    <x v="0"/>
  </r>
  <r>
    <x v="2"/>
    <x v="47"/>
    <x v="0"/>
    <n v="0"/>
    <x v="0"/>
    <n v="0"/>
    <n v="0"/>
    <n v="0"/>
    <x v="0"/>
    <x v="0"/>
    <x v="42"/>
    <n v="0"/>
    <x v="5"/>
    <x v="0"/>
  </r>
  <r>
    <x v="2"/>
    <x v="48"/>
    <x v="0"/>
    <n v="0"/>
    <x v="0"/>
    <n v="0"/>
    <n v="0"/>
    <n v="0"/>
    <x v="0"/>
    <x v="0"/>
    <x v="42"/>
    <n v="0"/>
    <x v="6"/>
    <x v="0"/>
  </r>
  <r>
    <x v="2"/>
    <x v="49"/>
    <x v="0"/>
    <n v="0"/>
    <x v="0"/>
    <n v="0"/>
    <n v="0"/>
    <n v="0"/>
    <x v="0"/>
    <x v="0"/>
    <x v="42"/>
    <n v="0"/>
    <x v="3"/>
    <x v="0"/>
  </r>
  <r>
    <x v="2"/>
    <x v="50"/>
    <x v="0"/>
    <n v="0"/>
    <x v="0"/>
    <n v="0"/>
    <n v="0"/>
    <n v="0"/>
    <x v="0"/>
    <x v="0"/>
    <x v="42"/>
    <n v="0"/>
    <x v="4"/>
    <x v="0"/>
  </r>
  <r>
    <x v="0"/>
    <x v="0"/>
    <x v="0"/>
    <n v="0"/>
    <x v="0"/>
    <n v="0"/>
    <n v="0"/>
    <n v="0"/>
    <x v="0"/>
    <x v="0"/>
    <x v="43"/>
    <n v="0"/>
    <x v="0"/>
    <x v="0"/>
  </r>
  <r>
    <x v="0"/>
    <x v="1"/>
    <x v="0"/>
    <n v="0"/>
    <x v="0"/>
    <n v="0"/>
    <n v="0"/>
    <n v="0"/>
    <x v="0"/>
    <x v="0"/>
    <x v="43"/>
    <n v="0"/>
    <x v="0"/>
    <x v="0"/>
  </r>
  <r>
    <x v="0"/>
    <x v="2"/>
    <x v="0"/>
    <n v="0"/>
    <x v="0"/>
    <n v="0"/>
    <n v="0"/>
    <n v="0"/>
    <x v="0"/>
    <x v="0"/>
    <x v="43"/>
    <n v="0"/>
    <x v="0"/>
    <x v="0"/>
  </r>
  <r>
    <x v="0"/>
    <x v="3"/>
    <x v="0"/>
    <n v="0"/>
    <x v="0"/>
    <n v="0"/>
    <n v="0"/>
    <n v="0"/>
    <x v="0"/>
    <x v="0"/>
    <x v="43"/>
    <n v="0"/>
    <x v="0"/>
    <x v="0"/>
  </r>
  <r>
    <x v="0"/>
    <x v="4"/>
    <x v="0"/>
    <n v="0"/>
    <x v="0"/>
    <n v="0"/>
    <n v="0"/>
    <n v="0"/>
    <x v="0"/>
    <x v="0"/>
    <x v="43"/>
    <n v="0"/>
    <x v="0"/>
    <x v="0"/>
  </r>
  <r>
    <x v="0"/>
    <x v="5"/>
    <x v="0"/>
    <n v="0"/>
    <x v="0"/>
    <n v="0"/>
    <n v="0"/>
    <n v="0"/>
    <x v="0"/>
    <x v="0"/>
    <x v="43"/>
    <n v="0"/>
    <x v="0"/>
    <x v="0"/>
  </r>
  <r>
    <x v="0"/>
    <x v="6"/>
    <x v="0"/>
    <n v="0"/>
    <x v="0"/>
    <n v="0"/>
    <n v="0"/>
    <n v="0"/>
    <x v="0"/>
    <x v="0"/>
    <x v="43"/>
    <n v="0"/>
    <x v="0"/>
    <x v="0"/>
  </r>
  <r>
    <x v="0"/>
    <x v="7"/>
    <x v="0"/>
    <n v="0"/>
    <x v="0"/>
    <n v="0"/>
    <n v="0"/>
    <n v="0"/>
    <x v="0"/>
    <x v="0"/>
    <x v="43"/>
    <n v="0"/>
    <x v="0"/>
    <x v="0"/>
  </r>
  <r>
    <x v="0"/>
    <x v="8"/>
    <x v="0"/>
    <n v="0"/>
    <x v="0"/>
    <n v="0"/>
    <n v="0"/>
    <n v="0"/>
    <x v="0"/>
    <x v="0"/>
    <x v="43"/>
    <n v="0"/>
    <x v="0"/>
    <x v="0"/>
  </r>
  <r>
    <x v="1"/>
    <x v="9"/>
    <x v="0"/>
    <n v="0"/>
    <x v="0"/>
    <n v="0"/>
    <n v="0"/>
    <n v="0"/>
    <x v="0"/>
    <x v="0"/>
    <x v="43"/>
    <n v="0"/>
    <x v="1"/>
    <x v="0"/>
  </r>
  <r>
    <x v="1"/>
    <x v="10"/>
    <x v="0"/>
    <n v="0"/>
    <x v="0"/>
    <n v="0"/>
    <n v="0"/>
    <n v="0"/>
    <x v="0"/>
    <x v="0"/>
    <x v="43"/>
    <n v="0"/>
    <x v="1"/>
    <x v="0"/>
  </r>
  <r>
    <x v="1"/>
    <x v="11"/>
    <x v="0"/>
    <n v="0"/>
    <x v="0"/>
    <n v="0"/>
    <n v="0"/>
    <n v="0"/>
    <x v="0"/>
    <x v="0"/>
    <x v="43"/>
    <n v="0"/>
    <x v="1"/>
    <x v="0"/>
  </r>
  <r>
    <x v="1"/>
    <x v="12"/>
    <x v="0"/>
    <n v="0"/>
    <x v="0"/>
    <n v="0"/>
    <n v="0"/>
    <n v="0"/>
    <x v="0"/>
    <x v="0"/>
    <x v="43"/>
    <n v="0"/>
    <x v="1"/>
    <x v="0"/>
  </r>
  <r>
    <x v="1"/>
    <x v="13"/>
    <x v="0"/>
    <n v="0"/>
    <x v="0"/>
    <n v="0"/>
    <n v="0"/>
    <n v="0"/>
    <x v="0"/>
    <x v="0"/>
    <x v="43"/>
    <n v="0"/>
    <x v="1"/>
    <x v="0"/>
  </r>
  <r>
    <x v="2"/>
    <x v="14"/>
    <x v="0"/>
    <n v="0"/>
    <x v="0"/>
    <n v="0"/>
    <n v="0"/>
    <n v="0"/>
    <x v="0"/>
    <x v="0"/>
    <x v="43"/>
    <n v="0"/>
    <x v="2"/>
    <x v="0"/>
  </r>
  <r>
    <x v="2"/>
    <x v="15"/>
    <x v="0"/>
    <n v="0"/>
    <x v="0"/>
    <n v="0"/>
    <n v="0"/>
    <n v="0"/>
    <x v="0"/>
    <x v="0"/>
    <x v="43"/>
    <n v="0"/>
    <x v="3"/>
    <x v="0"/>
  </r>
  <r>
    <x v="2"/>
    <x v="16"/>
    <x v="0"/>
    <n v="0"/>
    <x v="0"/>
    <n v="0"/>
    <n v="0"/>
    <n v="0"/>
    <x v="0"/>
    <x v="0"/>
    <x v="43"/>
    <n v="0"/>
    <x v="4"/>
    <x v="0"/>
  </r>
  <r>
    <x v="2"/>
    <x v="17"/>
    <x v="0"/>
    <n v="0"/>
    <x v="0"/>
    <n v="0"/>
    <n v="0"/>
    <n v="0"/>
    <x v="0"/>
    <x v="0"/>
    <x v="43"/>
    <n v="0"/>
    <x v="3"/>
    <x v="0"/>
  </r>
  <r>
    <x v="2"/>
    <x v="18"/>
    <x v="0"/>
    <n v="0"/>
    <x v="0"/>
    <n v="0"/>
    <n v="0"/>
    <n v="0"/>
    <x v="0"/>
    <x v="0"/>
    <x v="43"/>
    <n v="0"/>
    <x v="3"/>
    <x v="0"/>
  </r>
  <r>
    <x v="2"/>
    <x v="19"/>
    <x v="0"/>
    <n v="0"/>
    <x v="0"/>
    <n v="0"/>
    <n v="0"/>
    <n v="0"/>
    <x v="0"/>
    <x v="0"/>
    <x v="43"/>
    <n v="0"/>
    <x v="2"/>
    <x v="0"/>
  </r>
  <r>
    <x v="2"/>
    <x v="20"/>
    <x v="0"/>
    <n v="0"/>
    <x v="0"/>
    <n v="0"/>
    <n v="0"/>
    <n v="0"/>
    <x v="0"/>
    <x v="0"/>
    <x v="43"/>
    <n v="0"/>
    <x v="5"/>
    <x v="0"/>
  </r>
  <r>
    <x v="2"/>
    <x v="21"/>
    <x v="0"/>
    <n v="0"/>
    <x v="0"/>
    <n v="0"/>
    <n v="0"/>
    <n v="0"/>
    <x v="0"/>
    <x v="0"/>
    <x v="43"/>
    <n v="0"/>
    <x v="2"/>
    <x v="0"/>
  </r>
  <r>
    <x v="2"/>
    <x v="22"/>
    <x v="0"/>
    <n v="0"/>
    <x v="0"/>
    <n v="0"/>
    <n v="0"/>
    <n v="0"/>
    <x v="0"/>
    <x v="0"/>
    <x v="43"/>
    <n v="0"/>
    <x v="4"/>
    <x v="0"/>
  </r>
  <r>
    <x v="2"/>
    <x v="23"/>
    <x v="0"/>
    <n v="0"/>
    <x v="0"/>
    <n v="0"/>
    <n v="0"/>
    <n v="0"/>
    <x v="0"/>
    <x v="0"/>
    <x v="43"/>
    <n v="0"/>
    <x v="3"/>
    <x v="0"/>
  </r>
  <r>
    <x v="2"/>
    <x v="24"/>
    <x v="0"/>
    <n v="0"/>
    <x v="0"/>
    <n v="0"/>
    <n v="0"/>
    <n v="0"/>
    <x v="0"/>
    <x v="0"/>
    <x v="43"/>
    <n v="0"/>
    <x v="5"/>
    <x v="0"/>
  </r>
  <r>
    <x v="2"/>
    <x v="25"/>
    <x v="0"/>
    <n v="0"/>
    <x v="0"/>
    <n v="0"/>
    <n v="0"/>
    <n v="0"/>
    <x v="0"/>
    <x v="0"/>
    <x v="43"/>
    <n v="0"/>
    <x v="2"/>
    <x v="0"/>
  </r>
  <r>
    <x v="2"/>
    <x v="26"/>
    <x v="0"/>
    <n v="0"/>
    <x v="0"/>
    <n v="0"/>
    <n v="0"/>
    <n v="0"/>
    <x v="0"/>
    <x v="0"/>
    <x v="43"/>
    <n v="0"/>
    <x v="3"/>
    <x v="0"/>
  </r>
  <r>
    <x v="2"/>
    <x v="27"/>
    <x v="0"/>
    <n v="0"/>
    <x v="0"/>
    <n v="0"/>
    <n v="0"/>
    <n v="0"/>
    <x v="0"/>
    <x v="0"/>
    <x v="43"/>
    <n v="0"/>
    <x v="5"/>
    <x v="0"/>
  </r>
  <r>
    <x v="2"/>
    <x v="29"/>
    <x v="0"/>
    <n v="0"/>
    <x v="0"/>
    <n v="0"/>
    <n v="0"/>
    <n v="0"/>
    <x v="0"/>
    <x v="0"/>
    <x v="43"/>
    <n v="0"/>
    <x v="5"/>
    <x v="0"/>
  </r>
  <r>
    <x v="2"/>
    <x v="30"/>
    <x v="0"/>
    <n v="0"/>
    <x v="0"/>
    <n v="0"/>
    <n v="0"/>
    <n v="0"/>
    <x v="0"/>
    <x v="0"/>
    <x v="43"/>
    <n v="0"/>
    <x v="5"/>
    <x v="0"/>
  </r>
  <r>
    <x v="2"/>
    <x v="31"/>
    <x v="0"/>
    <n v="0"/>
    <x v="0"/>
    <n v="0"/>
    <n v="0"/>
    <n v="0"/>
    <x v="0"/>
    <x v="0"/>
    <x v="43"/>
    <n v="0"/>
    <x v="2"/>
    <x v="0"/>
  </r>
  <r>
    <x v="2"/>
    <x v="32"/>
    <x v="0"/>
    <n v="0"/>
    <x v="0"/>
    <n v="0"/>
    <n v="0"/>
    <n v="0"/>
    <x v="0"/>
    <x v="0"/>
    <x v="43"/>
    <n v="0"/>
    <x v="3"/>
    <x v="0"/>
  </r>
  <r>
    <x v="2"/>
    <x v="33"/>
    <x v="0"/>
    <n v="0"/>
    <x v="0"/>
    <n v="0"/>
    <n v="0"/>
    <n v="0"/>
    <x v="0"/>
    <x v="0"/>
    <x v="43"/>
    <n v="0"/>
    <x v="3"/>
    <x v="0"/>
  </r>
  <r>
    <x v="2"/>
    <x v="34"/>
    <x v="0"/>
    <n v="0"/>
    <x v="0"/>
    <n v="0"/>
    <n v="0"/>
    <n v="0"/>
    <x v="0"/>
    <x v="0"/>
    <x v="43"/>
    <n v="0"/>
    <x v="4"/>
    <x v="0"/>
  </r>
  <r>
    <x v="2"/>
    <x v="35"/>
    <x v="0"/>
    <n v="0"/>
    <x v="0"/>
    <n v="0"/>
    <n v="0"/>
    <n v="0"/>
    <x v="0"/>
    <x v="0"/>
    <x v="43"/>
    <n v="0"/>
    <x v="2"/>
    <x v="0"/>
  </r>
  <r>
    <x v="2"/>
    <x v="36"/>
    <x v="0"/>
    <n v="0"/>
    <x v="0"/>
    <n v="0"/>
    <n v="0"/>
    <n v="0"/>
    <x v="0"/>
    <x v="0"/>
    <x v="43"/>
    <n v="0"/>
    <x v="4"/>
    <x v="0"/>
  </r>
  <r>
    <x v="2"/>
    <x v="37"/>
    <x v="0"/>
    <n v="0"/>
    <x v="0"/>
    <n v="0"/>
    <n v="0"/>
    <n v="0"/>
    <x v="0"/>
    <x v="0"/>
    <x v="43"/>
    <n v="0"/>
    <x v="4"/>
    <x v="0"/>
  </r>
  <r>
    <x v="2"/>
    <x v="38"/>
    <x v="0"/>
    <n v="0"/>
    <x v="0"/>
    <n v="0"/>
    <n v="0"/>
    <n v="0"/>
    <x v="0"/>
    <x v="0"/>
    <x v="43"/>
    <n v="0"/>
    <x v="2"/>
    <x v="0"/>
  </r>
  <r>
    <x v="2"/>
    <x v="39"/>
    <x v="0"/>
    <n v="0"/>
    <x v="0"/>
    <n v="0"/>
    <n v="0"/>
    <n v="0"/>
    <x v="0"/>
    <x v="0"/>
    <x v="43"/>
    <n v="0"/>
    <x v="2"/>
    <x v="0"/>
  </r>
  <r>
    <x v="2"/>
    <x v="40"/>
    <x v="0"/>
    <n v="0"/>
    <x v="0"/>
    <n v="0"/>
    <n v="0"/>
    <n v="0"/>
    <x v="0"/>
    <x v="0"/>
    <x v="43"/>
    <n v="0"/>
    <x v="3"/>
    <x v="0"/>
  </r>
  <r>
    <x v="2"/>
    <x v="41"/>
    <x v="0"/>
    <n v="0"/>
    <x v="0"/>
    <n v="0"/>
    <n v="0"/>
    <n v="0"/>
    <x v="0"/>
    <x v="0"/>
    <x v="43"/>
    <n v="0"/>
    <x v="5"/>
    <x v="0"/>
  </r>
  <r>
    <x v="2"/>
    <x v="42"/>
    <x v="0"/>
    <n v="0"/>
    <x v="0"/>
    <n v="0"/>
    <n v="0"/>
    <n v="0"/>
    <x v="0"/>
    <x v="0"/>
    <x v="43"/>
    <n v="0"/>
    <x v="2"/>
    <x v="0"/>
  </r>
  <r>
    <x v="2"/>
    <x v="43"/>
    <x v="0"/>
    <n v="0"/>
    <x v="0"/>
    <n v="0"/>
    <n v="0"/>
    <n v="0"/>
    <x v="0"/>
    <x v="0"/>
    <x v="43"/>
    <n v="0"/>
    <x v="3"/>
    <x v="0"/>
  </r>
  <r>
    <x v="2"/>
    <x v="44"/>
    <x v="0"/>
    <n v="0"/>
    <x v="0"/>
    <n v="0"/>
    <n v="0"/>
    <n v="0"/>
    <x v="0"/>
    <x v="0"/>
    <x v="43"/>
    <n v="0"/>
    <x v="3"/>
    <x v="0"/>
  </r>
  <r>
    <x v="2"/>
    <x v="45"/>
    <x v="0"/>
    <n v="0"/>
    <x v="0"/>
    <n v="0"/>
    <n v="0"/>
    <n v="0"/>
    <x v="0"/>
    <x v="0"/>
    <x v="43"/>
    <n v="0"/>
    <x v="4"/>
    <x v="0"/>
  </r>
  <r>
    <x v="2"/>
    <x v="46"/>
    <x v="0"/>
    <n v="0"/>
    <x v="0"/>
    <n v="0"/>
    <n v="0"/>
    <n v="0"/>
    <x v="0"/>
    <x v="0"/>
    <x v="43"/>
    <n v="0"/>
    <x v="4"/>
    <x v="0"/>
  </r>
  <r>
    <x v="2"/>
    <x v="47"/>
    <x v="0"/>
    <n v="0"/>
    <x v="0"/>
    <n v="0"/>
    <n v="0"/>
    <n v="0"/>
    <x v="0"/>
    <x v="0"/>
    <x v="43"/>
    <n v="0"/>
    <x v="5"/>
    <x v="0"/>
  </r>
  <r>
    <x v="2"/>
    <x v="48"/>
    <x v="0"/>
    <n v="0"/>
    <x v="0"/>
    <n v="0"/>
    <n v="0"/>
    <n v="0"/>
    <x v="0"/>
    <x v="0"/>
    <x v="43"/>
    <n v="0"/>
    <x v="6"/>
    <x v="0"/>
  </r>
  <r>
    <x v="2"/>
    <x v="49"/>
    <x v="0"/>
    <n v="0"/>
    <x v="0"/>
    <n v="0"/>
    <n v="0"/>
    <n v="0"/>
    <x v="0"/>
    <x v="0"/>
    <x v="43"/>
    <n v="0"/>
    <x v="3"/>
    <x v="0"/>
  </r>
  <r>
    <x v="2"/>
    <x v="50"/>
    <x v="0"/>
    <n v="0"/>
    <x v="0"/>
    <n v="0"/>
    <n v="0"/>
    <n v="0"/>
    <x v="0"/>
    <x v="0"/>
    <x v="43"/>
    <n v="0"/>
    <x v="4"/>
    <x v="0"/>
  </r>
  <r>
    <x v="0"/>
    <x v="0"/>
    <x v="0"/>
    <n v="0"/>
    <x v="0"/>
    <n v="0"/>
    <n v="0"/>
    <n v="0"/>
    <x v="0"/>
    <x v="0"/>
    <x v="44"/>
    <n v="0"/>
    <x v="0"/>
    <x v="0"/>
  </r>
  <r>
    <x v="0"/>
    <x v="1"/>
    <x v="0"/>
    <n v="0"/>
    <x v="0"/>
    <n v="0"/>
    <n v="0"/>
    <n v="0"/>
    <x v="0"/>
    <x v="0"/>
    <x v="44"/>
    <n v="0"/>
    <x v="0"/>
    <x v="0"/>
  </r>
  <r>
    <x v="0"/>
    <x v="2"/>
    <x v="0"/>
    <n v="0"/>
    <x v="0"/>
    <n v="0"/>
    <n v="0"/>
    <n v="0"/>
    <x v="0"/>
    <x v="0"/>
    <x v="44"/>
    <n v="0"/>
    <x v="0"/>
    <x v="0"/>
  </r>
  <r>
    <x v="0"/>
    <x v="3"/>
    <x v="0"/>
    <n v="0"/>
    <x v="0"/>
    <n v="0"/>
    <n v="0"/>
    <n v="0"/>
    <x v="0"/>
    <x v="0"/>
    <x v="44"/>
    <n v="0"/>
    <x v="0"/>
    <x v="0"/>
  </r>
  <r>
    <x v="0"/>
    <x v="4"/>
    <x v="0"/>
    <n v="0"/>
    <x v="0"/>
    <n v="0"/>
    <n v="0"/>
    <n v="0"/>
    <x v="0"/>
    <x v="0"/>
    <x v="44"/>
    <n v="0"/>
    <x v="0"/>
    <x v="0"/>
  </r>
  <r>
    <x v="0"/>
    <x v="5"/>
    <x v="0"/>
    <n v="0"/>
    <x v="0"/>
    <n v="0"/>
    <n v="0"/>
    <n v="0"/>
    <x v="0"/>
    <x v="0"/>
    <x v="44"/>
    <n v="0"/>
    <x v="0"/>
    <x v="0"/>
  </r>
  <r>
    <x v="0"/>
    <x v="6"/>
    <x v="0"/>
    <n v="0"/>
    <x v="0"/>
    <n v="0"/>
    <n v="0"/>
    <n v="0"/>
    <x v="0"/>
    <x v="0"/>
    <x v="44"/>
    <n v="0"/>
    <x v="0"/>
    <x v="0"/>
  </r>
  <r>
    <x v="0"/>
    <x v="7"/>
    <x v="0"/>
    <n v="0"/>
    <x v="0"/>
    <n v="0"/>
    <n v="0"/>
    <n v="0"/>
    <x v="0"/>
    <x v="0"/>
    <x v="44"/>
    <n v="0"/>
    <x v="0"/>
    <x v="0"/>
  </r>
  <r>
    <x v="0"/>
    <x v="8"/>
    <x v="0"/>
    <n v="0"/>
    <x v="0"/>
    <n v="0"/>
    <n v="0"/>
    <n v="0"/>
    <x v="0"/>
    <x v="0"/>
    <x v="44"/>
    <n v="0"/>
    <x v="0"/>
    <x v="0"/>
  </r>
  <r>
    <x v="1"/>
    <x v="9"/>
    <x v="0"/>
    <n v="0"/>
    <x v="0"/>
    <n v="0"/>
    <n v="0"/>
    <n v="0"/>
    <x v="0"/>
    <x v="0"/>
    <x v="44"/>
    <n v="0"/>
    <x v="1"/>
    <x v="0"/>
  </r>
  <r>
    <x v="1"/>
    <x v="10"/>
    <x v="0"/>
    <n v="0"/>
    <x v="0"/>
    <n v="0"/>
    <n v="0"/>
    <n v="0"/>
    <x v="0"/>
    <x v="0"/>
    <x v="44"/>
    <n v="0"/>
    <x v="1"/>
    <x v="0"/>
  </r>
  <r>
    <x v="1"/>
    <x v="11"/>
    <x v="0"/>
    <n v="0"/>
    <x v="0"/>
    <n v="0"/>
    <n v="0"/>
    <n v="0"/>
    <x v="0"/>
    <x v="0"/>
    <x v="44"/>
    <n v="0"/>
    <x v="1"/>
    <x v="0"/>
  </r>
  <r>
    <x v="1"/>
    <x v="12"/>
    <x v="0"/>
    <n v="0"/>
    <x v="0"/>
    <n v="0"/>
    <n v="0"/>
    <n v="0"/>
    <x v="0"/>
    <x v="0"/>
    <x v="44"/>
    <n v="0"/>
    <x v="1"/>
    <x v="0"/>
  </r>
  <r>
    <x v="1"/>
    <x v="13"/>
    <x v="0"/>
    <n v="0"/>
    <x v="0"/>
    <n v="0"/>
    <n v="0"/>
    <n v="0"/>
    <x v="0"/>
    <x v="0"/>
    <x v="44"/>
    <n v="0"/>
    <x v="1"/>
    <x v="0"/>
  </r>
  <r>
    <x v="2"/>
    <x v="14"/>
    <x v="0"/>
    <n v="0"/>
    <x v="0"/>
    <n v="0"/>
    <n v="0"/>
    <n v="0"/>
    <x v="0"/>
    <x v="0"/>
    <x v="44"/>
    <n v="0"/>
    <x v="2"/>
    <x v="0"/>
  </r>
  <r>
    <x v="2"/>
    <x v="15"/>
    <x v="0"/>
    <n v="0"/>
    <x v="0"/>
    <n v="0"/>
    <n v="0"/>
    <n v="0"/>
    <x v="0"/>
    <x v="0"/>
    <x v="44"/>
    <n v="0"/>
    <x v="3"/>
    <x v="0"/>
  </r>
  <r>
    <x v="2"/>
    <x v="16"/>
    <x v="0"/>
    <n v="0"/>
    <x v="0"/>
    <n v="0"/>
    <n v="0"/>
    <n v="0"/>
    <x v="0"/>
    <x v="0"/>
    <x v="44"/>
    <n v="0"/>
    <x v="4"/>
    <x v="0"/>
  </r>
  <r>
    <x v="2"/>
    <x v="17"/>
    <x v="0"/>
    <n v="0"/>
    <x v="0"/>
    <n v="0"/>
    <n v="0"/>
    <n v="0"/>
    <x v="0"/>
    <x v="0"/>
    <x v="44"/>
    <n v="0"/>
    <x v="3"/>
    <x v="0"/>
  </r>
  <r>
    <x v="2"/>
    <x v="18"/>
    <x v="0"/>
    <n v="0"/>
    <x v="0"/>
    <n v="0"/>
    <n v="0"/>
    <n v="0"/>
    <x v="0"/>
    <x v="0"/>
    <x v="44"/>
    <n v="0"/>
    <x v="3"/>
    <x v="0"/>
  </r>
  <r>
    <x v="2"/>
    <x v="19"/>
    <x v="0"/>
    <n v="0"/>
    <x v="0"/>
    <n v="0"/>
    <n v="0"/>
    <n v="0"/>
    <x v="0"/>
    <x v="0"/>
    <x v="44"/>
    <n v="0"/>
    <x v="2"/>
    <x v="0"/>
  </r>
  <r>
    <x v="2"/>
    <x v="20"/>
    <x v="0"/>
    <n v="0"/>
    <x v="0"/>
    <n v="0"/>
    <n v="0"/>
    <n v="0"/>
    <x v="0"/>
    <x v="0"/>
    <x v="44"/>
    <n v="0"/>
    <x v="5"/>
    <x v="0"/>
  </r>
  <r>
    <x v="2"/>
    <x v="21"/>
    <x v="0"/>
    <n v="0"/>
    <x v="0"/>
    <n v="0"/>
    <n v="0"/>
    <n v="0"/>
    <x v="0"/>
    <x v="0"/>
    <x v="44"/>
    <n v="0"/>
    <x v="2"/>
    <x v="0"/>
  </r>
  <r>
    <x v="2"/>
    <x v="22"/>
    <x v="0"/>
    <n v="0"/>
    <x v="0"/>
    <n v="0"/>
    <n v="0"/>
    <n v="0"/>
    <x v="0"/>
    <x v="0"/>
    <x v="44"/>
    <n v="0"/>
    <x v="4"/>
    <x v="0"/>
  </r>
  <r>
    <x v="2"/>
    <x v="23"/>
    <x v="0"/>
    <n v="0"/>
    <x v="0"/>
    <n v="0"/>
    <n v="0"/>
    <n v="0"/>
    <x v="0"/>
    <x v="0"/>
    <x v="44"/>
    <n v="0"/>
    <x v="3"/>
    <x v="0"/>
  </r>
  <r>
    <x v="2"/>
    <x v="24"/>
    <x v="0"/>
    <n v="0"/>
    <x v="0"/>
    <n v="0"/>
    <n v="0"/>
    <n v="0"/>
    <x v="0"/>
    <x v="0"/>
    <x v="44"/>
    <n v="0"/>
    <x v="5"/>
    <x v="0"/>
  </r>
  <r>
    <x v="2"/>
    <x v="25"/>
    <x v="0"/>
    <n v="0"/>
    <x v="0"/>
    <n v="0"/>
    <n v="0"/>
    <n v="0"/>
    <x v="0"/>
    <x v="0"/>
    <x v="44"/>
    <n v="0"/>
    <x v="2"/>
    <x v="0"/>
  </r>
  <r>
    <x v="2"/>
    <x v="26"/>
    <x v="0"/>
    <n v="0"/>
    <x v="0"/>
    <n v="0"/>
    <n v="0"/>
    <n v="0"/>
    <x v="0"/>
    <x v="0"/>
    <x v="44"/>
    <n v="0"/>
    <x v="3"/>
    <x v="0"/>
  </r>
  <r>
    <x v="2"/>
    <x v="27"/>
    <x v="0"/>
    <n v="0"/>
    <x v="0"/>
    <n v="0"/>
    <n v="0"/>
    <n v="0"/>
    <x v="0"/>
    <x v="0"/>
    <x v="44"/>
    <n v="0"/>
    <x v="5"/>
    <x v="0"/>
  </r>
  <r>
    <x v="2"/>
    <x v="29"/>
    <x v="0"/>
    <n v="0"/>
    <x v="0"/>
    <n v="0"/>
    <n v="0"/>
    <n v="0"/>
    <x v="0"/>
    <x v="0"/>
    <x v="44"/>
    <n v="0"/>
    <x v="5"/>
    <x v="0"/>
  </r>
  <r>
    <x v="2"/>
    <x v="30"/>
    <x v="0"/>
    <n v="0"/>
    <x v="0"/>
    <n v="0"/>
    <n v="0"/>
    <n v="0"/>
    <x v="0"/>
    <x v="0"/>
    <x v="44"/>
    <n v="0"/>
    <x v="5"/>
    <x v="0"/>
  </r>
  <r>
    <x v="2"/>
    <x v="31"/>
    <x v="0"/>
    <n v="0"/>
    <x v="0"/>
    <n v="0"/>
    <n v="0"/>
    <n v="0"/>
    <x v="0"/>
    <x v="0"/>
    <x v="44"/>
    <n v="0"/>
    <x v="2"/>
    <x v="0"/>
  </r>
  <r>
    <x v="2"/>
    <x v="32"/>
    <x v="0"/>
    <n v="0"/>
    <x v="0"/>
    <n v="0"/>
    <n v="0"/>
    <n v="0"/>
    <x v="0"/>
    <x v="0"/>
    <x v="44"/>
    <n v="0"/>
    <x v="3"/>
    <x v="0"/>
  </r>
  <r>
    <x v="2"/>
    <x v="33"/>
    <x v="0"/>
    <n v="0"/>
    <x v="0"/>
    <n v="0"/>
    <n v="0"/>
    <n v="0"/>
    <x v="0"/>
    <x v="0"/>
    <x v="44"/>
    <n v="0"/>
    <x v="3"/>
    <x v="0"/>
  </r>
  <r>
    <x v="2"/>
    <x v="34"/>
    <x v="0"/>
    <n v="0"/>
    <x v="0"/>
    <n v="0"/>
    <n v="0"/>
    <n v="0"/>
    <x v="0"/>
    <x v="0"/>
    <x v="44"/>
    <n v="0"/>
    <x v="4"/>
    <x v="0"/>
  </r>
  <r>
    <x v="2"/>
    <x v="35"/>
    <x v="0"/>
    <n v="0"/>
    <x v="0"/>
    <n v="0"/>
    <n v="0"/>
    <n v="0"/>
    <x v="0"/>
    <x v="0"/>
    <x v="44"/>
    <n v="0"/>
    <x v="2"/>
    <x v="0"/>
  </r>
  <r>
    <x v="2"/>
    <x v="36"/>
    <x v="0"/>
    <n v="0"/>
    <x v="0"/>
    <n v="0"/>
    <n v="0"/>
    <n v="0"/>
    <x v="0"/>
    <x v="0"/>
    <x v="44"/>
    <n v="0"/>
    <x v="4"/>
    <x v="0"/>
  </r>
  <r>
    <x v="2"/>
    <x v="37"/>
    <x v="0"/>
    <n v="0"/>
    <x v="0"/>
    <n v="0"/>
    <n v="0"/>
    <n v="0"/>
    <x v="0"/>
    <x v="0"/>
    <x v="44"/>
    <n v="0"/>
    <x v="4"/>
    <x v="0"/>
  </r>
  <r>
    <x v="2"/>
    <x v="38"/>
    <x v="0"/>
    <n v="0"/>
    <x v="0"/>
    <n v="0"/>
    <n v="0"/>
    <n v="0"/>
    <x v="0"/>
    <x v="0"/>
    <x v="44"/>
    <n v="0"/>
    <x v="2"/>
    <x v="0"/>
  </r>
  <r>
    <x v="2"/>
    <x v="39"/>
    <x v="0"/>
    <n v="0"/>
    <x v="0"/>
    <n v="0"/>
    <n v="0"/>
    <n v="0"/>
    <x v="0"/>
    <x v="0"/>
    <x v="44"/>
    <n v="0"/>
    <x v="2"/>
    <x v="0"/>
  </r>
  <r>
    <x v="2"/>
    <x v="40"/>
    <x v="0"/>
    <n v="0"/>
    <x v="0"/>
    <n v="0"/>
    <n v="0"/>
    <n v="0"/>
    <x v="0"/>
    <x v="0"/>
    <x v="44"/>
    <n v="0"/>
    <x v="3"/>
    <x v="0"/>
  </r>
  <r>
    <x v="2"/>
    <x v="41"/>
    <x v="0"/>
    <n v="0"/>
    <x v="0"/>
    <n v="0"/>
    <n v="0"/>
    <n v="0"/>
    <x v="0"/>
    <x v="0"/>
    <x v="44"/>
    <n v="0"/>
    <x v="5"/>
    <x v="0"/>
  </r>
  <r>
    <x v="2"/>
    <x v="42"/>
    <x v="0"/>
    <n v="0"/>
    <x v="0"/>
    <n v="0"/>
    <n v="0"/>
    <n v="0"/>
    <x v="0"/>
    <x v="0"/>
    <x v="44"/>
    <n v="0"/>
    <x v="2"/>
    <x v="0"/>
  </r>
  <r>
    <x v="2"/>
    <x v="43"/>
    <x v="0"/>
    <n v="0"/>
    <x v="0"/>
    <n v="0"/>
    <n v="0"/>
    <n v="0"/>
    <x v="0"/>
    <x v="0"/>
    <x v="44"/>
    <n v="0"/>
    <x v="3"/>
    <x v="0"/>
  </r>
  <r>
    <x v="2"/>
    <x v="44"/>
    <x v="0"/>
    <n v="0"/>
    <x v="0"/>
    <n v="0"/>
    <n v="0"/>
    <n v="0"/>
    <x v="0"/>
    <x v="0"/>
    <x v="44"/>
    <n v="0"/>
    <x v="3"/>
    <x v="0"/>
  </r>
  <r>
    <x v="2"/>
    <x v="45"/>
    <x v="0"/>
    <n v="0"/>
    <x v="0"/>
    <n v="0"/>
    <n v="0"/>
    <n v="0"/>
    <x v="0"/>
    <x v="0"/>
    <x v="44"/>
    <n v="0"/>
    <x v="4"/>
    <x v="0"/>
  </r>
  <r>
    <x v="2"/>
    <x v="46"/>
    <x v="0"/>
    <n v="0"/>
    <x v="0"/>
    <n v="0"/>
    <n v="0"/>
    <n v="0"/>
    <x v="0"/>
    <x v="0"/>
    <x v="44"/>
    <n v="0"/>
    <x v="4"/>
    <x v="0"/>
  </r>
  <r>
    <x v="2"/>
    <x v="47"/>
    <x v="0"/>
    <n v="0"/>
    <x v="0"/>
    <n v="0"/>
    <n v="0"/>
    <n v="0"/>
    <x v="0"/>
    <x v="0"/>
    <x v="44"/>
    <n v="0"/>
    <x v="5"/>
    <x v="0"/>
  </r>
  <r>
    <x v="2"/>
    <x v="48"/>
    <x v="0"/>
    <n v="0"/>
    <x v="0"/>
    <n v="0"/>
    <n v="0"/>
    <n v="0"/>
    <x v="0"/>
    <x v="0"/>
    <x v="44"/>
    <n v="0"/>
    <x v="6"/>
    <x v="0"/>
  </r>
  <r>
    <x v="2"/>
    <x v="49"/>
    <x v="0"/>
    <n v="0"/>
    <x v="0"/>
    <n v="0"/>
    <n v="0"/>
    <n v="0"/>
    <x v="0"/>
    <x v="0"/>
    <x v="44"/>
    <n v="0"/>
    <x v="3"/>
    <x v="0"/>
  </r>
  <r>
    <x v="2"/>
    <x v="50"/>
    <x v="0"/>
    <n v="0"/>
    <x v="0"/>
    <n v="0"/>
    <n v="0"/>
    <n v="0"/>
    <x v="0"/>
    <x v="0"/>
    <x v="44"/>
    <n v="0"/>
    <x v="4"/>
    <x v="0"/>
  </r>
  <r>
    <x v="0"/>
    <x v="1"/>
    <x v="0"/>
    <n v="0"/>
    <x v="0"/>
    <n v="0"/>
    <n v="7.86"/>
    <n v="7.86"/>
    <x v="0"/>
    <x v="0"/>
    <x v="45"/>
    <n v="0"/>
    <x v="0"/>
    <x v="1"/>
  </r>
  <r>
    <x v="0"/>
    <x v="2"/>
    <x v="0"/>
    <n v="0"/>
    <x v="0"/>
    <n v="0"/>
    <n v="7.86"/>
    <n v="7.86"/>
    <x v="0"/>
    <x v="0"/>
    <x v="45"/>
    <n v="0"/>
    <x v="0"/>
    <x v="1"/>
  </r>
  <r>
    <x v="0"/>
    <x v="4"/>
    <x v="0"/>
    <n v="0"/>
    <x v="0"/>
    <n v="0"/>
    <n v="7.86"/>
    <n v="7.86"/>
    <x v="0"/>
    <x v="0"/>
    <x v="45"/>
    <n v="0"/>
    <x v="0"/>
    <x v="1"/>
  </r>
  <r>
    <x v="0"/>
    <x v="5"/>
    <x v="0"/>
    <n v="0"/>
    <x v="0"/>
    <n v="0"/>
    <n v="7.86"/>
    <n v="7.86"/>
    <x v="0"/>
    <x v="0"/>
    <x v="45"/>
    <n v="0"/>
    <x v="0"/>
    <x v="1"/>
  </r>
  <r>
    <x v="0"/>
    <x v="8"/>
    <x v="448"/>
    <n v="3.47"/>
    <x v="696"/>
    <n v="0"/>
    <n v="8.0500000000000007"/>
    <n v="8.0500000000000007"/>
    <x v="0"/>
    <x v="693"/>
    <x v="45"/>
    <n v="27.24"/>
    <x v="0"/>
    <x v="1"/>
  </r>
  <r>
    <x v="1"/>
    <x v="9"/>
    <x v="449"/>
    <n v="3.05"/>
    <x v="697"/>
    <n v="0"/>
    <n v="7.95"/>
    <n v="7.95"/>
    <x v="0"/>
    <x v="694"/>
    <x v="45"/>
    <n v="86.000000004"/>
    <x v="1"/>
    <x v="1"/>
  </r>
  <r>
    <x v="1"/>
    <x v="10"/>
    <x v="450"/>
    <n v="0.28000000000000003"/>
    <x v="698"/>
    <n v="1.75"/>
    <n v="6.22"/>
    <n v="7.97"/>
    <x v="780"/>
    <x v="695"/>
    <x v="45"/>
    <n v="42.999999996"/>
    <x v="1"/>
    <x v="1"/>
  </r>
  <r>
    <x v="1"/>
    <x v="12"/>
    <x v="451"/>
    <n v="4.0999999999999996"/>
    <x v="699"/>
    <n v="3.93"/>
    <n v="4.04"/>
    <n v="7.97"/>
    <x v="781"/>
    <x v="696"/>
    <x v="45"/>
    <n v="173.52"/>
    <x v="1"/>
    <x v="1"/>
  </r>
  <r>
    <x v="2"/>
    <x v="14"/>
    <x v="452"/>
    <n v="4.67"/>
    <x v="700"/>
    <n v="7"/>
    <n v="0.94"/>
    <n v="7.94"/>
    <x v="687"/>
    <x v="697"/>
    <x v="45"/>
    <n v="54.680000004"/>
    <x v="2"/>
    <x v="1"/>
  </r>
  <r>
    <x v="2"/>
    <x v="15"/>
    <x v="289"/>
    <n v="5.08"/>
    <x v="701"/>
    <n v="7.9"/>
    <n v="0.17"/>
    <n v="8.07"/>
    <x v="440"/>
    <x v="522"/>
    <x v="45"/>
    <n v="36.999999996"/>
    <x v="3"/>
    <x v="1"/>
  </r>
  <r>
    <x v="2"/>
    <x v="17"/>
    <x v="0"/>
    <n v="0"/>
    <x v="0"/>
    <n v="4.67"/>
    <n v="5.31"/>
    <n v="9.98"/>
    <x v="782"/>
    <x v="0"/>
    <x v="45"/>
    <n v="0"/>
    <x v="3"/>
    <x v="1"/>
  </r>
  <r>
    <x v="2"/>
    <x v="18"/>
    <x v="0"/>
    <n v="0"/>
    <x v="0"/>
    <n v="6.01"/>
    <n v="2.72"/>
    <n v="8.73"/>
    <x v="783"/>
    <x v="0"/>
    <x v="45"/>
    <n v="0"/>
    <x v="3"/>
    <x v="1"/>
  </r>
  <r>
    <x v="2"/>
    <x v="19"/>
    <x v="222"/>
    <n v="6.13"/>
    <x v="702"/>
    <n v="6.13"/>
    <n v="1.78"/>
    <n v="7.91"/>
    <x v="784"/>
    <x v="698"/>
    <x v="45"/>
    <n v="81"/>
    <x v="2"/>
    <x v="1"/>
  </r>
  <r>
    <x v="2"/>
    <x v="20"/>
    <x v="368"/>
    <n v="0.92"/>
    <x v="703"/>
    <n v="6.91"/>
    <n v="0.82"/>
    <n v="7.73"/>
    <x v="110"/>
    <x v="699"/>
    <x v="45"/>
    <n v="14.000000004"/>
    <x v="5"/>
    <x v="1"/>
  </r>
  <r>
    <x v="2"/>
    <x v="21"/>
    <x v="425"/>
    <n v="7.06"/>
    <x v="704"/>
    <n v="6.89"/>
    <n v="1.05"/>
    <n v="7.94"/>
    <x v="785"/>
    <x v="700"/>
    <x v="45"/>
    <n v="103.31999999999998"/>
    <x v="2"/>
    <x v="1"/>
  </r>
  <r>
    <x v="2"/>
    <x v="22"/>
    <x v="53"/>
    <n v="4.83"/>
    <x v="705"/>
    <n v="6.76"/>
    <n v="1.27"/>
    <n v="8.0299999999999994"/>
    <x v="786"/>
    <x v="701"/>
    <x v="45"/>
    <n v="27"/>
    <x v="4"/>
    <x v="1"/>
  </r>
  <r>
    <x v="2"/>
    <x v="23"/>
    <x v="0"/>
    <n v="0"/>
    <x v="0"/>
    <n v="4.78"/>
    <n v="4.24"/>
    <n v="9.02"/>
    <x v="787"/>
    <x v="0"/>
    <x v="45"/>
    <n v="0"/>
    <x v="3"/>
    <x v="1"/>
  </r>
  <r>
    <x v="2"/>
    <x v="24"/>
    <x v="374"/>
    <n v="1.53"/>
    <x v="706"/>
    <n v="5.39"/>
    <n v="2.35"/>
    <n v="7.74"/>
    <x v="788"/>
    <x v="702"/>
    <x v="45"/>
    <n v="26.000000003999997"/>
    <x v="5"/>
    <x v="1"/>
  </r>
  <r>
    <x v="2"/>
    <x v="25"/>
    <x v="453"/>
    <n v="5.36"/>
    <x v="707"/>
    <n v="5.36"/>
    <n v="2.57"/>
    <n v="7.93"/>
    <x v="789"/>
    <x v="703"/>
    <x v="45"/>
    <n v="88.119999996000004"/>
    <x v="2"/>
    <x v="1"/>
  </r>
  <r>
    <x v="2"/>
    <x v="26"/>
    <x v="0"/>
    <n v="0"/>
    <x v="0"/>
    <n v="5.38"/>
    <n v="2.7"/>
    <n v="8.08"/>
    <x v="223"/>
    <x v="0"/>
    <x v="45"/>
    <n v="0"/>
    <x v="3"/>
    <x v="1"/>
  </r>
  <r>
    <x v="2"/>
    <x v="27"/>
    <x v="0"/>
    <n v="0"/>
    <x v="0"/>
    <n v="0"/>
    <n v="0"/>
    <n v="0"/>
    <x v="0"/>
    <x v="0"/>
    <x v="45"/>
    <n v="0"/>
    <x v="5"/>
    <x v="0"/>
  </r>
  <r>
    <x v="2"/>
    <x v="29"/>
    <x v="0"/>
    <n v="0"/>
    <x v="0"/>
    <n v="7.02"/>
    <n v="0.71"/>
    <n v="7.73"/>
    <x v="790"/>
    <x v="0"/>
    <x v="45"/>
    <n v="0"/>
    <x v="5"/>
    <x v="1"/>
  </r>
  <r>
    <x v="2"/>
    <x v="30"/>
    <x v="0"/>
    <n v="0"/>
    <x v="0"/>
    <n v="0"/>
    <n v="0"/>
    <n v="0"/>
    <x v="0"/>
    <x v="0"/>
    <x v="45"/>
    <n v="0"/>
    <x v="5"/>
    <x v="0"/>
  </r>
  <r>
    <x v="2"/>
    <x v="31"/>
    <x v="74"/>
    <n v="1.75"/>
    <x v="708"/>
    <n v="5.85"/>
    <n v="2.0699999999999998"/>
    <n v="7.92"/>
    <x v="791"/>
    <x v="704"/>
    <x v="45"/>
    <n v="54"/>
    <x v="2"/>
    <x v="1"/>
  </r>
  <r>
    <x v="2"/>
    <x v="32"/>
    <x v="454"/>
    <n v="3.9"/>
    <x v="709"/>
    <n v="7.64"/>
    <n v="1.37"/>
    <n v="9.01"/>
    <x v="792"/>
    <x v="705"/>
    <x v="45"/>
    <n v="28.68"/>
    <x v="3"/>
    <x v="1"/>
  </r>
  <r>
    <x v="2"/>
    <x v="33"/>
    <x v="21"/>
    <n v="2.1"/>
    <x v="710"/>
    <n v="9.34"/>
    <n v="0.28000000000000003"/>
    <n v="9.6199999999999992"/>
    <x v="793"/>
    <x v="706"/>
    <x v="45"/>
    <n v="21.36"/>
    <x v="3"/>
    <x v="1"/>
  </r>
  <r>
    <x v="2"/>
    <x v="34"/>
    <x v="4"/>
    <n v="0.67"/>
    <x v="711"/>
    <n v="5.29"/>
    <n v="2.4300000000000002"/>
    <n v="7.72"/>
    <x v="794"/>
    <x v="707"/>
    <x v="45"/>
    <n v="12"/>
    <x v="4"/>
    <x v="1"/>
  </r>
  <r>
    <x v="2"/>
    <x v="35"/>
    <x v="55"/>
    <n v="4.07"/>
    <x v="712"/>
    <n v="5.32"/>
    <n v="2.58"/>
    <n v="7.9"/>
    <x v="795"/>
    <x v="708"/>
    <x v="45"/>
    <n v="96"/>
    <x v="2"/>
    <x v="1"/>
  </r>
  <r>
    <x v="2"/>
    <x v="36"/>
    <x v="45"/>
    <n v="0.01"/>
    <x v="192"/>
    <n v="5.03"/>
    <n v="3"/>
    <n v="8.0299999999999994"/>
    <x v="796"/>
    <x v="709"/>
    <x v="45"/>
    <n v="6"/>
    <x v="4"/>
    <x v="1"/>
  </r>
  <r>
    <x v="2"/>
    <x v="37"/>
    <x v="0"/>
    <n v="0"/>
    <x v="0"/>
    <n v="7.47"/>
    <n v="0.56999999999999995"/>
    <n v="8.0399999999999991"/>
    <x v="797"/>
    <x v="0"/>
    <x v="45"/>
    <n v="0"/>
    <x v="4"/>
    <x v="1"/>
  </r>
  <r>
    <x v="2"/>
    <x v="38"/>
    <x v="455"/>
    <n v="5.19"/>
    <x v="713"/>
    <n v="6.76"/>
    <n v="1.1399999999999999"/>
    <n v="7.9"/>
    <x v="798"/>
    <x v="710"/>
    <x v="45"/>
    <n v="96.999999996000014"/>
    <x v="2"/>
    <x v="1"/>
  </r>
  <r>
    <x v="2"/>
    <x v="39"/>
    <x v="365"/>
    <n v="1.72"/>
    <x v="714"/>
    <n v="5.9"/>
    <n v="3.92"/>
    <n v="9.82"/>
    <x v="799"/>
    <x v="711"/>
    <x v="45"/>
    <n v="47.000000004"/>
    <x v="2"/>
    <x v="1"/>
  </r>
  <r>
    <x v="2"/>
    <x v="40"/>
    <x v="456"/>
    <n v="3.37"/>
    <x v="715"/>
    <n v="9.58"/>
    <n v="0.33"/>
    <n v="9.91"/>
    <x v="800"/>
    <x v="712"/>
    <x v="45"/>
    <n v="28.2"/>
    <x v="3"/>
    <x v="1"/>
  </r>
  <r>
    <x v="2"/>
    <x v="41"/>
    <x v="376"/>
    <n v="5.23"/>
    <x v="716"/>
    <n v="7.45"/>
    <n v="0.32"/>
    <n v="7.77"/>
    <x v="801"/>
    <x v="713"/>
    <x v="45"/>
    <n v="48.999999996"/>
    <x v="5"/>
    <x v="1"/>
  </r>
  <r>
    <x v="2"/>
    <x v="42"/>
    <x v="457"/>
    <n v="4.4000000000000004"/>
    <x v="717"/>
    <n v="4.78"/>
    <n v="3.12"/>
    <n v="7.9"/>
    <x v="802"/>
    <x v="714"/>
    <x v="45"/>
    <n v="119.000000004"/>
    <x v="2"/>
    <x v="1"/>
  </r>
  <r>
    <x v="2"/>
    <x v="43"/>
    <x v="0"/>
    <n v="0"/>
    <x v="0"/>
    <n v="5.13"/>
    <n v="2.9"/>
    <n v="8.0299999999999994"/>
    <x v="803"/>
    <x v="0"/>
    <x v="45"/>
    <n v="0"/>
    <x v="3"/>
    <x v="1"/>
  </r>
  <r>
    <x v="2"/>
    <x v="44"/>
    <x v="29"/>
    <n v="1.27"/>
    <x v="718"/>
    <n v="3.87"/>
    <n v="4.17"/>
    <n v="8.0399999999999991"/>
    <x v="804"/>
    <x v="715"/>
    <x v="45"/>
    <n v="24"/>
    <x v="3"/>
    <x v="1"/>
  </r>
  <r>
    <x v="2"/>
    <x v="45"/>
    <x v="0"/>
    <n v="0"/>
    <x v="0"/>
    <n v="6.93"/>
    <n v="1.1399999999999999"/>
    <n v="8.07"/>
    <x v="805"/>
    <x v="0"/>
    <x v="45"/>
    <n v="0"/>
    <x v="4"/>
    <x v="1"/>
  </r>
  <r>
    <x v="2"/>
    <x v="47"/>
    <x v="458"/>
    <n v="5.92"/>
    <x v="719"/>
    <n v="7.46"/>
    <n v="0.31"/>
    <n v="7.77"/>
    <x v="344"/>
    <x v="716"/>
    <x v="45"/>
    <n v="70.08"/>
    <x v="5"/>
    <x v="1"/>
  </r>
  <r>
    <x v="2"/>
    <x v="48"/>
    <x v="0"/>
    <n v="0"/>
    <x v="0"/>
    <n v="0"/>
    <n v="0"/>
    <n v="0"/>
    <x v="0"/>
    <x v="0"/>
    <x v="45"/>
    <n v="0"/>
    <x v="6"/>
    <x v="0"/>
  </r>
  <r>
    <x v="2"/>
    <x v="49"/>
    <x v="45"/>
    <n v="1.84"/>
    <x v="720"/>
    <n v="6.78"/>
    <n v="1.22"/>
    <n v="8"/>
    <x v="806"/>
    <x v="717"/>
    <x v="45"/>
    <n v="6"/>
    <x v="3"/>
    <x v="1"/>
  </r>
  <r>
    <x v="2"/>
    <x v="50"/>
    <x v="375"/>
    <n v="6.24"/>
    <x v="721"/>
    <n v="9.23"/>
    <n v="0.21"/>
    <n v="9.44"/>
    <x v="807"/>
    <x v="718"/>
    <x v="45"/>
    <n v="39.999999996"/>
    <x v="4"/>
    <x v="1"/>
  </r>
  <r>
    <x v="0"/>
    <x v="0"/>
    <x v="0"/>
    <n v="0"/>
    <x v="0"/>
    <n v="7.08"/>
    <n v="1"/>
    <n v="8.08"/>
    <x v="808"/>
    <x v="0"/>
    <x v="46"/>
    <n v="0"/>
    <x v="0"/>
    <x v="1"/>
  </r>
  <r>
    <x v="0"/>
    <x v="1"/>
    <x v="459"/>
    <n v="7.95"/>
    <x v="722"/>
    <n v="7.82"/>
    <n v="0.2"/>
    <n v="8.02"/>
    <x v="809"/>
    <x v="719"/>
    <x v="46"/>
    <n v="18.84"/>
    <x v="0"/>
    <x v="1"/>
  </r>
  <r>
    <x v="0"/>
    <x v="2"/>
    <x v="459"/>
    <n v="7.95"/>
    <x v="722"/>
    <n v="7.82"/>
    <n v="0.2"/>
    <n v="8.02"/>
    <x v="809"/>
    <x v="719"/>
    <x v="46"/>
    <n v="18.84"/>
    <x v="0"/>
    <x v="1"/>
  </r>
  <r>
    <x v="0"/>
    <x v="3"/>
    <x v="0"/>
    <n v="0"/>
    <x v="0"/>
    <n v="7.1"/>
    <n v="0.98"/>
    <n v="8.08"/>
    <x v="588"/>
    <x v="0"/>
    <x v="46"/>
    <n v="0"/>
    <x v="0"/>
    <x v="1"/>
  </r>
  <r>
    <x v="0"/>
    <x v="5"/>
    <x v="460"/>
    <n v="7.95"/>
    <x v="723"/>
    <n v="7.8"/>
    <n v="0.2"/>
    <n v="8"/>
    <x v="224"/>
    <x v="593"/>
    <x v="46"/>
    <n v="35.28"/>
    <x v="0"/>
    <x v="1"/>
  </r>
  <r>
    <x v="0"/>
    <x v="7"/>
    <x v="0"/>
    <n v="0"/>
    <x v="0"/>
    <n v="7.08"/>
    <n v="0.98"/>
    <n v="8.06"/>
    <x v="810"/>
    <x v="0"/>
    <x v="46"/>
    <n v="0"/>
    <x v="0"/>
    <x v="1"/>
  </r>
  <r>
    <x v="0"/>
    <x v="8"/>
    <x v="0"/>
    <n v="0"/>
    <x v="0"/>
    <n v="7.05"/>
    <n v="1"/>
    <n v="8.0500000000000007"/>
    <x v="189"/>
    <x v="0"/>
    <x v="46"/>
    <n v="0"/>
    <x v="0"/>
    <x v="1"/>
  </r>
  <r>
    <x v="1"/>
    <x v="10"/>
    <x v="0"/>
    <n v="0"/>
    <x v="0"/>
    <n v="4.51"/>
    <n v="3.56"/>
    <n v="8.07"/>
    <x v="811"/>
    <x v="0"/>
    <x v="46"/>
    <n v="0"/>
    <x v="1"/>
    <x v="1"/>
  </r>
  <r>
    <x v="1"/>
    <x v="12"/>
    <x v="461"/>
    <n v="7.79"/>
    <x v="724"/>
    <n v="6.42"/>
    <n v="1.67"/>
    <n v="8.09"/>
    <x v="812"/>
    <x v="720"/>
    <x v="46"/>
    <n v="103.08"/>
    <x v="1"/>
    <x v="1"/>
  </r>
  <r>
    <x v="1"/>
    <x v="13"/>
    <x v="425"/>
    <n v="7.81"/>
    <x v="725"/>
    <n v="6.43"/>
    <n v="1.66"/>
    <n v="8.09"/>
    <x v="813"/>
    <x v="721"/>
    <x v="46"/>
    <n v="103.31999999999998"/>
    <x v="1"/>
    <x v="1"/>
  </r>
  <r>
    <x v="2"/>
    <x v="14"/>
    <x v="462"/>
    <n v="7.19"/>
    <x v="726"/>
    <n v="5.61"/>
    <n v="2.6"/>
    <n v="8.2100000000000009"/>
    <x v="814"/>
    <x v="722"/>
    <x v="46"/>
    <n v="118.2"/>
    <x v="2"/>
    <x v="1"/>
  </r>
  <r>
    <x v="2"/>
    <x v="15"/>
    <x v="0"/>
    <n v="0"/>
    <x v="0"/>
    <n v="7.25"/>
    <n v="0.89"/>
    <n v="8.14"/>
    <x v="815"/>
    <x v="0"/>
    <x v="46"/>
    <n v="0"/>
    <x v="3"/>
    <x v="1"/>
  </r>
  <r>
    <x v="2"/>
    <x v="16"/>
    <x v="463"/>
    <n v="0.32"/>
    <x v="727"/>
    <n v="3.62"/>
    <n v="0.34"/>
    <n v="3.96"/>
    <x v="816"/>
    <x v="723"/>
    <x v="46"/>
    <n v="5.88"/>
    <x v="4"/>
    <x v="1"/>
  </r>
  <r>
    <x v="2"/>
    <x v="17"/>
    <x v="307"/>
    <n v="0.67"/>
    <x v="471"/>
    <n v="0"/>
    <n v="8.2100000000000009"/>
    <n v="8.2100000000000009"/>
    <x v="0"/>
    <x v="724"/>
    <x v="46"/>
    <n v="3.9999999960000006"/>
    <x v="3"/>
    <x v="1"/>
  </r>
  <r>
    <x v="2"/>
    <x v="19"/>
    <x v="19"/>
    <n v="5.15"/>
    <x v="728"/>
    <n v="6.55"/>
    <n v="1.64"/>
    <n v="8.19"/>
    <x v="817"/>
    <x v="725"/>
    <x v="46"/>
    <n v="99"/>
    <x v="2"/>
    <x v="1"/>
  </r>
  <r>
    <x v="2"/>
    <x v="20"/>
    <x v="464"/>
    <n v="6.57"/>
    <x v="729"/>
    <n v="7.09"/>
    <n v="0.86"/>
    <n v="7.95"/>
    <x v="506"/>
    <x v="726"/>
    <x v="46"/>
    <n v="167.84000004000001"/>
    <x v="5"/>
    <x v="1"/>
  </r>
  <r>
    <x v="2"/>
    <x v="21"/>
    <x v="465"/>
    <n v="6.25"/>
    <x v="730"/>
    <n v="7.95"/>
    <n v="1.92"/>
    <n v="9.8699999999999992"/>
    <x v="818"/>
    <x v="727"/>
    <x v="46"/>
    <n v="114.800000004"/>
    <x v="2"/>
    <x v="1"/>
  </r>
  <r>
    <x v="2"/>
    <x v="22"/>
    <x v="181"/>
    <n v="1.68"/>
    <x v="731"/>
    <n v="8.82"/>
    <n v="0.88"/>
    <n v="9.6999999999999993"/>
    <x v="819"/>
    <x v="728"/>
    <x v="46"/>
    <n v="15"/>
    <x v="4"/>
    <x v="1"/>
  </r>
  <r>
    <x v="2"/>
    <x v="23"/>
    <x v="58"/>
    <n v="2.06"/>
    <x v="732"/>
    <n v="3.41"/>
    <n v="4.8"/>
    <n v="8.2100000000000009"/>
    <x v="820"/>
    <x v="729"/>
    <x v="46"/>
    <n v="42"/>
    <x v="3"/>
    <x v="1"/>
  </r>
  <r>
    <x v="2"/>
    <x v="25"/>
    <x v="222"/>
    <n v="6.05"/>
    <x v="733"/>
    <n v="6.92"/>
    <n v="1.39"/>
    <n v="8.31"/>
    <x v="821"/>
    <x v="730"/>
    <x v="46"/>
    <n v="81"/>
    <x v="2"/>
    <x v="1"/>
  </r>
  <r>
    <x v="2"/>
    <x v="26"/>
    <x v="0"/>
    <n v="0"/>
    <x v="0"/>
    <n v="5.08"/>
    <n v="2.98"/>
    <n v="8.06"/>
    <x v="822"/>
    <x v="0"/>
    <x v="46"/>
    <n v="0"/>
    <x v="3"/>
    <x v="1"/>
  </r>
  <r>
    <x v="2"/>
    <x v="29"/>
    <x v="466"/>
    <n v="3.99"/>
    <x v="734"/>
    <n v="7.2"/>
    <n v="0.79"/>
    <n v="7.99"/>
    <x v="69"/>
    <x v="731"/>
    <x v="46"/>
    <n v="76.880000003999996"/>
    <x v="5"/>
    <x v="1"/>
  </r>
  <r>
    <x v="2"/>
    <x v="30"/>
    <x v="0"/>
    <n v="0"/>
    <x v="0"/>
    <n v="0"/>
    <n v="0"/>
    <n v="0"/>
    <x v="0"/>
    <x v="0"/>
    <x v="46"/>
    <n v="0"/>
    <x v="5"/>
    <x v="0"/>
  </r>
  <r>
    <x v="2"/>
    <x v="31"/>
    <x v="449"/>
    <n v="4.87"/>
    <x v="735"/>
    <n v="7.49"/>
    <n v="0.66"/>
    <n v="8.15"/>
    <x v="823"/>
    <x v="732"/>
    <x v="46"/>
    <n v="86.000000004"/>
    <x v="2"/>
    <x v="1"/>
  </r>
  <r>
    <x v="2"/>
    <x v="32"/>
    <x v="374"/>
    <n v="2.87"/>
    <x v="736"/>
    <n v="6.4"/>
    <n v="1.83"/>
    <n v="8.23"/>
    <x v="485"/>
    <x v="733"/>
    <x v="46"/>
    <n v="26.000000003999997"/>
    <x v="3"/>
    <x v="1"/>
  </r>
  <r>
    <x v="2"/>
    <x v="35"/>
    <x v="420"/>
    <n v="6.8"/>
    <x v="737"/>
    <n v="8.9700000000000006"/>
    <n v="0.91"/>
    <n v="9.8800000000000008"/>
    <x v="639"/>
    <x v="734"/>
    <x v="46"/>
    <n v="144.99999996000003"/>
    <x v="2"/>
    <x v="1"/>
  </r>
  <r>
    <x v="2"/>
    <x v="37"/>
    <x v="402"/>
    <n v="7.06"/>
    <x v="738"/>
    <n v="6.54"/>
    <n v="1.85"/>
    <n v="8.39"/>
    <x v="824"/>
    <x v="735"/>
    <x v="46"/>
    <n v="81.999999996"/>
    <x v="4"/>
    <x v="1"/>
  </r>
  <r>
    <x v="2"/>
    <x v="38"/>
    <x v="467"/>
    <n v="8.43"/>
    <x v="739"/>
    <n v="9.31"/>
    <n v="0.56999999999999995"/>
    <n v="9.8800000000000008"/>
    <x v="610"/>
    <x v="736"/>
    <x v="46"/>
    <n v="153"/>
    <x v="2"/>
    <x v="1"/>
  </r>
  <r>
    <x v="2"/>
    <x v="40"/>
    <x v="0"/>
    <n v="0"/>
    <x v="0"/>
    <n v="7.09"/>
    <n v="0.99"/>
    <n v="8.08"/>
    <x v="825"/>
    <x v="0"/>
    <x v="46"/>
    <n v="0"/>
    <x v="3"/>
    <x v="1"/>
  </r>
  <r>
    <x v="2"/>
    <x v="41"/>
    <x v="468"/>
    <n v="5.91"/>
    <x v="740"/>
    <n v="7.53"/>
    <n v="0.45"/>
    <n v="7.98"/>
    <x v="329"/>
    <x v="737"/>
    <x v="46"/>
    <n v="63.36"/>
    <x v="5"/>
    <x v="1"/>
  </r>
  <r>
    <x v="2"/>
    <x v="42"/>
    <x v="348"/>
    <n v="5.36"/>
    <x v="741"/>
    <n v="7.24"/>
    <n v="0.99"/>
    <n v="8.23"/>
    <x v="826"/>
    <x v="738"/>
    <x v="46"/>
    <n v="110.000000004"/>
    <x v="2"/>
    <x v="1"/>
  </r>
  <r>
    <x v="2"/>
    <x v="43"/>
    <x v="409"/>
    <n v="3.73"/>
    <x v="742"/>
    <n v="5.8"/>
    <n v="2.25"/>
    <n v="8.0500000000000007"/>
    <x v="827"/>
    <x v="565"/>
    <x v="46"/>
    <n v="33.999999996"/>
    <x v="3"/>
    <x v="1"/>
  </r>
  <r>
    <x v="2"/>
    <x v="44"/>
    <x v="345"/>
    <n v="1.65"/>
    <x v="557"/>
    <n v="6.32"/>
    <n v="1.72"/>
    <n v="8.0399999999999991"/>
    <x v="828"/>
    <x v="739"/>
    <x v="46"/>
    <n v="11.000000004"/>
    <x v="3"/>
    <x v="1"/>
  </r>
  <r>
    <x v="2"/>
    <x v="45"/>
    <x v="469"/>
    <n v="5.13"/>
    <x v="743"/>
    <n v="6.31"/>
    <n v="1.77"/>
    <n v="8.08"/>
    <x v="829"/>
    <x v="740"/>
    <x v="46"/>
    <n v="56.000000004"/>
    <x v="4"/>
    <x v="1"/>
  </r>
  <r>
    <x v="2"/>
    <x v="46"/>
    <x v="470"/>
    <n v="2.0299999999999998"/>
    <x v="744"/>
    <n v="7.54"/>
    <n v="0.41"/>
    <n v="7.95"/>
    <x v="830"/>
    <x v="741"/>
    <x v="46"/>
    <n v="32.120000004000005"/>
    <x v="4"/>
    <x v="1"/>
  </r>
  <r>
    <x v="2"/>
    <x v="47"/>
    <x v="471"/>
    <n v="5.87"/>
    <x v="745"/>
    <n v="7.55"/>
    <n v="0.36"/>
    <n v="7.91"/>
    <x v="831"/>
    <x v="742"/>
    <x v="46"/>
    <n v="60.639999996000007"/>
    <x v="5"/>
    <x v="1"/>
  </r>
  <r>
    <x v="2"/>
    <x v="48"/>
    <x v="0"/>
    <n v="0"/>
    <x v="0"/>
    <n v="0"/>
    <n v="0"/>
    <n v="0"/>
    <x v="0"/>
    <x v="0"/>
    <x v="46"/>
    <n v="0"/>
    <x v="6"/>
    <x v="0"/>
  </r>
  <r>
    <x v="2"/>
    <x v="49"/>
    <x v="0"/>
    <n v="0"/>
    <x v="0"/>
    <n v="9.6999999999999993"/>
    <n v="0.36"/>
    <n v="10.06"/>
    <x v="832"/>
    <x v="0"/>
    <x v="46"/>
    <n v="0"/>
    <x v="3"/>
    <x v="1"/>
  </r>
  <r>
    <x v="2"/>
    <x v="50"/>
    <x v="469"/>
    <n v="3.75"/>
    <x v="746"/>
    <n v="9.7200000000000006"/>
    <n v="0.21"/>
    <n v="9.93"/>
    <x v="440"/>
    <x v="743"/>
    <x v="46"/>
    <n v="56.000000004"/>
    <x v="4"/>
    <x v="1"/>
  </r>
  <r>
    <x v="0"/>
    <x v="0"/>
    <x v="0"/>
    <n v="0"/>
    <x v="0"/>
    <n v="6.77"/>
    <n v="1.25"/>
    <n v="8.02"/>
    <x v="833"/>
    <x v="0"/>
    <x v="47"/>
    <n v="0"/>
    <x v="0"/>
    <x v="1"/>
  </r>
  <r>
    <x v="0"/>
    <x v="1"/>
    <x v="472"/>
    <n v="3.77"/>
    <x v="747"/>
    <n v="6.8"/>
    <n v="1.21"/>
    <n v="8.01"/>
    <x v="614"/>
    <x v="744"/>
    <x v="47"/>
    <n v="9.3600000000000012"/>
    <x v="0"/>
    <x v="1"/>
  </r>
  <r>
    <x v="0"/>
    <x v="3"/>
    <x v="0"/>
    <n v="0"/>
    <x v="0"/>
    <n v="6.49"/>
    <n v="1.62"/>
    <n v="8.11"/>
    <x v="834"/>
    <x v="0"/>
    <x v="47"/>
    <n v="0"/>
    <x v="0"/>
    <x v="1"/>
  </r>
  <r>
    <x v="0"/>
    <x v="4"/>
    <x v="0"/>
    <n v="0"/>
    <x v="0"/>
    <n v="7.82"/>
    <n v="0.2"/>
    <n v="8.02"/>
    <x v="809"/>
    <x v="0"/>
    <x v="47"/>
    <n v="0"/>
    <x v="0"/>
    <x v="1"/>
  </r>
  <r>
    <x v="0"/>
    <x v="5"/>
    <x v="472"/>
    <n v="3.77"/>
    <x v="747"/>
    <n v="6.82"/>
    <n v="1.21"/>
    <n v="8.0299999999999994"/>
    <x v="835"/>
    <x v="745"/>
    <x v="47"/>
    <n v="9.3600000000000012"/>
    <x v="0"/>
    <x v="1"/>
  </r>
  <r>
    <x v="0"/>
    <x v="6"/>
    <x v="0"/>
    <n v="0"/>
    <x v="0"/>
    <n v="7.85"/>
    <n v="0.2"/>
    <n v="8.0500000000000007"/>
    <x v="836"/>
    <x v="0"/>
    <x v="47"/>
    <n v="0"/>
    <x v="0"/>
    <x v="1"/>
  </r>
  <r>
    <x v="0"/>
    <x v="7"/>
    <x v="0"/>
    <n v="0"/>
    <x v="0"/>
    <n v="6.75"/>
    <n v="1.37"/>
    <n v="8.1199999999999992"/>
    <x v="837"/>
    <x v="0"/>
    <x v="47"/>
    <n v="0"/>
    <x v="0"/>
    <x v="1"/>
  </r>
  <r>
    <x v="0"/>
    <x v="8"/>
    <x v="0"/>
    <n v="0"/>
    <x v="0"/>
    <n v="6.79"/>
    <n v="1.26"/>
    <n v="8.0500000000000007"/>
    <x v="838"/>
    <x v="0"/>
    <x v="47"/>
    <n v="0"/>
    <x v="0"/>
    <x v="1"/>
  </r>
  <r>
    <x v="1"/>
    <x v="9"/>
    <x v="0"/>
    <n v="0"/>
    <x v="0"/>
    <n v="6.49"/>
    <n v="1.63"/>
    <n v="8.1199999999999992"/>
    <x v="839"/>
    <x v="0"/>
    <x v="47"/>
    <n v="0"/>
    <x v="1"/>
    <x v="1"/>
  </r>
  <r>
    <x v="1"/>
    <x v="10"/>
    <x v="22"/>
    <n v="0.28000000000000003"/>
    <x v="748"/>
    <n v="5.62"/>
    <n v="2.4700000000000002"/>
    <n v="8.09"/>
    <x v="840"/>
    <x v="746"/>
    <x v="47"/>
    <n v="36"/>
    <x v="1"/>
    <x v="1"/>
  </r>
  <r>
    <x v="1"/>
    <x v="11"/>
    <x v="0"/>
    <n v="0"/>
    <x v="0"/>
    <n v="0"/>
    <n v="0"/>
    <n v="0"/>
    <x v="0"/>
    <x v="0"/>
    <x v="47"/>
    <n v="0"/>
    <x v="1"/>
    <x v="0"/>
  </r>
  <r>
    <x v="1"/>
    <x v="12"/>
    <x v="0"/>
    <n v="0"/>
    <x v="0"/>
    <n v="5.97"/>
    <n v="2.13"/>
    <n v="8.1"/>
    <x v="25"/>
    <x v="0"/>
    <x v="47"/>
    <n v="0"/>
    <x v="1"/>
    <x v="1"/>
  </r>
  <r>
    <x v="1"/>
    <x v="13"/>
    <x v="473"/>
    <n v="0.88"/>
    <x v="749"/>
    <n v="4.33"/>
    <n v="3.77"/>
    <n v="8.1"/>
    <x v="841"/>
    <x v="747"/>
    <x v="47"/>
    <n v="24.999999996000003"/>
    <x v="1"/>
    <x v="1"/>
  </r>
  <r>
    <x v="2"/>
    <x v="14"/>
    <x v="474"/>
    <n v="5.85"/>
    <x v="750"/>
    <n v="6.62"/>
    <n v="2.42"/>
    <n v="9.0399999999999991"/>
    <x v="842"/>
    <x v="748"/>
    <x v="47"/>
    <n v="112.68000000000002"/>
    <x v="2"/>
    <x v="1"/>
  </r>
  <r>
    <x v="2"/>
    <x v="15"/>
    <x v="273"/>
    <n v="7.1"/>
    <x v="751"/>
    <n v="7.15"/>
    <n v="1.84"/>
    <n v="8.99"/>
    <x v="843"/>
    <x v="749"/>
    <x v="47"/>
    <n v="65.000000004"/>
    <x v="3"/>
    <x v="1"/>
  </r>
  <r>
    <x v="2"/>
    <x v="16"/>
    <x v="26"/>
    <n v="3.11"/>
    <x v="752"/>
    <n v="7.63"/>
    <n v="0.38"/>
    <n v="8.01"/>
    <x v="736"/>
    <x v="750"/>
    <x v="47"/>
    <n v="34.92"/>
    <x v="4"/>
    <x v="1"/>
  </r>
  <r>
    <x v="2"/>
    <x v="17"/>
    <x v="301"/>
    <n v="2.21"/>
    <x v="498"/>
    <n v="1.45"/>
    <n v="7.52"/>
    <n v="8.9700000000000006"/>
    <x v="844"/>
    <x v="751"/>
    <x v="47"/>
    <n v="29.000000003999997"/>
    <x v="3"/>
    <x v="1"/>
  </r>
  <r>
    <x v="2"/>
    <x v="18"/>
    <x v="186"/>
    <n v="3.66"/>
    <x v="673"/>
    <n v="5.19"/>
    <n v="3.79"/>
    <n v="8.98"/>
    <x v="845"/>
    <x v="752"/>
    <x v="47"/>
    <n v="45"/>
    <x v="3"/>
    <x v="1"/>
  </r>
  <r>
    <x v="2"/>
    <x v="19"/>
    <x v="475"/>
    <n v="6.38"/>
    <x v="753"/>
    <n v="6.43"/>
    <n v="1.23"/>
    <n v="7.66"/>
    <x v="846"/>
    <x v="753"/>
    <x v="47"/>
    <n v="134.91999995999998"/>
    <x v="2"/>
    <x v="1"/>
  </r>
  <r>
    <x v="2"/>
    <x v="20"/>
    <x v="476"/>
    <n v="5.32"/>
    <x v="754"/>
    <n v="7.28"/>
    <n v="0.84"/>
    <n v="8.1199999999999992"/>
    <x v="453"/>
    <x v="754"/>
    <x v="47"/>
    <n v="125.76000000000002"/>
    <x v="5"/>
    <x v="1"/>
  </r>
  <r>
    <x v="2"/>
    <x v="22"/>
    <x v="45"/>
    <n v="0.01"/>
    <x v="192"/>
    <n v="7.5"/>
    <n v="1.47"/>
    <n v="8.9700000000000006"/>
    <x v="847"/>
    <x v="755"/>
    <x v="47"/>
    <n v="6"/>
    <x v="4"/>
    <x v="1"/>
  </r>
  <r>
    <x v="2"/>
    <x v="23"/>
    <x v="45"/>
    <n v="0.01"/>
    <x v="192"/>
    <n v="0"/>
    <n v="8.9700000000000006"/>
    <n v="8.9700000000000006"/>
    <x v="0"/>
    <x v="755"/>
    <x v="47"/>
    <n v="6"/>
    <x v="3"/>
    <x v="1"/>
  </r>
  <r>
    <x v="2"/>
    <x v="24"/>
    <x v="477"/>
    <n v="7.5"/>
    <x v="755"/>
    <n v="6.77"/>
    <n v="1.35"/>
    <n v="8.1199999999999992"/>
    <x v="848"/>
    <x v="756"/>
    <x v="47"/>
    <n v="141.39999996"/>
    <x v="5"/>
    <x v="1"/>
  </r>
  <r>
    <x v="2"/>
    <x v="25"/>
    <x v="328"/>
    <n v="4.7699999999999996"/>
    <x v="756"/>
    <n v="7.42"/>
    <n v="0.62"/>
    <n v="8.0399999999999991"/>
    <x v="849"/>
    <x v="511"/>
    <x v="47"/>
    <n v="57.999999996"/>
    <x v="2"/>
    <x v="1"/>
  </r>
  <r>
    <x v="2"/>
    <x v="26"/>
    <x v="29"/>
    <n v="1.29"/>
    <x v="757"/>
    <n v="6.34"/>
    <n v="2.6"/>
    <n v="8.94"/>
    <x v="850"/>
    <x v="757"/>
    <x v="47"/>
    <n v="24"/>
    <x v="3"/>
    <x v="1"/>
  </r>
  <r>
    <x v="2"/>
    <x v="27"/>
    <x v="0"/>
    <n v="0"/>
    <x v="0"/>
    <n v="0"/>
    <n v="0"/>
    <n v="0"/>
    <x v="0"/>
    <x v="0"/>
    <x v="47"/>
    <n v="0"/>
    <x v="5"/>
    <x v="0"/>
  </r>
  <r>
    <x v="2"/>
    <x v="29"/>
    <x v="478"/>
    <n v="5.63"/>
    <x v="758"/>
    <n v="5.72"/>
    <n v="2.21"/>
    <n v="7.93"/>
    <x v="851"/>
    <x v="758"/>
    <x v="47"/>
    <n v="143.12000003999998"/>
    <x v="5"/>
    <x v="1"/>
  </r>
  <r>
    <x v="2"/>
    <x v="30"/>
    <x v="0"/>
    <n v="0"/>
    <x v="0"/>
    <n v="0"/>
    <n v="0"/>
    <n v="0"/>
    <x v="0"/>
    <x v="0"/>
    <x v="47"/>
    <n v="0"/>
    <x v="5"/>
    <x v="0"/>
  </r>
  <r>
    <x v="2"/>
    <x v="31"/>
    <x v="479"/>
    <n v="8.0299999999999994"/>
    <x v="759"/>
    <n v="6.52"/>
    <n v="1.51"/>
    <n v="8.0299999999999994"/>
    <x v="852"/>
    <x v="759"/>
    <x v="47"/>
    <n v="145.16000004"/>
    <x v="2"/>
    <x v="1"/>
  </r>
  <r>
    <x v="2"/>
    <x v="32"/>
    <x v="480"/>
    <n v="1.89"/>
    <x v="760"/>
    <n v="8.4700000000000006"/>
    <n v="0.51"/>
    <n v="8.98"/>
    <x v="499"/>
    <x v="760"/>
    <x v="47"/>
    <n v="24.720000000000002"/>
    <x v="3"/>
    <x v="1"/>
  </r>
  <r>
    <x v="2"/>
    <x v="33"/>
    <x v="481"/>
    <n v="2.0299999999999998"/>
    <x v="761"/>
    <n v="1.57"/>
    <n v="7.38"/>
    <n v="8.9499999999999993"/>
    <x v="500"/>
    <x v="761"/>
    <x v="47"/>
    <n v="36.72"/>
    <x v="3"/>
    <x v="1"/>
  </r>
  <r>
    <x v="2"/>
    <x v="34"/>
    <x v="22"/>
    <n v="1.31"/>
    <x v="762"/>
    <n v="5"/>
    <n v="2.98"/>
    <n v="7.98"/>
    <x v="853"/>
    <x v="762"/>
    <x v="47"/>
    <n v="36"/>
    <x v="4"/>
    <x v="1"/>
  </r>
  <r>
    <x v="2"/>
    <x v="35"/>
    <x v="482"/>
    <n v="6.8"/>
    <x v="763"/>
    <n v="6.73"/>
    <n v="0.96"/>
    <n v="7.69"/>
    <x v="854"/>
    <x v="763"/>
    <x v="47"/>
    <n v="212.00000004000003"/>
    <x v="2"/>
    <x v="1"/>
  </r>
  <r>
    <x v="2"/>
    <x v="36"/>
    <x v="276"/>
    <n v="1.27"/>
    <x v="764"/>
    <n v="5.84"/>
    <n v="2.5099999999999998"/>
    <n v="8.35"/>
    <x v="855"/>
    <x v="764"/>
    <x v="47"/>
    <n v="44.000000004"/>
    <x v="4"/>
    <x v="1"/>
  </r>
  <r>
    <x v="2"/>
    <x v="37"/>
    <x v="364"/>
    <n v="0.56999999999999995"/>
    <x v="765"/>
    <n v="8.27"/>
    <n v="0.21"/>
    <n v="8.48"/>
    <x v="836"/>
    <x v="765"/>
    <x v="47"/>
    <n v="9.9999999959999997"/>
    <x v="4"/>
    <x v="1"/>
  </r>
  <r>
    <x v="2"/>
    <x v="38"/>
    <x v="483"/>
    <n v="6.09"/>
    <x v="766"/>
    <n v="7.62"/>
    <n v="0.75"/>
    <n v="8.3699999999999992"/>
    <x v="457"/>
    <x v="766"/>
    <x v="47"/>
    <n v="167.00000003999997"/>
    <x v="2"/>
    <x v="1"/>
  </r>
  <r>
    <x v="2"/>
    <x v="39"/>
    <x v="484"/>
    <n v="4.8600000000000003"/>
    <x v="767"/>
    <n v="4.8600000000000003"/>
    <n v="2.72"/>
    <n v="7.58"/>
    <x v="856"/>
    <x v="767"/>
    <x v="47"/>
    <n v="101.079999996"/>
    <x v="2"/>
    <x v="1"/>
  </r>
  <r>
    <x v="2"/>
    <x v="40"/>
    <x v="79"/>
    <n v="0.98"/>
    <x v="768"/>
    <n v="3.82"/>
    <n v="5.16"/>
    <n v="8.98"/>
    <x v="857"/>
    <x v="768"/>
    <x v="47"/>
    <n v="16.440000000000001"/>
    <x v="3"/>
    <x v="1"/>
  </r>
  <r>
    <x v="2"/>
    <x v="41"/>
    <x v="60"/>
    <n v="6.98"/>
    <x v="769"/>
    <n v="7.51"/>
    <n v="1.48"/>
    <n v="8.99"/>
    <x v="858"/>
    <x v="769"/>
    <x v="47"/>
    <n v="71.52000000000001"/>
    <x v="5"/>
    <x v="1"/>
  </r>
  <r>
    <x v="2"/>
    <x v="42"/>
    <x v="485"/>
    <n v="7.45"/>
    <x v="770"/>
    <n v="6.37"/>
    <n v="1.66"/>
    <n v="8.0299999999999994"/>
    <x v="459"/>
    <x v="770"/>
    <x v="47"/>
    <n v="155.84000004000001"/>
    <x v="2"/>
    <x v="1"/>
  </r>
  <r>
    <x v="2"/>
    <x v="43"/>
    <x v="486"/>
    <n v="5.73"/>
    <x v="771"/>
    <n v="7.2"/>
    <n v="2.5499999999999998"/>
    <n v="9.75"/>
    <x v="706"/>
    <x v="771"/>
    <x v="47"/>
    <n v="45.999999996"/>
    <x v="3"/>
    <x v="1"/>
  </r>
  <r>
    <x v="2"/>
    <x v="44"/>
    <x v="92"/>
    <n v="7.23"/>
    <x v="772"/>
    <n v="5.95"/>
    <n v="3"/>
    <n v="8.9499999999999993"/>
    <x v="859"/>
    <x v="772"/>
    <x v="47"/>
    <n v="69"/>
    <x v="3"/>
    <x v="1"/>
  </r>
  <r>
    <x v="2"/>
    <x v="45"/>
    <x v="45"/>
    <n v="0.01"/>
    <x v="192"/>
    <n v="6.17"/>
    <n v="1.89"/>
    <n v="8.06"/>
    <x v="860"/>
    <x v="773"/>
    <x v="47"/>
    <n v="6"/>
    <x v="4"/>
    <x v="1"/>
  </r>
  <r>
    <x v="2"/>
    <x v="46"/>
    <x v="487"/>
    <n v="3.12"/>
    <x v="773"/>
    <n v="7.62"/>
    <n v="0.39"/>
    <n v="8.01"/>
    <x v="861"/>
    <x v="774"/>
    <x v="47"/>
    <n v="41.04"/>
    <x v="4"/>
    <x v="1"/>
  </r>
  <r>
    <x v="2"/>
    <x v="47"/>
    <x v="488"/>
    <n v="6.82"/>
    <x v="774"/>
    <n v="7.8"/>
    <n v="1.1599999999999999"/>
    <n v="8.9600000000000009"/>
    <x v="728"/>
    <x v="775"/>
    <x v="47"/>
    <n v="120.84"/>
    <x v="5"/>
    <x v="1"/>
  </r>
  <r>
    <x v="2"/>
    <x v="48"/>
    <x v="0"/>
    <n v="0"/>
    <x v="0"/>
    <n v="0"/>
    <n v="0"/>
    <n v="0"/>
    <x v="0"/>
    <x v="0"/>
    <x v="47"/>
    <n v="0"/>
    <x v="6"/>
    <x v="0"/>
  </r>
  <r>
    <x v="2"/>
    <x v="49"/>
    <x v="45"/>
    <n v="0.01"/>
    <x v="192"/>
    <n v="7.28"/>
    <n v="1.68"/>
    <n v="8.9600000000000009"/>
    <x v="862"/>
    <x v="776"/>
    <x v="47"/>
    <n v="6"/>
    <x v="3"/>
    <x v="1"/>
  </r>
  <r>
    <x v="0"/>
    <x v="0"/>
    <x v="0"/>
    <n v="0"/>
    <x v="0"/>
    <n v="0"/>
    <n v="0"/>
    <n v="0"/>
    <x v="0"/>
    <x v="0"/>
    <x v="48"/>
    <n v="0"/>
    <x v="0"/>
    <x v="0"/>
  </r>
  <r>
    <x v="0"/>
    <x v="1"/>
    <x v="0"/>
    <n v="0"/>
    <x v="0"/>
    <n v="0"/>
    <n v="0"/>
    <n v="0"/>
    <x v="0"/>
    <x v="0"/>
    <x v="48"/>
    <n v="0"/>
    <x v="0"/>
    <x v="0"/>
  </r>
  <r>
    <x v="0"/>
    <x v="2"/>
    <x v="0"/>
    <n v="0"/>
    <x v="0"/>
    <n v="0"/>
    <n v="0"/>
    <n v="0"/>
    <x v="0"/>
    <x v="0"/>
    <x v="48"/>
    <n v="0"/>
    <x v="0"/>
    <x v="0"/>
  </r>
  <r>
    <x v="0"/>
    <x v="3"/>
    <x v="0"/>
    <n v="0"/>
    <x v="0"/>
    <n v="0"/>
    <n v="0"/>
    <n v="0"/>
    <x v="0"/>
    <x v="0"/>
    <x v="48"/>
    <n v="0"/>
    <x v="0"/>
    <x v="0"/>
  </r>
  <r>
    <x v="0"/>
    <x v="4"/>
    <x v="0"/>
    <n v="0"/>
    <x v="0"/>
    <n v="0"/>
    <n v="0"/>
    <n v="0"/>
    <x v="0"/>
    <x v="0"/>
    <x v="48"/>
    <n v="0"/>
    <x v="0"/>
    <x v="0"/>
  </r>
  <r>
    <x v="0"/>
    <x v="5"/>
    <x v="0"/>
    <n v="0"/>
    <x v="0"/>
    <n v="0"/>
    <n v="0"/>
    <n v="0"/>
    <x v="0"/>
    <x v="0"/>
    <x v="48"/>
    <n v="0"/>
    <x v="0"/>
    <x v="0"/>
  </r>
  <r>
    <x v="0"/>
    <x v="6"/>
    <x v="0"/>
    <n v="0"/>
    <x v="0"/>
    <n v="0"/>
    <n v="0"/>
    <n v="0"/>
    <x v="0"/>
    <x v="0"/>
    <x v="48"/>
    <n v="0"/>
    <x v="0"/>
    <x v="0"/>
  </r>
  <r>
    <x v="0"/>
    <x v="7"/>
    <x v="0"/>
    <n v="0"/>
    <x v="0"/>
    <n v="0"/>
    <n v="0"/>
    <n v="0"/>
    <x v="0"/>
    <x v="0"/>
    <x v="48"/>
    <n v="0"/>
    <x v="0"/>
    <x v="0"/>
  </r>
  <r>
    <x v="0"/>
    <x v="8"/>
    <x v="0"/>
    <n v="0"/>
    <x v="0"/>
    <n v="0"/>
    <n v="0"/>
    <n v="0"/>
    <x v="0"/>
    <x v="0"/>
    <x v="48"/>
    <n v="0"/>
    <x v="0"/>
    <x v="0"/>
  </r>
  <r>
    <x v="1"/>
    <x v="9"/>
    <x v="0"/>
    <n v="0"/>
    <x v="0"/>
    <n v="0"/>
    <n v="0"/>
    <n v="0"/>
    <x v="0"/>
    <x v="0"/>
    <x v="48"/>
    <n v="0"/>
    <x v="1"/>
    <x v="0"/>
  </r>
  <r>
    <x v="1"/>
    <x v="10"/>
    <x v="0"/>
    <n v="0"/>
    <x v="0"/>
    <n v="0"/>
    <n v="0"/>
    <n v="0"/>
    <x v="0"/>
    <x v="0"/>
    <x v="48"/>
    <n v="0"/>
    <x v="1"/>
    <x v="0"/>
  </r>
  <r>
    <x v="1"/>
    <x v="11"/>
    <x v="0"/>
    <n v="0"/>
    <x v="0"/>
    <n v="0"/>
    <n v="0"/>
    <n v="0"/>
    <x v="0"/>
    <x v="0"/>
    <x v="48"/>
    <n v="0"/>
    <x v="1"/>
    <x v="0"/>
  </r>
  <r>
    <x v="1"/>
    <x v="12"/>
    <x v="0"/>
    <n v="0"/>
    <x v="0"/>
    <n v="0"/>
    <n v="0"/>
    <n v="0"/>
    <x v="0"/>
    <x v="0"/>
    <x v="48"/>
    <n v="0"/>
    <x v="1"/>
    <x v="0"/>
  </r>
  <r>
    <x v="1"/>
    <x v="13"/>
    <x v="0"/>
    <n v="0"/>
    <x v="0"/>
    <n v="0"/>
    <n v="0"/>
    <n v="0"/>
    <x v="0"/>
    <x v="0"/>
    <x v="48"/>
    <n v="0"/>
    <x v="1"/>
    <x v="0"/>
  </r>
  <r>
    <x v="2"/>
    <x v="14"/>
    <x v="0"/>
    <n v="0"/>
    <x v="0"/>
    <n v="0"/>
    <n v="0"/>
    <n v="0"/>
    <x v="0"/>
    <x v="0"/>
    <x v="48"/>
    <n v="0"/>
    <x v="2"/>
    <x v="0"/>
  </r>
  <r>
    <x v="2"/>
    <x v="15"/>
    <x v="0"/>
    <n v="0"/>
    <x v="0"/>
    <n v="0"/>
    <n v="0"/>
    <n v="0"/>
    <x v="0"/>
    <x v="0"/>
    <x v="48"/>
    <n v="0"/>
    <x v="3"/>
    <x v="0"/>
  </r>
  <r>
    <x v="2"/>
    <x v="16"/>
    <x v="0"/>
    <n v="0"/>
    <x v="0"/>
    <n v="0"/>
    <n v="0"/>
    <n v="0"/>
    <x v="0"/>
    <x v="0"/>
    <x v="48"/>
    <n v="0"/>
    <x v="4"/>
    <x v="0"/>
  </r>
  <r>
    <x v="2"/>
    <x v="17"/>
    <x v="0"/>
    <n v="0"/>
    <x v="0"/>
    <n v="0"/>
    <n v="0"/>
    <n v="0"/>
    <x v="0"/>
    <x v="0"/>
    <x v="48"/>
    <n v="0"/>
    <x v="3"/>
    <x v="0"/>
  </r>
  <r>
    <x v="2"/>
    <x v="18"/>
    <x v="0"/>
    <n v="0"/>
    <x v="0"/>
    <n v="0"/>
    <n v="0"/>
    <n v="0"/>
    <x v="0"/>
    <x v="0"/>
    <x v="48"/>
    <n v="0"/>
    <x v="3"/>
    <x v="0"/>
  </r>
  <r>
    <x v="2"/>
    <x v="19"/>
    <x v="0"/>
    <n v="0"/>
    <x v="0"/>
    <n v="0"/>
    <n v="0"/>
    <n v="0"/>
    <x v="0"/>
    <x v="0"/>
    <x v="48"/>
    <n v="0"/>
    <x v="2"/>
    <x v="0"/>
  </r>
  <r>
    <x v="2"/>
    <x v="20"/>
    <x v="0"/>
    <n v="0"/>
    <x v="0"/>
    <n v="0"/>
    <n v="0"/>
    <n v="0"/>
    <x v="0"/>
    <x v="0"/>
    <x v="48"/>
    <n v="0"/>
    <x v="5"/>
    <x v="0"/>
  </r>
  <r>
    <x v="2"/>
    <x v="21"/>
    <x v="0"/>
    <n v="0"/>
    <x v="0"/>
    <n v="0"/>
    <n v="0"/>
    <n v="0"/>
    <x v="0"/>
    <x v="0"/>
    <x v="48"/>
    <n v="0"/>
    <x v="2"/>
    <x v="0"/>
  </r>
  <r>
    <x v="2"/>
    <x v="22"/>
    <x v="0"/>
    <n v="0"/>
    <x v="0"/>
    <n v="0"/>
    <n v="0"/>
    <n v="0"/>
    <x v="0"/>
    <x v="0"/>
    <x v="48"/>
    <n v="0"/>
    <x v="4"/>
    <x v="0"/>
  </r>
  <r>
    <x v="2"/>
    <x v="23"/>
    <x v="0"/>
    <n v="0"/>
    <x v="0"/>
    <n v="0"/>
    <n v="0"/>
    <n v="0"/>
    <x v="0"/>
    <x v="0"/>
    <x v="48"/>
    <n v="0"/>
    <x v="3"/>
    <x v="0"/>
  </r>
  <r>
    <x v="2"/>
    <x v="24"/>
    <x v="0"/>
    <n v="0"/>
    <x v="0"/>
    <n v="0"/>
    <n v="0"/>
    <n v="0"/>
    <x v="0"/>
    <x v="0"/>
    <x v="48"/>
    <n v="0"/>
    <x v="5"/>
    <x v="0"/>
  </r>
  <r>
    <x v="2"/>
    <x v="25"/>
    <x v="0"/>
    <n v="0"/>
    <x v="0"/>
    <n v="0"/>
    <n v="0"/>
    <n v="0"/>
    <x v="0"/>
    <x v="0"/>
    <x v="48"/>
    <n v="0"/>
    <x v="2"/>
    <x v="0"/>
  </r>
  <r>
    <x v="2"/>
    <x v="26"/>
    <x v="0"/>
    <n v="0"/>
    <x v="0"/>
    <n v="0"/>
    <n v="0"/>
    <n v="0"/>
    <x v="0"/>
    <x v="0"/>
    <x v="48"/>
    <n v="0"/>
    <x v="3"/>
    <x v="0"/>
  </r>
  <r>
    <x v="2"/>
    <x v="27"/>
    <x v="0"/>
    <n v="0"/>
    <x v="0"/>
    <n v="0"/>
    <n v="0"/>
    <n v="0"/>
    <x v="0"/>
    <x v="0"/>
    <x v="48"/>
    <n v="0"/>
    <x v="5"/>
    <x v="0"/>
  </r>
  <r>
    <x v="2"/>
    <x v="29"/>
    <x v="0"/>
    <n v="0"/>
    <x v="0"/>
    <n v="0"/>
    <n v="0"/>
    <n v="0"/>
    <x v="0"/>
    <x v="0"/>
    <x v="48"/>
    <n v="0"/>
    <x v="5"/>
    <x v="0"/>
  </r>
  <r>
    <x v="2"/>
    <x v="30"/>
    <x v="0"/>
    <n v="0"/>
    <x v="0"/>
    <n v="0"/>
    <n v="0"/>
    <n v="0"/>
    <x v="0"/>
    <x v="0"/>
    <x v="48"/>
    <n v="0"/>
    <x v="5"/>
    <x v="0"/>
  </r>
  <r>
    <x v="2"/>
    <x v="31"/>
    <x v="0"/>
    <n v="0"/>
    <x v="0"/>
    <n v="0"/>
    <n v="0"/>
    <n v="0"/>
    <x v="0"/>
    <x v="0"/>
    <x v="48"/>
    <n v="0"/>
    <x v="2"/>
    <x v="0"/>
  </r>
  <r>
    <x v="2"/>
    <x v="32"/>
    <x v="0"/>
    <n v="0"/>
    <x v="0"/>
    <n v="0"/>
    <n v="0"/>
    <n v="0"/>
    <x v="0"/>
    <x v="0"/>
    <x v="48"/>
    <n v="0"/>
    <x v="3"/>
    <x v="0"/>
  </r>
  <r>
    <x v="2"/>
    <x v="33"/>
    <x v="0"/>
    <n v="0"/>
    <x v="0"/>
    <n v="0"/>
    <n v="0"/>
    <n v="0"/>
    <x v="0"/>
    <x v="0"/>
    <x v="48"/>
    <n v="0"/>
    <x v="3"/>
    <x v="0"/>
  </r>
  <r>
    <x v="2"/>
    <x v="34"/>
    <x v="0"/>
    <n v="0"/>
    <x v="0"/>
    <n v="0"/>
    <n v="0"/>
    <n v="0"/>
    <x v="0"/>
    <x v="0"/>
    <x v="48"/>
    <n v="0"/>
    <x v="4"/>
    <x v="0"/>
  </r>
  <r>
    <x v="2"/>
    <x v="35"/>
    <x v="0"/>
    <n v="0"/>
    <x v="0"/>
    <n v="0"/>
    <n v="0"/>
    <n v="0"/>
    <x v="0"/>
    <x v="0"/>
    <x v="48"/>
    <n v="0"/>
    <x v="2"/>
    <x v="0"/>
  </r>
  <r>
    <x v="2"/>
    <x v="36"/>
    <x v="0"/>
    <n v="0"/>
    <x v="0"/>
    <n v="0"/>
    <n v="0"/>
    <n v="0"/>
    <x v="0"/>
    <x v="0"/>
    <x v="48"/>
    <n v="0"/>
    <x v="4"/>
    <x v="0"/>
  </r>
  <r>
    <x v="2"/>
    <x v="37"/>
    <x v="0"/>
    <n v="0"/>
    <x v="0"/>
    <n v="0"/>
    <n v="0"/>
    <n v="0"/>
    <x v="0"/>
    <x v="0"/>
    <x v="48"/>
    <n v="0"/>
    <x v="4"/>
    <x v="0"/>
  </r>
  <r>
    <x v="2"/>
    <x v="38"/>
    <x v="0"/>
    <n v="0"/>
    <x v="0"/>
    <n v="0"/>
    <n v="0"/>
    <n v="0"/>
    <x v="0"/>
    <x v="0"/>
    <x v="48"/>
    <n v="0"/>
    <x v="2"/>
    <x v="0"/>
  </r>
  <r>
    <x v="2"/>
    <x v="39"/>
    <x v="0"/>
    <n v="0"/>
    <x v="0"/>
    <n v="0"/>
    <n v="0"/>
    <n v="0"/>
    <x v="0"/>
    <x v="0"/>
    <x v="48"/>
    <n v="0"/>
    <x v="2"/>
    <x v="0"/>
  </r>
  <r>
    <x v="2"/>
    <x v="40"/>
    <x v="0"/>
    <n v="0"/>
    <x v="0"/>
    <n v="0"/>
    <n v="0"/>
    <n v="0"/>
    <x v="0"/>
    <x v="0"/>
    <x v="48"/>
    <n v="0"/>
    <x v="3"/>
    <x v="0"/>
  </r>
  <r>
    <x v="2"/>
    <x v="41"/>
    <x v="0"/>
    <n v="0"/>
    <x v="0"/>
    <n v="0"/>
    <n v="0"/>
    <n v="0"/>
    <x v="0"/>
    <x v="0"/>
    <x v="48"/>
    <n v="0"/>
    <x v="5"/>
    <x v="0"/>
  </r>
  <r>
    <x v="2"/>
    <x v="42"/>
    <x v="0"/>
    <n v="0"/>
    <x v="0"/>
    <n v="0"/>
    <n v="0"/>
    <n v="0"/>
    <x v="0"/>
    <x v="0"/>
    <x v="48"/>
    <n v="0"/>
    <x v="2"/>
    <x v="0"/>
  </r>
  <r>
    <x v="2"/>
    <x v="43"/>
    <x v="0"/>
    <n v="0"/>
    <x v="0"/>
    <n v="0"/>
    <n v="0"/>
    <n v="0"/>
    <x v="0"/>
    <x v="0"/>
    <x v="48"/>
    <n v="0"/>
    <x v="3"/>
    <x v="0"/>
  </r>
  <r>
    <x v="2"/>
    <x v="44"/>
    <x v="0"/>
    <n v="0"/>
    <x v="0"/>
    <n v="0"/>
    <n v="0"/>
    <n v="0"/>
    <x v="0"/>
    <x v="0"/>
    <x v="48"/>
    <n v="0"/>
    <x v="3"/>
    <x v="0"/>
  </r>
  <r>
    <x v="2"/>
    <x v="45"/>
    <x v="0"/>
    <n v="0"/>
    <x v="0"/>
    <n v="0"/>
    <n v="0"/>
    <n v="0"/>
    <x v="0"/>
    <x v="0"/>
    <x v="48"/>
    <n v="0"/>
    <x v="4"/>
    <x v="0"/>
  </r>
  <r>
    <x v="2"/>
    <x v="46"/>
    <x v="0"/>
    <n v="0"/>
    <x v="0"/>
    <n v="0"/>
    <n v="0"/>
    <n v="0"/>
    <x v="0"/>
    <x v="0"/>
    <x v="48"/>
    <n v="0"/>
    <x v="4"/>
    <x v="0"/>
  </r>
  <r>
    <x v="2"/>
    <x v="47"/>
    <x v="0"/>
    <n v="0"/>
    <x v="0"/>
    <n v="0"/>
    <n v="0"/>
    <n v="0"/>
    <x v="0"/>
    <x v="0"/>
    <x v="48"/>
    <n v="0"/>
    <x v="5"/>
    <x v="0"/>
  </r>
  <r>
    <x v="2"/>
    <x v="48"/>
    <x v="0"/>
    <n v="0"/>
    <x v="0"/>
    <n v="0"/>
    <n v="0"/>
    <n v="0"/>
    <x v="0"/>
    <x v="0"/>
    <x v="48"/>
    <n v="0"/>
    <x v="6"/>
    <x v="0"/>
  </r>
  <r>
    <x v="2"/>
    <x v="49"/>
    <x v="0"/>
    <n v="0"/>
    <x v="0"/>
    <n v="0"/>
    <n v="0"/>
    <n v="0"/>
    <x v="0"/>
    <x v="0"/>
    <x v="48"/>
    <n v="0"/>
    <x v="3"/>
    <x v="0"/>
  </r>
  <r>
    <x v="2"/>
    <x v="50"/>
    <x v="0"/>
    <n v="0"/>
    <x v="0"/>
    <n v="0"/>
    <n v="0"/>
    <n v="0"/>
    <x v="0"/>
    <x v="0"/>
    <x v="48"/>
    <n v="0"/>
    <x v="4"/>
    <x v="0"/>
  </r>
  <r>
    <x v="0"/>
    <x v="0"/>
    <x v="0"/>
    <n v="0"/>
    <x v="0"/>
    <n v="6.45"/>
    <n v="1.03"/>
    <n v="7.48"/>
    <x v="863"/>
    <x v="0"/>
    <x v="49"/>
    <n v="0"/>
    <x v="0"/>
    <x v="1"/>
  </r>
  <r>
    <x v="0"/>
    <x v="1"/>
    <x v="489"/>
    <n v="3.97"/>
    <x v="775"/>
    <n v="4.67"/>
    <n v="2.89"/>
    <n v="7.56"/>
    <x v="864"/>
    <x v="777"/>
    <x v="49"/>
    <n v="15.36"/>
    <x v="0"/>
    <x v="1"/>
  </r>
  <r>
    <x v="0"/>
    <x v="2"/>
    <x v="489"/>
    <n v="3.97"/>
    <x v="775"/>
    <n v="4.67"/>
    <n v="2.89"/>
    <n v="7.56"/>
    <x v="864"/>
    <x v="777"/>
    <x v="49"/>
    <n v="15.36"/>
    <x v="0"/>
    <x v="1"/>
  </r>
  <r>
    <x v="0"/>
    <x v="3"/>
    <x v="0"/>
    <n v="0"/>
    <x v="0"/>
    <n v="6.51"/>
    <n v="1.01"/>
    <n v="7.52"/>
    <x v="431"/>
    <x v="0"/>
    <x v="49"/>
    <n v="0"/>
    <x v="0"/>
    <x v="1"/>
  </r>
  <r>
    <x v="0"/>
    <x v="4"/>
    <x v="0"/>
    <n v="0"/>
    <x v="0"/>
    <n v="7.31"/>
    <n v="0.34"/>
    <n v="7.65"/>
    <x v="865"/>
    <x v="0"/>
    <x v="49"/>
    <n v="0"/>
    <x v="0"/>
    <x v="1"/>
  </r>
  <r>
    <x v="0"/>
    <x v="5"/>
    <x v="489"/>
    <n v="3.97"/>
    <x v="775"/>
    <n v="4.67"/>
    <n v="2.89"/>
    <n v="7.56"/>
    <x v="864"/>
    <x v="777"/>
    <x v="49"/>
    <n v="15.36"/>
    <x v="0"/>
    <x v="1"/>
  </r>
  <r>
    <x v="0"/>
    <x v="6"/>
    <x v="0"/>
    <n v="0"/>
    <x v="0"/>
    <n v="7.3"/>
    <n v="0.36"/>
    <n v="7.66"/>
    <x v="866"/>
    <x v="0"/>
    <x v="49"/>
    <n v="0"/>
    <x v="0"/>
    <x v="1"/>
  </r>
  <r>
    <x v="0"/>
    <x v="7"/>
    <x v="0"/>
    <n v="0"/>
    <x v="0"/>
    <n v="6.51"/>
    <n v="1.01"/>
    <n v="7.52"/>
    <x v="431"/>
    <x v="0"/>
    <x v="49"/>
    <n v="0"/>
    <x v="0"/>
    <x v="1"/>
  </r>
  <r>
    <x v="0"/>
    <x v="8"/>
    <x v="3"/>
    <n v="0.78"/>
    <x v="776"/>
    <n v="6.46"/>
    <n v="1.03"/>
    <n v="7.49"/>
    <x v="867"/>
    <x v="778"/>
    <x v="49"/>
    <n v="18"/>
    <x v="0"/>
    <x v="1"/>
  </r>
  <r>
    <x v="1"/>
    <x v="9"/>
    <x v="0"/>
    <n v="0"/>
    <x v="0"/>
    <n v="3.15"/>
    <n v="4.3499999999999996"/>
    <n v="7.5"/>
    <x v="868"/>
    <x v="0"/>
    <x v="49"/>
    <n v="0"/>
    <x v="1"/>
    <x v="1"/>
  </r>
  <r>
    <x v="1"/>
    <x v="10"/>
    <x v="181"/>
    <n v="0.8"/>
    <x v="21"/>
    <n v="5.14"/>
    <n v="2.36"/>
    <n v="7.5"/>
    <x v="312"/>
    <x v="779"/>
    <x v="49"/>
    <n v="15"/>
    <x v="1"/>
    <x v="1"/>
  </r>
  <r>
    <x v="1"/>
    <x v="11"/>
    <x v="0"/>
    <n v="0"/>
    <x v="0"/>
    <n v="3.25"/>
    <n v="4.25"/>
    <n v="7.5"/>
    <x v="869"/>
    <x v="0"/>
    <x v="49"/>
    <n v="0"/>
    <x v="1"/>
    <x v="1"/>
  </r>
  <r>
    <x v="1"/>
    <x v="12"/>
    <x v="331"/>
    <n v="2.4700000000000002"/>
    <x v="777"/>
    <n v="2.0299999999999998"/>
    <n v="5.48"/>
    <n v="7.51"/>
    <x v="870"/>
    <x v="780"/>
    <x v="49"/>
    <n v="30.999999996000003"/>
    <x v="1"/>
    <x v="1"/>
  </r>
  <r>
    <x v="1"/>
    <x v="13"/>
    <x v="0"/>
    <n v="0"/>
    <x v="0"/>
    <n v="2.0299999999999998"/>
    <n v="5.46"/>
    <n v="7.49"/>
    <x v="871"/>
    <x v="0"/>
    <x v="49"/>
    <n v="0"/>
    <x v="1"/>
    <x v="1"/>
  </r>
  <r>
    <x v="2"/>
    <x v="14"/>
    <x v="490"/>
    <n v="6.76"/>
    <x v="778"/>
    <n v="6.76"/>
    <n v="0.64"/>
    <n v="7.4"/>
    <x v="872"/>
    <x v="781"/>
    <x v="49"/>
    <n v="207"/>
    <x v="2"/>
    <x v="1"/>
  </r>
  <r>
    <x v="2"/>
    <x v="17"/>
    <x v="491"/>
    <n v="7.0000000000000007E-2"/>
    <x v="779"/>
    <n v="4.46"/>
    <n v="2.92"/>
    <n v="7.38"/>
    <x v="873"/>
    <x v="782"/>
    <x v="49"/>
    <n v="0.12"/>
    <x v="3"/>
    <x v="1"/>
  </r>
  <r>
    <x v="2"/>
    <x v="18"/>
    <x v="0"/>
    <n v="0"/>
    <x v="0"/>
    <n v="5.05"/>
    <n v="2.36"/>
    <n v="7.41"/>
    <x v="874"/>
    <x v="0"/>
    <x v="49"/>
    <n v="0"/>
    <x v="3"/>
    <x v="1"/>
  </r>
  <r>
    <x v="2"/>
    <x v="19"/>
    <x v="51"/>
    <n v="6.15"/>
    <x v="780"/>
    <n v="6.3"/>
    <n v="1.04"/>
    <n v="7.34"/>
    <x v="875"/>
    <x v="783"/>
    <x v="49"/>
    <n v="132"/>
    <x v="2"/>
    <x v="1"/>
  </r>
  <r>
    <x v="2"/>
    <x v="20"/>
    <x v="492"/>
    <n v="7.35"/>
    <x v="781"/>
    <n v="6.26"/>
    <n v="1.23"/>
    <n v="7.49"/>
    <x v="876"/>
    <x v="784"/>
    <x v="49"/>
    <n v="73.160000004000011"/>
    <x v="5"/>
    <x v="1"/>
  </r>
  <r>
    <x v="2"/>
    <x v="21"/>
    <x v="493"/>
    <n v="6.71"/>
    <x v="782"/>
    <n v="6.71"/>
    <n v="0.62"/>
    <n v="7.33"/>
    <x v="877"/>
    <x v="785"/>
    <x v="49"/>
    <n v="114"/>
    <x v="2"/>
    <x v="1"/>
  </r>
  <r>
    <x v="2"/>
    <x v="23"/>
    <x v="494"/>
    <n v="0.56000000000000005"/>
    <x v="783"/>
    <n v="0.93"/>
    <n v="6.43"/>
    <n v="7.36"/>
    <x v="878"/>
    <x v="786"/>
    <x v="49"/>
    <n v="1.1199999960000002"/>
    <x v="3"/>
    <x v="1"/>
  </r>
  <r>
    <x v="2"/>
    <x v="24"/>
    <x v="220"/>
    <n v="4.3"/>
    <x v="784"/>
    <n v="6.62"/>
    <n v="0.92"/>
    <n v="7.54"/>
    <x v="879"/>
    <x v="787"/>
    <x v="49"/>
    <n v="39.480000000000004"/>
    <x v="5"/>
    <x v="1"/>
  </r>
  <r>
    <x v="2"/>
    <x v="26"/>
    <x v="143"/>
    <n v="3.52"/>
    <x v="785"/>
    <n v="6.68"/>
    <n v="0.72"/>
    <n v="7.4"/>
    <x v="880"/>
    <x v="788"/>
    <x v="49"/>
    <n v="51"/>
    <x v="3"/>
    <x v="1"/>
  </r>
  <r>
    <x v="2"/>
    <x v="27"/>
    <x v="456"/>
    <n v="1.98"/>
    <x v="786"/>
    <n v="6.62"/>
    <n v="0.89"/>
    <n v="7.51"/>
    <x v="881"/>
    <x v="789"/>
    <x v="49"/>
    <n v="28.2"/>
    <x v="5"/>
    <x v="1"/>
  </r>
  <r>
    <x v="2"/>
    <x v="30"/>
    <x v="0"/>
    <n v="0"/>
    <x v="0"/>
    <n v="0"/>
    <n v="0"/>
    <n v="0"/>
    <x v="0"/>
    <x v="0"/>
    <x v="49"/>
    <n v="0"/>
    <x v="5"/>
    <x v="0"/>
  </r>
  <r>
    <x v="2"/>
    <x v="33"/>
    <x v="45"/>
    <n v="0.6"/>
    <x v="787"/>
    <n v="5.53"/>
    <n v="1.94"/>
    <n v="7.47"/>
    <x v="474"/>
    <x v="790"/>
    <x v="49"/>
    <n v="6"/>
    <x v="3"/>
    <x v="1"/>
  </r>
  <r>
    <x v="2"/>
    <x v="34"/>
    <x v="495"/>
    <n v="7.26"/>
    <x v="788"/>
    <n v="4.55"/>
    <n v="3.03"/>
    <n v="7.58"/>
    <x v="882"/>
    <x v="791"/>
    <x v="49"/>
    <n v="43.040000003999992"/>
    <x v="4"/>
    <x v="1"/>
  </r>
  <r>
    <x v="2"/>
    <x v="35"/>
    <x v="0"/>
    <n v="0"/>
    <x v="0"/>
    <n v="0"/>
    <n v="0"/>
    <n v="0"/>
    <x v="0"/>
    <x v="0"/>
    <x v="49"/>
    <n v="0"/>
    <x v="2"/>
    <x v="0"/>
  </r>
  <r>
    <x v="2"/>
    <x v="36"/>
    <x v="368"/>
    <n v="0.96"/>
    <x v="789"/>
    <n v="5"/>
    <n v="2.63"/>
    <n v="7.63"/>
    <x v="883"/>
    <x v="792"/>
    <x v="49"/>
    <n v="14.000000004"/>
    <x v="4"/>
    <x v="1"/>
  </r>
  <r>
    <x v="2"/>
    <x v="38"/>
    <x v="398"/>
    <n v="4.8"/>
    <x v="790"/>
    <n v="6.73"/>
    <n v="0.65"/>
    <n v="7.38"/>
    <x v="884"/>
    <x v="793"/>
    <x v="49"/>
    <n v="93.999999996"/>
    <x v="2"/>
    <x v="1"/>
  </r>
  <r>
    <x v="2"/>
    <x v="39"/>
    <x v="327"/>
    <n v="3.35"/>
    <x v="791"/>
    <n v="5.54"/>
    <n v="1.76"/>
    <n v="7.3"/>
    <x v="885"/>
    <x v="794"/>
    <x v="49"/>
    <n v="72.999999996"/>
    <x v="2"/>
    <x v="1"/>
  </r>
  <r>
    <x v="2"/>
    <x v="40"/>
    <x v="496"/>
    <n v="2.46"/>
    <x v="792"/>
    <n v="5.21"/>
    <n v="2.2400000000000002"/>
    <n v="7.45"/>
    <x v="886"/>
    <x v="795"/>
    <x v="49"/>
    <n v="18.119999999999997"/>
    <x v="3"/>
    <x v="1"/>
  </r>
  <r>
    <x v="2"/>
    <x v="41"/>
    <x v="497"/>
    <n v="4.28"/>
    <x v="793"/>
    <n v="7.1"/>
    <n v="0.49"/>
    <n v="7.59"/>
    <x v="887"/>
    <x v="796"/>
    <x v="49"/>
    <n v="44.760000000000005"/>
    <x v="5"/>
    <x v="1"/>
  </r>
  <r>
    <x v="2"/>
    <x v="42"/>
    <x v="74"/>
    <n v="2.4"/>
    <x v="794"/>
    <n v="6.91"/>
    <n v="0.49"/>
    <n v="7.4"/>
    <x v="222"/>
    <x v="797"/>
    <x v="49"/>
    <n v="54"/>
    <x v="2"/>
    <x v="1"/>
  </r>
  <r>
    <x v="2"/>
    <x v="43"/>
    <x v="0"/>
    <n v="0"/>
    <x v="0"/>
    <n v="5.23"/>
    <n v="2.15"/>
    <n v="7.38"/>
    <x v="888"/>
    <x v="0"/>
    <x v="49"/>
    <n v="0"/>
    <x v="3"/>
    <x v="1"/>
  </r>
  <r>
    <x v="2"/>
    <x v="45"/>
    <x v="0"/>
    <n v="0"/>
    <x v="0"/>
    <n v="6.38"/>
    <n v="1.26"/>
    <n v="7.64"/>
    <x v="889"/>
    <x v="0"/>
    <x v="49"/>
    <n v="0"/>
    <x v="4"/>
    <x v="1"/>
  </r>
  <r>
    <x v="2"/>
    <x v="47"/>
    <x v="32"/>
    <n v="3.97"/>
    <x v="795"/>
    <n v="7.25"/>
    <n v="0.34"/>
    <n v="7.59"/>
    <x v="890"/>
    <x v="798"/>
    <x v="49"/>
    <n v="40.200000000000003"/>
    <x v="5"/>
    <x v="1"/>
  </r>
  <r>
    <x v="2"/>
    <x v="48"/>
    <x v="0"/>
    <n v="0"/>
    <x v="0"/>
    <n v="0"/>
    <n v="0"/>
    <n v="0"/>
    <x v="0"/>
    <x v="0"/>
    <x v="49"/>
    <n v="0"/>
    <x v="6"/>
    <x v="0"/>
  </r>
  <r>
    <x v="2"/>
    <x v="49"/>
    <x v="0"/>
    <n v="0"/>
    <x v="0"/>
    <n v="5.99"/>
    <n v="1.4"/>
    <n v="7.39"/>
    <x v="891"/>
    <x v="0"/>
    <x v="49"/>
    <n v="0"/>
    <x v="3"/>
    <x v="1"/>
  </r>
  <r>
    <x v="2"/>
    <x v="50"/>
    <x v="401"/>
    <n v="5.41"/>
    <x v="796"/>
    <n v="6.57"/>
    <n v="1.01"/>
    <n v="7.58"/>
    <x v="892"/>
    <x v="799"/>
    <x v="49"/>
    <n v="51.999999996"/>
    <x v="4"/>
    <x v="1"/>
  </r>
  <r>
    <x v="0"/>
    <x v="0"/>
    <x v="0"/>
    <n v="0"/>
    <x v="0"/>
    <n v="7.33"/>
    <n v="0.74"/>
    <n v="8.07"/>
    <x v="441"/>
    <x v="0"/>
    <x v="50"/>
    <n v="0"/>
    <x v="0"/>
    <x v="1"/>
  </r>
  <r>
    <x v="0"/>
    <x v="1"/>
    <x v="0"/>
    <n v="0"/>
    <x v="0"/>
    <n v="7.85"/>
    <n v="0.17"/>
    <n v="8.02"/>
    <x v="893"/>
    <x v="0"/>
    <x v="50"/>
    <n v="0"/>
    <x v="0"/>
    <x v="1"/>
  </r>
  <r>
    <x v="0"/>
    <x v="2"/>
    <x v="0"/>
    <n v="0"/>
    <x v="0"/>
    <n v="7.86"/>
    <n v="0.17"/>
    <n v="8.0299999999999994"/>
    <x v="893"/>
    <x v="0"/>
    <x v="50"/>
    <n v="0"/>
    <x v="0"/>
    <x v="1"/>
  </r>
  <r>
    <x v="0"/>
    <x v="4"/>
    <x v="0"/>
    <n v="0"/>
    <x v="0"/>
    <n v="0"/>
    <n v="0"/>
    <n v="0"/>
    <x v="0"/>
    <x v="0"/>
    <x v="50"/>
    <n v="0"/>
    <x v="0"/>
    <x v="0"/>
  </r>
  <r>
    <x v="0"/>
    <x v="5"/>
    <x v="0"/>
    <n v="0"/>
    <x v="0"/>
    <n v="7.87"/>
    <n v="0.16"/>
    <n v="8.0299999999999994"/>
    <x v="23"/>
    <x v="0"/>
    <x v="50"/>
    <n v="0"/>
    <x v="0"/>
    <x v="1"/>
  </r>
  <r>
    <x v="0"/>
    <x v="6"/>
    <x v="375"/>
    <n v="3.89"/>
    <x v="797"/>
    <n v="7.85"/>
    <n v="0.17"/>
    <n v="8.02"/>
    <x v="893"/>
    <x v="800"/>
    <x v="50"/>
    <n v="39.999999996"/>
    <x v="0"/>
    <x v="1"/>
  </r>
  <r>
    <x v="0"/>
    <x v="7"/>
    <x v="0"/>
    <n v="0"/>
    <x v="0"/>
    <n v="7.3"/>
    <n v="0.82"/>
    <n v="8.1199999999999992"/>
    <x v="894"/>
    <x v="0"/>
    <x v="50"/>
    <n v="0"/>
    <x v="0"/>
    <x v="1"/>
  </r>
  <r>
    <x v="0"/>
    <x v="8"/>
    <x v="0"/>
    <n v="0"/>
    <x v="0"/>
    <n v="7.33"/>
    <n v="0.77"/>
    <n v="8.1"/>
    <x v="895"/>
    <x v="0"/>
    <x v="50"/>
    <n v="0"/>
    <x v="0"/>
    <x v="1"/>
  </r>
  <r>
    <x v="1"/>
    <x v="9"/>
    <x v="0"/>
    <n v="0"/>
    <x v="0"/>
    <n v="3.5"/>
    <n v="4.5999999999999996"/>
    <n v="8.1"/>
    <x v="896"/>
    <x v="0"/>
    <x v="50"/>
    <n v="0"/>
    <x v="1"/>
    <x v="1"/>
  </r>
  <r>
    <x v="1"/>
    <x v="10"/>
    <x v="0"/>
    <n v="0"/>
    <x v="0"/>
    <n v="5"/>
    <n v="3.1"/>
    <n v="8.1"/>
    <x v="293"/>
    <x v="0"/>
    <x v="50"/>
    <n v="0"/>
    <x v="1"/>
    <x v="1"/>
  </r>
  <r>
    <x v="1"/>
    <x v="11"/>
    <x v="0"/>
    <n v="0"/>
    <x v="0"/>
    <n v="0"/>
    <n v="0"/>
    <n v="0"/>
    <x v="0"/>
    <x v="0"/>
    <x v="50"/>
    <n v="0"/>
    <x v="1"/>
    <x v="0"/>
  </r>
  <r>
    <x v="1"/>
    <x v="13"/>
    <x v="498"/>
    <n v="3.21"/>
    <x v="798"/>
    <n v="3.66"/>
    <n v="4.4400000000000004"/>
    <n v="8.1"/>
    <x v="897"/>
    <x v="801"/>
    <x v="50"/>
    <n v="28.32"/>
    <x v="1"/>
    <x v="1"/>
  </r>
  <r>
    <x v="2"/>
    <x v="14"/>
    <x v="499"/>
    <n v="3.23"/>
    <x v="799"/>
    <n v="6.61"/>
    <n v="1.53"/>
    <n v="8.14"/>
    <x v="852"/>
    <x v="802"/>
    <x v="50"/>
    <n v="63.999999996"/>
    <x v="2"/>
    <x v="1"/>
  </r>
  <r>
    <x v="2"/>
    <x v="16"/>
    <x v="0"/>
    <n v="0"/>
    <x v="0"/>
    <n v="0"/>
    <n v="0"/>
    <n v="0"/>
    <x v="0"/>
    <x v="0"/>
    <x v="50"/>
    <n v="0"/>
    <x v="4"/>
    <x v="0"/>
  </r>
  <r>
    <x v="2"/>
    <x v="17"/>
    <x v="11"/>
    <n v="2.0299999999999998"/>
    <x v="800"/>
    <n v="6.81"/>
    <n v="4.13"/>
    <n v="10.94"/>
    <x v="898"/>
    <x v="803"/>
    <x v="50"/>
    <n v="9"/>
    <x v="3"/>
    <x v="1"/>
  </r>
  <r>
    <x v="2"/>
    <x v="18"/>
    <x v="380"/>
    <n v="7"/>
    <x v="801"/>
    <n v="7.49"/>
    <n v="0.6"/>
    <n v="8.09"/>
    <x v="899"/>
    <x v="804"/>
    <x v="50"/>
    <n v="38.000000004"/>
    <x v="3"/>
    <x v="1"/>
  </r>
  <r>
    <x v="2"/>
    <x v="19"/>
    <x v="500"/>
    <n v="6.22"/>
    <x v="802"/>
    <n v="8.09"/>
    <n v="0.72"/>
    <n v="8.81"/>
    <x v="900"/>
    <x v="805"/>
    <x v="50"/>
    <n v="125.00000003999999"/>
    <x v="2"/>
    <x v="1"/>
  </r>
  <r>
    <x v="2"/>
    <x v="20"/>
    <x v="501"/>
    <n v="7.03"/>
    <x v="803"/>
    <n v="6.74"/>
    <n v="0.49"/>
    <n v="7.23"/>
    <x v="901"/>
    <x v="806"/>
    <x v="50"/>
    <n v="97.280000004000016"/>
    <x v="5"/>
    <x v="1"/>
  </r>
  <r>
    <x v="2"/>
    <x v="21"/>
    <x v="502"/>
    <n v="6.57"/>
    <x v="804"/>
    <n v="6.57"/>
    <n v="1.54"/>
    <n v="8.11"/>
    <x v="902"/>
    <x v="807"/>
    <x v="50"/>
    <n v="79.08"/>
    <x v="2"/>
    <x v="1"/>
  </r>
  <r>
    <x v="2"/>
    <x v="22"/>
    <x v="55"/>
    <n v="7.23"/>
    <x v="805"/>
    <n v="6.79"/>
    <n v="1.23"/>
    <n v="8.02"/>
    <x v="903"/>
    <x v="808"/>
    <x v="50"/>
    <n v="96"/>
    <x v="4"/>
    <x v="1"/>
  </r>
  <r>
    <x v="2"/>
    <x v="23"/>
    <x v="29"/>
    <n v="2.2799999999999998"/>
    <x v="806"/>
    <n v="9.41"/>
    <n v="1.54"/>
    <n v="10.95"/>
    <x v="904"/>
    <x v="809"/>
    <x v="50"/>
    <n v="24"/>
    <x v="3"/>
    <x v="1"/>
  </r>
  <r>
    <x v="2"/>
    <x v="24"/>
    <x v="503"/>
    <n v="2.95"/>
    <x v="807"/>
    <n v="7.79"/>
    <n v="0.24"/>
    <n v="8.0299999999999994"/>
    <x v="905"/>
    <x v="810"/>
    <x v="50"/>
    <n v="40.32"/>
    <x v="5"/>
    <x v="1"/>
  </r>
  <r>
    <x v="2"/>
    <x v="25"/>
    <x v="504"/>
    <n v="6.57"/>
    <x v="808"/>
    <n v="6.57"/>
    <n v="1.52"/>
    <n v="8.09"/>
    <x v="247"/>
    <x v="811"/>
    <x v="50"/>
    <n v="73.56"/>
    <x v="2"/>
    <x v="1"/>
  </r>
  <r>
    <x v="2"/>
    <x v="26"/>
    <x v="0"/>
    <n v="0"/>
    <x v="0"/>
    <n v="7.6"/>
    <n v="0.46"/>
    <n v="8.06"/>
    <x v="906"/>
    <x v="0"/>
    <x v="50"/>
    <n v="0"/>
    <x v="3"/>
    <x v="1"/>
  </r>
  <r>
    <x v="2"/>
    <x v="27"/>
    <x v="505"/>
    <n v="6.17"/>
    <x v="809"/>
    <n v="7.76"/>
    <n v="0.27"/>
    <n v="8.0299999999999994"/>
    <x v="279"/>
    <x v="812"/>
    <x v="50"/>
    <n v="93.800000003999997"/>
    <x v="5"/>
    <x v="1"/>
  </r>
  <r>
    <x v="2"/>
    <x v="29"/>
    <x v="506"/>
    <n v="5.8"/>
    <x v="810"/>
    <n v="7.9"/>
    <n v="0.51"/>
    <n v="8.41"/>
    <x v="187"/>
    <x v="813"/>
    <x v="50"/>
    <n v="64.44"/>
    <x v="5"/>
    <x v="1"/>
  </r>
  <r>
    <x v="2"/>
    <x v="30"/>
    <x v="0"/>
    <n v="0"/>
    <x v="0"/>
    <n v="0"/>
    <n v="0"/>
    <n v="0"/>
    <x v="0"/>
    <x v="0"/>
    <x v="50"/>
    <n v="0"/>
    <x v="5"/>
    <x v="0"/>
  </r>
  <r>
    <x v="2"/>
    <x v="31"/>
    <x v="507"/>
    <n v="3.96"/>
    <x v="811"/>
    <n v="5.83"/>
    <n v="2.2000000000000002"/>
    <n v="8.0299999999999994"/>
    <x v="907"/>
    <x v="814"/>
    <x v="50"/>
    <n v="73.520000004000011"/>
    <x v="2"/>
    <x v="1"/>
  </r>
  <r>
    <x v="2"/>
    <x v="32"/>
    <x v="24"/>
    <n v="1.88"/>
    <x v="812"/>
    <n v="8.19"/>
    <n v="2.74"/>
    <n v="10.93"/>
    <x v="908"/>
    <x v="173"/>
    <x v="50"/>
    <n v="30"/>
    <x v="3"/>
    <x v="1"/>
  </r>
  <r>
    <x v="2"/>
    <x v="34"/>
    <x v="508"/>
    <n v="4.05"/>
    <x v="813"/>
    <n v="5.21"/>
    <n v="2.79"/>
    <n v="8"/>
    <x v="909"/>
    <x v="815"/>
    <x v="50"/>
    <n v="43.280000004000001"/>
    <x v="4"/>
    <x v="1"/>
  </r>
  <r>
    <x v="2"/>
    <x v="36"/>
    <x v="186"/>
    <n v="5.01"/>
    <x v="814"/>
    <n v="8.85"/>
    <n v="1.68"/>
    <n v="10.53"/>
    <x v="910"/>
    <x v="816"/>
    <x v="50"/>
    <n v="45"/>
    <x v="4"/>
    <x v="1"/>
  </r>
  <r>
    <x v="2"/>
    <x v="37"/>
    <x v="0"/>
    <n v="0"/>
    <x v="0"/>
    <n v="8.98"/>
    <n v="1.93"/>
    <n v="10.91"/>
    <x v="911"/>
    <x v="0"/>
    <x v="50"/>
    <n v="0"/>
    <x v="4"/>
    <x v="1"/>
  </r>
  <r>
    <x v="2"/>
    <x v="40"/>
    <x v="364"/>
    <n v="1.88"/>
    <x v="674"/>
    <n v="7.51"/>
    <n v="0.47"/>
    <n v="7.98"/>
    <x v="912"/>
    <x v="817"/>
    <x v="50"/>
    <n v="9.9999999959999997"/>
    <x v="3"/>
    <x v="1"/>
  </r>
  <r>
    <x v="2"/>
    <x v="41"/>
    <x v="509"/>
    <n v="6.77"/>
    <x v="815"/>
    <n v="7.39"/>
    <n v="1.52"/>
    <n v="8.91"/>
    <x v="913"/>
    <x v="818"/>
    <x v="50"/>
    <n v="105.999999996"/>
    <x v="5"/>
    <x v="1"/>
  </r>
  <r>
    <x v="2"/>
    <x v="42"/>
    <x v="510"/>
    <n v="5.61"/>
    <x v="816"/>
    <n v="7.33"/>
    <n v="0.8"/>
    <n v="8.1300000000000008"/>
    <x v="914"/>
    <x v="819"/>
    <x v="50"/>
    <n v="107.55999999599999"/>
    <x v="2"/>
    <x v="1"/>
  </r>
  <r>
    <x v="2"/>
    <x v="44"/>
    <x v="285"/>
    <n v="5.65"/>
    <x v="817"/>
    <n v="6.71"/>
    <n v="1.54"/>
    <n v="8.25"/>
    <x v="915"/>
    <x v="820"/>
    <x v="50"/>
    <n v="53.000000004"/>
    <x v="3"/>
    <x v="1"/>
  </r>
  <r>
    <x v="2"/>
    <x v="46"/>
    <x v="0"/>
    <n v="0"/>
    <x v="0"/>
    <n v="8.0399999999999991"/>
    <n v="0.18"/>
    <n v="8.2200000000000006"/>
    <x v="916"/>
    <x v="0"/>
    <x v="50"/>
    <n v="0"/>
    <x v="4"/>
    <x v="1"/>
  </r>
  <r>
    <x v="2"/>
    <x v="47"/>
    <x v="511"/>
    <n v="7.53"/>
    <x v="818"/>
    <n v="9.9499999999999993"/>
    <n v="0.08"/>
    <n v="10.029999999999999"/>
    <x v="917"/>
    <x v="821"/>
    <x v="50"/>
    <n v="117.47999999999999"/>
    <x v="5"/>
    <x v="1"/>
  </r>
  <r>
    <x v="2"/>
    <x v="48"/>
    <x v="0"/>
    <n v="0"/>
    <x v="0"/>
    <n v="0"/>
    <n v="0"/>
    <n v="0"/>
    <x v="0"/>
    <x v="0"/>
    <x v="50"/>
    <n v="0"/>
    <x v="6"/>
    <x v="0"/>
  </r>
  <r>
    <x v="2"/>
    <x v="50"/>
    <x v="512"/>
    <n v="2.81"/>
    <x v="819"/>
    <n v="9.65"/>
    <n v="0.33"/>
    <n v="9.98"/>
    <x v="918"/>
    <x v="822"/>
    <x v="50"/>
    <n v="67.239999996000009"/>
    <x v="4"/>
    <x v="1"/>
  </r>
  <r>
    <x v="0"/>
    <x v="1"/>
    <x v="513"/>
    <n v="11.37"/>
    <x v="820"/>
    <n v="11.45"/>
    <n v="0.03"/>
    <n v="11.48"/>
    <x v="919"/>
    <x v="823"/>
    <x v="51"/>
    <n v="24.359999999999996"/>
    <x v="0"/>
    <x v="1"/>
  </r>
  <r>
    <x v="0"/>
    <x v="2"/>
    <x v="513"/>
    <n v="11.37"/>
    <x v="820"/>
    <n v="10.8"/>
    <n v="0.68"/>
    <n v="11.48"/>
    <x v="920"/>
    <x v="823"/>
    <x v="51"/>
    <n v="24.359999999999996"/>
    <x v="0"/>
    <x v="1"/>
  </r>
  <r>
    <x v="0"/>
    <x v="4"/>
    <x v="347"/>
    <n v="3.97"/>
    <x v="821"/>
    <n v="11.47"/>
    <n v="0.03"/>
    <n v="11.5"/>
    <x v="919"/>
    <x v="824"/>
    <x v="51"/>
    <n v="25.56"/>
    <x v="0"/>
    <x v="1"/>
  </r>
  <r>
    <x v="0"/>
    <x v="6"/>
    <x v="514"/>
    <n v="4.97"/>
    <x v="822"/>
    <n v="11.04"/>
    <n v="0.04"/>
    <n v="11.08"/>
    <x v="921"/>
    <x v="528"/>
    <x v="51"/>
    <n v="36.560000004000003"/>
    <x v="0"/>
    <x v="1"/>
  </r>
  <r>
    <x v="1"/>
    <x v="12"/>
    <x v="63"/>
    <n v="1.33"/>
    <x v="823"/>
    <n v="2.42"/>
    <n v="5.68"/>
    <n v="8.1"/>
    <x v="922"/>
    <x v="825"/>
    <x v="51"/>
    <n v="23.64"/>
    <x v="1"/>
    <x v="1"/>
  </r>
  <r>
    <x v="1"/>
    <x v="13"/>
    <x v="0"/>
    <n v="0"/>
    <x v="0"/>
    <n v="5.28"/>
    <n v="2.81"/>
    <n v="8.09"/>
    <x v="175"/>
    <x v="0"/>
    <x v="51"/>
    <n v="0"/>
    <x v="1"/>
    <x v="1"/>
  </r>
  <r>
    <x v="2"/>
    <x v="14"/>
    <x v="515"/>
    <n v="6.65"/>
    <x v="824"/>
    <n v="6.71"/>
    <n v="3.51"/>
    <n v="10.220000000000001"/>
    <x v="923"/>
    <x v="826"/>
    <x v="51"/>
    <n v="142.95999996"/>
    <x v="2"/>
    <x v="1"/>
  </r>
  <r>
    <x v="2"/>
    <x v="15"/>
    <x v="53"/>
    <n v="6.88"/>
    <x v="825"/>
    <n v="8.26"/>
    <n v="0.73"/>
    <n v="8.99"/>
    <x v="924"/>
    <x v="827"/>
    <x v="51"/>
    <n v="27"/>
    <x v="3"/>
    <x v="1"/>
  </r>
  <r>
    <x v="2"/>
    <x v="16"/>
    <x v="0"/>
    <n v="0"/>
    <x v="0"/>
    <n v="7.41"/>
    <n v="0.49"/>
    <n v="7.9"/>
    <x v="925"/>
    <x v="0"/>
    <x v="51"/>
    <n v="0"/>
    <x v="4"/>
    <x v="1"/>
  </r>
  <r>
    <x v="2"/>
    <x v="17"/>
    <x v="516"/>
    <n v="4.1399999999999997"/>
    <x v="826"/>
    <n v="1.27"/>
    <n v="9.18"/>
    <n v="10.45"/>
    <x v="926"/>
    <x v="828"/>
    <x v="51"/>
    <n v="37.200000000000003"/>
    <x v="3"/>
    <x v="1"/>
  </r>
  <r>
    <x v="2"/>
    <x v="18"/>
    <x v="4"/>
    <n v="0.4"/>
    <x v="827"/>
    <n v="5.86"/>
    <n v="2.71"/>
    <n v="8.57"/>
    <x v="410"/>
    <x v="829"/>
    <x v="51"/>
    <n v="12"/>
    <x v="3"/>
    <x v="1"/>
  </r>
  <r>
    <x v="2"/>
    <x v="20"/>
    <x v="517"/>
    <n v="2.85"/>
    <x v="828"/>
    <n v="7.61"/>
    <n v="0.81"/>
    <n v="8.42"/>
    <x v="927"/>
    <x v="830"/>
    <x v="51"/>
    <n v="66.039999995999992"/>
    <x v="5"/>
    <x v="1"/>
  </r>
  <r>
    <x v="2"/>
    <x v="21"/>
    <x v="81"/>
    <n v="5.15"/>
    <x v="829"/>
    <n v="6.15"/>
    <n v="2.08"/>
    <n v="8.23"/>
    <x v="928"/>
    <x v="831"/>
    <x v="51"/>
    <n v="94.679999999999993"/>
    <x v="2"/>
    <x v="1"/>
  </r>
  <r>
    <x v="2"/>
    <x v="22"/>
    <x v="260"/>
    <n v="6.83"/>
    <x v="830"/>
    <n v="8.66"/>
    <n v="1.51"/>
    <n v="10.17"/>
    <x v="929"/>
    <x v="832"/>
    <x v="51"/>
    <n v="48"/>
    <x v="4"/>
    <x v="1"/>
  </r>
  <r>
    <x v="2"/>
    <x v="23"/>
    <x v="4"/>
    <n v="4.62"/>
    <x v="831"/>
    <n v="0"/>
    <n v="9.25"/>
    <n v="9.25"/>
    <x v="0"/>
    <x v="833"/>
    <x v="51"/>
    <n v="12"/>
    <x v="3"/>
    <x v="1"/>
  </r>
  <r>
    <x v="2"/>
    <x v="24"/>
    <x v="141"/>
    <n v="3.37"/>
    <x v="832"/>
    <n v="7.8"/>
    <n v="0.46"/>
    <n v="8.26"/>
    <x v="930"/>
    <x v="834"/>
    <x v="51"/>
    <n v="87.36"/>
    <x v="5"/>
    <x v="1"/>
  </r>
  <r>
    <x v="2"/>
    <x v="25"/>
    <x v="518"/>
    <n v="5.47"/>
    <x v="833"/>
    <n v="6.17"/>
    <n v="2.0299999999999998"/>
    <n v="8.1999999999999993"/>
    <x v="931"/>
    <x v="835"/>
    <x v="51"/>
    <n v="115.35999999599998"/>
    <x v="2"/>
    <x v="1"/>
  </r>
  <r>
    <x v="2"/>
    <x v="27"/>
    <x v="519"/>
    <n v="4.68"/>
    <x v="834"/>
    <n v="8.01"/>
    <n v="0.23"/>
    <n v="8.24"/>
    <x v="932"/>
    <x v="836"/>
    <x v="51"/>
    <n v="95.88000000000001"/>
    <x v="5"/>
    <x v="1"/>
  </r>
  <r>
    <x v="2"/>
    <x v="29"/>
    <x v="520"/>
    <n v="5.33"/>
    <x v="835"/>
    <n v="9.1"/>
    <n v="0.85"/>
    <n v="9.9499999999999993"/>
    <x v="933"/>
    <x v="837"/>
    <x v="51"/>
    <n v="110.04"/>
    <x v="5"/>
    <x v="1"/>
  </r>
  <r>
    <x v="2"/>
    <x v="30"/>
    <x v="0"/>
    <n v="0"/>
    <x v="0"/>
    <n v="0"/>
    <n v="0"/>
    <n v="0"/>
    <x v="0"/>
    <x v="0"/>
    <x v="51"/>
    <n v="0"/>
    <x v="5"/>
    <x v="0"/>
  </r>
  <r>
    <x v="2"/>
    <x v="31"/>
    <x v="320"/>
    <n v="7.5"/>
    <x v="836"/>
    <n v="8.25"/>
    <n v="0.02"/>
    <n v="8.27"/>
    <x v="934"/>
    <x v="838"/>
    <x v="51"/>
    <n v="101.00000000399999"/>
    <x v="2"/>
    <x v="1"/>
  </r>
  <r>
    <x v="2"/>
    <x v="33"/>
    <x v="521"/>
    <n v="1.9"/>
    <x v="837"/>
    <n v="9.61"/>
    <n v="1.89"/>
    <n v="11.5"/>
    <x v="935"/>
    <x v="839"/>
    <x v="51"/>
    <n v="17.120000004000001"/>
    <x v="3"/>
    <x v="1"/>
  </r>
  <r>
    <x v="2"/>
    <x v="34"/>
    <x v="522"/>
    <n v="3.98"/>
    <x v="838"/>
    <n v="8.11"/>
    <n v="1.6"/>
    <n v="9.7100000000000009"/>
    <x v="936"/>
    <x v="840"/>
    <x v="51"/>
    <n v="54.48"/>
    <x v="4"/>
    <x v="1"/>
  </r>
  <r>
    <x v="2"/>
    <x v="36"/>
    <x v="301"/>
    <n v="4.75"/>
    <x v="839"/>
    <n v="8.44"/>
    <n v="1.78"/>
    <n v="10.220000000000001"/>
    <x v="237"/>
    <x v="841"/>
    <x v="51"/>
    <n v="29.000000003999997"/>
    <x v="4"/>
    <x v="1"/>
  </r>
  <r>
    <x v="2"/>
    <x v="38"/>
    <x v="523"/>
    <n v="7.93"/>
    <x v="840"/>
    <n v="9.5500000000000007"/>
    <n v="1.17"/>
    <n v="10.72"/>
    <x v="937"/>
    <x v="842"/>
    <x v="51"/>
    <n v="255.99999995999997"/>
    <x v="2"/>
    <x v="1"/>
  </r>
  <r>
    <x v="2"/>
    <x v="39"/>
    <x v="524"/>
    <n v="5.8"/>
    <x v="841"/>
    <n v="7.85"/>
    <n v="0.82"/>
    <n v="8.67"/>
    <x v="938"/>
    <x v="843"/>
    <x v="51"/>
    <n v="108.999999996"/>
    <x v="2"/>
    <x v="1"/>
  </r>
  <r>
    <x v="2"/>
    <x v="40"/>
    <x v="525"/>
    <n v="7.61"/>
    <x v="842"/>
    <n v="7.33"/>
    <n v="2.2799999999999998"/>
    <n v="9.61"/>
    <x v="939"/>
    <x v="844"/>
    <x v="51"/>
    <n v="58.839999995999996"/>
    <x v="3"/>
    <x v="1"/>
  </r>
  <r>
    <x v="2"/>
    <x v="41"/>
    <x v="526"/>
    <n v="6.91"/>
    <x v="843"/>
    <n v="8.31"/>
    <n v="0.32"/>
    <n v="8.6300000000000008"/>
    <x v="940"/>
    <x v="845"/>
    <x v="51"/>
    <n v="147"/>
    <x v="5"/>
    <x v="1"/>
  </r>
  <r>
    <x v="2"/>
    <x v="42"/>
    <x v="310"/>
    <n v="6.61"/>
    <x v="844"/>
    <n v="8.34"/>
    <n v="0.54"/>
    <n v="8.8800000000000008"/>
    <x v="941"/>
    <x v="846"/>
    <x v="51"/>
    <n v="117.999999996"/>
    <x v="2"/>
    <x v="1"/>
  </r>
  <r>
    <x v="2"/>
    <x v="43"/>
    <x v="0"/>
    <n v="0"/>
    <x v="0"/>
    <n v="6.93"/>
    <n v="1.17"/>
    <n v="8.1"/>
    <x v="942"/>
    <x v="0"/>
    <x v="51"/>
    <n v="0"/>
    <x v="3"/>
    <x v="1"/>
  </r>
  <r>
    <x v="2"/>
    <x v="44"/>
    <x v="289"/>
    <n v="3.14"/>
    <x v="845"/>
    <n v="6.43"/>
    <n v="1.68"/>
    <n v="8.11"/>
    <x v="420"/>
    <x v="847"/>
    <x v="51"/>
    <n v="36.999999996"/>
    <x v="3"/>
    <x v="1"/>
  </r>
  <r>
    <x v="2"/>
    <x v="45"/>
    <x v="317"/>
    <n v="3.23"/>
    <x v="846"/>
    <n v="6.34"/>
    <n v="2.04"/>
    <n v="8.3800000000000008"/>
    <x v="943"/>
    <x v="848"/>
    <x v="51"/>
    <n v="15.999999996"/>
    <x v="4"/>
    <x v="1"/>
  </r>
  <r>
    <x v="2"/>
    <x v="46"/>
    <x v="486"/>
    <n v="3.36"/>
    <x v="469"/>
    <n v="7.32"/>
    <n v="0.51"/>
    <n v="7.83"/>
    <x v="944"/>
    <x v="687"/>
    <x v="51"/>
    <n v="45.999999996"/>
    <x v="4"/>
    <x v="1"/>
  </r>
  <r>
    <x v="2"/>
    <x v="48"/>
    <x v="0"/>
    <n v="0"/>
    <x v="0"/>
    <n v="0"/>
    <n v="0"/>
    <n v="0"/>
    <x v="0"/>
    <x v="0"/>
    <x v="51"/>
    <n v="0"/>
    <x v="6"/>
    <x v="0"/>
  </r>
  <r>
    <x v="2"/>
    <x v="50"/>
    <x v="418"/>
    <n v="9.32"/>
    <x v="847"/>
    <n v="8.9600000000000009"/>
    <n v="1.2"/>
    <n v="10.16"/>
    <x v="945"/>
    <x v="849"/>
    <x v="51"/>
    <n v="80.000000004"/>
    <x v="4"/>
    <x v="1"/>
  </r>
  <r>
    <x v="0"/>
    <x v="1"/>
    <x v="0"/>
    <n v="0"/>
    <x v="0"/>
    <n v="10.3"/>
    <n v="0.22"/>
    <n v="10.52"/>
    <x v="946"/>
    <x v="0"/>
    <x v="52"/>
    <n v="0"/>
    <x v="0"/>
    <x v="1"/>
  </r>
  <r>
    <x v="0"/>
    <x v="2"/>
    <x v="0"/>
    <n v="0"/>
    <x v="0"/>
    <n v="10.3"/>
    <n v="0.22"/>
    <n v="10.52"/>
    <x v="946"/>
    <x v="0"/>
    <x v="52"/>
    <n v="0"/>
    <x v="0"/>
    <x v="1"/>
  </r>
  <r>
    <x v="0"/>
    <x v="3"/>
    <x v="0"/>
    <n v="0"/>
    <x v="0"/>
    <n v="7.23"/>
    <n v="0.92"/>
    <n v="8.15"/>
    <x v="947"/>
    <x v="0"/>
    <x v="52"/>
    <n v="0"/>
    <x v="0"/>
    <x v="1"/>
  </r>
  <r>
    <x v="0"/>
    <x v="4"/>
    <x v="0"/>
    <n v="0"/>
    <x v="0"/>
    <n v="9.68"/>
    <n v="0.33"/>
    <n v="10.01"/>
    <x v="100"/>
    <x v="0"/>
    <x v="52"/>
    <n v="0"/>
    <x v="0"/>
    <x v="1"/>
  </r>
  <r>
    <x v="0"/>
    <x v="5"/>
    <x v="0"/>
    <n v="0"/>
    <x v="0"/>
    <n v="10.3"/>
    <n v="0.22"/>
    <n v="10.52"/>
    <x v="946"/>
    <x v="0"/>
    <x v="52"/>
    <n v="0"/>
    <x v="0"/>
    <x v="1"/>
  </r>
  <r>
    <x v="0"/>
    <x v="6"/>
    <x v="0"/>
    <n v="0"/>
    <x v="0"/>
    <n v="10.210000000000001"/>
    <n v="0.22"/>
    <n v="10.43"/>
    <x v="440"/>
    <x v="0"/>
    <x v="52"/>
    <n v="0"/>
    <x v="0"/>
    <x v="1"/>
  </r>
  <r>
    <x v="0"/>
    <x v="7"/>
    <x v="0"/>
    <n v="0"/>
    <x v="0"/>
    <n v="7.21"/>
    <n v="0.94"/>
    <n v="8.15"/>
    <x v="948"/>
    <x v="0"/>
    <x v="52"/>
    <n v="0"/>
    <x v="0"/>
    <x v="1"/>
  </r>
  <r>
    <x v="0"/>
    <x v="8"/>
    <x v="527"/>
    <n v="4.1900000000000004"/>
    <x v="848"/>
    <n v="7.25"/>
    <n v="0.88"/>
    <n v="8.1300000000000008"/>
    <x v="506"/>
    <x v="850"/>
    <x v="52"/>
    <n v="54.999999996"/>
    <x v="0"/>
    <x v="1"/>
  </r>
  <r>
    <x v="1"/>
    <x v="9"/>
    <x v="0"/>
    <n v="0"/>
    <x v="0"/>
    <n v="6.42"/>
    <n v="1.67"/>
    <n v="8.09"/>
    <x v="812"/>
    <x v="0"/>
    <x v="52"/>
    <n v="0"/>
    <x v="1"/>
    <x v="1"/>
  </r>
  <r>
    <x v="1"/>
    <x v="10"/>
    <x v="402"/>
    <n v="2.35"/>
    <x v="849"/>
    <n v="6.67"/>
    <n v="3.46"/>
    <n v="10.130000000000001"/>
    <x v="949"/>
    <x v="851"/>
    <x v="52"/>
    <n v="81.999999996"/>
    <x v="1"/>
    <x v="1"/>
  </r>
  <r>
    <x v="1"/>
    <x v="11"/>
    <x v="0"/>
    <n v="0"/>
    <x v="0"/>
    <n v="7.05"/>
    <n v="1.8"/>
    <n v="8.85"/>
    <x v="950"/>
    <x v="0"/>
    <x v="52"/>
    <n v="0"/>
    <x v="1"/>
    <x v="1"/>
  </r>
  <r>
    <x v="1"/>
    <x v="12"/>
    <x v="285"/>
    <n v="3.7"/>
    <x v="850"/>
    <n v="3.76"/>
    <n v="5.86"/>
    <n v="9.6199999999999992"/>
    <x v="744"/>
    <x v="852"/>
    <x v="52"/>
    <n v="53.000000004"/>
    <x v="1"/>
    <x v="1"/>
  </r>
  <r>
    <x v="1"/>
    <x v="13"/>
    <x v="0"/>
    <n v="0"/>
    <x v="0"/>
    <n v="3.75"/>
    <n v="5.88"/>
    <n v="9.6300000000000008"/>
    <x v="951"/>
    <x v="0"/>
    <x v="52"/>
    <n v="0"/>
    <x v="1"/>
    <x v="1"/>
  </r>
  <r>
    <x v="2"/>
    <x v="15"/>
    <x v="244"/>
    <n v="8.07"/>
    <x v="851"/>
    <n v="8.4499999999999993"/>
    <n v="1.1200000000000001"/>
    <n v="9.57"/>
    <x v="952"/>
    <x v="853"/>
    <x v="52"/>
    <n v="87"/>
    <x v="3"/>
    <x v="1"/>
  </r>
  <r>
    <x v="2"/>
    <x v="16"/>
    <x v="447"/>
    <n v="3.79"/>
    <x v="852"/>
    <n v="7.49"/>
    <n v="0.28000000000000003"/>
    <n v="7.77"/>
    <x v="953"/>
    <x v="854"/>
    <x v="52"/>
    <n v="37.440000000000005"/>
    <x v="4"/>
    <x v="1"/>
  </r>
  <r>
    <x v="2"/>
    <x v="18"/>
    <x v="528"/>
    <n v="7.71"/>
    <x v="853"/>
    <n v="8.66"/>
    <n v="2.81"/>
    <n v="11.47"/>
    <x v="713"/>
    <x v="855"/>
    <x v="52"/>
    <n v="78.999999996"/>
    <x v="3"/>
    <x v="1"/>
  </r>
  <r>
    <x v="2"/>
    <x v="19"/>
    <x v="529"/>
    <n v="7.59"/>
    <x v="854"/>
    <n v="7.8"/>
    <n v="0.13"/>
    <n v="7.93"/>
    <x v="954"/>
    <x v="856"/>
    <x v="52"/>
    <n v="138.63999996000001"/>
    <x v="2"/>
    <x v="1"/>
  </r>
  <r>
    <x v="2"/>
    <x v="20"/>
    <x v="530"/>
    <n v="5.6"/>
    <x v="855"/>
    <n v="10.38"/>
    <n v="0.44"/>
    <n v="10.82"/>
    <x v="955"/>
    <x v="857"/>
    <x v="52"/>
    <n v="60.759999995999998"/>
    <x v="5"/>
    <x v="1"/>
  </r>
  <r>
    <x v="2"/>
    <x v="21"/>
    <x v="531"/>
    <n v="8.2899999999999991"/>
    <x v="856"/>
    <n v="8.73"/>
    <n v="0.46"/>
    <n v="9.19"/>
    <x v="956"/>
    <x v="858"/>
    <x v="52"/>
    <n v="134.55999995999997"/>
    <x v="2"/>
    <x v="1"/>
  </r>
  <r>
    <x v="2"/>
    <x v="23"/>
    <x v="532"/>
    <n v="4.8899999999999997"/>
    <x v="857"/>
    <n v="1.8"/>
    <n v="9.2100000000000009"/>
    <n v="11.01"/>
    <x v="957"/>
    <x v="859"/>
    <x v="52"/>
    <n v="32.000000004"/>
    <x v="3"/>
    <x v="1"/>
  </r>
  <r>
    <x v="2"/>
    <x v="25"/>
    <x v="533"/>
    <n v="6.97"/>
    <x v="858"/>
    <n v="7.98"/>
    <n v="0.5"/>
    <n v="8.48"/>
    <x v="958"/>
    <x v="860"/>
    <x v="52"/>
    <n v="86.52000000000001"/>
    <x v="2"/>
    <x v="1"/>
  </r>
  <r>
    <x v="2"/>
    <x v="26"/>
    <x v="0"/>
    <n v="0"/>
    <x v="0"/>
    <n v="9.25"/>
    <n v="1.73"/>
    <n v="10.98"/>
    <x v="959"/>
    <x v="0"/>
    <x v="52"/>
    <n v="0"/>
    <x v="3"/>
    <x v="1"/>
  </r>
  <r>
    <x v="2"/>
    <x v="29"/>
    <x v="534"/>
    <n v="7.33"/>
    <x v="859"/>
    <n v="10.66"/>
    <n v="0.14000000000000001"/>
    <n v="10.8"/>
    <x v="960"/>
    <x v="861"/>
    <x v="52"/>
    <n v="122.28"/>
    <x v="5"/>
    <x v="1"/>
  </r>
  <r>
    <x v="2"/>
    <x v="30"/>
    <x v="0"/>
    <n v="0"/>
    <x v="0"/>
    <n v="0"/>
    <n v="0"/>
    <n v="0"/>
    <x v="0"/>
    <x v="0"/>
    <x v="52"/>
    <n v="0"/>
    <x v="5"/>
    <x v="0"/>
  </r>
  <r>
    <x v="2"/>
    <x v="31"/>
    <x v="398"/>
    <n v="6.27"/>
    <x v="860"/>
    <n v="8.09"/>
    <n v="0.18"/>
    <n v="8.27"/>
    <x v="961"/>
    <x v="862"/>
    <x v="52"/>
    <n v="93.999999996"/>
    <x v="2"/>
    <x v="1"/>
  </r>
  <r>
    <x v="2"/>
    <x v="34"/>
    <x v="258"/>
    <n v="3.4"/>
    <x v="861"/>
    <n v="7.53"/>
    <n v="2.2999999999999998"/>
    <n v="9.83"/>
    <x v="962"/>
    <x v="863"/>
    <x v="52"/>
    <n v="33"/>
    <x v="4"/>
    <x v="1"/>
  </r>
  <r>
    <x v="2"/>
    <x v="35"/>
    <x v="0"/>
    <n v="0"/>
    <x v="0"/>
    <n v="0"/>
    <n v="0"/>
    <n v="0"/>
    <x v="0"/>
    <x v="0"/>
    <x v="52"/>
    <n v="0"/>
    <x v="2"/>
    <x v="0"/>
  </r>
  <r>
    <x v="2"/>
    <x v="36"/>
    <x v="289"/>
    <n v="3.92"/>
    <x v="862"/>
    <n v="8.1199999999999992"/>
    <n v="1.93"/>
    <n v="10.050000000000001"/>
    <x v="963"/>
    <x v="864"/>
    <x v="52"/>
    <n v="36.999999996"/>
    <x v="4"/>
    <x v="1"/>
  </r>
  <r>
    <x v="2"/>
    <x v="37"/>
    <x v="92"/>
    <n v="5.54"/>
    <x v="863"/>
    <n v="7.37"/>
    <n v="0.99"/>
    <n v="8.36"/>
    <x v="687"/>
    <x v="489"/>
    <x v="52"/>
    <n v="69"/>
    <x v="4"/>
    <x v="1"/>
  </r>
  <r>
    <x v="2"/>
    <x v="38"/>
    <x v="535"/>
    <n v="4.84"/>
    <x v="864"/>
    <n v="9.1"/>
    <n v="0.26"/>
    <n v="9.36"/>
    <x v="964"/>
    <x v="865"/>
    <x v="52"/>
    <n v="129"/>
    <x v="2"/>
    <x v="1"/>
  </r>
  <r>
    <x v="2"/>
    <x v="40"/>
    <x v="291"/>
    <n v="6.72"/>
    <x v="865"/>
    <n v="6.65"/>
    <n v="2.36"/>
    <n v="9.01"/>
    <x v="965"/>
    <x v="866"/>
    <x v="52"/>
    <n v="90.999999996"/>
    <x v="3"/>
    <x v="1"/>
  </r>
  <r>
    <x v="2"/>
    <x v="43"/>
    <x v="486"/>
    <n v="1.68"/>
    <x v="866"/>
    <n v="6.28"/>
    <n v="2.83"/>
    <n v="9.11"/>
    <x v="966"/>
    <x v="867"/>
    <x v="52"/>
    <n v="45.999999996"/>
    <x v="3"/>
    <x v="1"/>
  </r>
  <r>
    <x v="2"/>
    <x v="45"/>
    <x v="4"/>
    <n v="1.82"/>
    <x v="867"/>
    <n v="7.69"/>
    <n v="0.69"/>
    <n v="8.3800000000000008"/>
    <x v="967"/>
    <x v="868"/>
    <x v="52"/>
    <n v="12"/>
    <x v="4"/>
    <x v="1"/>
  </r>
  <r>
    <x v="2"/>
    <x v="46"/>
    <x v="447"/>
    <n v="3.79"/>
    <x v="852"/>
    <n v="7.51"/>
    <n v="0.28000000000000003"/>
    <n v="7.79"/>
    <x v="968"/>
    <x v="869"/>
    <x v="52"/>
    <n v="37.440000000000005"/>
    <x v="4"/>
    <x v="1"/>
  </r>
  <r>
    <x v="2"/>
    <x v="48"/>
    <x v="0"/>
    <n v="0"/>
    <x v="0"/>
    <n v="0"/>
    <n v="0"/>
    <n v="0"/>
    <x v="0"/>
    <x v="0"/>
    <x v="52"/>
    <n v="0"/>
    <x v="6"/>
    <x v="0"/>
  </r>
  <r>
    <x v="0"/>
    <x v="0"/>
    <x v="0"/>
    <n v="0"/>
    <x v="0"/>
    <n v="6.6"/>
    <n v="1.44"/>
    <n v="8.0399999999999991"/>
    <x v="969"/>
    <x v="0"/>
    <x v="53"/>
    <n v="0"/>
    <x v="0"/>
    <x v="1"/>
  </r>
  <r>
    <x v="0"/>
    <x v="3"/>
    <x v="0"/>
    <n v="0"/>
    <x v="0"/>
    <n v="6.65"/>
    <n v="1.41"/>
    <n v="8.06"/>
    <x v="970"/>
    <x v="0"/>
    <x v="53"/>
    <n v="0"/>
    <x v="0"/>
    <x v="1"/>
  </r>
  <r>
    <x v="0"/>
    <x v="4"/>
    <x v="0"/>
    <n v="0"/>
    <x v="0"/>
    <n v="7.97"/>
    <n v="0.06"/>
    <n v="8.0299999999999994"/>
    <x v="971"/>
    <x v="0"/>
    <x v="53"/>
    <n v="0"/>
    <x v="0"/>
    <x v="1"/>
  </r>
  <r>
    <x v="0"/>
    <x v="6"/>
    <x v="449"/>
    <n v="5.8"/>
    <x v="868"/>
    <n v="7.97"/>
    <n v="0.06"/>
    <n v="8.0299999999999994"/>
    <x v="971"/>
    <x v="870"/>
    <x v="53"/>
    <n v="86.000000004"/>
    <x v="0"/>
    <x v="1"/>
  </r>
  <r>
    <x v="0"/>
    <x v="7"/>
    <x v="0"/>
    <n v="0"/>
    <x v="0"/>
    <n v="6.67"/>
    <n v="1.39"/>
    <n v="8.06"/>
    <x v="582"/>
    <x v="0"/>
    <x v="53"/>
    <n v="0"/>
    <x v="0"/>
    <x v="1"/>
  </r>
  <r>
    <x v="0"/>
    <x v="8"/>
    <x v="422"/>
    <n v="7.7"/>
    <x v="869"/>
    <n v="6.64"/>
    <n v="1.45"/>
    <n v="8.09"/>
    <x v="972"/>
    <x v="871"/>
    <x v="53"/>
    <n v="69.999999996"/>
    <x v="0"/>
    <x v="1"/>
  </r>
  <r>
    <x v="1"/>
    <x v="10"/>
    <x v="260"/>
    <n v="0.9"/>
    <x v="870"/>
    <n v="6.75"/>
    <n v="1.34"/>
    <n v="8.09"/>
    <x v="973"/>
    <x v="675"/>
    <x v="53"/>
    <n v="48"/>
    <x v="1"/>
    <x v="1"/>
  </r>
  <r>
    <x v="1"/>
    <x v="11"/>
    <x v="0"/>
    <n v="0"/>
    <x v="0"/>
    <n v="3.66"/>
    <n v="4.43"/>
    <n v="8.09"/>
    <x v="974"/>
    <x v="0"/>
    <x v="53"/>
    <n v="0"/>
    <x v="1"/>
    <x v="1"/>
  </r>
  <r>
    <x v="1"/>
    <x v="13"/>
    <x v="536"/>
    <n v="4.1500000000000004"/>
    <x v="871"/>
    <n v="6.55"/>
    <n v="1.56"/>
    <n v="8.11"/>
    <x v="975"/>
    <x v="872"/>
    <x v="53"/>
    <n v="28.8"/>
    <x v="1"/>
    <x v="1"/>
  </r>
  <r>
    <x v="2"/>
    <x v="14"/>
    <x v="537"/>
    <n v="6.21"/>
    <x v="872"/>
    <n v="7.58"/>
    <n v="0.39"/>
    <n v="7.97"/>
    <x v="976"/>
    <x v="873"/>
    <x v="53"/>
    <n v="96.759999995999991"/>
    <x v="2"/>
    <x v="1"/>
  </r>
  <r>
    <x v="2"/>
    <x v="15"/>
    <x v="181"/>
    <n v="1.95"/>
    <x v="873"/>
    <n v="7.22"/>
    <n v="1.34"/>
    <n v="8.56"/>
    <x v="838"/>
    <x v="874"/>
    <x v="53"/>
    <n v="15"/>
    <x v="3"/>
    <x v="1"/>
  </r>
  <r>
    <x v="2"/>
    <x v="16"/>
    <x v="45"/>
    <n v="0.4"/>
    <x v="874"/>
    <n v="7.61"/>
    <n v="0.74"/>
    <n v="8.35"/>
    <x v="977"/>
    <x v="875"/>
    <x v="53"/>
    <n v="6"/>
    <x v="4"/>
    <x v="1"/>
  </r>
  <r>
    <x v="2"/>
    <x v="17"/>
    <x v="187"/>
    <n v="7.83"/>
    <x v="875"/>
    <n v="5.78"/>
    <n v="4.34"/>
    <n v="10.119999999999999"/>
    <x v="978"/>
    <x v="876"/>
    <x v="53"/>
    <n v="16.8"/>
    <x v="3"/>
    <x v="1"/>
  </r>
  <r>
    <x v="2"/>
    <x v="18"/>
    <x v="305"/>
    <n v="3.6"/>
    <x v="876"/>
    <n v="5.85"/>
    <n v="2.2599999999999998"/>
    <n v="8.11"/>
    <x v="851"/>
    <x v="877"/>
    <x v="53"/>
    <n v="23.000000004"/>
    <x v="3"/>
    <x v="1"/>
  </r>
  <r>
    <x v="2"/>
    <x v="19"/>
    <x v="538"/>
    <n v="5.44"/>
    <x v="877"/>
    <n v="7.44"/>
    <n v="0.55000000000000004"/>
    <n v="7.99"/>
    <x v="979"/>
    <x v="878"/>
    <x v="53"/>
    <n v="89.919999996000001"/>
    <x v="2"/>
    <x v="1"/>
  </r>
  <r>
    <x v="2"/>
    <x v="20"/>
    <x v="354"/>
    <n v="6.22"/>
    <x v="878"/>
    <n v="6.1"/>
    <n v="3.69"/>
    <n v="9.7899999999999991"/>
    <x v="980"/>
    <x v="879"/>
    <x v="53"/>
    <n v="118.92"/>
    <x v="5"/>
    <x v="1"/>
  </r>
  <r>
    <x v="2"/>
    <x v="23"/>
    <x v="0"/>
    <n v="0"/>
    <x v="0"/>
    <n v="1.38"/>
    <n v="8.0399999999999991"/>
    <n v="9.42"/>
    <x v="981"/>
    <x v="0"/>
    <x v="53"/>
    <n v="0"/>
    <x v="3"/>
    <x v="1"/>
  </r>
  <r>
    <x v="2"/>
    <x v="25"/>
    <x v="539"/>
    <n v="4"/>
    <x v="879"/>
    <n v="6.19"/>
    <n v="3.17"/>
    <n v="9.36"/>
    <x v="982"/>
    <x v="880"/>
    <x v="53"/>
    <n v="89.52000000000001"/>
    <x v="2"/>
    <x v="1"/>
  </r>
  <r>
    <x v="2"/>
    <x v="29"/>
    <x v="540"/>
    <n v="8.01"/>
    <x v="880"/>
    <n v="5.86"/>
    <n v="2.1800000000000002"/>
    <n v="8.0399999999999991"/>
    <x v="983"/>
    <x v="881"/>
    <x v="53"/>
    <n v="170.36000003999999"/>
    <x v="5"/>
    <x v="1"/>
  </r>
  <r>
    <x v="2"/>
    <x v="30"/>
    <x v="0"/>
    <n v="0"/>
    <x v="0"/>
    <n v="0"/>
    <n v="0"/>
    <n v="0"/>
    <x v="0"/>
    <x v="0"/>
    <x v="53"/>
    <n v="0"/>
    <x v="5"/>
    <x v="0"/>
  </r>
  <r>
    <x v="2"/>
    <x v="32"/>
    <x v="541"/>
    <n v="5.26"/>
    <x v="881"/>
    <n v="6.09"/>
    <n v="4.0199999999999996"/>
    <n v="10.11"/>
    <x v="984"/>
    <x v="882"/>
    <x v="53"/>
    <n v="16.2"/>
    <x v="3"/>
    <x v="1"/>
  </r>
  <r>
    <x v="2"/>
    <x v="33"/>
    <x v="189"/>
    <n v="4.5599999999999996"/>
    <x v="882"/>
    <n v="8.19"/>
    <n v="0.92"/>
    <n v="9.11"/>
    <x v="894"/>
    <x v="883"/>
    <x v="53"/>
    <n v="37.559999999999995"/>
    <x v="3"/>
    <x v="1"/>
  </r>
  <r>
    <x v="2"/>
    <x v="34"/>
    <x v="260"/>
    <n v="4.22"/>
    <x v="883"/>
    <n v="6.22"/>
    <n v="1.78"/>
    <n v="8"/>
    <x v="985"/>
    <x v="248"/>
    <x v="53"/>
    <n v="48"/>
    <x v="4"/>
    <x v="1"/>
  </r>
  <r>
    <x v="2"/>
    <x v="35"/>
    <x v="542"/>
    <n v="5.53"/>
    <x v="884"/>
    <n v="9.61"/>
    <n v="0.47"/>
    <n v="10.08"/>
    <x v="986"/>
    <x v="884"/>
    <x v="53"/>
    <n v="188.00000003999997"/>
    <x v="2"/>
    <x v="1"/>
  </r>
  <r>
    <x v="2"/>
    <x v="42"/>
    <x v="231"/>
    <n v="5.18"/>
    <x v="885"/>
    <n v="6.78"/>
    <n v="1.1399999999999999"/>
    <n v="7.92"/>
    <x v="987"/>
    <x v="885"/>
    <x v="53"/>
    <n v="93"/>
    <x v="2"/>
    <x v="1"/>
  </r>
  <r>
    <x v="2"/>
    <x v="43"/>
    <x v="0"/>
    <n v="0"/>
    <x v="0"/>
    <n v="5.75"/>
    <n v="2.35"/>
    <n v="8.1"/>
    <x v="988"/>
    <x v="0"/>
    <x v="53"/>
    <n v="0"/>
    <x v="3"/>
    <x v="1"/>
  </r>
  <r>
    <x v="2"/>
    <x v="44"/>
    <x v="258"/>
    <n v="7.19"/>
    <x v="886"/>
    <n v="3.73"/>
    <n v="4.37"/>
    <n v="8.1"/>
    <x v="989"/>
    <x v="886"/>
    <x v="53"/>
    <n v="33"/>
    <x v="3"/>
    <x v="1"/>
  </r>
  <r>
    <x v="2"/>
    <x v="45"/>
    <x v="29"/>
    <n v="4.78"/>
    <x v="887"/>
    <n v="6.62"/>
    <n v="1.58"/>
    <n v="8.1999999999999993"/>
    <x v="990"/>
    <x v="887"/>
    <x v="53"/>
    <n v="24"/>
    <x v="4"/>
    <x v="1"/>
  </r>
  <r>
    <x v="2"/>
    <x v="46"/>
    <x v="45"/>
    <n v="0.4"/>
    <x v="874"/>
    <n v="7.63"/>
    <n v="0.73"/>
    <n v="8.36"/>
    <x v="991"/>
    <x v="888"/>
    <x v="53"/>
    <n v="6"/>
    <x v="4"/>
    <x v="1"/>
  </r>
  <r>
    <x v="2"/>
    <x v="48"/>
    <x v="0"/>
    <n v="0"/>
    <x v="0"/>
    <n v="0"/>
    <n v="0"/>
    <n v="0"/>
    <x v="0"/>
    <x v="0"/>
    <x v="53"/>
    <n v="0"/>
    <x v="6"/>
    <x v="0"/>
  </r>
  <r>
    <x v="2"/>
    <x v="49"/>
    <x v="0"/>
    <n v="0"/>
    <x v="0"/>
    <n v="0"/>
    <n v="0"/>
    <n v="0"/>
    <x v="0"/>
    <x v="0"/>
    <x v="53"/>
    <n v="0"/>
    <x v="3"/>
    <x v="0"/>
  </r>
  <r>
    <x v="2"/>
    <x v="50"/>
    <x v="342"/>
    <n v="4.16"/>
    <x v="888"/>
    <n v="6.84"/>
    <n v="1.1499999999999999"/>
    <n v="7.99"/>
    <x v="987"/>
    <x v="889"/>
    <x v="53"/>
    <n v="50.000000004"/>
    <x v="4"/>
    <x v="1"/>
  </r>
  <r>
    <x v="0"/>
    <x v="0"/>
    <x v="0"/>
    <n v="0"/>
    <x v="0"/>
    <n v="0"/>
    <n v="0"/>
    <n v="0"/>
    <x v="0"/>
    <x v="0"/>
    <x v="54"/>
    <n v="0"/>
    <x v="0"/>
    <x v="0"/>
  </r>
  <r>
    <x v="0"/>
    <x v="1"/>
    <x v="0"/>
    <n v="0"/>
    <x v="0"/>
    <n v="0"/>
    <n v="0"/>
    <n v="0"/>
    <x v="0"/>
    <x v="0"/>
    <x v="54"/>
    <n v="0"/>
    <x v="0"/>
    <x v="0"/>
  </r>
  <r>
    <x v="0"/>
    <x v="2"/>
    <x v="0"/>
    <n v="0"/>
    <x v="0"/>
    <n v="0"/>
    <n v="0"/>
    <n v="0"/>
    <x v="0"/>
    <x v="0"/>
    <x v="54"/>
    <n v="0"/>
    <x v="0"/>
    <x v="0"/>
  </r>
  <r>
    <x v="0"/>
    <x v="3"/>
    <x v="0"/>
    <n v="0"/>
    <x v="0"/>
    <n v="0"/>
    <n v="0"/>
    <n v="0"/>
    <x v="0"/>
    <x v="0"/>
    <x v="54"/>
    <n v="0"/>
    <x v="0"/>
    <x v="0"/>
  </r>
  <r>
    <x v="0"/>
    <x v="4"/>
    <x v="0"/>
    <n v="0"/>
    <x v="0"/>
    <n v="7.53"/>
    <n v="0.45"/>
    <n v="7.98"/>
    <x v="329"/>
    <x v="0"/>
    <x v="54"/>
    <n v="0"/>
    <x v="0"/>
    <x v="1"/>
  </r>
  <r>
    <x v="0"/>
    <x v="5"/>
    <x v="0"/>
    <n v="0"/>
    <x v="0"/>
    <n v="7.55"/>
    <n v="0.43"/>
    <n v="7.98"/>
    <x v="992"/>
    <x v="0"/>
    <x v="54"/>
    <n v="0"/>
    <x v="0"/>
    <x v="1"/>
  </r>
  <r>
    <x v="0"/>
    <x v="6"/>
    <x v="0"/>
    <n v="0"/>
    <x v="0"/>
    <n v="7.56"/>
    <n v="0.44"/>
    <n v="8"/>
    <x v="993"/>
    <x v="0"/>
    <x v="54"/>
    <n v="0"/>
    <x v="0"/>
    <x v="1"/>
  </r>
  <r>
    <x v="0"/>
    <x v="7"/>
    <x v="0"/>
    <n v="0"/>
    <x v="0"/>
    <n v="0"/>
    <n v="0"/>
    <n v="0"/>
    <x v="0"/>
    <x v="0"/>
    <x v="54"/>
    <n v="0"/>
    <x v="0"/>
    <x v="0"/>
  </r>
  <r>
    <x v="0"/>
    <x v="8"/>
    <x v="0"/>
    <n v="0"/>
    <x v="0"/>
    <n v="0"/>
    <n v="0"/>
    <n v="0"/>
    <x v="0"/>
    <x v="0"/>
    <x v="54"/>
    <n v="0"/>
    <x v="0"/>
    <x v="0"/>
  </r>
  <r>
    <x v="1"/>
    <x v="9"/>
    <x v="0"/>
    <n v="0"/>
    <x v="0"/>
    <n v="3.57"/>
    <n v="4.37"/>
    <n v="7.94"/>
    <x v="994"/>
    <x v="0"/>
    <x v="54"/>
    <n v="0"/>
    <x v="1"/>
    <x v="1"/>
  </r>
  <r>
    <x v="1"/>
    <x v="10"/>
    <x v="0"/>
    <n v="0"/>
    <x v="0"/>
    <n v="0"/>
    <n v="0"/>
    <n v="0"/>
    <x v="0"/>
    <x v="0"/>
    <x v="54"/>
    <n v="0"/>
    <x v="1"/>
    <x v="0"/>
  </r>
  <r>
    <x v="1"/>
    <x v="11"/>
    <x v="0"/>
    <n v="0"/>
    <x v="0"/>
    <n v="0"/>
    <n v="0"/>
    <n v="0"/>
    <x v="0"/>
    <x v="0"/>
    <x v="54"/>
    <n v="0"/>
    <x v="1"/>
    <x v="0"/>
  </r>
  <r>
    <x v="1"/>
    <x v="12"/>
    <x v="0"/>
    <n v="0"/>
    <x v="0"/>
    <n v="0"/>
    <n v="0"/>
    <n v="0"/>
    <x v="0"/>
    <x v="0"/>
    <x v="54"/>
    <n v="0"/>
    <x v="1"/>
    <x v="0"/>
  </r>
  <r>
    <x v="1"/>
    <x v="13"/>
    <x v="0"/>
    <n v="0"/>
    <x v="0"/>
    <n v="0"/>
    <n v="0"/>
    <n v="0"/>
    <x v="0"/>
    <x v="0"/>
    <x v="54"/>
    <n v="0"/>
    <x v="1"/>
    <x v="0"/>
  </r>
  <r>
    <x v="2"/>
    <x v="14"/>
    <x v="543"/>
    <n v="2.76"/>
    <x v="889"/>
    <n v="4.5199999999999996"/>
    <n v="1.35"/>
    <n v="5.87"/>
    <x v="995"/>
    <x v="890"/>
    <x v="54"/>
    <n v="57"/>
    <x v="2"/>
    <x v="1"/>
  </r>
  <r>
    <x v="2"/>
    <x v="17"/>
    <x v="544"/>
    <n v="1.65"/>
    <x v="890"/>
    <n v="1.65"/>
    <n v="2.31"/>
    <n v="3.96"/>
    <x v="996"/>
    <x v="891"/>
    <x v="54"/>
    <n v="16.080000000000002"/>
    <x v="3"/>
    <x v="1"/>
  </r>
  <r>
    <x v="2"/>
    <x v="19"/>
    <x v="0"/>
    <n v="0"/>
    <x v="0"/>
    <n v="0"/>
    <n v="0"/>
    <n v="0"/>
    <x v="0"/>
    <x v="0"/>
    <x v="54"/>
    <n v="0"/>
    <x v="2"/>
    <x v="0"/>
  </r>
  <r>
    <x v="2"/>
    <x v="20"/>
    <x v="545"/>
    <n v="5.98"/>
    <x v="891"/>
    <n v="5.45"/>
    <n v="2.4900000000000002"/>
    <n v="7.94"/>
    <x v="997"/>
    <x v="892"/>
    <x v="54"/>
    <n v="63.239999999999995"/>
    <x v="5"/>
    <x v="1"/>
  </r>
  <r>
    <x v="2"/>
    <x v="21"/>
    <x v="0"/>
    <n v="0"/>
    <x v="0"/>
    <n v="0"/>
    <n v="0"/>
    <n v="0"/>
    <x v="0"/>
    <x v="0"/>
    <x v="54"/>
    <n v="0"/>
    <x v="2"/>
    <x v="0"/>
  </r>
  <r>
    <x v="2"/>
    <x v="22"/>
    <x v="546"/>
    <n v="5"/>
    <x v="892"/>
    <n v="5.27"/>
    <n v="2.56"/>
    <n v="7.83"/>
    <x v="998"/>
    <x v="893"/>
    <x v="54"/>
    <n v="72.440000003999998"/>
    <x v="4"/>
    <x v="1"/>
  </r>
  <r>
    <x v="2"/>
    <x v="24"/>
    <x v="0"/>
    <n v="0"/>
    <x v="0"/>
    <n v="0"/>
    <n v="0"/>
    <n v="0"/>
    <x v="0"/>
    <x v="0"/>
    <x v="54"/>
    <n v="0"/>
    <x v="5"/>
    <x v="0"/>
  </r>
  <r>
    <x v="2"/>
    <x v="27"/>
    <x v="0"/>
    <n v="0"/>
    <x v="0"/>
    <n v="0"/>
    <n v="0"/>
    <n v="0"/>
    <x v="0"/>
    <x v="0"/>
    <x v="54"/>
    <n v="0"/>
    <x v="5"/>
    <x v="0"/>
  </r>
  <r>
    <x v="2"/>
    <x v="30"/>
    <x v="0"/>
    <n v="0"/>
    <x v="0"/>
    <n v="0"/>
    <n v="0"/>
    <n v="0"/>
    <x v="0"/>
    <x v="0"/>
    <x v="54"/>
    <n v="0"/>
    <x v="5"/>
    <x v="0"/>
  </r>
  <r>
    <x v="2"/>
    <x v="31"/>
    <x v="0"/>
    <n v="0"/>
    <x v="0"/>
    <n v="0"/>
    <n v="0"/>
    <n v="0"/>
    <x v="0"/>
    <x v="0"/>
    <x v="54"/>
    <n v="0"/>
    <x v="2"/>
    <x v="0"/>
  </r>
  <r>
    <x v="2"/>
    <x v="32"/>
    <x v="547"/>
    <n v="6.04"/>
    <x v="893"/>
    <n v="5.26"/>
    <n v="2.62"/>
    <n v="7.88"/>
    <x v="999"/>
    <x v="894"/>
    <x v="54"/>
    <n v="87.159999995999996"/>
    <x v="3"/>
    <x v="1"/>
  </r>
  <r>
    <x v="2"/>
    <x v="33"/>
    <x v="548"/>
    <n v="3.33"/>
    <x v="894"/>
    <n v="4.38"/>
    <n v="3.48"/>
    <n v="7.86"/>
    <x v="1000"/>
    <x v="895"/>
    <x v="54"/>
    <n v="29.640000000000004"/>
    <x v="3"/>
    <x v="1"/>
  </r>
  <r>
    <x v="2"/>
    <x v="34"/>
    <x v="549"/>
    <n v="6.83"/>
    <x v="895"/>
    <n v="5.95"/>
    <n v="1.92"/>
    <n v="7.87"/>
    <x v="1001"/>
    <x v="896"/>
    <x v="54"/>
    <n v="91.8"/>
    <x v="4"/>
    <x v="1"/>
  </r>
  <r>
    <x v="2"/>
    <x v="35"/>
    <x v="550"/>
    <n v="5.91"/>
    <x v="896"/>
    <n v="5.83"/>
    <n v="2.0299999999999998"/>
    <n v="7.86"/>
    <x v="1002"/>
    <x v="897"/>
    <x v="54"/>
    <n v="143.00000003999997"/>
    <x v="2"/>
    <x v="1"/>
  </r>
  <r>
    <x v="2"/>
    <x v="36"/>
    <x v="551"/>
    <n v="2.79"/>
    <x v="897"/>
    <n v="4.0599999999999996"/>
    <n v="3.8"/>
    <n v="7.86"/>
    <x v="1003"/>
    <x v="898"/>
    <x v="54"/>
    <n v="33.839999999999996"/>
    <x v="4"/>
    <x v="1"/>
  </r>
  <r>
    <x v="2"/>
    <x v="37"/>
    <x v="552"/>
    <n v="1.99"/>
    <x v="898"/>
    <n v="5.95"/>
    <n v="1.91"/>
    <n v="7.86"/>
    <x v="1004"/>
    <x v="899"/>
    <x v="54"/>
    <n v="27.999999996000003"/>
    <x v="4"/>
    <x v="1"/>
  </r>
  <r>
    <x v="2"/>
    <x v="38"/>
    <x v="553"/>
    <n v="6.24"/>
    <x v="899"/>
    <n v="6.24"/>
    <n v="1.62"/>
    <n v="7.86"/>
    <x v="426"/>
    <x v="900"/>
    <x v="54"/>
    <n v="95.439999995999997"/>
    <x v="2"/>
    <x v="1"/>
  </r>
  <r>
    <x v="2"/>
    <x v="39"/>
    <x v="0"/>
    <n v="0"/>
    <x v="0"/>
    <n v="0"/>
    <n v="0"/>
    <n v="0"/>
    <x v="0"/>
    <x v="0"/>
    <x v="54"/>
    <n v="0"/>
    <x v="2"/>
    <x v="0"/>
  </r>
  <r>
    <x v="2"/>
    <x v="40"/>
    <x v="554"/>
    <n v="3.35"/>
    <x v="900"/>
    <n v="4.38"/>
    <n v="3.48"/>
    <n v="7.86"/>
    <x v="1000"/>
    <x v="240"/>
    <x v="54"/>
    <n v="29.880000000000003"/>
    <x v="3"/>
    <x v="1"/>
  </r>
  <r>
    <x v="2"/>
    <x v="41"/>
    <x v="555"/>
    <n v="3.08"/>
    <x v="901"/>
    <n v="5.07"/>
    <n v="2.79"/>
    <n v="7.86"/>
    <x v="1005"/>
    <x v="901"/>
    <x v="54"/>
    <n v="34.559999999999995"/>
    <x v="5"/>
    <x v="1"/>
  </r>
  <r>
    <x v="2"/>
    <x v="42"/>
    <x v="398"/>
    <n v="6.42"/>
    <x v="902"/>
    <n v="4.82"/>
    <n v="3.08"/>
    <n v="7.9"/>
    <x v="1006"/>
    <x v="902"/>
    <x v="54"/>
    <n v="93.999999996"/>
    <x v="2"/>
    <x v="1"/>
  </r>
  <r>
    <x v="2"/>
    <x v="43"/>
    <x v="0"/>
    <n v="0"/>
    <x v="0"/>
    <n v="0"/>
    <n v="0"/>
    <n v="0"/>
    <x v="0"/>
    <x v="0"/>
    <x v="54"/>
    <n v="0"/>
    <x v="3"/>
    <x v="0"/>
  </r>
  <r>
    <x v="2"/>
    <x v="44"/>
    <x v="556"/>
    <n v="3.07"/>
    <x v="903"/>
    <n v="5.05"/>
    <n v="2.82"/>
    <n v="7.87"/>
    <x v="1007"/>
    <x v="903"/>
    <x v="54"/>
    <n v="35.240000004000002"/>
    <x v="3"/>
    <x v="1"/>
  </r>
  <r>
    <x v="2"/>
    <x v="47"/>
    <x v="0"/>
    <n v="0"/>
    <x v="0"/>
    <n v="0"/>
    <n v="0"/>
    <n v="0"/>
    <x v="0"/>
    <x v="0"/>
    <x v="54"/>
    <n v="0"/>
    <x v="5"/>
    <x v="0"/>
  </r>
  <r>
    <x v="2"/>
    <x v="48"/>
    <x v="0"/>
    <n v="0"/>
    <x v="0"/>
    <n v="0"/>
    <n v="0"/>
    <n v="0"/>
    <x v="0"/>
    <x v="0"/>
    <x v="54"/>
    <n v="0"/>
    <x v="6"/>
    <x v="0"/>
  </r>
  <r>
    <x v="2"/>
    <x v="49"/>
    <x v="0"/>
    <n v="0"/>
    <x v="0"/>
    <n v="0"/>
    <n v="0"/>
    <n v="0"/>
    <x v="0"/>
    <x v="0"/>
    <x v="54"/>
    <n v="0"/>
    <x v="3"/>
    <x v="0"/>
  </r>
  <r>
    <x v="0"/>
    <x v="0"/>
    <x v="0"/>
    <n v="0"/>
    <x v="0"/>
    <n v="0"/>
    <n v="0"/>
    <n v="0"/>
    <x v="0"/>
    <x v="0"/>
    <x v="55"/>
    <n v="0"/>
    <x v="0"/>
    <x v="0"/>
  </r>
  <r>
    <x v="0"/>
    <x v="1"/>
    <x v="0"/>
    <n v="0"/>
    <x v="0"/>
    <n v="0"/>
    <n v="0"/>
    <n v="0"/>
    <x v="0"/>
    <x v="0"/>
    <x v="55"/>
    <n v="0"/>
    <x v="0"/>
    <x v="0"/>
  </r>
  <r>
    <x v="0"/>
    <x v="2"/>
    <x v="0"/>
    <n v="0"/>
    <x v="0"/>
    <n v="0"/>
    <n v="0"/>
    <n v="0"/>
    <x v="0"/>
    <x v="0"/>
    <x v="55"/>
    <n v="0"/>
    <x v="0"/>
    <x v="0"/>
  </r>
  <r>
    <x v="0"/>
    <x v="3"/>
    <x v="0"/>
    <n v="0"/>
    <x v="0"/>
    <n v="0"/>
    <n v="0"/>
    <n v="0"/>
    <x v="0"/>
    <x v="0"/>
    <x v="55"/>
    <n v="0"/>
    <x v="0"/>
    <x v="0"/>
  </r>
  <r>
    <x v="0"/>
    <x v="4"/>
    <x v="0"/>
    <n v="0"/>
    <x v="0"/>
    <n v="0"/>
    <n v="0"/>
    <n v="0"/>
    <x v="0"/>
    <x v="0"/>
    <x v="55"/>
    <n v="0"/>
    <x v="0"/>
    <x v="0"/>
  </r>
  <r>
    <x v="0"/>
    <x v="5"/>
    <x v="0"/>
    <n v="0"/>
    <x v="0"/>
    <n v="0"/>
    <n v="0"/>
    <n v="0"/>
    <x v="0"/>
    <x v="0"/>
    <x v="55"/>
    <n v="0"/>
    <x v="0"/>
    <x v="0"/>
  </r>
  <r>
    <x v="0"/>
    <x v="6"/>
    <x v="0"/>
    <n v="0"/>
    <x v="0"/>
    <n v="0"/>
    <n v="0"/>
    <n v="0"/>
    <x v="0"/>
    <x v="0"/>
    <x v="55"/>
    <n v="0"/>
    <x v="0"/>
    <x v="0"/>
  </r>
  <r>
    <x v="0"/>
    <x v="7"/>
    <x v="0"/>
    <n v="0"/>
    <x v="0"/>
    <n v="0"/>
    <n v="0"/>
    <n v="0"/>
    <x v="0"/>
    <x v="0"/>
    <x v="55"/>
    <n v="0"/>
    <x v="0"/>
    <x v="0"/>
  </r>
  <r>
    <x v="0"/>
    <x v="8"/>
    <x v="0"/>
    <n v="0"/>
    <x v="0"/>
    <n v="0"/>
    <n v="0"/>
    <n v="0"/>
    <x v="0"/>
    <x v="0"/>
    <x v="55"/>
    <n v="0"/>
    <x v="0"/>
    <x v="0"/>
  </r>
  <r>
    <x v="1"/>
    <x v="9"/>
    <x v="0"/>
    <n v="0"/>
    <x v="0"/>
    <n v="0"/>
    <n v="0"/>
    <n v="0"/>
    <x v="0"/>
    <x v="0"/>
    <x v="55"/>
    <n v="0"/>
    <x v="1"/>
    <x v="0"/>
  </r>
  <r>
    <x v="1"/>
    <x v="10"/>
    <x v="0"/>
    <n v="0"/>
    <x v="0"/>
    <n v="0"/>
    <n v="0"/>
    <n v="0"/>
    <x v="0"/>
    <x v="0"/>
    <x v="55"/>
    <n v="0"/>
    <x v="1"/>
    <x v="0"/>
  </r>
  <r>
    <x v="1"/>
    <x v="11"/>
    <x v="0"/>
    <n v="0"/>
    <x v="0"/>
    <n v="0"/>
    <n v="0"/>
    <n v="0"/>
    <x v="0"/>
    <x v="0"/>
    <x v="55"/>
    <n v="0"/>
    <x v="1"/>
    <x v="0"/>
  </r>
  <r>
    <x v="1"/>
    <x v="12"/>
    <x v="0"/>
    <n v="0"/>
    <x v="0"/>
    <n v="0"/>
    <n v="0"/>
    <n v="0"/>
    <x v="0"/>
    <x v="0"/>
    <x v="55"/>
    <n v="0"/>
    <x v="1"/>
    <x v="0"/>
  </r>
  <r>
    <x v="1"/>
    <x v="13"/>
    <x v="0"/>
    <n v="0"/>
    <x v="0"/>
    <n v="0"/>
    <n v="0"/>
    <n v="0"/>
    <x v="0"/>
    <x v="0"/>
    <x v="55"/>
    <n v="0"/>
    <x v="1"/>
    <x v="0"/>
  </r>
  <r>
    <x v="2"/>
    <x v="14"/>
    <x v="0"/>
    <n v="0"/>
    <x v="0"/>
    <n v="0"/>
    <n v="0"/>
    <n v="0"/>
    <x v="0"/>
    <x v="0"/>
    <x v="55"/>
    <n v="0"/>
    <x v="2"/>
    <x v="0"/>
  </r>
  <r>
    <x v="2"/>
    <x v="15"/>
    <x v="0"/>
    <n v="0"/>
    <x v="0"/>
    <n v="0"/>
    <n v="0"/>
    <n v="0"/>
    <x v="0"/>
    <x v="0"/>
    <x v="55"/>
    <n v="0"/>
    <x v="3"/>
    <x v="0"/>
  </r>
  <r>
    <x v="2"/>
    <x v="16"/>
    <x v="0"/>
    <n v="0"/>
    <x v="0"/>
    <n v="0"/>
    <n v="0"/>
    <n v="0"/>
    <x v="0"/>
    <x v="0"/>
    <x v="55"/>
    <n v="0"/>
    <x v="4"/>
    <x v="0"/>
  </r>
  <r>
    <x v="2"/>
    <x v="17"/>
    <x v="0"/>
    <n v="0"/>
    <x v="0"/>
    <n v="0"/>
    <n v="0"/>
    <n v="0"/>
    <x v="0"/>
    <x v="0"/>
    <x v="55"/>
    <n v="0"/>
    <x v="3"/>
    <x v="0"/>
  </r>
  <r>
    <x v="2"/>
    <x v="18"/>
    <x v="0"/>
    <n v="0"/>
    <x v="0"/>
    <n v="0"/>
    <n v="0"/>
    <n v="0"/>
    <x v="0"/>
    <x v="0"/>
    <x v="55"/>
    <n v="0"/>
    <x v="3"/>
    <x v="0"/>
  </r>
  <r>
    <x v="2"/>
    <x v="19"/>
    <x v="0"/>
    <n v="0"/>
    <x v="0"/>
    <n v="0"/>
    <n v="0"/>
    <n v="0"/>
    <x v="0"/>
    <x v="0"/>
    <x v="55"/>
    <n v="0"/>
    <x v="2"/>
    <x v="0"/>
  </r>
  <r>
    <x v="2"/>
    <x v="20"/>
    <x v="0"/>
    <n v="0"/>
    <x v="0"/>
    <n v="0"/>
    <n v="0"/>
    <n v="0"/>
    <x v="0"/>
    <x v="0"/>
    <x v="55"/>
    <n v="0"/>
    <x v="5"/>
    <x v="0"/>
  </r>
  <r>
    <x v="2"/>
    <x v="21"/>
    <x v="0"/>
    <n v="0"/>
    <x v="0"/>
    <n v="0"/>
    <n v="0"/>
    <n v="0"/>
    <x v="0"/>
    <x v="0"/>
    <x v="55"/>
    <n v="0"/>
    <x v="2"/>
    <x v="0"/>
  </r>
  <r>
    <x v="2"/>
    <x v="22"/>
    <x v="0"/>
    <n v="0"/>
    <x v="0"/>
    <n v="0"/>
    <n v="0"/>
    <n v="0"/>
    <x v="0"/>
    <x v="0"/>
    <x v="55"/>
    <n v="0"/>
    <x v="4"/>
    <x v="0"/>
  </r>
  <r>
    <x v="2"/>
    <x v="23"/>
    <x v="0"/>
    <n v="0"/>
    <x v="0"/>
    <n v="0"/>
    <n v="0"/>
    <n v="0"/>
    <x v="0"/>
    <x v="0"/>
    <x v="55"/>
    <n v="0"/>
    <x v="3"/>
    <x v="0"/>
  </r>
  <r>
    <x v="2"/>
    <x v="24"/>
    <x v="0"/>
    <n v="0"/>
    <x v="0"/>
    <n v="0"/>
    <n v="0"/>
    <n v="0"/>
    <x v="0"/>
    <x v="0"/>
    <x v="55"/>
    <n v="0"/>
    <x v="5"/>
    <x v="0"/>
  </r>
  <r>
    <x v="2"/>
    <x v="25"/>
    <x v="0"/>
    <n v="0"/>
    <x v="0"/>
    <n v="0"/>
    <n v="0"/>
    <n v="0"/>
    <x v="0"/>
    <x v="0"/>
    <x v="55"/>
    <n v="0"/>
    <x v="2"/>
    <x v="0"/>
  </r>
  <r>
    <x v="2"/>
    <x v="26"/>
    <x v="0"/>
    <n v="0"/>
    <x v="0"/>
    <n v="0"/>
    <n v="0"/>
    <n v="0"/>
    <x v="0"/>
    <x v="0"/>
    <x v="55"/>
    <n v="0"/>
    <x v="3"/>
    <x v="0"/>
  </r>
  <r>
    <x v="2"/>
    <x v="27"/>
    <x v="0"/>
    <n v="0"/>
    <x v="0"/>
    <n v="0"/>
    <n v="0"/>
    <n v="0"/>
    <x v="0"/>
    <x v="0"/>
    <x v="55"/>
    <n v="0"/>
    <x v="5"/>
    <x v="0"/>
  </r>
  <r>
    <x v="2"/>
    <x v="29"/>
    <x v="0"/>
    <n v="0"/>
    <x v="0"/>
    <n v="0"/>
    <n v="0"/>
    <n v="0"/>
    <x v="0"/>
    <x v="0"/>
    <x v="55"/>
    <n v="0"/>
    <x v="5"/>
    <x v="0"/>
  </r>
  <r>
    <x v="2"/>
    <x v="30"/>
    <x v="0"/>
    <n v="0"/>
    <x v="0"/>
    <n v="0"/>
    <n v="0"/>
    <n v="0"/>
    <x v="0"/>
    <x v="0"/>
    <x v="55"/>
    <n v="0"/>
    <x v="5"/>
    <x v="0"/>
  </r>
  <r>
    <x v="2"/>
    <x v="31"/>
    <x v="0"/>
    <n v="0"/>
    <x v="0"/>
    <n v="0"/>
    <n v="0"/>
    <n v="0"/>
    <x v="0"/>
    <x v="0"/>
    <x v="55"/>
    <n v="0"/>
    <x v="2"/>
    <x v="0"/>
  </r>
  <r>
    <x v="2"/>
    <x v="32"/>
    <x v="0"/>
    <n v="0"/>
    <x v="0"/>
    <n v="0"/>
    <n v="0"/>
    <n v="0"/>
    <x v="0"/>
    <x v="0"/>
    <x v="55"/>
    <n v="0"/>
    <x v="3"/>
    <x v="0"/>
  </r>
  <r>
    <x v="2"/>
    <x v="33"/>
    <x v="0"/>
    <n v="0"/>
    <x v="0"/>
    <n v="0"/>
    <n v="0"/>
    <n v="0"/>
    <x v="0"/>
    <x v="0"/>
    <x v="55"/>
    <n v="0"/>
    <x v="3"/>
    <x v="0"/>
  </r>
  <r>
    <x v="2"/>
    <x v="34"/>
    <x v="0"/>
    <n v="0"/>
    <x v="0"/>
    <n v="0"/>
    <n v="0"/>
    <n v="0"/>
    <x v="0"/>
    <x v="0"/>
    <x v="55"/>
    <n v="0"/>
    <x v="4"/>
    <x v="0"/>
  </r>
  <r>
    <x v="2"/>
    <x v="35"/>
    <x v="0"/>
    <n v="0"/>
    <x v="0"/>
    <n v="0"/>
    <n v="0"/>
    <n v="0"/>
    <x v="0"/>
    <x v="0"/>
    <x v="55"/>
    <n v="0"/>
    <x v="2"/>
    <x v="0"/>
  </r>
  <r>
    <x v="2"/>
    <x v="36"/>
    <x v="0"/>
    <n v="0"/>
    <x v="0"/>
    <n v="0"/>
    <n v="0"/>
    <n v="0"/>
    <x v="0"/>
    <x v="0"/>
    <x v="55"/>
    <n v="0"/>
    <x v="4"/>
    <x v="0"/>
  </r>
  <r>
    <x v="2"/>
    <x v="37"/>
    <x v="0"/>
    <n v="0"/>
    <x v="0"/>
    <n v="0"/>
    <n v="0"/>
    <n v="0"/>
    <x v="0"/>
    <x v="0"/>
    <x v="55"/>
    <n v="0"/>
    <x v="4"/>
    <x v="0"/>
  </r>
  <r>
    <x v="2"/>
    <x v="38"/>
    <x v="0"/>
    <n v="0"/>
    <x v="0"/>
    <n v="0"/>
    <n v="0"/>
    <n v="0"/>
    <x v="0"/>
    <x v="0"/>
    <x v="55"/>
    <n v="0"/>
    <x v="2"/>
    <x v="0"/>
  </r>
  <r>
    <x v="2"/>
    <x v="39"/>
    <x v="0"/>
    <n v="0"/>
    <x v="0"/>
    <n v="0"/>
    <n v="0"/>
    <n v="0"/>
    <x v="0"/>
    <x v="0"/>
    <x v="55"/>
    <n v="0"/>
    <x v="2"/>
    <x v="0"/>
  </r>
  <r>
    <x v="2"/>
    <x v="40"/>
    <x v="0"/>
    <n v="0"/>
    <x v="0"/>
    <n v="0"/>
    <n v="0"/>
    <n v="0"/>
    <x v="0"/>
    <x v="0"/>
    <x v="55"/>
    <n v="0"/>
    <x v="3"/>
    <x v="0"/>
  </r>
  <r>
    <x v="2"/>
    <x v="41"/>
    <x v="0"/>
    <n v="0"/>
    <x v="0"/>
    <n v="0"/>
    <n v="0"/>
    <n v="0"/>
    <x v="0"/>
    <x v="0"/>
    <x v="55"/>
    <n v="0"/>
    <x v="5"/>
    <x v="0"/>
  </r>
  <r>
    <x v="2"/>
    <x v="42"/>
    <x v="0"/>
    <n v="0"/>
    <x v="0"/>
    <n v="0"/>
    <n v="0"/>
    <n v="0"/>
    <x v="0"/>
    <x v="0"/>
    <x v="55"/>
    <n v="0"/>
    <x v="2"/>
    <x v="0"/>
  </r>
  <r>
    <x v="2"/>
    <x v="43"/>
    <x v="0"/>
    <n v="0"/>
    <x v="0"/>
    <n v="0"/>
    <n v="0"/>
    <n v="0"/>
    <x v="0"/>
    <x v="0"/>
    <x v="55"/>
    <n v="0"/>
    <x v="3"/>
    <x v="0"/>
  </r>
  <r>
    <x v="2"/>
    <x v="44"/>
    <x v="0"/>
    <n v="0"/>
    <x v="0"/>
    <n v="0"/>
    <n v="0"/>
    <n v="0"/>
    <x v="0"/>
    <x v="0"/>
    <x v="55"/>
    <n v="0"/>
    <x v="3"/>
    <x v="0"/>
  </r>
  <r>
    <x v="2"/>
    <x v="45"/>
    <x v="0"/>
    <n v="0"/>
    <x v="0"/>
    <n v="0"/>
    <n v="0"/>
    <n v="0"/>
    <x v="0"/>
    <x v="0"/>
    <x v="55"/>
    <n v="0"/>
    <x v="4"/>
    <x v="0"/>
  </r>
  <r>
    <x v="2"/>
    <x v="46"/>
    <x v="0"/>
    <n v="0"/>
    <x v="0"/>
    <n v="0"/>
    <n v="0"/>
    <n v="0"/>
    <x v="0"/>
    <x v="0"/>
    <x v="55"/>
    <n v="0"/>
    <x v="4"/>
    <x v="0"/>
  </r>
  <r>
    <x v="2"/>
    <x v="47"/>
    <x v="0"/>
    <n v="0"/>
    <x v="0"/>
    <n v="0"/>
    <n v="0"/>
    <n v="0"/>
    <x v="0"/>
    <x v="0"/>
    <x v="55"/>
    <n v="0"/>
    <x v="5"/>
    <x v="0"/>
  </r>
  <r>
    <x v="2"/>
    <x v="48"/>
    <x v="0"/>
    <n v="0"/>
    <x v="0"/>
    <n v="0"/>
    <n v="0"/>
    <n v="0"/>
    <x v="0"/>
    <x v="0"/>
    <x v="55"/>
    <n v="0"/>
    <x v="6"/>
    <x v="0"/>
  </r>
  <r>
    <x v="2"/>
    <x v="49"/>
    <x v="0"/>
    <n v="0"/>
    <x v="0"/>
    <n v="0"/>
    <n v="0"/>
    <n v="0"/>
    <x v="0"/>
    <x v="0"/>
    <x v="55"/>
    <n v="0"/>
    <x v="3"/>
    <x v="0"/>
  </r>
  <r>
    <x v="2"/>
    <x v="50"/>
    <x v="0"/>
    <n v="0"/>
    <x v="0"/>
    <n v="0"/>
    <n v="0"/>
    <n v="0"/>
    <x v="0"/>
    <x v="0"/>
    <x v="55"/>
    <n v="0"/>
    <x v="4"/>
    <x v="0"/>
  </r>
  <r>
    <x v="0"/>
    <x v="4"/>
    <x v="557"/>
    <n v="7.42"/>
    <x v="904"/>
    <n v="10.48"/>
    <n v="0.31"/>
    <n v="10.79"/>
    <x v="612"/>
    <x v="904"/>
    <x v="56"/>
    <n v="50.04"/>
    <x v="0"/>
    <x v="1"/>
  </r>
  <r>
    <x v="0"/>
    <x v="6"/>
    <x v="180"/>
    <n v="6.17"/>
    <x v="905"/>
    <n v="10.48"/>
    <n v="0.31"/>
    <n v="10.79"/>
    <x v="612"/>
    <x v="905"/>
    <x v="56"/>
    <n v="39"/>
    <x v="0"/>
    <x v="1"/>
  </r>
  <r>
    <x v="1"/>
    <x v="11"/>
    <x v="294"/>
    <n v="2.14"/>
    <x v="906"/>
    <n v="4.66"/>
    <n v="3.61"/>
    <n v="8.27"/>
    <x v="1008"/>
    <x v="906"/>
    <x v="56"/>
    <n v="63"/>
    <x v="1"/>
    <x v="1"/>
  </r>
  <r>
    <x v="1"/>
    <x v="12"/>
    <x v="558"/>
    <n v="6.23"/>
    <x v="907"/>
    <n v="4"/>
    <n v="4.29"/>
    <n v="8.2899999999999991"/>
    <x v="1009"/>
    <x v="907"/>
    <x v="56"/>
    <n v="68.28"/>
    <x v="1"/>
    <x v="1"/>
  </r>
  <r>
    <x v="1"/>
    <x v="13"/>
    <x v="559"/>
    <n v="1.05"/>
    <x v="908"/>
    <n v="4"/>
    <n v="4.29"/>
    <n v="8.2899999999999991"/>
    <x v="1009"/>
    <x v="908"/>
    <x v="56"/>
    <n v="6.7200000000000006"/>
    <x v="1"/>
    <x v="1"/>
  </r>
  <r>
    <x v="2"/>
    <x v="15"/>
    <x v="0"/>
    <n v="0"/>
    <x v="0"/>
    <n v="8.19"/>
    <n v="1.55"/>
    <n v="9.74"/>
    <x v="1010"/>
    <x v="0"/>
    <x v="56"/>
    <n v="0"/>
    <x v="3"/>
    <x v="1"/>
  </r>
  <r>
    <x v="2"/>
    <x v="17"/>
    <x v="0"/>
    <n v="0"/>
    <x v="0"/>
    <n v="1.2"/>
    <n v="8.9499999999999993"/>
    <n v="10.15"/>
    <x v="1011"/>
    <x v="0"/>
    <x v="56"/>
    <n v="0"/>
    <x v="3"/>
    <x v="1"/>
  </r>
  <r>
    <x v="2"/>
    <x v="18"/>
    <x v="0"/>
    <n v="0"/>
    <x v="0"/>
    <n v="8.48"/>
    <n v="1.71"/>
    <n v="10.19"/>
    <x v="1012"/>
    <x v="0"/>
    <x v="56"/>
    <n v="0"/>
    <x v="3"/>
    <x v="1"/>
  </r>
  <r>
    <x v="2"/>
    <x v="19"/>
    <x v="528"/>
    <n v="7.45"/>
    <x v="909"/>
    <n v="6.03"/>
    <n v="1.96"/>
    <n v="7.99"/>
    <x v="1013"/>
    <x v="909"/>
    <x v="56"/>
    <n v="78.999999996"/>
    <x v="2"/>
    <x v="1"/>
  </r>
  <r>
    <x v="2"/>
    <x v="21"/>
    <x v="560"/>
    <n v="4.38"/>
    <x v="910"/>
    <n v="7.15"/>
    <n v="0.61"/>
    <n v="7.76"/>
    <x v="1014"/>
    <x v="910"/>
    <x v="56"/>
    <n v="35.199999996000003"/>
    <x v="2"/>
    <x v="1"/>
  </r>
  <r>
    <x v="2"/>
    <x v="22"/>
    <x v="561"/>
    <n v="5.85"/>
    <x v="911"/>
    <n v="8.4499999999999993"/>
    <n v="2.0299999999999998"/>
    <n v="10.48"/>
    <x v="1015"/>
    <x v="911"/>
    <x v="56"/>
    <n v="53.960000004000008"/>
    <x v="4"/>
    <x v="1"/>
  </r>
  <r>
    <x v="2"/>
    <x v="23"/>
    <x v="11"/>
    <n v="2.6"/>
    <x v="912"/>
    <n v="1.77"/>
    <n v="8.39"/>
    <n v="10.16"/>
    <x v="1016"/>
    <x v="912"/>
    <x v="56"/>
    <n v="9"/>
    <x v="3"/>
    <x v="1"/>
  </r>
  <r>
    <x v="2"/>
    <x v="24"/>
    <x v="79"/>
    <n v="1.0900000000000001"/>
    <x v="913"/>
    <n v="6.73"/>
    <n v="1.98"/>
    <n v="8.7100000000000009"/>
    <x v="422"/>
    <x v="913"/>
    <x v="56"/>
    <n v="16.440000000000001"/>
    <x v="5"/>
    <x v="1"/>
  </r>
  <r>
    <x v="2"/>
    <x v="25"/>
    <x v="562"/>
    <n v="5.15"/>
    <x v="914"/>
    <n v="7.07"/>
    <n v="1.04"/>
    <n v="8.11"/>
    <x v="1017"/>
    <x v="914"/>
    <x v="56"/>
    <n v="39.080000004000006"/>
    <x v="2"/>
    <x v="1"/>
  </r>
  <r>
    <x v="2"/>
    <x v="26"/>
    <x v="334"/>
    <n v="0.54"/>
    <x v="670"/>
    <n v="8.1"/>
    <n v="1.6"/>
    <n v="9.6999999999999993"/>
    <x v="889"/>
    <x v="915"/>
    <x v="56"/>
    <n v="8.0000000040000003"/>
    <x v="3"/>
    <x v="1"/>
  </r>
  <r>
    <x v="2"/>
    <x v="27"/>
    <x v="563"/>
    <n v="2.68"/>
    <x v="915"/>
    <n v="9.23"/>
    <n v="0.83"/>
    <n v="10.06"/>
    <x v="1018"/>
    <x v="916"/>
    <x v="56"/>
    <n v="102.39999999599999"/>
    <x v="5"/>
    <x v="1"/>
  </r>
  <r>
    <x v="2"/>
    <x v="29"/>
    <x v="564"/>
    <n v="3.45"/>
    <x v="916"/>
    <n v="7"/>
    <n v="1.23"/>
    <n v="8.23"/>
    <x v="1019"/>
    <x v="917"/>
    <x v="56"/>
    <n v="67.44"/>
    <x v="5"/>
    <x v="1"/>
  </r>
  <r>
    <x v="2"/>
    <x v="30"/>
    <x v="34"/>
    <n v="1.7"/>
    <x v="917"/>
    <n v="7.45"/>
    <n v="0.09"/>
    <n v="7.54"/>
    <x v="1020"/>
    <x v="625"/>
    <x v="56"/>
    <n v="36.96"/>
    <x v="5"/>
    <x v="1"/>
  </r>
  <r>
    <x v="2"/>
    <x v="31"/>
    <x v="418"/>
    <n v="4.0599999999999996"/>
    <x v="918"/>
    <n v="7"/>
    <n v="0.99"/>
    <n v="7.99"/>
    <x v="565"/>
    <x v="918"/>
    <x v="56"/>
    <n v="80.000000004"/>
    <x v="2"/>
    <x v="1"/>
  </r>
  <r>
    <x v="2"/>
    <x v="32"/>
    <x v="317"/>
    <n v="0.67"/>
    <x v="919"/>
    <n v="8.52"/>
    <n v="1.65"/>
    <n v="10.17"/>
    <x v="1021"/>
    <x v="919"/>
    <x v="56"/>
    <n v="15.999999996"/>
    <x v="3"/>
    <x v="1"/>
  </r>
  <r>
    <x v="2"/>
    <x v="33"/>
    <x v="86"/>
    <n v="1.05"/>
    <x v="920"/>
    <n v="7.26"/>
    <n v="2.99"/>
    <n v="10.25"/>
    <x v="1022"/>
    <x v="920"/>
    <x v="56"/>
    <n v="15.12"/>
    <x v="3"/>
    <x v="1"/>
  </r>
  <r>
    <x v="2"/>
    <x v="34"/>
    <x v="565"/>
    <n v="4.5199999999999996"/>
    <x v="921"/>
    <n v="6.81"/>
    <n v="3.08"/>
    <n v="9.89"/>
    <x v="1023"/>
    <x v="921"/>
    <x v="56"/>
    <n v="37.839999996000003"/>
    <x v="4"/>
    <x v="1"/>
  </r>
  <r>
    <x v="2"/>
    <x v="38"/>
    <x v="566"/>
    <n v="6.66"/>
    <x v="922"/>
    <n v="6.56"/>
    <n v="1.43"/>
    <n v="7.99"/>
    <x v="1024"/>
    <x v="922"/>
    <x v="56"/>
    <n v="159.99999996000003"/>
    <x v="2"/>
    <x v="1"/>
  </r>
  <r>
    <x v="2"/>
    <x v="39"/>
    <x v="567"/>
    <n v="4.92"/>
    <x v="923"/>
    <n v="6.36"/>
    <n v="1.63"/>
    <n v="7.99"/>
    <x v="1025"/>
    <x v="923"/>
    <x v="56"/>
    <n v="99.999999996000014"/>
    <x v="2"/>
    <x v="1"/>
  </r>
  <r>
    <x v="2"/>
    <x v="40"/>
    <x v="89"/>
    <n v="1.03"/>
    <x v="924"/>
    <n v="7.86"/>
    <n v="2.41"/>
    <n v="10.27"/>
    <x v="1026"/>
    <x v="924"/>
    <x v="56"/>
    <n v="14.88"/>
    <x v="3"/>
    <x v="1"/>
  </r>
  <r>
    <x v="2"/>
    <x v="41"/>
    <x v="568"/>
    <n v="3.29"/>
    <x v="925"/>
    <n v="7.19"/>
    <n v="1.02"/>
    <n v="8.2100000000000009"/>
    <x v="189"/>
    <x v="925"/>
    <x v="56"/>
    <n v="46.239999996000002"/>
    <x v="5"/>
    <x v="1"/>
  </r>
  <r>
    <x v="2"/>
    <x v="42"/>
    <x v="312"/>
    <n v="4.0599999999999996"/>
    <x v="926"/>
    <n v="7.73"/>
    <n v="0.74"/>
    <n v="8.4700000000000006"/>
    <x v="1027"/>
    <x v="926"/>
    <x v="56"/>
    <n v="126.99999996000001"/>
    <x v="2"/>
    <x v="1"/>
  </r>
  <r>
    <x v="2"/>
    <x v="43"/>
    <x v="258"/>
    <n v="4.03"/>
    <x v="927"/>
    <n v="7.47"/>
    <n v="2.25"/>
    <n v="9.7200000000000006"/>
    <x v="1028"/>
    <x v="242"/>
    <x v="56"/>
    <n v="33"/>
    <x v="3"/>
    <x v="1"/>
  </r>
  <r>
    <x v="2"/>
    <x v="44"/>
    <x v="0"/>
    <n v="0"/>
    <x v="0"/>
    <n v="2.4300000000000002"/>
    <n v="1.74"/>
    <n v="4.17"/>
    <x v="1029"/>
    <x v="0"/>
    <x v="56"/>
    <n v="0"/>
    <x v="3"/>
    <x v="1"/>
  </r>
  <r>
    <x v="2"/>
    <x v="48"/>
    <x v="0"/>
    <n v="0"/>
    <x v="0"/>
    <n v="0"/>
    <n v="0"/>
    <n v="0"/>
    <x v="0"/>
    <x v="0"/>
    <x v="56"/>
    <n v="0"/>
    <x v="6"/>
    <x v="0"/>
  </r>
  <r>
    <x v="2"/>
    <x v="49"/>
    <x v="29"/>
    <n v="5.24"/>
    <x v="928"/>
    <n v="7.44"/>
    <n v="0.75"/>
    <n v="8.19"/>
    <x v="125"/>
    <x v="927"/>
    <x v="56"/>
    <n v="24"/>
    <x v="3"/>
    <x v="1"/>
  </r>
  <r>
    <x v="2"/>
    <x v="50"/>
    <x v="306"/>
    <n v="7.02"/>
    <x v="929"/>
    <n v="9.0399999999999991"/>
    <n v="0.61"/>
    <n v="9.65"/>
    <x v="1030"/>
    <x v="928"/>
    <x v="56"/>
    <n v="66.999999996"/>
    <x v="4"/>
    <x v="1"/>
  </r>
  <r>
    <x v="0"/>
    <x v="0"/>
    <x v="0"/>
    <n v="0"/>
    <x v="0"/>
    <n v="3.2"/>
    <n v="4.83"/>
    <n v="8.0299999999999994"/>
    <x v="1031"/>
    <x v="0"/>
    <x v="57"/>
    <n v="0"/>
    <x v="0"/>
    <x v="1"/>
  </r>
  <r>
    <x v="0"/>
    <x v="1"/>
    <x v="0"/>
    <n v="0"/>
    <x v="0"/>
    <n v="0"/>
    <n v="0"/>
    <n v="0"/>
    <x v="0"/>
    <x v="0"/>
    <x v="57"/>
    <n v="0"/>
    <x v="0"/>
    <x v="0"/>
  </r>
  <r>
    <x v="0"/>
    <x v="2"/>
    <x v="0"/>
    <n v="0"/>
    <x v="0"/>
    <n v="4"/>
    <n v="4.03"/>
    <n v="8.0299999999999994"/>
    <x v="199"/>
    <x v="0"/>
    <x v="57"/>
    <n v="0"/>
    <x v="0"/>
    <x v="1"/>
  </r>
  <r>
    <x v="0"/>
    <x v="3"/>
    <x v="0"/>
    <n v="0"/>
    <x v="0"/>
    <n v="3.2"/>
    <n v="4.83"/>
    <n v="8.0299999999999994"/>
    <x v="1031"/>
    <x v="0"/>
    <x v="57"/>
    <n v="0"/>
    <x v="0"/>
    <x v="1"/>
  </r>
  <r>
    <x v="0"/>
    <x v="5"/>
    <x v="0"/>
    <n v="0"/>
    <x v="0"/>
    <n v="4"/>
    <n v="4.03"/>
    <n v="8.0299999999999994"/>
    <x v="199"/>
    <x v="0"/>
    <x v="57"/>
    <n v="0"/>
    <x v="0"/>
    <x v="1"/>
  </r>
  <r>
    <x v="0"/>
    <x v="7"/>
    <x v="0"/>
    <n v="0"/>
    <x v="0"/>
    <n v="3.2"/>
    <n v="4.8499999999999996"/>
    <n v="8.0500000000000007"/>
    <x v="1032"/>
    <x v="0"/>
    <x v="57"/>
    <n v="0"/>
    <x v="0"/>
    <x v="1"/>
  </r>
  <r>
    <x v="0"/>
    <x v="8"/>
    <x v="402"/>
    <n v="6.87"/>
    <x v="930"/>
    <n v="6.99"/>
    <n v="1.07"/>
    <n v="8.06"/>
    <x v="1033"/>
    <x v="929"/>
    <x v="57"/>
    <n v="81.999999996"/>
    <x v="0"/>
    <x v="1"/>
  </r>
  <r>
    <x v="1"/>
    <x v="9"/>
    <x v="73"/>
    <n v="4.1500000000000004"/>
    <x v="931"/>
    <n v="7.26"/>
    <n v="0.8"/>
    <n v="8.06"/>
    <x v="1034"/>
    <x v="930"/>
    <x v="57"/>
    <n v="60"/>
    <x v="1"/>
    <x v="1"/>
  </r>
  <r>
    <x v="1"/>
    <x v="10"/>
    <x v="569"/>
    <n v="6.97"/>
    <x v="932"/>
    <n v="2.1"/>
    <n v="5.97"/>
    <n v="8.07"/>
    <x v="1035"/>
    <x v="931"/>
    <x v="57"/>
    <n v="182.00000003999997"/>
    <x v="1"/>
    <x v="1"/>
  </r>
  <r>
    <x v="1"/>
    <x v="11"/>
    <x v="570"/>
    <n v="1.52"/>
    <x v="933"/>
    <n v="7.31"/>
    <n v="0.8"/>
    <n v="8.11"/>
    <x v="176"/>
    <x v="932"/>
    <x v="57"/>
    <n v="29.4"/>
    <x v="1"/>
    <x v="1"/>
  </r>
  <r>
    <x v="1"/>
    <x v="12"/>
    <x v="459"/>
    <n v="0.97"/>
    <x v="934"/>
    <n v="5.44"/>
    <n v="2.64"/>
    <n v="8.08"/>
    <x v="1036"/>
    <x v="933"/>
    <x v="57"/>
    <n v="18.84"/>
    <x v="1"/>
    <x v="1"/>
  </r>
  <r>
    <x v="1"/>
    <x v="13"/>
    <x v="571"/>
    <n v="4.28"/>
    <x v="935"/>
    <n v="6.16"/>
    <n v="1.95"/>
    <n v="8.11"/>
    <x v="1037"/>
    <x v="934"/>
    <x v="57"/>
    <n v="50.840000003999997"/>
    <x v="1"/>
    <x v="1"/>
  </r>
  <r>
    <x v="2"/>
    <x v="15"/>
    <x v="328"/>
    <n v="6.47"/>
    <x v="936"/>
    <n v="7.74"/>
    <n v="0.38"/>
    <n v="8.1199999999999992"/>
    <x v="54"/>
    <x v="935"/>
    <x v="57"/>
    <n v="57.999999996"/>
    <x v="3"/>
    <x v="1"/>
  </r>
  <r>
    <x v="2"/>
    <x v="17"/>
    <x v="334"/>
    <n v="2.4300000000000002"/>
    <x v="937"/>
    <n v="2.92"/>
    <n v="5.62"/>
    <n v="8.5399999999999991"/>
    <x v="1038"/>
    <x v="199"/>
    <x v="57"/>
    <n v="8.0000000040000003"/>
    <x v="3"/>
    <x v="1"/>
  </r>
  <r>
    <x v="2"/>
    <x v="18"/>
    <x v="532"/>
    <n v="3.9"/>
    <x v="660"/>
    <n v="6.53"/>
    <n v="1.73"/>
    <n v="8.26"/>
    <x v="1039"/>
    <x v="936"/>
    <x v="57"/>
    <n v="32.000000004"/>
    <x v="3"/>
    <x v="1"/>
  </r>
  <r>
    <x v="2"/>
    <x v="19"/>
    <x v="54"/>
    <n v="2.0299999999999998"/>
    <x v="938"/>
    <n v="3.6"/>
    <n v="0.26"/>
    <n v="3.86"/>
    <x v="1040"/>
    <x v="937"/>
    <x v="57"/>
    <n v="66"/>
    <x v="2"/>
    <x v="1"/>
  </r>
  <r>
    <x v="2"/>
    <x v="20"/>
    <x v="95"/>
    <n v="3.21"/>
    <x v="939"/>
    <n v="7.31"/>
    <n v="0.7"/>
    <n v="8.01"/>
    <x v="1027"/>
    <x v="938"/>
    <x v="57"/>
    <n v="86.039999999999992"/>
    <x v="5"/>
    <x v="1"/>
  </r>
  <r>
    <x v="2"/>
    <x v="21"/>
    <x v="572"/>
    <n v="6.32"/>
    <x v="940"/>
    <n v="6.32"/>
    <n v="1.5"/>
    <n v="7.82"/>
    <x v="703"/>
    <x v="939"/>
    <x v="57"/>
    <n v="93.47999999999999"/>
    <x v="2"/>
    <x v="1"/>
  </r>
  <r>
    <x v="2"/>
    <x v="23"/>
    <x v="463"/>
    <n v="4.2"/>
    <x v="941"/>
    <n v="1.39"/>
    <n v="7.15"/>
    <n v="8.5399999999999991"/>
    <x v="1041"/>
    <x v="940"/>
    <x v="57"/>
    <n v="5.88"/>
    <x v="3"/>
    <x v="1"/>
  </r>
  <r>
    <x v="2"/>
    <x v="24"/>
    <x v="573"/>
    <n v="6.15"/>
    <x v="942"/>
    <n v="7.12"/>
    <n v="0.87"/>
    <n v="7.99"/>
    <x v="1042"/>
    <x v="287"/>
    <x v="57"/>
    <n v="48.080000004000006"/>
    <x v="5"/>
    <x v="1"/>
  </r>
  <r>
    <x v="2"/>
    <x v="25"/>
    <x v="194"/>
    <n v="6.32"/>
    <x v="943"/>
    <n v="6.31"/>
    <n v="1.51"/>
    <n v="7.82"/>
    <x v="1043"/>
    <x v="941"/>
    <x v="57"/>
    <n v="99.359999999999985"/>
    <x v="2"/>
    <x v="1"/>
  </r>
  <r>
    <x v="2"/>
    <x v="26"/>
    <x v="552"/>
    <n v="2.2999999999999998"/>
    <x v="944"/>
    <n v="7.58"/>
    <n v="0.61"/>
    <n v="8.19"/>
    <x v="685"/>
    <x v="942"/>
    <x v="57"/>
    <n v="27.999999996000003"/>
    <x v="3"/>
    <x v="1"/>
  </r>
  <r>
    <x v="2"/>
    <x v="27"/>
    <x v="574"/>
    <n v="6.59"/>
    <x v="945"/>
    <n v="7.21"/>
    <n v="0.91"/>
    <n v="8.1199999999999992"/>
    <x v="1044"/>
    <x v="943"/>
    <x v="57"/>
    <n v="95.480000004000004"/>
    <x v="5"/>
    <x v="1"/>
  </r>
  <r>
    <x v="2"/>
    <x v="29"/>
    <x v="575"/>
    <n v="5.46"/>
    <x v="946"/>
    <n v="7.67"/>
    <n v="0.35"/>
    <n v="8.02"/>
    <x v="1045"/>
    <x v="944"/>
    <x v="57"/>
    <n v="61.880000003999996"/>
    <x v="5"/>
    <x v="1"/>
  </r>
  <r>
    <x v="2"/>
    <x v="30"/>
    <x v="576"/>
    <n v="1.33"/>
    <x v="947"/>
    <n v="7.29"/>
    <n v="0.66"/>
    <n v="7.95"/>
    <x v="82"/>
    <x v="945"/>
    <x v="57"/>
    <n v="20.319999996"/>
    <x v="5"/>
    <x v="1"/>
  </r>
  <r>
    <x v="2"/>
    <x v="31"/>
    <x v="92"/>
    <n v="5.66"/>
    <x v="948"/>
    <n v="7.61"/>
    <n v="0.21"/>
    <n v="7.82"/>
    <x v="1046"/>
    <x v="946"/>
    <x v="57"/>
    <n v="69"/>
    <x v="2"/>
    <x v="1"/>
  </r>
  <r>
    <x v="2"/>
    <x v="32"/>
    <x v="0"/>
    <n v="0"/>
    <x v="0"/>
    <n v="4.4400000000000004"/>
    <n v="4.0999999999999996"/>
    <n v="8.5399999999999991"/>
    <x v="1047"/>
    <x v="0"/>
    <x v="57"/>
    <n v="0"/>
    <x v="3"/>
    <x v="1"/>
  </r>
  <r>
    <x v="2"/>
    <x v="33"/>
    <x v="172"/>
    <n v="7.18"/>
    <x v="949"/>
    <n v="7.38"/>
    <n v="0.72"/>
    <n v="8.1"/>
    <x v="1048"/>
    <x v="947"/>
    <x v="57"/>
    <n v="65.64"/>
    <x v="3"/>
    <x v="1"/>
  </r>
  <r>
    <x v="2"/>
    <x v="35"/>
    <x v="577"/>
    <n v="6.62"/>
    <x v="950"/>
    <n v="7.41"/>
    <n v="2.39"/>
    <n v="9.8000000000000007"/>
    <x v="1049"/>
    <x v="948"/>
    <x v="57"/>
    <n v="194.00000004"/>
    <x v="2"/>
    <x v="1"/>
  </r>
  <r>
    <x v="2"/>
    <x v="36"/>
    <x v="0"/>
    <n v="0"/>
    <x v="0"/>
    <n v="7.78"/>
    <n v="0.14000000000000001"/>
    <n v="7.92"/>
    <x v="463"/>
    <x v="0"/>
    <x v="57"/>
    <n v="0"/>
    <x v="4"/>
    <x v="1"/>
  </r>
  <r>
    <x v="2"/>
    <x v="37"/>
    <x v="301"/>
    <n v="5.86"/>
    <x v="951"/>
    <n v="7.43"/>
    <n v="0.45"/>
    <n v="7.88"/>
    <x v="906"/>
    <x v="949"/>
    <x v="57"/>
    <n v="29.000000003999997"/>
    <x v="4"/>
    <x v="1"/>
  </r>
  <r>
    <x v="2"/>
    <x v="38"/>
    <x v="578"/>
    <n v="5.27"/>
    <x v="952"/>
    <n v="6.77"/>
    <n v="2.67"/>
    <n v="9.44"/>
    <x v="1050"/>
    <x v="950"/>
    <x v="57"/>
    <n v="152.00000003999997"/>
    <x v="2"/>
    <x v="1"/>
  </r>
  <r>
    <x v="2"/>
    <x v="39"/>
    <x v="457"/>
    <n v="4.8600000000000003"/>
    <x v="953"/>
    <n v="5.0599999999999996"/>
    <n v="2.76"/>
    <n v="7.82"/>
    <x v="1051"/>
    <x v="951"/>
    <x v="57"/>
    <n v="119.000000004"/>
    <x v="2"/>
    <x v="1"/>
  </r>
  <r>
    <x v="2"/>
    <x v="40"/>
    <x v="579"/>
    <n v="2.8"/>
    <x v="954"/>
    <n v="7.73"/>
    <n v="0.4"/>
    <n v="8.1300000000000008"/>
    <x v="1052"/>
    <x v="952"/>
    <x v="57"/>
    <n v="12.6"/>
    <x v="3"/>
    <x v="1"/>
  </r>
  <r>
    <x v="2"/>
    <x v="42"/>
    <x v="580"/>
    <n v="5.15"/>
    <x v="955"/>
    <n v="7.05"/>
    <n v="0.83"/>
    <n v="7.88"/>
    <x v="1053"/>
    <x v="953"/>
    <x v="57"/>
    <n v="84"/>
    <x v="2"/>
    <x v="1"/>
  </r>
  <r>
    <x v="2"/>
    <x v="43"/>
    <x v="365"/>
    <n v="5.82"/>
    <x v="956"/>
    <n v="6.02"/>
    <n v="2.09"/>
    <n v="8.11"/>
    <x v="1054"/>
    <x v="251"/>
    <x v="57"/>
    <n v="47.000000004"/>
    <x v="3"/>
    <x v="1"/>
  </r>
  <r>
    <x v="2"/>
    <x v="44"/>
    <x v="119"/>
    <n v="5.95"/>
    <x v="957"/>
    <n v="5.96"/>
    <n v="2.2400000000000002"/>
    <n v="8.1999999999999993"/>
    <x v="1055"/>
    <x v="954"/>
    <x v="57"/>
    <n v="46.92"/>
    <x v="3"/>
    <x v="1"/>
  </r>
  <r>
    <x v="2"/>
    <x v="45"/>
    <x v="0"/>
    <n v="0"/>
    <x v="0"/>
    <n v="7.53"/>
    <n v="0.51"/>
    <n v="8.0399999999999991"/>
    <x v="1056"/>
    <x v="0"/>
    <x v="57"/>
    <n v="0"/>
    <x v="4"/>
    <x v="1"/>
  </r>
  <r>
    <x v="2"/>
    <x v="48"/>
    <x v="0"/>
    <n v="0"/>
    <x v="0"/>
    <n v="0"/>
    <n v="0"/>
    <n v="0"/>
    <x v="0"/>
    <x v="0"/>
    <x v="57"/>
    <n v="0"/>
    <x v="6"/>
    <x v="0"/>
  </r>
  <r>
    <x v="2"/>
    <x v="49"/>
    <x v="4"/>
    <n v="7.0000000000000007E-2"/>
    <x v="958"/>
    <n v="6.12"/>
    <n v="1.99"/>
    <n v="8.11"/>
    <x v="1057"/>
    <x v="955"/>
    <x v="57"/>
    <n v="12"/>
    <x v="3"/>
    <x v="1"/>
  </r>
  <r>
    <x v="2"/>
    <x v="50"/>
    <x v="142"/>
    <n v="5.42"/>
    <x v="959"/>
    <n v="7.23"/>
    <n v="0.63"/>
    <n v="7.86"/>
    <x v="348"/>
    <x v="956"/>
    <x v="57"/>
    <n v="72"/>
    <x v="4"/>
    <x v="1"/>
  </r>
  <r>
    <x v="0"/>
    <x v="0"/>
    <x v="0"/>
    <n v="0"/>
    <x v="0"/>
    <n v="0"/>
    <n v="0"/>
    <n v="0"/>
    <x v="0"/>
    <x v="0"/>
    <x v="58"/>
    <n v="0"/>
    <x v="0"/>
    <x v="0"/>
  </r>
  <r>
    <x v="0"/>
    <x v="1"/>
    <x v="0"/>
    <n v="0"/>
    <x v="0"/>
    <n v="0"/>
    <n v="0"/>
    <n v="0"/>
    <x v="0"/>
    <x v="0"/>
    <x v="58"/>
    <n v="0"/>
    <x v="0"/>
    <x v="0"/>
  </r>
  <r>
    <x v="0"/>
    <x v="2"/>
    <x v="0"/>
    <n v="0"/>
    <x v="0"/>
    <n v="0"/>
    <n v="0"/>
    <n v="0"/>
    <x v="0"/>
    <x v="0"/>
    <x v="58"/>
    <n v="0"/>
    <x v="0"/>
    <x v="0"/>
  </r>
  <r>
    <x v="0"/>
    <x v="4"/>
    <x v="0"/>
    <n v="0"/>
    <x v="0"/>
    <n v="7.47"/>
    <n v="1.55"/>
    <n v="9.02"/>
    <x v="1058"/>
    <x v="0"/>
    <x v="58"/>
    <n v="0"/>
    <x v="0"/>
    <x v="1"/>
  </r>
  <r>
    <x v="0"/>
    <x v="5"/>
    <x v="0"/>
    <n v="0"/>
    <x v="0"/>
    <n v="0"/>
    <n v="0"/>
    <n v="0"/>
    <x v="0"/>
    <x v="0"/>
    <x v="58"/>
    <n v="0"/>
    <x v="0"/>
    <x v="0"/>
  </r>
  <r>
    <x v="0"/>
    <x v="6"/>
    <x v="0"/>
    <n v="0"/>
    <x v="0"/>
    <n v="7.47"/>
    <n v="1.54"/>
    <n v="9.01"/>
    <x v="1059"/>
    <x v="0"/>
    <x v="58"/>
    <n v="0"/>
    <x v="0"/>
    <x v="1"/>
  </r>
  <r>
    <x v="0"/>
    <x v="8"/>
    <x v="0"/>
    <n v="0"/>
    <x v="0"/>
    <n v="7.55"/>
    <n v="1.47"/>
    <n v="9.02"/>
    <x v="664"/>
    <x v="0"/>
    <x v="58"/>
    <n v="0"/>
    <x v="0"/>
    <x v="1"/>
  </r>
  <r>
    <x v="1"/>
    <x v="9"/>
    <x v="0"/>
    <n v="0"/>
    <x v="0"/>
    <n v="0"/>
    <n v="0"/>
    <n v="0"/>
    <x v="0"/>
    <x v="0"/>
    <x v="58"/>
    <n v="0"/>
    <x v="1"/>
    <x v="0"/>
  </r>
  <r>
    <x v="1"/>
    <x v="10"/>
    <x v="0"/>
    <n v="0"/>
    <x v="0"/>
    <n v="0"/>
    <n v="0"/>
    <n v="0"/>
    <x v="0"/>
    <x v="0"/>
    <x v="58"/>
    <n v="0"/>
    <x v="1"/>
    <x v="0"/>
  </r>
  <r>
    <x v="2"/>
    <x v="14"/>
    <x v="0"/>
    <n v="0"/>
    <x v="0"/>
    <n v="0"/>
    <n v="0"/>
    <n v="0"/>
    <x v="0"/>
    <x v="0"/>
    <x v="58"/>
    <n v="0"/>
    <x v="2"/>
    <x v="0"/>
  </r>
  <r>
    <x v="2"/>
    <x v="15"/>
    <x v="0"/>
    <n v="0"/>
    <x v="0"/>
    <n v="0"/>
    <n v="0"/>
    <n v="0"/>
    <x v="0"/>
    <x v="0"/>
    <x v="58"/>
    <n v="0"/>
    <x v="3"/>
    <x v="0"/>
  </r>
  <r>
    <x v="2"/>
    <x v="16"/>
    <x v="0"/>
    <n v="0"/>
    <x v="0"/>
    <n v="0"/>
    <n v="0"/>
    <n v="0"/>
    <x v="0"/>
    <x v="0"/>
    <x v="58"/>
    <n v="0"/>
    <x v="4"/>
    <x v="0"/>
  </r>
  <r>
    <x v="2"/>
    <x v="17"/>
    <x v="0"/>
    <n v="0"/>
    <x v="0"/>
    <n v="0"/>
    <n v="0"/>
    <n v="0"/>
    <x v="0"/>
    <x v="0"/>
    <x v="58"/>
    <n v="0"/>
    <x v="3"/>
    <x v="0"/>
  </r>
  <r>
    <x v="2"/>
    <x v="18"/>
    <x v="581"/>
    <n v="3.93"/>
    <x v="960"/>
    <n v="3.91"/>
    <n v="3.94"/>
    <n v="7.85"/>
    <x v="199"/>
    <x v="957"/>
    <x v="58"/>
    <n v="44.199999996000003"/>
    <x v="3"/>
    <x v="1"/>
  </r>
  <r>
    <x v="2"/>
    <x v="19"/>
    <x v="0"/>
    <n v="0"/>
    <x v="0"/>
    <n v="0"/>
    <n v="0"/>
    <n v="0"/>
    <x v="0"/>
    <x v="0"/>
    <x v="58"/>
    <n v="0"/>
    <x v="2"/>
    <x v="0"/>
  </r>
  <r>
    <x v="2"/>
    <x v="21"/>
    <x v="0"/>
    <n v="0"/>
    <x v="0"/>
    <n v="0"/>
    <n v="0"/>
    <n v="0"/>
    <x v="0"/>
    <x v="0"/>
    <x v="58"/>
    <n v="0"/>
    <x v="2"/>
    <x v="0"/>
  </r>
  <r>
    <x v="2"/>
    <x v="22"/>
    <x v="0"/>
    <n v="0"/>
    <x v="0"/>
    <n v="0"/>
    <n v="0"/>
    <n v="0"/>
    <x v="0"/>
    <x v="0"/>
    <x v="58"/>
    <n v="0"/>
    <x v="4"/>
    <x v="0"/>
  </r>
  <r>
    <x v="2"/>
    <x v="23"/>
    <x v="0"/>
    <n v="0"/>
    <x v="0"/>
    <n v="0"/>
    <n v="0"/>
    <n v="0"/>
    <x v="0"/>
    <x v="0"/>
    <x v="58"/>
    <n v="0"/>
    <x v="3"/>
    <x v="0"/>
  </r>
  <r>
    <x v="2"/>
    <x v="25"/>
    <x v="0"/>
    <n v="0"/>
    <x v="0"/>
    <n v="0"/>
    <n v="0"/>
    <n v="0"/>
    <x v="0"/>
    <x v="0"/>
    <x v="58"/>
    <n v="0"/>
    <x v="2"/>
    <x v="0"/>
  </r>
  <r>
    <x v="2"/>
    <x v="26"/>
    <x v="582"/>
    <n v="2.9"/>
    <x v="961"/>
    <n v="5.7"/>
    <n v="2.17"/>
    <n v="7.87"/>
    <x v="1060"/>
    <x v="958"/>
    <x v="58"/>
    <n v="33.6"/>
    <x v="3"/>
    <x v="1"/>
  </r>
  <r>
    <x v="2"/>
    <x v="29"/>
    <x v="0"/>
    <n v="0"/>
    <x v="0"/>
    <n v="0"/>
    <n v="0"/>
    <n v="0"/>
    <x v="0"/>
    <x v="0"/>
    <x v="58"/>
    <n v="0"/>
    <x v="5"/>
    <x v="0"/>
  </r>
  <r>
    <x v="2"/>
    <x v="31"/>
    <x v="186"/>
    <n v="2.1"/>
    <x v="962"/>
    <n v="6.87"/>
    <n v="1.04"/>
    <n v="7.91"/>
    <x v="1061"/>
    <x v="959"/>
    <x v="58"/>
    <n v="45"/>
    <x v="2"/>
    <x v="1"/>
  </r>
  <r>
    <x v="2"/>
    <x v="32"/>
    <x v="0"/>
    <n v="0"/>
    <x v="0"/>
    <n v="0"/>
    <n v="0"/>
    <n v="0"/>
    <x v="0"/>
    <x v="0"/>
    <x v="58"/>
    <n v="0"/>
    <x v="3"/>
    <x v="0"/>
  </r>
  <r>
    <x v="2"/>
    <x v="34"/>
    <x v="0"/>
    <n v="0"/>
    <x v="0"/>
    <n v="0"/>
    <n v="0"/>
    <n v="0"/>
    <x v="0"/>
    <x v="0"/>
    <x v="58"/>
    <n v="0"/>
    <x v="4"/>
    <x v="0"/>
  </r>
  <r>
    <x v="2"/>
    <x v="35"/>
    <x v="583"/>
    <n v="2.95"/>
    <x v="963"/>
    <n v="4.8499999999999996"/>
    <n v="3.06"/>
    <n v="7.91"/>
    <x v="1062"/>
    <x v="960"/>
    <x v="58"/>
    <n v="30.839999999999996"/>
    <x v="2"/>
    <x v="1"/>
  </r>
  <r>
    <x v="2"/>
    <x v="36"/>
    <x v="0"/>
    <n v="0"/>
    <x v="0"/>
    <n v="0"/>
    <n v="0"/>
    <n v="0"/>
    <x v="0"/>
    <x v="0"/>
    <x v="58"/>
    <n v="0"/>
    <x v="4"/>
    <x v="0"/>
  </r>
  <r>
    <x v="2"/>
    <x v="37"/>
    <x v="0"/>
    <n v="0"/>
    <x v="0"/>
    <n v="0"/>
    <n v="0"/>
    <n v="0"/>
    <x v="0"/>
    <x v="0"/>
    <x v="58"/>
    <n v="0"/>
    <x v="4"/>
    <x v="0"/>
  </r>
  <r>
    <x v="2"/>
    <x v="38"/>
    <x v="0"/>
    <n v="0"/>
    <x v="0"/>
    <n v="0"/>
    <n v="0"/>
    <n v="0"/>
    <x v="0"/>
    <x v="0"/>
    <x v="58"/>
    <n v="0"/>
    <x v="2"/>
    <x v="0"/>
  </r>
  <r>
    <x v="2"/>
    <x v="39"/>
    <x v="0"/>
    <n v="0"/>
    <x v="0"/>
    <n v="0"/>
    <n v="0"/>
    <n v="0"/>
    <x v="0"/>
    <x v="0"/>
    <x v="58"/>
    <n v="0"/>
    <x v="2"/>
    <x v="0"/>
  </r>
  <r>
    <x v="2"/>
    <x v="40"/>
    <x v="584"/>
    <n v="6.56"/>
    <x v="964"/>
    <n v="5.12"/>
    <n v="2.7"/>
    <n v="7.82"/>
    <x v="1063"/>
    <x v="961"/>
    <x v="58"/>
    <n v="79.839999995999989"/>
    <x v="3"/>
    <x v="1"/>
  </r>
  <r>
    <x v="2"/>
    <x v="41"/>
    <x v="0"/>
    <n v="0"/>
    <x v="0"/>
    <n v="0"/>
    <n v="0"/>
    <n v="0"/>
    <x v="0"/>
    <x v="0"/>
    <x v="58"/>
    <n v="0"/>
    <x v="5"/>
    <x v="0"/>
  </r>
  <r>
    <x v="2"/>
    <x v="42"/>
    <x v="585"/>
    <n v="5.13"/>
    <x v="965"/>
    <n v="5.65"/>
    <n v="2.25"/>
    <n v="7.9"/>
    <x v="1064"/>
    <x v="962"/>
    <x v="58"/>
    <n v="52.479999995999989"/>
    <x v="2"/>
    <x v="1"/>
  </r>
  <r>
    <x v="2"/>
    <x v="43"/>
    <x v="30"/>
    <n v="2.64"/>
    <x v="966"/>
    <n v="5.67"/>
    <n v="2.1800000000000002"/>
    <n v="7.85"/>
    <x v="1065"/>
    <x v="963"/>
    <x v="58"/>
    <n v="30.6"/>
    <x v="3"/>
    <x v="1"/>
  </r>
  <r>
    <x v="2"/>
    <x v="44"/>
    <x v="0"/>
    <n v="0"/>
    <x v="0"/>
    <n v="0"/>
    <n v="0"/>
    <n v="0"/>
    <x v="0"/>
    <x v="0"/>
    <x v="58"/>
    <n v="0"/>
    <x v="3"/>
    <x v="0"/>
  </r>
  <r>
    <x v="2"/>
    <x v="45"/>
    <x v="0"/>
    <n v="0"/>
    <x v="0"/>
    <n v="0"/>
    <n v="0"/>
    <n v="0"/>
    <x v="0"/>
    <x v="0"/>
    <x v="58"/>
    <n v="0"/>
    <x v="4"/>
    <x v="0"/>
  </r>
  <r>
    <x v="2"/>
    <x v="46"/>
    <x v="0"/>
    <n v="0"/>
    <x v="0"/>
    <n v="0"/>
    <n v="0"/>
    <n v="0"/>
    <x v="0"/>
    <x v="0"/>
    <x v="58"/>
    <n v="0"/>
    <x v="4"/>
    <x v="0"/>
  </r>
  <r>
    <x v="2"/>
    <x v="47"/>
    <x v="0"/>
    <n v="0"/>
    <x v="0"/>
    <n v="0"/>
    <n v="0"/>
    <n v="0"/>
    <x v="0"/>
    <x v="0"/>
    <x v="58"/>
    <n v="0"/>
    <x v="5"/>
    <x v="0"/>
  </r>
  <r>
    <x v="2"/>
    <x v="48"/>
    <x v="0"/>
    <n v="0"/>
    <x v="0"/>
    <n v="0"/>
    <n v="0"/>
    <n v="0"/>
    <x v="0"/>
    <x v="0"/>
    <x v="58"/>
    <n v="0"/>
    <x v="6"/>
    <x v="0"/>
  </r>
  <r>
    <x v="2"/>
    <x v="49"/>
    <x v="0"/>
    <n v="0"/>
    <x v="0"/>
    <n v="0"/>
    <n v="0"/>
    <n v="0"/>
    <x v="0"/>
    <x v="0"/>
    <x v="58"/>
    <n v="0"/>
    <x v="3"/>
    <x v="0"/>
  </r>
  <r>
    <x v="2"/>
    <x v="50"/>
    <x v="0"/>
    <n v="0"/>
    <x v="0"/>
    <n v="0"/>
    <n v="0"/>
    <n v="0"/>
    <x v="0"/>
    <x v="0"/>
    <x v="58"/>
    <n v="0"/>
    <x v="4"/>
    <x v="0"/>
  </r>
  <r>
    <x v="2"/>
    <x v="15"/>
    <x v="0"/>
    <n v="0"/>
    <x v="0"/>
    <n v="7.9"/>
    <n v="1.41"/>
    <n v="9.31"/>
    <x v="1066"/>
    <x v="0"/>
    <x v="59"/>
    <n v="0"/>
    <x v="3"/>
    <x v="1"/>
  </r>
  <r>
    <x v="2"/>
    <x v="16"/>
    <x v="586"/>
    <n v="7.8"/>
    <x v="967"/>
    <n v="8.68"/>
    <n v="0.34"/>
    <n v="9.02"/>
    <x v="1067"/>
    <x v="964"/>
    <x v="59"/>
    <n v="77.439999995999997"/>
    <x v="4"/>
    <x v="1"/>
  </r>
  <r>
    <x v="2"/>
    <x v="17"/>
    <x v="587"/>
    <n v="1.02"/>
    <x v="968"/>
    <n v="4.6100000000000003"/>
    <n v="6.22"/>
    <n v="10.83"/>
    <x v="1068"/>
    <x v="965"/>
    <x v="59"/>
    <n v="14.279999999999998"/>
    <x v="3"/>
    <x v="1"/>
  </r>
  <r>
    <x v="2"/>
    <x v="18"/>
    <x v="58"/>
    <n v="3.49"/>
    <x v="969"/>
    <n v="5.17"/>
    <n v="4.0199999999999996"/>
    <n v="9.19"/>
    <x v="1069"/>
    <x v="966"/>
    <x v="59"/>
    <n v="42"/>
    <x v="3"/>
    <x v="1"/>
  </r>
  <r>
    <x v="2"/>
    <x v="19"/>
    <x v="588"/>
    <n v="5.58"/>
    <x v="970"/>
    <n v="9.25"/>
    <n v="0.87"/>
    <n v="10.119999999999999"/>
    <x v="1070"/>
    <x v="967"/>
    <x v="59"/>
    <n v="96.680000003999993"/>
    <x v="2"/>
    <x v="1"/>
  </r>
  <r>
    <x v="2"/>
    <x v="21"/>
    <x v="589"/>
    <n v="7.12"/>
    <x v="971"/>
    <n v="7.11"/>
    <n v="0.89"/>
    <n v="8"/>
    <x v="1071"/>
    <x v="968"/>
    <x v="59"/>
    <n v="98.52000000000001"/>
    <x v="2"/>
    <x v="1"/>
  </r>
  <r>
    <x v="2"/>
    <x v="23"/>
    <x v="590"/>
    <n v="7.58"/>
    <x v="972"/>
    <n v="0"/>
    <n v="9.58"/>
    <n v="9.58"/>
    <x v="0"/>
    <x v="969"/>
    <x v="59"/>
    <n v="17.079999996000002"/>
    <x v="3"/>
    <x v="1"/>
  </r>
  <r>
    <x v="2"/>
    <x v="30"/>
    <x v="591"/>
    <n v="5.4"/>
    <x v="973"/>
    <n v="7.92"/>
    <n v="0.23"/>
    <n v="8.15"/>
    <x v="76"/>
    <x v="970"/>
    <x v="59"/>
    <n v="91.92"/>
    <x v="5"/>
    <x v="1"/>
  </r>
  <r>
    <x v="2"/>
    <x v="35"/>
    <x v="592"/>
    <n v="7.15"/>
    <x v="974"/>
    <n v="7.33"/>
    <n v="0.82"/>
    <n v="8.15"/>
    <x v="1072"/>
    <x v="971"/>
    <x v="59"/>
    <n v="129.72"/>
    <x v="2"/>
    <x v="1"/>
  </r>
  <r>
    <x v="2"/>
    <x v="37"/>
    <x v="593"/>
    <n v="1.65"/>
    <x v="975"/>
    <n v="10.7"/>
    <n v="0.4"/>
    <n v="11.1"/>
    <x v="953"/>
    <x v="972"/>
    <x v="59"/>
    <n v="30.359999999999996"/>
    <x v="4"/>
    <x v="1"/>
  </r>
  <r>
    <x v="2"/>
    <x v="38"/>
    <x v="594"/>
    <n v="6.31"/>
    <x v="976"/>
    <n v="8.4499999999999993"/>
    <n v="1.56"/>
    <n v="10.01"/>
    <x v="1073"/>
    <x v="973"/>
    <x v="59"/>
    <n v="84.999999996"/>
    <x v="2"/>
    <x v="1"/>
  </r>
  <r>
    <x v="2"/>
    <x v="39"/>
    <x v="55"/>
    <n v="6.28"/>
    <x v="977"/>
    <n v="6.28"/>
    <n v="1.69"/>
    <n v="7.97"/>
    <x v="266"/>
    <x v="974"/>
    <x v="59"/>
    <n v="96"/>
    <x v="2"/>
    <x v="1"/>
  </r>
  <r>
    <x v="2"/>
    <x v="41"/>
    <x v="0"/>
    <n v="0"/>
    <x v="0"/>
    <n v="0"/>
    <n v="0"/>
    <n v="0"/>
    <x v="0"/>
    <x v="0"/>
    <x v="59"/>
    <n v="0"/>
    <x v="5"/>
    <x v="0"/>
  </r>
  <r>
    <x v="2"/>
    <x v="42"/>
    <x v="595"/>
    <n v="5.16"/>
    <x v="978"/>
    <n v="7.45"/>
    <n v="0.56999999999999995"/>
    <n v="8.02"/>
    <x v="1074"/>
    <x v="975"/>
    <x v="59"/>
    <n v="98.559999996000002"/>
    <x v="2"/>
    <x v="1"/>
  </r>
  <r>
    <x v="2"/>
    <x v="43"/>
    <x v="279"/>
    <n v="2.8"/>
    <x v="979"/>
    <n v="7.85"/>
    <n v="1.46"/>
    <n v="9.31"/>
    <x v="1075"/>
    <x v="976"/>
    <x v="59"/>
    <n v="21"/>
    <x v="3"/>
    <x v="1"/>
  </r>
  <r>
    <x v="2"/>
    <x v="44"/>
    <x v="596"/>
    <n v="1.62"/>
    <x v="980"/>
    <n v="4.96"/>
    <n v="4.05"/>
    <n v="9.01"/>
    <x v="1076"/>
    <x v="706"/>
    <x v="59"/>
    <n v="20.000000004"/>
    <x v="3"/>
    <x v="1"/>
  </r>
  <r>
    <x v="2"/>
    <x v="45"/>
    <x v="0"/>
    <n v="0"/>
    <x v="0"/>
    <n v="7.25"/>
    <n v="0.88"/>
    <n v="8.1300000000000008"/>
    <x v="506"/>
    <x v="0"/>
    <x v="59"/>
    <n v="0"/>
    <x v="4"/>
    <x v="1"/>
  </r>
  <r>
    <x v="2"/>
    <x v="46"/>
    <x v="597"/>
    <n v="5.48"/>
    <x v="981"/>
    <n v="9.66"/>
    <n v="0.34"/>
    <n v="10"/>
    <x v="386"/>
    <x v="977"/>
    <x v="59"/>
    <n v="25.68"/>
    <x v="4"/>
    <x v="1"/>
  </r>
  <r>
    <x v="2"/>
    <x v="47"/>
    <x v="550"/>
    <n v="4.72"/>
    <x v="982"/>
    <n v="7.25"/>
    <n v="0.8"/>
    <n v="8.0500000000000007"/>
    <x v="1077"/>
    <x v="978"/>
    <x v="59"/>
    <n v="143.00000003999997"/>
    <x v="5"/>
    <x v="1"/>
  </r>
  <r>
    <x v="2"/>
    <x v="49"/>
    <x v="598"/>
    <n v="4.83"/>
    <x v="983"/>
    <n v="7.34"/>
    <n v="1.83"/>
    <n v="9.17"/>
    <x v="1078"/>
    <x v="979"/>
    <x v="59"/>
    <n v="17.000000004"/>
    <x v="3"/>
    <x v="1"/>
  </r>
  <r>
    <x v="2"/>
    <x v="50"/>
    <x v="599"/>
    <n v="8.6999999999999993"/>
    <x v="984"/>
    <n v="9.23"/>
    <n v="0.77"/>
    <n v="10"/>
    <x v="1079"/>
    <x v="980"/>
    <x v="59"/>
    <n v="129.99999996000003"/>
    <x v="4"/>
    <x v="1"/>
  </r>
  <r>
    <x v="0"/>
    <x v="0"/>
    <x v="0"/>
    <n v="0"/>
    <x v="0"/>
    <n v="7.39"/>
    <n v="0.65"/>
    <n v="8.0399999999999991"/>
    <x v="1080"/>
    <x v="0"/>
    <x v="60"/>
    <n v="0"/>
    <x v="0"/>
    <x v="1"/>
  </r>
  <r>
    <x v="0"/>
    <x v="1"/>
    <x v="0"/>
    <n v="0"/>
    <x v="0"/>
    <n v="5.4"/>
    <n v="2.65"/>
    <n v="8.0500000000000007"/>
    <x v="1081"/>
    <x v="0"/>
    <x v="60"/>
    <n v="0"/>
    <x v="0"/>
    <x v="1"/>
  </r>
  <r>
    <x v="0"/>
    <x v="2"/>
    <x v="0"/>
    <n v="0"/>
    <x v="0"/>
    <n v="5.4"/>
    <n v="2.65"/>
    <n v="8.0500000000000007"/>
    <x v="1081"/>
    <x v="0"/>
    <x v="60"/>
    <n v="0"/>
    <x v="0"/>
    <x v="1"/>
  </r>
  <r>
    <x v="0"/>
    <x v="3"/>
    <x v="0"/>
    <n v="0"/>
    <x v="0"/>
    <n v="7.54"/>
    <n v="0.55000000000000004"/>
    <n v="8.09"/>
    <x v="1082"/>
    <x v="0"/>
    <x v="60"/>
    <n v="0"/>
    <x v="0"/>
    <x v="1"/>
  </r>
  <r>
    <x v="0"/>
    <x v="4"/>
    <x v="0"/>
    <n v="0"/>
    <x v="0"/>
    <n v="7.76"/>
    <n v="0.25"/>
    <n v="8.01"/>
    <x v="1083"/>
    <x v="0"/>
    <x v="60"/>
    <n v="0"/>
    <x v="0"/>
    <x v="1"/>
  </r>
  <r>
    <x v="0"/>
    <x v="5"/>
    <x v="0"/>
    <n v="0"/>
    <x v="0"/>
    <n v="5.4"/>
    <n v="2.65"/>
    <n v="8.0500000000000007"/>
    <x v="1081"/>
    <x v="0"/>
    <x v="60"/>
    <n v="0"/>
    <x v="0"/>
    <x v="1"/>
  </r>
  <r>
    <x v="0"/>
    <x v="6"/>
    <x v="0"/>
    <n v="0"/>
    <x v="0"/>
    <n v="7.78"/>
    <n v="0.23"/>
    <n v="8.01"/>
    <x v="612"/>
    <x v="0"/>
    <x v="60"/>
    <n v="0"/>
    <x v="0"/>
    <x v="1"/>
  </r>
  <r>
    <x v="0"/>
    <x v="7"/>
    <x v="0"/>
    <n v="0"/>
    <x v="0"/>
    <n v="7.52"/>
    <n v="0.55000000000000004"/>
    <n v="8.07"/>
    <x v="1084"/>
    <x v="0"/>
    <x v="60"/>
    <n v="0"/>
    <x v="0"/>
    <x v="1"/>
  </r>
  <r>
    <x v="0"/>
    <x v="8"/>
    <x v="0"/>
    <n v="0"/>
    <x v="0"/>
    <n v="9.73"/>
    <n v="0.45"/>
    <n v="10.18"/>
    <x v="1085"/>
    <x v="0"/>
    <x v="60"/>
    <n v="0"/>
    <x v="0"/>
    <x v="1"/>
  </r>
  <r>
    <x v="1"/>
    <x v="9"/>
    <x v="0"/>
    <n v="0"/>
    <x v="0"/>
    <n v="3.83"/>
    <n v="4.2300000000000004"/>
    <n v="8.06"/>
    <x v="15"/>
    <x v="0"/>
    <x v="60"/>
    <n v="0"/>
    <x v="1"/>
    <x v="1"/>
  </r>
  <r>
    <x v="1"/>
    <x v="10"/>
    <x v="0"/>
    <n v="0"/>
    <x v="0"/>
    <n v="3.03"/>
    <n v="5.03"/>
    <n v="8.06"/>
    <x v="1086"/>
    <x v="0"/>
    <x v="60"/>
    <n v="0"/>
    <x v="1"/>
    <x v="1"/>
  </r>
  <r>
    <x v="1"/>
    <x v="11"/>
    <x v="0"/>
    <n v="0"/>
    <x v="0"/>
    <n v="5.0599999999999996"/>
    <n v="3.09"/>
    <n v="8.15"/>
    <x v="1087"/>
    <x v="0"/>
    <x v="60"/>
    <n v="0"/>
    <x v="1"/>
    <x v="1"/>
  </r>
  <r>
    <x v="1"/>
    <x v="12"/>
    <x v="0"/>
    <n v="0"/>
    <x v="0"/>
    <n v="5.42"/>
    <n v="2.73"/>
    <n v="8.15"/>
    <x v="1088"/>
    <x v="0"/>
    <x v="60"/>
    <n v="0"/>
    <x v="1"/>
    <x v="1"/>
  </r>
  <r>
    <x v="1"/>
    <x v="13"/>
    <x v="0"/>
    <n v="0"/>
    <x v="0"/>
    <n v="0"/>
    <n v="0.02"/>
    <n v="0.02"/>
    <x v="0"/>
    <x v="0"/>
    <x v="60"/>
    <n v="0"/>
    <x v="1"/>
    <x v="1"/>
  </r>
  <r>
    <x v="2"/>
    <x v="14"/>
    <x v="0"/>
    <n v="0"/>
    <x v="0"/>
    <n v="0"/>
    <n v="0"/>
    <n v="0"/>
    <x v="0"/>
    <x v="0"/>
    <x v="60"/>
    <n v="0"/>
    <x v="2"/>
    <x v="0"/>
  </r>
  <r>
    <x v="2"/>
    <x v="15"/>
    <x v="600"/>
    <n v="0.68"/>
    <x v="985"/>
    <n v="7.92"/>
    <n v="0.49"/>
    <n v="8.41"/>
    <x v="1089"/>
    <x v="165"/>
    <x v="60"/>
    <n v="21.999999996"/>
    <x v="3"/>
    <x v="1"/>
  </r>
  <r>
    <x v="2"/>
    <x v="19"/>
    <x v="601"/>
    <n v="7.32"/>
    <x v="986"/>
    <n v="10.17"/>
    <n v="0.72"/>
    <n v="10.89"/>
    <x v="624"/>
    <x v="981"/>
    <x v="60"/>
    <n v="128.00000003999997"/>
    <x v="2"/>
    <x v="1"/>
  </r>
  <r>
    <x v="2"/>
    <x v="21"/>
    <x v="602"/>
    <n v="5.39"/>
    <x v="987"/>
    <n v="7.1"/>
    <n v="0.64"/>
    <n v="7.74"/>
    <x v="1090"/>
    <x v="672"/>
    <x v="60"/>
    <n v="44.88"/>
    <x v="2"/>
    <x v="1"/>
  </r>
  <r>
    <x v="2"/>
    <x v="22"/>
    <x v="4"/>
    <n v="3.02"/>
    <x v="988"/>
    <n v="8.25"/>
    <n v="1.7"/>
    <n v="9.9499999999999993"/>
    <x v="1059"/>
    <x v="982"/>
    <x v="60"/>
    <n v="12"/>
    <x v="4"/>
    <x v="1"/>
  </r>
  <r>
    <x v="2"/>
    <x v="23"/>
    <x v="603"/>
    <n v="0.67"/>
    <x v="989"/>
    <n v="1.32"/>
    <n v="7.08"/>
    <n v="8.4"/>
    <x v="1091"/>
    <x v="983"/>
    <x v="60"/>
    <n v="2.6399999999999997"/>
    <x v="3"/>
    <x v="1"/>
  </r>
  <r>
    <x v="2"/>
    <x v="24"/>
    <x v="604"/>
    <n v="6.75"/>
    <x v="990"/>
    <n v="7.7"/>
    <n v="0.31"/>
    <n v="8.01"/>
    <x v="762"/>
    <x v="984"/>
    <x v="60"/>
    <n v="65.240000003999995"/>
    <x v="5"/>
    <x v="1"/>
  </r>
  <r>
    <x v="2"/>
    <x v="25"/>
    <x v="605"/>
    <n v="5.42"/>
    <x v="991"/>
    <n v="7.13"/>
    <n v="0.63"/>
    <n v="7.76"/>
    <x v="924"/>
    <x v="985"/>
    <x v="60"/>
    <n v="55.08"/>
    <x v="2"/>
    <x v="1"/>
  </r>
  <r>
    <x v="2"/>
    <x v="27"/>
    <x v="185"/>
    <n v="2.08"/>
    <x v="992"/>
    <n v="7.69"/>
    <n v="0.32"/>
    <n v="8.01"/>
    <x v="168"/>
    <x v="207"/>
    <x v="60"/>
    <n v="36.36"/>
    <x v="5"/>
    <x v="1"/>
  </r>
  <r>
    <x v="2"/>
    <x v="30"/>
    <x v="348"/>
    <n v="5.62"/>
    <x v="993"/>
    <n v="7.23"/>
    <n v="0.76"/>
    <n v="7.99"/>
    <x v="895"/>
    <x v="986"/>
    <x v="60"/>
    <n v="110.000000004"/>
    <x v="5"/>
    <x v="1"/>
  </r>
  <r>
    <x v="2"/>
    <x v="33"/>
    <x v="579"/>
    <n v="6.05"/>
    <x v="994"/>
    <n v="4.09"/>
    <n v="2.48"/>
    <n v="6.57"/>
    <x v="898"/>
    <x v="987"/>
    <x v="60"/>
    <n v="12.6"/>
    <x v="3"/>
    <x v="1"/>
  </r>
  <r>
    <x v="2"/>
    <x v="36"/>
    <x v="606"/>
    <n v="10.220000000000001"/>
    <x v="995"/>
    <n v="8.1300000000000008"/>
    <n v="2.16"/>
    <n v="10.29"/>
    <x v="1092"/>
    <x v="988"/>
    <x v="60"/>
    <n v="92.000000004"/>
    <x v="4"/>
    <x v="1"/>
  </r>
  <r>
    <x v="2"/>
    <x v="37"/>
    <x v="607"/>
    <n v="0.52"/>
    <x v="912"/>
    <n v="8.49"/>
    <n v="1.47"/>
    <n v="9.9600000000000009"/>
    <x v="1093"/>
    <x v="153"/>
    <x v="60"/>
    <n v="1.8"/>
    <x v="4"/>
    <x v="1"/>
  </r>
  <r>
    <x v="2"/>
    <x v="39"/>
    <x v="493"/>
    <n v="5.32"/>
    <x v="962"/>
    <n v="7.27"/>
    <n v="0.56999999999999995"/>
    <n v="7.84"/>
    <x v="1094"/>
    <x v="989"/>
    <x v="60"/>
    <n v="114"/>
    <x v="2"/>
    <x v="1"/>
  </r>
  <r>
    <x v="2"/>
    <x v="42"/>
    <x v="608"/>
    <n v="6.76"/>
    <x v="996"/>
    <n v="7.63"/>
    <n v="0.13"/>
    <n v="7.76"/>
    <x v="1095"/>
    <x v="990"/>
    <x v="60"/>
    <n v="110.36000000400001"/>
    <x v="2"/>
    <x v="1"/>
  </r>
  <r>
    <x v="2"/>
    <x v="44"/>
    <x v="0"/>
    <n v="0"/>
    <x v="0"/>
    <n v="6.47"/>
    <n v="1.8"/>
    <n v="8.27"/>
    <x v="1096"/>
    <x v="0"/>
    <x v="60"/>
    <n v="0"/>
    <x v="3"/>
    <x v="1"/>
  </r>
  <r>
    <x v="2"/>
    <x v="45"/>
    <x v="0"/>
    <n v="0"/>
    <x v="0"/>
    <n v="5.6"/>
    <n v="2.5099999999999998"/>
    <n v="8.11"/>
    <x v="1097"/>
    <x v="0"/>
    <x v="60"/>
    <n v="0"/>
    <x v="4"/>
    <x v="1"/>
  </r>
  <r>
    <x v="2"/>
    <x v="46"/>
    <x v="609"/>
    <n v="6.27"/>
    <x v="997"/>
    <n v="8.18"/>
    <n v="0.35"/>
    <n v="8.5299999999999994"/>
    <x v="746"/>
    <x v="991"/>
    <x v="60"/>
    <n v="29.28"/>
    <x v="4"/>
    <x v="1"/>
  </r>
  <r>
    <x v="2"/>
    <x v="47"/>
    <x v="610"/>
    <n v="7.15"/>
    <x v="998"/>
    <n v="7.93"/>
    <n v="0.08"/>
    <n v="8.01"/>
    <x v="550"/>
    <x v="992"/>
    <x v="60"/>
    <n v="202.47999996000001"/>
    <x v="5"/>
    <x v="1"/>
  </r>
  <r>
    <x v="2"/>
    <x v="48"/>
    <x v="0"/>
    <n v="0"/>
    <x v="0"/>
    <n v="0"/>
    <n v="0"/>
    <n v="0"/>
    <x v="0"/>
    <x v="0"/>
    <x v="60"/>
    <n v="0"/>
    <x v="6"/>
    <x v="0"/>
  </r>
  <r>
    <x v="2"/>
    <x v="50"/>
    <x v="611"/>
    <n v="9.9600000000000009"/>
    <x v="999"/>
    <n v="9.7100000000000009"/>
    <n v="0.28999999999999998"/>
    <n v="10"/>
    <x v="1098"/>
    <x v="993"/>
    <x v="60"/>
    <n v="207.08000004000002"/>
    <x v="4"/>
    <x v="1"/>
  </r>
  <r>
    <x v="0"/>
    <x v="0"/>
    <x v="0"/>
    <n v="0"/>
    <x v="0"/>
    <n v="7.42"/>
    <n v="0.57999999999999996"/>
    <n v="8"/>
    <x v="298"/>
    <x v="0"/>
    <x v="61"/>
    <n v="0"/>
    <x v="0"/>
    <x v="1"/>
  </r>
  <r>
    <x v="0"/>
    <x v="1"/>
    <x v="0"/>
    <n v="0"/>
    <x v="0"/>
    <n v="0"/>
    <n v="0"/>
    <n v="0"/>
    <x v="0"/>
    <x v="0"/>
    <x v="61"/>
    <n v="0"/>
    <x v="0"/>
    <x v="0"/>
  </r>
  <r>
    <x v="0"/>
    <x v="2"/>
    <x v="0"/>
    <n v="0"/>
    <x v="0"/>
    <n v="0"/>
    <n v="0"/>
    <n v="0"/>
    <x v="0"/>
    <x v="0"/>
    <x v="61"/>
    <n v="0"/>
    <x v="0"/>
    <x v="0"/>
  </r>
  <r>
    <x v="0"/>
    <x v="3"/>
    <x v="0"/>
    <n v="0"/>
    <x v="0"/>
    <n v="0"/>
    <n v="0"/>
    <n v="0"/>
    <x v="0"/>
    <x v="0"/>
    <x v="61"/>
    <n v="0"/>
    <x v="0"/>
    <x v="0"/>
  </r>
  <r>
    <x v="0"/>
    <x v="4"/>
    <x v="0"/>
    <n v="0"/>
    <x v="0"/>
    <n v="0"/>
    <n v="0"/>
    <n v="0"/>
    <x v="0"/>
    <x v="0"/>
    <x v="61"/>
    <n v="0"/>
    <x v="0"/>
    <x v="0"/>
  </r>
  <r>
    <x v="0"/>
    <x v="5"/>
    <x v="0"/>
    <n v="0"/>
    <x v="0"/>
    <n v="0"/>
    <n v="0"/>
    <n v="0"/>
    <x v="0"/>
    <x v="0"/>
    <x v="61"/>
    <n v="0"/>
    <x v="0"/>
    <x v="0"/>
  </r>
  <r>
    <x v="0"/>
    <x v="6"/>
    <x v="0"/>
    <n v="0"/>
    <x v="0"/>
    <n v="0"/>
    <n v="0"/>
    <n v="0"/>
    <x v="0"/>
    <x v="0"/>
    <x v="61"/>
    <n v="0"/>
    <x v="0"/>
    <x v="0"/>
  </r>
  <r>
    <x v="0"/>
    <x v="7"/>
    <x v="0"/>
    <n v="0"/>
    <x v="0"/>
    <n v="0"/>
    <n v="0"/>
    <n v="0"/>
    <x v="0"/>
    <x v="0"/>
    <x v="61"/>
    <n v="0"/>
    <x v="0"/>
    <x v="0"/>
  </r>
  <r>
    <x v="0"/>
    <x v="8"/>
    <x v="0"/>
    <n v="0"/>
    <x v="0"/>
    <n v="7.48"/>
    <n v="0.6"/>
    <n v="8.08"/>
    <x v="1099"/>
    <x v="0"/>
    <x v="61"/>
    <n v="0"/>
    <x v="0"/>
    <x v="1"/>
  </r>
  <r>
    <x v="1"/>
    <x v="9"/>
    <x v="0"/>
    <n v="0"/>
    <x v="0"/>
    <n v="0"/>
    <n v="0"/>
    <n v="0"/>
    <x v="0"/>
    <x v="0"/>
    <x v="61"/>
    <n v="0"/>
    <x v="1"/>
    <x v="0"/>
  </r>
  <r>
    <x v="1"/>
    <x v="10"/>
    <x v="0"/>
    <n v="0"/>
    <x v="0"/>
    <n v="8.0299999999999994"/>
    <n v="0.04"/>
    <n v="8.07"/>
    <x v="1100"/>
    <x v="0"/>
    <x v="61"/>
    <n v="0"/>
    <x v="1"/>
    <x v="1"/>
  </r>
  <r>
    <x v="1"/>
    <x v="11"/>
    <x v="307"/>
    <n v="0.04"/>
    <x v="603"/>
    <n v="5.32"/>
    <n v="2.76"/>
    <n v="8.08"/>
    <x v="949"/>
    <x v="994"/>
    <x v="61"/>
    <n v="3.9999999960000006"/>
    <x v="1"/>
    <x v="1"/>
  </r>
  <r>
    <x v="1"/>
    <x v="12"/>
    <x v="0"/>
    <n v="0"/>
    <x v="0"/>
    <n v="0"/>
    <n v="0"/>
    <n v="0"/>
    <x v="0"/>
    <x v="0"/>
    <x v="61"/>
    <n v="0"/>
    <x v="1"/>
    <x v="0"/>
  </r>
  <r>
    <x v="1"/>
    <x v="13"/>
    <x v="0"/>
    <n v="0"/>
    <x v="0"/>
    <n v="0"/>
    <n v="0"/>
    <n v="0"/>
    <x v="0"/>
    <x v="0"/>
    <x v="61"/>
    <n v="0"/>
    <x v="1"/>
    <x v="0"/>
  </r>
  <r>
    <x v="2"/>
    <x v="14"/>
    <x v="0"/>
    <n v="0"/>
    <x v="0"/>
    <n v="0"/>
    <n v="0"/>
    <n v="0"/>
    <x v="0"/>
    <x v="0"/>
    <x v="61"/>
    <n v="0"/>
    <x v="2"/>
    <x v="0"/>
  </r>
  <r>
    <x v="2"/>
    <x v="15"/>
    <x v="0"/>
    <n v="0"/>
    <x v="0"/>
    <n v="0"/>
    <n v="0"/>
    <n v="0"/>
    <x v="0"/>
    <x v="0"/>
    <x v="61"/>
    <n v="0"/>
    <x v="3"/>
    <x v="0"/>
  </r>
  <r>
    <x v="2"/>
    <x v="19"/>
    <x v="599"/>
    <n v="4.59"/>
    <x v="1000"/>
    <n v="6.26"/>
    <n v="1.83"/>
    <n v="8.09"/>
    <x v="1101"/>
    <x v="995"/>
    <x v="61"/>
    <n v="129.99999996000003"/>
    <x v="2"/>
    <x v="1"/>
  </r>
  <r>
    <x v="2"/>
    <x v="21"/>
    <x v="0"/>
    <n v="0"/>
    <x v="0"/>
    <n v="0"/>
    <n v="0"/>
    <n v="0"/>
    <x v="0"/>
    <x v="0"/>
    <x v="61"/>
    <n v="0"/>
    <x v="2"/>
    <x v="0"/>
  </r>
  <r>
    <x v="2"/>
    <x v="22"/>
    <x v="0"/>
    <n v="0"/>
    <x v="0"/>
    <n v="0"/>
    <n v="0"/>
    <n v="0"/>
    <x v="0"/>
    <x v="0"/>
    <x v="61"/>
    <n v="0"/>
    <x v="4"/>
    <x v="0"/>
  </r>
  <r>
    <x v="2"/>
    <x v="23"/>
    <x v="612"/>
    <n v="5.65"/>
    <x v="1001"/>
    <n v="3.05"/>
    <n v="5.0199999999999996"/>
    <n v="8.07"/>
    <x v="1102"/>
    <x v="996"/>
    <x v="61"/>
    <n v="30.119999999999997"/>
    <x v="3"/>
    <x v="1"/>
  </r>
  <r>
    <x v="2"/>
    <x v="24"/>
    <x v="613"/>
    <n v="7.4"/>
    <x v="1002"/>
    <n v="4.59"/>
    <n v="3.46"/>
    <n v="8.0500000000000007"/>
    <x v="1103"/>
    <x v="997"/>
    <x v="61"/>
    <n v="93.039999995999992"/>
    <x v="5"/>
    <x v="1"/>
  </r>
  <r>
    <x v="2"/>
    <x v="25"/>
    <x v="418"/>
    <n v="4.3899999999999997"/>
    <x v="1003"/>
    <n v="5.81"/>
    <n v="2.29"/>
    <n v="8.1"/>
    <x v="1104"/>
    <x v="211"/>
    <x v="61"/>
    <n v="80.000000004"/>
    <x v="2"/>
    <x v="1"/>
  </r>
  <r>
    <x v="2"/>
    <x v="26"/>
    <x v="614"/>
    <n v="2.98"/>
    <x v="1004"/>
    <n v="2.98"/>
    <n v="5.08"/>
    <n v="8.06"/>
    <x v="1105"/>
    <x v="998"/>
    <x v="61"/>
    <n v="28.920000000000005"/>
    <x v="3"/>
    <x v="1"/>
  </r>
  <r>
    <x v="2"/>
    <x v="27"/>
    <x v="615"/>
    <n v="7.96"/>
    <x v="1005"/>
    <n v="4.5999999999999996"/>
    <n v="3.46"/>
    <n v="8.06"/>
    <x v="1106"/>
    <x v="999"/>
    <x v="61"/>
    <n v="149.55999995999997"/>
    <x v="5"/>
    <x v="1"/>
  </r>
  <r>
    <x v="2"/>
    <x v="29"/>
    <x v="616"/>
    <n v="5.88"/>
    <x v="1006"/>
    <n v="4.38"/>
    <n v="3.68"/>
    <n v="8.06"/>
    <x v="1107"/>
    <x v="1000"/>
    <x v="61"/>
    <n v="74.919999996000001"/>
    <x v="5"/>
    <x v="1"/>
  </r>
  <r>
    <x v="2"/>
    <x v="30"/>
    <x v="606"/>
    <n v="5.4"/>
    <x v="1007"/>
    <n v="5.75"/>
    <n v="2.3199999999999998"/>
    <n v="8.07"/>
    <x v="1108"/>
    <x v="1001"/>
    <x v="61"/>
    <n v="92.000000004"/>
    <x v="5"/>
    <x v="1"/>
  </r>
  <r>
    <x v="2"/>
    <x v="31"/>
    <x v="617"/>
    <n v="4.99"/>
    <x v="1008"/>
    <n v="3.88"/>
    <n v="4.18"/>
    <n v="8.06"/>
    <x v="1109"/>
    <x v="1002"/>
    <x v="61"/>
    <n v="78.320000003999994"/>
    <x v="2"/>
    <x v="1"/>
  </r>
  <r>
    <x v="2"/>
    <x v="32"/>
    <x v="0"/>
    <n v="0"/>
    <x v="0"/>
    <n v="0"/>
    <n v="0"/>
    <n v="0"/>
    <x v="0"/>
    <x v="0"/>
    <x v="61"/>
    <n v="0"/>
    <x v="3"/>
    <x v="0"/>
  </r>
  <r>
    <x v="2"/>
    <x v="33"/>
    <x v="0"/>
    <n v="0"/>
    <x v="0"/>
    <n v="0"/>
    <n v="0"/>
    <n v="0"/>
    <x v="0"/>
    <x v="0"/>
    <x v="61"/>
    <n v="0"/>
    <x v="3"/>
    <x v="0"/>
  </r>
  <r>
    <x v="2"/>
    <x v="35"/>
    <x v="0"/>
    <n v="0"/>
    <x v="0"/>
    <n v="0"/>
    <n v="0"/>
    <n v="0"/>
    <x v="0"/>
    <x v="0"/>
    <x v="61"/>
    <n v="0"/>
    <x v="2"/>
    <x v="0"/>
  </r>
  <r>
    <x v="2"/>
    <x v="37"/>
    <x v="0"/>
    <n v="0"/>
    <x v="0"/>
    <n v="0"/>
    <n v="0"/>
    <n v="0"/>
    <x v="0"/>
    <x v="0"/>
    <x v="61"/>
    <n v="0"/>
    <x v="4"/>
    <x v="0"/>
  </r>
  <r>
    <x v="2"/>
    <x v="39"/>
    <x v="342"/>
    <n v="1.95"/>
    <x v="1009"/>
    <n v="5.01"/>
    <n v="3.05"/>
    <n v="8.06"/>
    <x v="1110"/>
    <x v="1003"/>
    <x v="61"/>
    <n v="50.000000004"/>
    <x v="2"/>
    <x v="1"/>
  </r>
  <r>
    <x v="2"/>
    <x v="41"/>
    <x v="0"/>
    <n v="0"/>
    <x v="0"/>
    <n v="0"/>
    <n v="0"/>
    <n v="0"/>
    <x v="0"/>
    <x v="0"/>
    <x v="61"/>
    <n v="0"/>
    <x v="5"/>
    <x v="0"/>
  </r>
  <r>
    <x v="2"/>
    <x v="42"/>
    <x v="618"/>
    <n v="5.6"/>
    <x v="1010"/>
    <n v="5.32"/>
    <n v="2.76"/>
    <n v="8.08"/>
    <x v="949"/>
    <x v="1004"/>
    <x v="61"/>
    <n v="71.720000003999999"/>
    <x v="2"/>
    <x v="1"/>
  </r>
  <r>
    <x v="2"/>
    <x v="43"/>
    <x v="619"/>
    <n v="3.12"/>
    <x v="1011"/>
    <n v="3.12"/>
    <n v="4.95"/>
    <n v="8.07"/>
    <x v="1111"/>
    <x v="1005"/>
    <x v="61"/>
    <n v="25.2"/>
    <x v="3"/>
    <x v="1"/>
  </r>
  <r>
    <x v="2"/>
    <x v="45"/>
    <x v="103"/>
    <n v="3.21"/>
    <x v="1012"/>
    <n v="3.21"/>
    <n v="4.8600000000000003"/>
    <n v="8.07"/>
    <x v="1112"/>
    <x v="1006"/>
    <x v="61"/>
    <n v="27.839999999999996"/>
    <x v="4"/>
    <x v="1"/>
  </r>
  <r>
    <x v="2"/>
    <x v="46"/>
    <x v="0"/>
    <n v="0"/>
    <x v="0"/>
    <n v="0"/>
    <n v="0"/>
    <n v="0"/>
    <x v="0"/>
    <x v="0"/>
    <x v="61"/>
    <n v="0"/>
    <x v="4"/>
    <x v="0"/>
  </r>
  <r>
    <x v="2"/>
    <x v="47"/>
    <x v="620"/>
    <n v="6.65"/>
    <x v="1013"/>
    <n v="5.28"/>
    <n v="2.79"/>
    <n v="8.07"/>
    <x v="1113"/>
    <x v="1007"/>
    <x v="61"/>
    <n v="131.00000003999997"/>
    <x v="5"/>
    <x v="1"/>
  </r>
  <r>
    <x v="2"/>
    <x v="48"/>
    <x v="0"/>
    <n v="0"/>
    <x v="0"/>
    <n v="0"/>
    <n v="0"/>
    <n v="0"/>
    <x v="0"/>
    <x v="0"/>
    <x v="61"/>
    <n v="0"/>
    <x v="6"/>
    <x v="0"/>
  </r>
  <r>
    <x v="2"/>
    <x v="49"/>
    <x v="621"/>
    <n v="5.89"/>
    <x v="1014"/>
    <n v="4.2300000000000004"/>
    <n v="3.82"/>
    <n v="8.0500000000000007"/>
    <x v="1114"/>
    <x v="1008"/>
    <x v="61"/>
    <n v="71.16"/>
    <x v="3"/>
    <x v="1"/>
  </r>
  <r>
    <x v="2"/>
    <x v="50"/>
    <x v="305"/>
    <n v="4.6900000000000004"/>
    <x v="1015"/>
    <n v="7.48"/>
    <n v="0.57999999999999996"/>
    <n v="8.06"/>
    <x v="108"/>
    <x v="1009"/>
    <x v="61"/>
    <n v="23.000000004"/>
    <x v="4"/>
    <x v="1"/>
  </r>
  <r>
    <x v="0"/>
    <x v="0"/>
    <x v="0"/>
    <n v="0"/>
    <x v="0"/>
    <n v="0"/>
    <n v="0"/>
    <n v="0"/>
    <x v="0"/>
    <x v="0"/>
    <x v="62"/>
    <n v="0"/>
    <x v="0"/>
    <x v="0"/>
  </r>
  <r>
    <x v="0"/>
    <x v="1"/>
    <x v="0"/>
    <n v="0"/>
    <x v="0"/>
    <n v="0"/>
    <n v="0"/>
    <n v="0"/>
    <x v="0"/>
    <x v="0"/>
    <x v="62"/>
    <n v="0"/>
    <x v="0"/>
    <x v="0"/>
  </r>
  <r>
    <x v="0"/>
    <x v="2"/>
    <x v="0"/>
    <n v="0"/>
    <x v="0"/>
    <n v="0"/>
    <n v="0"/>
    <n v="0"/>
    <x v="0"/>
    <x v="0"/>
    <x v="62"/>
    <n v="0"/>
    <x v="0"/>
    <x v="0"/>
  </r>
  <r>
    <x v="0"/>
    <x v="3"/>
    <x v="0"/>
    <n v="0"/>
    <x v="0"/>
    <n v="0"/>
    <n v="0"/>
    <n v="0"/>
    <x v="0"/>
    <x v="0"/>
    <x v="62"/>
    <n v="0"/>
    <x v="0"/>
    <x v="0"/>
  </r>
  <r>
    <x v="0"/>
    <x v="4"/>
    <x v="0"/>
    <n v="0"/>
    <x v="0"/>
    <n v="0"/>
    <n v="0"/>
    <n v="0"/>
    <x v="0"/>
    <x v="0"/>
    <x v="62"/>
    <n v="0"/>
    <x v="0"/>
    <x v="0"/>
  </r>
  <r>
    <x v="0"/>
    <x v="5"/>
    <x v="0"/>
    <n v="0"/>
    <x v="0"/>
    <n v="0"/>
    <n v="0"/>
    <n v="0"/>
    <x v="0"/>
    <x v="0"/>
    <x v="62"/>
    <n v="0"/>
    <x v="0"/>
    <x v="0"/>
  </r>
  <r>
    <x v="0"/>
    <x v="6"/>
    <x v="0"/>
    <n v="0"/>
    <x v="0"/>
    <n v="0"/>
    <n v="0"/>
    <n v="0"/>
    <x v="0"/>
    <x v="0"/>
    <x v="62"/>
    <n v="0"/>
    <x v="0"/>
    <x v="0"/>
  </r>
  <r>
    <x v="0"/>
    <x v="7"/>
    <x v="0"/>
    <n v="0"/>
    <x v="0"/>
    <n v="0"/>
    <n v="0"/>
    <n v="0"/>
    <x v="0"/>
    <x v="0"/>
    <x v="62"/>
    <n v="0"/>
    <x v="0"/>
    <x v="0"/>
  </r>
  <r>
    <x v="0"/>
    <x v="8"/>
    <x v="0"/>
    <n v="0"/>
    <x v="0"/>
    <n v="0"/>
    <n v="0"/>
    <n v="0"/>
    <x v="0"/>
    <x v="0"/>
    <x v="62"/>
    <n v="0"/>
    <x v="0"/>
    <x v="0"/>
  </r>
  <r>
    <x v="1"/>
    <x v="9"/>
    <x v="0"/>
    <n v="0"/>
    <x v="0"/>
    <n v="0"/>
    <n v="0"/>
    <n v="0"/>
    <x v="0"/>
    <x v="0"/>
    <x v="62"/>
    <n v="0"/>
    <x v="1"/>
    <x v="0"/>
  </r>
  <r>
    <x v="1"/>
    <x v="10"/>
    <x v="0"/>
    <n v="0"/>
    <x v="0"/>
    <n v="0"/>
    <n v="0"/>
    <n v="0"/>
    <x v="0"/>
    <x v="0"/>
    <x v="62"/>
    <n v="0"/>
    <x v="1"/>
    <x v="0"/>
  </r>
  <r>
    <x v="1"/>
    <x v="11"/>
    <x v="0"/>
    <n v="0"/>
    <x v="0"/>
    <n v="0"/>
    <n v="0"/>
    <n v="0"/>
    <x v="0"/>
    <x v="0"/>
    <x v="62"/>
    <n v="0"/>
    <x v="1"/>
    <x v="0"/>
  </r>
  <r>
    <x v="1"/>
    <x v="12"/>
    <x v="0"/>
    <n v="0"/>
    <x v="0"/>
    <n v="0"/>
    <n v="0"/>
    <n v="0"/>
    <x v="0"/>
    <x v="0"/>
    <x v="62"/>
    <n v="0"/>
    <x v="1"/>
    <x v="0"/>
  </r>
  <r>
    <x v="1"/>
    <x v="13"/>
    <x v="0"/>
    <n v="0"/>
    <x v="0"/>
    <n v="0"/>
    <n v="0"/>
    <n v="0"/>
    <x v="0"/>
    <x v="0"/>
    <x v="62"/>
    <n v="0"/>
    <x v="1"/>
    <x v="0"/>
  </r>
  <r>
    <x v="2"/>
    <x v="14"/>
    <x v="0"/>
    <n v="0"/>
    <x v="0"/>
    <n v="0"/>
    <n v="0"/>
    <n v="0"/>
    <x v="0"/>
    <x v="0"/>
    <x v="62"/>
    <n v="0"/>
    <x v="2"/>
    <x v="0"/>
  </r>
  <r>
    <x v="2"/>
    <x v="15"/>
    <x v="0"/>
    <n v="0"/>
    <x v="0"/>
    <n v="0"/>
    <n v="0"/>
    <n v="0"/>
    <x v="0"/>
    <x v="0"/>
    <x v="62"/>
    <n v="0"/>
    <x v="3"/>
    <x v="0"/>
  </r>
  <r>
    <x v="2"/>
    <x v="16"/>
    <x v="0"/>
    <n v="0"/>
    <x v="0"/>
    <n v="0"/>
    <n v="0"/>
    <n v="0"/>
    <x v="0"/>
    <x v="0"/>
    <x v="62"/>
    <n v="0"/>
    <x v="4"/>
    <x v="0"/>
  </r>
  <r>
    <x v="2"/>
    <x v="17"/>
    <x v="0"/>
    <n v="0"/>
    <x v="0"/>
    <n v="0"/>
    <n v="0"/>
    <n v="0"/>
    <x v="0"/>
    <x v="0"/>
    <x v="62"/>
    <n v="0"/>
    <x v="3"/>
    <x v="0"/>
  </r>
  <r>
    <x v="2"/>
    <x v="18"/>
    <x v="0"/>
    <n v="0"/>
    <x v="0"/>
    <n v="0"/>
    <n v="0"/>
    <n v="0"/>
    <x v="0"/>
    <x v="0"/>
    <x v="62"/>
    <n v="0"/>
    <x v="3"/>
    <x v="0"/>
  </r>
  <r>
    <x v="2"/>
    <x v="19"/>
    <x v="0"/>
    <n v="0"/>
    <x v="0"/>
    <n v="0"/>
    <n v="0"/>
    <n v="0"/>
    <x v="0"/>
    <x v="0"/>
    <x v="62"/>
    <n v="0"/>
    <x v="2"/>
    <x v="0"/>
  </r>
  <r>
    <x v="2"/>
    <x v="20"/>
    <x v="0"/>
    <n v="0"/>
    <x v="0"/>
    <n v="0"/>
    <n v="0"/>
    <n v="0"/>
    <x v="0"/>
    <x v="0"/>
    <x v="62"/>
    <n v="0"/>
    <x v="5"/>
    <x v="0"/>
  </r>
  <r>
    <x v="2"/>
    <x v="21"/>
    <x v="0"/>
    <n v="0"/>
    <x v="0"/>
    <n v="0"/>
    <n v="0"/>
    <n v="0"/>
    <x v="0"/>
    <x v="0"/>
    <x v="62"/>
    <n v="0"/>
    <x v="2"/>
    <x v="0"/>
  </r>
  <r>
    <x v="2"/>
    <x v="22"/>
    <x v="0"/>
    <n v="0"/>
    <x v="0"/>
    <n v="0"/>
    <n v="0"/>
    <n v="0"/>
    <x v="0"/>
    <x v="0"/>
    <x v="62"/>
    <n v="0"/>
    <x v="4"/>
    <x v="0"/>
  </r>
  <r>
    <x v="2"/>
    <x v="23"/>
    <x v="0"/>
    <n v="0"/>
    <x v="0"/>
    <n v="0"/>
    <n v="0"/>
    <n v="0"/>
    <x v="0"/>
    <x v="0"/>
    <x v="62"/>
    <n v="0"/>
    <x v="3"/>
    <x v="0"/>
  </r>
  <r>
    <x v="2"/>
    <x v="24"/>
    <x v="0"/>
    <n v="0"/>
    <x v="0"/>
    <n v="0"/>
    <n v="0"/>
    <n v="0"/>
    <x v="0"/>
    <x v="0"/>
    <x v="62"/>
    <n v="0"/>
    <x v="5"/>
    <x v="0"/>
  </r>
  <r>
    <x v="2"/>
    <x v="25"/>
    <x v="0"/>
    <n v="0"/>
    <x v="0"/>
    <n v="0"/>
    <n v="0"/>
    <n v="0"/>
    <x v="0"/>
    <x v="0"/>
    <x v="62"/>
    <n v="0"/>
    <x v="2"/>
    <x v="0"/>
  </r>
  <r>
    <x v="2"/>
    <x v="26"/>
    <x v="0"/>
    <n v="0"/>
    <x v="0"/>
    <n v="0"/>
    <n v="0"/>
    <n v="0"/>
    <x v="0"/>
    <x v="0"/>
    <x v="62"/>
    <n v="0"/>
    <x v="3"/>
    <x v="0"/>
  </r>
  <r>
    <x v="2"/>
    <x v="27"/>
    <x v="0"/>
    <n v="0"/>
    <x v="0"/>
    <n v="0"/>
    <n v="0"/>
    <n v="0"/>
    <x v="0"/>
    <x v="0"/>
    <x v="62"/>
    <n v="0"/>
    <x v="5"/>
    <x v="0"/>
  </r>
  <r>
    <x v="2"/>
    <x v="29"/>
    <x v="0"/>
    <n v="0"/>
    <x v="0"/>
    <n v="0"/>
    <n v="0"/>
    <n v="0"/>
    <x v="0"/>
    <x v="0"/>
    <x v="62"/>
    <n v="0"/>
    <x v="5"/>
    <x v="0"/>
  </r>
  <r>
    <x v="2"/>
    <x v="30"/>
    <x v="0"/>
    <n v="0"/>
    <x v="0"/>
    <n v="0"/>
    <n v="0"/>
    <n v="0"/>
    <x v="0"/>
    <x v="0"/>
    <x v="62"/>
    <n v="0"/>
    <x v="5"/>
    <x v="0"/>
  </r>
  <r>
    <x v="2"/>
    <x v="31"/>
    <x v="0"/>
    <n v="0"/>
    <x v="0"/>
    <n v="0"/>
    <n v="0"/>
    <n v="0"/>
    <x v="0"/>
    <x v="0"/>
    <x v="62"/>
    <n v="0"/>
    <x v="2"/>
    <x v="0"/>
  </r>
  <r>
    <x v="2"/>
    <x v="32"/>
    <x v="0"/>
    <n v="0"/>
    <x v="0"/>
    <n v="0"/>
    <n v="0"/>
    <n v="0"/>
    <x v="0"/>
    <x v="0"/>
    <x v="62"/>
    <n v="0"/>
    <x v="3"/>
    <x v="0"/>
  </r>
  <r>
    <x v="2"/>
    <x v="33"/>
    <x v="0"/>
    <n v="0"/>
    <x v="0"/>
    <n v="0"/>
    <n v="0"/>
    <n v="0"/>
    <x v="0"/>
    <x v="0"/>
    <x v="62"/>
    <n v="0"/>
    <x v="3"/>
    <x v="0"/>
  </r>
  <r>
    <x v="2"/>
    <x v="34"/>
    <x v="0"/>
    <n v="0"/>
    <x v="0"/>
    <n v="0"/>
    <n v="0"/>
    <n v="0"/>
    <x v="0"/>
    <x v="0"/>
    <x v="62"/>
    <n v="0"/>
    <x v="4"/>
    <x v="0"/>
  </r>
  <r>
    <x v="2"/>
    <x v="35"/>
    <x v="0"/>
    <n v="0"/>
    <x v="0"/>
    <n v="0"/>
    <n v="0"/>
    <n v="0"/>
    <x v="0"/>
    <x v="0"/>
    <x v="62"/>
    <n v="0"/>
    <x v="2"/>
    <x v="0"/>
  </r>
  <r>
    <x v="2"/>
    <x v="36"/>
    <x v="0"/>
    <n v="0"/>
    <x v="0"/>
    <n v="0"/>
    <n v="0"/>
    <n v="0"/>
    <x v="0"/>
    <x v="0"/>
    <x v="62"/>
    <n v="0"/>
    <x v="4"/>
    <x v="0"/>
  </r>
  <r>
    <x v="2"/>
    <x v="37"/>
    <x v="0"/>
    <n v="0"/>
    <x v="0"/>
    <n v="0"/>
    <n v="0"/>
    <n v="0"/>
    <x v="0"/>
    <x v="0"/>
    <x v="62"/>
    <n v="0"/>
    <x v="4"/>
    <x v="0"/>
  </r>
  <r>
    <x v="2"/>
    <x v="38"/>
    <x v="0"/>
    <n v="0"/>
    <x v="0"/>
    <n v="0"/>
    <n v="0"/>
    <n v="0"/>
    <x v="0"/>
    <x v="0"/>
    <x v="62"/>
    <n v="0"/>
    <x v="2"/>
    <x v="0"/>
  </r>
  <r>
    <x v="2"/>
    <x v="39"/>
    <x v="0"/>
    <n v="0"/>
    <x v="0"/>
    <n v="0"/>
    <n v="0"/>
    <n v="0"/>
    <x v="0"/>
    <x v="0"/>
    <x v="62"/>
    <n v="0"/>
    <x v="2"/>
    <x v="0"/>
  </r>
  <r>
    <x v="2"/>
    <x v="40"/>
    <x v="0"/>
    <n v="0"/>
    <x v="0"/>
    <n v="0"/>
    <n v="0"/>
    <n v="0"/>
    <x v="0"/>
    <x v="0"/>
    <x v="62"/>
    <n v="0"/>
    <x v="3"/>
    <x v="0"/>
  </r>
  <r>
    <x v="2"/>
    <x v="41"/>
    <x v="0"/>
    <n v="0"/>
    <x v="0"/>
    <n v="0"/>
    <n v="0"/>
    <n v="0"/>
    <x v="0"/>
    <x v="0"/>
    <x v="62"/>
    <n v="0"/>
    <x v="5"/>
    <x v="0"/>
  </r>
  <r>
    <x v="2"/>
    <x v="42"/>
    <x v="0"/>
    <n v="0"/>
    <x v="0"/>
    <n v="0"/>
    <n v="0"/>
    <n v="0"/>
    <x v="0"/>
    <x v="0"/>
    <x v="62"/>
    <n v="0"/>
    <x v="2"/>
    <x v="0"/>
  </r>
  <r>
    <x v="2"/>
    <x v="43"/>
    <x v="0"/>
    <n v="0"/>
    <x v="0"/>
    <n v="0"/>
    <n v="0"/>
    <n v="0"/>
    <x v="0"/>
    <x v="0"/>
    <x v="62"/>
    <n v="0"/>
    <x v="3"/>
    <x v="0"/>
  </r>
  <r>
    <x v="2"/>
    <x v="44"/>
    <x v="0"/>
    <n v="0"/>
    <x v="0"/>
    <n v="0"/>
    <n v="0"/>
    <n v="0"/>
    <x v="0"/>
    <x v="0"/>
    <x v="62"/>
    <n v="0"/>
    <x v="3"/>
    <x v="0"/>
  </r>
  <r>
    <x v="2"/>
    <x v="45"/>
    <x v="0"/>
    <n v="0"/>
    <x v="0"/>
    <n v="0"/>
    <n v="0"/>
    <n v="0"/>
    <x v="0"/>
    <x v="0"/>
    <x v="62"/>
    <n v="0"/>
    <x v="4"/>
    <x v="0"/>
  </r>
  <r>
    <x v="2"/>
    <x v="46"/>
    <x v="0"/>
    <n v="0"/>
    <x v="0"/>
    <n v="0"/>
    <n v="0"/>
    <n v="0"/>
    <x v="0"/>
    <x v="0"/>
    <x v="62"/>
    <n v="0"/>
    <x v="4"/>
    <x v="0"/>
  </r>
  <r>
    <x v="2"/>
    <x v="47"/>
    <x v="0"/>
    <n v="0"/>
    <x v="0"/>
    <n v="0"/>
    <n v="0"/>
    <n v="0"/>
    <x v="0"/>
    <x v="0"/>
    <x v="62"/>
    <n v="0"/>
    <x v="5"/>
    <x v="0"/>
  </r>
  <r>
    <x v="2"/>
    <x v="48"/>
    <x v="0"/>
    <n v="0"/>
    <x v="0"/>
    <n v="0"/>
    <n v="0"/>
    <n v="0"/>
    <x v="0"/>
    <x v="0"/>
    <x v="62"/>
    <n v="0"/>
    <x v="6"/>
    <x v="0"/>
  </r>
  <r>
    <x v="2"/>
    <x v="49"/>
    <x v="0"/>
    <n v="0"/>
    <x v="0"/>
    <n v="0"/>
    <n v="0"/>
    <n v="0"/>
    <x v="0"/>
    <x v="0"/>
    <x v="62"/>
    <n v="0"/>
    <x v="3"/>
    <x v="0"/>
  </r>
  <r>
    <x v="2"/>
    <x v="50"/>
    <x v="0"/>
    <n v="0"/>
    <x v="0"/>
    <n v="0"/>
    <n v="0"/>
    <n v="0"/>
    <x v="0"/>
    <x v="0"/>
    <x v="62"/>
    <n v="0"/>
    <x v="4"/>
    <x v="0"/>
  </r>
  <r>
    <x v="0"/>
    <x v="1"/>
    <x v="0"/>
    <n v="0"/>
    <x v="0"/>
    <n v="7.62"/>
    <n v="0.23"/>
    <n v="7.85"/>
    <x v="1115"/>
    <x v="0"/>
    <x v="63"/>
    <n v="0"/>
    <x v="0"/>
    <x v="1"/>
  </r>
  <r>
    <x v="0"/>
    <x v="2"/>
    <x v="0"/>
    <n v="0"/>
    <x v="0"/>
    <n v="7.62"/>
    <n v="0.23"/>
    <n v="7.85"/>
    <x v="1115"/>
    <x v="0"/>
    <x v="63"/>
    <n v="0"/>
    <x v="0"/>
    <x v="1"/>
  </r>
  <r>
    <x v="0"/>
    <x v="4"/>
    <x v="622"/>
    <n v="2.73"/>
    <x v="1016"/>
    <n v="7.63"/>
    <n v="0.22"/>
    <n v="7.85"/>
    <x v="1116"/>
    <x v="1010"/>
    <x v="63"/>
    <n v="23.52"/>
    <x v="0"/>
    <x v="1"/>
  </r>
  <r>
    <x v="0"/>
    <x v="5"/>
    <x v="0"/>
    <n v="0"/>
    <x v="0"/>
    <n v="7.6"/>
    <n v="0.24"/>
    <n v="7.84"/>
    <x v="1117"/>
    <x v="0"/>
    <x v="63"/>
    <n v="0"/>
    <x v="0"/>
    <x v="1"/>
  </r>
  <r>
    <x v="0"/>
    <x v="6"/>
    <x v="622"/>
    <n v="2.73"/>
    <x v="1016"/>
    <n v="7.63"/>
    <n v="0.22"/>
    <n v="7.85"/>
    <x v="1116"/>
    <x v="1010"/>
    <x v="63"/>
    <n v="23.52"/>
    <x v="0"/>
    <x v="1"/>
  </r>
  <r>
    <x v="0"/>
    <x v="7"/>
    <x v="622"/>
    <n v="4.5999999999999996"/>
    <x v="1017"/>
    <n v="7.52"/>
    <n v="0.33"/>
    <n v="7.85"/>
    <x v="481"/>
    <x v="1010"/>
    <x v="63"/>
    <n v="23.52"/>
    <x v="0"/>
    <x v="1"/>
  </r>
  <r>
    <x v="0"/>
    <x v="8"/>
    <x v="622"/>
    <n v="3.15"/>
    <x v="1018"/>
    <n v="7.55"/>
    <n v="0.31"/>
    <n v="7.86"/>
    <x v="1118"/>
    <x v="1011"/>
    <x v="63"/>
    <n v="23.52"/>
    <x v="0"/>
    <x v="1"/>
  </r>
  <r>
    <x v="1"/>
    <x v="9"/>
    <x v="0"/>
    <n v="0"/>
    <x v="0"/>
    <n v="5.84"/>
    <n v="2.02"/>
    <n v="7.86"/>
    <x v="1119"/>
    <x v="0"/>
    <x v="63"/>
    <n v="0"/>
    <x v="1"/>
    <x v="1"/>
  </r>
  <r>
    <x v="1"/>
    <x v="10"/>
    <x v="258"/>
    <n v="1.56"/>
    <x v="1019"/>
    <n v="8.33"/>
    <n v="2.5299999999999998"/>
    <n v="10.86"/>
    <x v="1120"/>
    <x v="1012"/>
    <x v="63"/>
    <n v="33"/>
    <x v="1"/>
    <x v="1"/>
  </r>
  <r>
    <x v="1"/>
    <x v="11"/>
    <x v="623"/>
    <n v="4.3899999999999997"/>
    <x v="1020"/>
    <n v="4.97"/>
    <n v="3"/>
    <n v="7.97"/>
    <x v="1121"/>
    <x v="1013"/>
    <x v="63"/>
    <n v="113.36000000400001"/>
    <x v="1"/>
    <x v="1"/>
  </r>
  <r>
    <x v="1"/>
    <x v="12"/>
    <x v="624"/>
    <n v="7.99"/>
    <x v="1021"/>
    <n v="5.85"/>
    <n v="3.56"/>
    <n v="9.41"/>
    <x v="1122"/>
    <x v="1014"/>
    <x v="63"/>
    <n v="48.480000000000004"/>
    <x v="1"/>
    <x v="1"/>
  </r>
  <r>
    <x v="1"/>
    <x v="13"/>
    <x v="625"/>
    <n v="0.98"/>
    <x v="1022"/>
    <n v="6.94"/>
    <n v="2.4700000000000002"/>
    <n v="9.41"/>
    <x v="1123"/>
    <x v="1015"/>
    <x v="63"/>
    <n v="6.24"/>
    <x v="1"/>
    <x v="1"/>
  </r>
  <r>
    <x v="2"/>
    <x v="14"/>
    <x v="626"/>
    <n v="5.0999999999999996"/>
    <x v="1023"/>
    <n v="7.07"/>
    <n v="0.92"/>
    <n v="7.99"/>
    <x v="1124"/>
    <x v="1016"/>
    <x v="63"/>
    <n v="138"/>
    <x v="2"/>
    <x v="1"/>
  </r>
  <r>
    <x v="2"/>
    <x v="15"/>
    <x v="552"/>
    <n v="5.31"/>
    <x v="1024"/>
    <n v="9.81"/>
    <n v="0.31"/>
    <n v="10.119999999999999"/>
    <x v="1117"/>
    <x v="1017"/>
    <x v="63"/>
    <n v="27.999999996000003"/>
    <x v="3"/>
    <x v="1"/>
  </r>
  <r>
    <x v="2"/>
    <x v="16"/>
    <x v="627"/>
    <n v="3.65"/>
    <x v="1025"/>
    <n v="7.2"/>
    <n v="0.94"/>
    <n v="8.14"/>
    <x v="1125"/>
    <x v="328"/>
    <x v="63"/>
    <n v="25.08"/>
    <x v="4"/>
    <x v="1"/>
  </r>
  <r>
    <x v="2"/>
    <x v="17"/>
    <x v="0"/>
    <n v="0"/>
    <x v="0"/>
    <n v="6.45"/>
    <n v="3.66"/>
    <n v="10.11"/>
    <x v="1126"/>
    <x v="0"/>
    <x v="63"/>
    <n v="0"/>
    <x v="3"/>
    <x v="1"/>
  </r>
  <r>
    <x v="2"/>
    <x v="18"/>
    <x v="628"/>
    <n v="0.86"/>
    <x v="1026"/>
    <n v="6.7"/>
    <n v="1.42"/>
    <n v="8.1199999999999992"/>
    <x v="970"/>
    <x v="1018"/>
    <x v="63"/>
    <n v="16.479999995999997"/>
    <x v="3"/>
    <x v="1"/>
  </r>
  <r>
    <x v="2"/>
    <x v="20"/>
    <x v="571"/>
    <n v="1.95"/>
    <x v="1027"/>
    <n v="7.56"/>
    <n v="1.04"/>
    <n v="8.6"/>
    <x v="1127"/>
    <x v="440"/>
    <x v="63"/>
    <n v="50.840000003999997"/>
    <x v="5"/>
    <x v="1"/>
  </r>
  <r>
    <x v="2"/>
    <x v="21"/>
    <x v="629"/>
    <n v="6.76"/>
    <x v="1028"/>
    <n v="7.32"/>
    <n v="0.71"/>
    <n v="8.0299999999999994"/>
    <x v="1128"/>
    <x v="1019"/>
    <x v="63"/>
    <n v="101.720000004"/>
    <x v="2"/>
    <x v="1"/>
  </r>
  <r>
    <x v="2"/>
    <x v="22"/>
    <x v="376"/>
    <n v="3.98"/>
    <x v="1029"/>
    <n v="7.78"/>
    <n v="2.0099999999999998"/>
    <n v="9.7899999999999991"/>
    <x v="1129"/>
    <x v="1020"/>
    <x v="63"/>
    <n v="48.999999996"/>
    <x v="4"/>
    <x v="1"/>
  </r>
  <r>
    <x v="2"/>
    <x v="23"/>
    <x v="7"/>
    <n v="1.3"/>
    <x v="1030"/>
    <n v="8.3800000000000008"/>
    <n v="1.74"/>
    <n v="10.119999999999999"/>
    <x v="1130"/>
    <x v="1021"/>
    <x v="63"/>
    <n v="3"/>
    <x v="3"/>
    <x v="1"/>
  </r>
  <r>
    <x v="2"/>
    <x v="24"/>
    <x v="110"/>
    <n v="3.46"/>
    <x v="1031"/>
    <n v="7.28"/>
    <n v="0.6"/>
    <n v="7.88"/>
    <x v="1131"/>
    <x v="1022"/>
    <x v="63"/>
    <n v="64.92"/>
    <x v="5"/>
    <x v="1"/>
  </r>
  <r>
    <x v="2"/>
    <x v="25"/>
    <x v="630"/>
    <n v="4.05"/>
    <x v="1032"/>
    <n v="6.76"/>
    <n v="1.1399999999999999"/>
    <n v="7.9"/>
    <x v="798"/>
    <x v="1023"/>
    <x v="63"/>
    <n v="66.080000003999999"/>
    <x v="2"/>
    <x v="1"/>
  </r>
  <r>
    <x v="2"/>
    <x v="26"/>
    <x v="0"/>
    <n v="0"/>
    <x v="0"/>
    <n v="6.97"/>
    <n v="1.32"/>
    <n v="8.2899999999999991"/>
    <x v="581"/>
    <x v="0"/>
    <x v="63"/>
    <n v="0"/>
    <x v="3"/>
    <x v="1"/>
  </r>
  <r>
    <x v="2"/>
    <x v="27"/>
    <x v="631"/>
    <n v="6.16"/>
    <x v="1033"/>
    <n v="7.25"/>
    <n v="0.63"/>
    <n v="7.88"/>
    <x v="1132"/>
    <x v="1024"/>
    <x v="63"/>
    <n v="98.079999995999998"/>
    <x v="5"/>
    <x v="1"/>
  </r>
  <r>
    <x v="2"/>
    <x v="29"/>
    <x v="632"/>
    <n v="7.73"/>
    <x v="1034"/>
    <n v="6.88"/>
    <n v="1.01"/>
    <n v="7.89"/>
    <x v="1133"/>
    <x v="1025"/>
    <x v="63"/>
    <n v="127.88000004"/>
    <x v="5"/>
    <x v="1"/>
  </r>
  <r>
    <x v="2"/>
    <x v="30"/>
    <x v="301"/>
    <n v="2.89"/>
    <x v="1035"/>
    <n v="7.57"/>
    <n v="0.86"/>
    <n v="8.43"/>
    <x v="387"/>
    <x v="1026"/>
    <x v="63"/>
    <n v="29.000000003999997"/>
    <x v="5"/>
    <x v="1"/>
  </r>
  <r>
    <x v="2"/>
    <x v="31"/>
    <x v="19"/>
    <n v="6.36"/>
    <x v="1036"/>
    <n v="7.38"/>
    <n v="0.8"/>
    <n v="8.18"/>
    <x v="1134"/>
    <x v="1027"/>
    <x v="63"/>
    <n v="99"/>
    <x v="2"/>
    <x v="1"/>
  </r>
  <r>
    <x v="2"/>
    <x v="32"/>
    <x v="596"/>
    <n v="2.2400000000000002"/>
    <x v="731"/>
    <n v="8.06"/>
    <n v="2.06"/>
    <n v="10.119999999999999"/>
    <x v="202"/>
    <x v="1028"/>
    <x v="63"/>
    <n v="20.000000004"/>
    <x v="3"/>
    <x v="1"/>
  </r>
  <r>
    <x v="2"/>
    <x v="33"/>
    <x v="331"/>
    <n v="3"/>
    <x v="1037"/>
    <n v="7.72"/>
    <n v="0.61"/>
    <n v="8.33"/>
    <x v="53"/>
    <x v="1029"/>
    <x v="63"/>
    <n v="30.999999996000003"/>
    <x v="3"/>
    <x v="1"/>
  </r>
  <r>
    <x v="2"/>
    <x v="34"/>
    <x v="401"/>
    <n v="5.09"/>
    <x v="1038"/>
    <n v="7.06"/>
    <n v="3.16"/>
    <n v="10.220000000000001"/>
    <x v="1135"/>
    <x v="1030"/>
    <x v="63"/>
    <n v="51.999999996"/>
    <x v="4"/>
    <x v="1"/>
  </r>
  <r>
    <x v="2"/>
    <x v="35"/>
    <x v="455"/>
    <n v="4.7699999999999996"/>
    <x v="1039"/>
    <n v="9.67"/>
    <n v="0.86"/>
    <n v="10.53"/>
    <x v="900"/>
    <x v="1031"/>
    <x v="63"/>
    <n v="96.999999996000014"/>
    <x v="2"/>
    <x v="1"/>
  </r>
  <r>
    <x v="2"/>
    <x v="36"/>
    <x v="0"/>
    <n v="0"/>
    <x v="0"/>
    <n v="9.02"/>
    <n v="1.22"/>
    <n v="10.24"/>
    <x v="278"/>
    <x v="0"/>
    <x v="63"/>
    <n v="0"/>
    <x v="4"/>
    <x v="1"/>
  </r>
  <r>
    <x v="2"/>
    <x v="38"/>
    <x v="312"/>
    <n v="3.38"/>
    <x v="1040"/>
    <n v="5.08"/>
    <n v="0.83"/>
    <n v="5.91"/>
    <x v="370"/>
    <x v="1032"/>
    <x v="63"/>
    <n v="126.99999996000001"/>
    <x v="2"/>
    <x v="1"/>
  </r>
  <r>
    <x v="2"/>
    <x v="39"/>
    <x v="327"/>
    <n v="5.3"/>
    <x v="1041"/>
    <n v="6.29"/>
    <n v="1.61"/>
    <n v="7.9"/>
    <x v="1136"/>
    <x v="1033"/>
    <x v="63"/>
    <n v="72.999999996"/>
    <x v="2"/>
    <x v="1"/>
  </r>
  <r>
    <x v="2"/>
    <x v="40"/>
    <x v="0"/>
    <n v="0"/>
    <x v="0"/>
    <n v="7.44"/>
    <n v="0.71"/>
    <n v="8.15"/>
    <x v="1137"/>
    <x v="0"/>
    <x v="63"/>
    <n v="0"/>
    <x v="3"/>
    <x v="1"/>
  </r>
  <r>
    <x v="2"/>
    <x v="41"/>
    <x v="633"/>
    <n v="5.36"/>
    <x v="1042"/>
    <n v="6.67"/>
    <n v="1.21"/>
    <n v="7.88"/>
    <x v="1138"/>
    <x v="1034"/>
    <x v="63"/>
    <n v="52.56"/>
    <x v="5"/>
    <x v="1"/>
  </r>
  <r>
    <x v="2"/>
    <x v="42"/>
    <x v="222"/>
    <n v="7"/>
    <x v="1043"/>
    <n v="7.28"/>
    <n v="0.91"/>
    <n v="8.19"/>
    <x v="675"/>
    <x v="1035"/>
    <x v="63"/>
    <n v="81"/>
    <x v="2"/>
    <x v="1"/>
  </r>
  <r>
    <x v="2"/>
    <x v="44"/>
    <x v="345"/>
    <n v="1.08"/>
    <x v="1044"/>
    <n v="7.36"/>
    <n v="1.02"/>
    <n v="8.3800000000000008"/>
    <x v="1139"/>
    <x v="1036"/>
    <x v="63"/>
    <n v="11.000000004"/>
    <x v="3"/>
    <x v="1"/>
  </r>
  <r>
    <x v="2"/>
    <x v="45"/>
    <x v="345"/>
    <n v="0.9"/>
    <x v="1045"/>
    <n v="4.3899999999999997"/>
    <n v="3.82"/>
    <n v="8.2100000000000009"/>
    <x v="47"/>
    <x v="1037"/>
    <x v="63"/>
    <n v="11.000000004"/>
    <x v="4"/>
    <x v="1"/>
  </r>
  <r>
    <x v="2"/>
    <x v="46"/>
    <x v="33"/>
    <n v="3.64"/>
    <x v="1046"/>
    <n v="7.2"/>
    <n v="0.94"/>
    <n v="8.14"/>
    <x v="1125"/>
    <x v="1038"/>
    <x v="63"/>
    <n v="24.96"/>
    <x v="4"/>
    <x v="1"/>
  </r>
  <r>
    <x v="2"/>
    <x v="47"/>
    <x v="634"/>
    <n v="6.06"/>
    <x v="1047"/>
    <n v="6.6"/>
    <n v="1.27"/>
    <n v="7.87"/>
    <x v="1140"/>
    <x v="1039"/>
    <x v="63"/>
    <n v="85.719999995999999"/>
    <x v="5"/>
    <x v="1"/>
  </r>
  <r>
    <x v="2"/>
    <x v="48"/>
    <x v="0"/>
    <n v="0"/>
    <x v="0"/>
    <n v="0"/>
    <n v="0"/>
    <n v="0"/>
    <x v="0"/>
    <x v="0"/>
    <x v="63"/>
    <n v="0"/>
    <x v="6"/>
    <x v="0"/>
  </r>
  <r>
    <x v="0"/>
    <x v="0"/>
    <x v="0"/>
    <n v="0"/>
    <x v="0"/>
    <n v="6.9"/>
    <n v="1.1499999999999999"/>
    <n v="8.0500000000000007"/>
    <x v="1141"/>
    <x v="0"/>
    <x v="64"/>
    <n v="0"/>
    <x v="0"/>
    <x v="1"/>
  </r>
  <r>
    <x v="0"/>
    <x v="1"/>
    <x v="107"/>
    <n v="3.98"/>
    <x v="1048"/>
    <n v="10.89"/>
    <n v="0.19"/>
    <n v="11.08"/>
    <x v="151"/>
    <x v="1040"/>
    <x v="64"/>
    <n v="15.720000000000002"/>
    <x v="0"/>
    <x v="1"/>
  </r>
  <r>
    <x v="0"/>
    <x v="2"/>
    <x v="107"/>
    <n v="3.98"/>
    <x v="1048"/>
    <n v="10.87"/>
    <n v="0.2"/>
    <n v="11.07"/>
    <x v="1142"/>
    <x v="1041"/>
    <x v="64"/>
    <n v="15.720000000000002"/>
    <x v="0"/>
    <x v="1"/>
  </r>
  <r>
    <x v="0"/>
    <x v="3"/>
    <x v="0"/>
    <n v="0"/>
    <x v="0"/>
    <n v="6.97"/>
    <n v="1.1599999999999999"/>
    <n v="8.1300000000000008"/>
    <x v="1143"/>
    <x v="0"/>
    <x v="64"/>
    <n v="0"/>
    <x v="0"/>
    <x v="1"/>
  </r>
  <r>
    <x v="0"/>
    <x v="4"/>
    <x v="0"/>
    <n v="0"/>
    <x v="0"/>
    <n v="10.85"/>
    <n v="0.17"/>
    <n v="11.02"/>
    <x v="1144"/>
    <x v="0"/>
    <x v="64"/>
    <n v="0"/>
    <x v="0"/>
    <x v="1"/>
  </r>
  <r>
    <x v="0"/>
    <x v="5"/>
    <x v="107"/>
    <n v="3.98"/>
    <x v="1048"/>
    <n v="10.87"/>
    <n v="0.2"/>
    <n v="11.07"/>
    <x v="1142"/>
    <x v="1041"/>
    <x v="64"/>
    <n v="15.720000000000002"/>
    <x v="0"/>
    <x v="1"/>
  </r>
  <r>
    <x v="0"/>
    <x v="6"/>
    <x v="0"/>
    <n v="0"/>
    <x v="0"/>
    <n v="10.85"/>
    <n v="0.17"/>
    <n v="11.02"/>
    <x v="1144"/>
    <x v="0"/>
    <x v="64"/>
    <n v="0"/>
    <x v="0"/>
    <x v="1"/>
  </r>
  <r>
    <x v="0"/>
    <x v="7"/>
    <x v="0"/>
    <n v="0"/>
    <x v="0"/>
    <n v="10.39"/>
    <n v="0.71"/>
    <n v="11.1"/>
    <x v="1145"/>
    <x v="0"/>
    <x v="64"/>
    <n v="0"/>
    <x v="0"/>
    <x v="1"/>
  </r>
  <r>
    <x v="0"/>
    <x v="8"/>
    <x v="0"/>
    <n v="0"/>
    <x v="0"/>
    <n v="6.93"/>
    <n v="1.1599999999999999"/>
    <n v="8.09"/>
    <x v="1146"/>
    <x v="0"/>
    <x v="64"/>
    <n v="0"/>
    <x v="0"/>
    <x v="1"/>
  </r>
  <r>
    <x v="1"/>
    <x v="9"/>
    <x v="0"/>
    <n v="0"/>
    <x v="0"/>
    <n v="0"/>
    <n v="0"/>
    <n v="0"/>
    <x v="0"/>
    <x v="0"/>
    <x v="64"/>
    <n v="0"/>
    <x v="1"/>
    <x v="0"/>
  </r>
  <r>
    <x v="1"/>
    <x v="10"/>
    <x v="0"/>
    <n v="0"/>
    <x v="0"/>
    <n v="4.38"/>
    <n v="3.68"/>
    <n v="8.06"/>
    <x v="1107"/>
    <x v="0"/>
    <x v="64"/>
    <n v="0"/>
    <x v="1"/>
    <x v="1"/>
  </r>
  <r>
    <x v="1"/>
    <x v="11"/>
    <x v="635"/>
    <n v="1.27"/>
    <x v="1049"/>
    <n v="6.62"/>
    <n v="1.45"/>
    <n v="8.07"/>
    <x v="1147"/>
    <x v="1042"/>
    <x v="64"/>
    <n v="19.68"/>
    <x v="1"/>
    <x v="1"/>
  </r>
  <r>
    <x v="1"/>
    <x v="12"/>
    <x v="636"/>
    <n v="0.67"/>
    <x v="1050"/>
    <n v="6.04"/>
    <n v="2.0299999999999998"/>
    <n v="8.07"/>
    <x v="1148"/>
    <x v="1043"/>
    <x v="64"/>
    <n v="10.32"/>
    <x v="1"/>
    <x v="1"/>
  </r>
  <r>
    <x v="1"/>
    <x v="13"/>
    <x v="0"/>
    <n v="0"/>
    <x v="0"/>
    <n v="6.05"/>
    <n v="2.02"/>
    <n v="8.07"/>
    <x v="394"/>
    <x v="0"/>
    <x v="64"/>
    <n v="0"/>
    <x v="1"/>
    <x v="1"/>
  </r>
  <r>
    <x v="2"/>
    <x v="14"/>
    <x v="637"/>
    <n v="5.96"/>
    <x v="1051"/>
    <n v="6.94"/>
    <n v="1.4"/>
    <n v="8.34"/>
    <x v="1149"/>
    <x v="1044"/>
    <x v="64"/>
    <n v="114.999999996"/>
    <x v="2"/>
    <x v="1"/>
  </r>
  <r>
    <x v="2"/>
    <x v="15"/>
    <x v="0"/>
    <n v="0"/>
    <x v="0"/>
    <n v="6.73"/>
    <n v="1.73"/>
    <n v="8.4600000000000009"/>
    <x v="1150"/>
    <x v="0"/>
    <x v="64"/>
    <n v="0"/>
    <x v="3"/>
    <x v="1"/>
  </r>
  <r>
    <x v="2"/>
    <x v="17"/>
    <x v="0"/>
    <n v="0"/>
    <x v="0"/>
    <n v="6.48"/>
    <n v="3.82"/>
    <n v="10.3"/>
    <x v="1151"/>
    <x v="0"/>
    <x v="64"/>
    <n v="0"/>
    <x v="3"/>
    <x v="1"/>
  </r>
  <r>
    <x v="2"/>
    <x v="19"/>
    <x v="298"/>
    <n v="6.92"/>
    <x v="1052"/>
    <n v="6.92"/>
    <n v="1.1499999999999999"/>
    <n v="8.07"/>
    <x v="462"/>
    <x v="1045"/>
    <x v="64"/>
    <n v="192"/>
    <x v="2"/>
    <x v="1"/>
  </r>
  <r>
    <x v="2"/>
    <x v="20"/>
    <x v="638"/>
    <n v="4.03"/>
    <x v="1053"/>
    <n v="7.59"/>
    <n v="0.62"/>
    <n v="8.2100000000000009"/>
    <x v="635"/>
    <x v="1046"/>
    <x v="64"/>
    <n v="76.44"/>
    <x v="5"/>
    <x v="1"/>
  </r>
  <r>
    <x v="2"/>
    <x v="21"/>
    <x v="61"/>
    <n v="4.59"/>
    <x v="1054"/>
    <n v="7.23"/>
    <n v="0.98"/>
    <n v="8.2100000000000009"/>
    <x v="1152"/>
    <x v="1047"/>
    <x v="64"/>
    <n v="63.96"/>
    <x v="2"/>
    <x v="1"/>
  </r>
  <r>
    <x v="2"/>
    <x v="22"/>
    <x v="639"/>
    <n v="6.27"/>
    <x v="1055"/>
    <n v="8.3699999999999992"/>
    <n v="0.95"/>
    <n v="9.32"/>
    <x v="1153"/>
    <x v="1048"/>
    <x v="64"/>
    <n v="73.839999995999989"/>
    <x v="4"/>
    <x v="1"/>
  </r>
  <r>
    <x v="2"/>
    <x v="23"/>
    <x v="0"/>
    <n v="0"/>
    <x v="0"/>
    <n v="0"/>
    <n v="0.15"/>
    <n v="0.15"/>
    <x v="0"/>
    <x v="0"/>
    <x v="64"/>
    <n v="0"/>
    <x v="3"/>
    <x v="1"/>
  </r>
  <r>
    <x v="2"/>
    <x v="25"/>
    <x v="640"/>
    <n v="6.91"/>
    <x v="1056"/>
    <n v="6.97"/>
    <n v="1.22"/>
    <n v="8.19"/>
    <x v="684"/>
    <x v="1049"/>
    <x v="64"/>
    <n v="131.96000004000001"/>
    <x v="2"/>
    <x v="1"/>
  </r>
  <r>
    <x v="2"/>
    <x v="31"/>
    <x v="641"/>
    <n v="7.4"/>
    <x v="1057"/>
    <n v="7.82"/>
    <n v="0.19"/>
    <n v="8.01"/>
    <x v="335"/>
    <x v="1050"/>
    <x v="64"/>
    <n v="123"/>
    <x v="2"/>
    <x v="1"/>
  </r>
  <r>
    <x v="2"/>
    <x v="32"/>
    <x v="0"/>
    <n v="0"/>
    <x v="0"/>
    <n v="9.3800000000000008"/>
    <n v="1.58"/>
    <n v="10.96"/>
    <x v="1154"/>
    <x v="0"/>
    <x v="64"/>
    <n v="0"/>
    <x v="3"/>
    <x v="1"/>
  </r>
  <r>
    <x v="2"/>
    <x v="33"/>
    <x v="24"/>
    <n v="4.1500000000000004"/>
    <x v="536"/>
    <n v="3.36"/>
    <n v="5.03"/>
    <n v="8.39"/>
    <x v="465"/>
    <x v="1051"/>
    <x v="64"/>
    <n v="30"/>
    <x v="3"/>
    <x v="1"/>
  </r>
  <r>
    <x v="2"/>
    <x v="34"/>
    <x v="342"/>
    <n v="3.81"/>
    <x v="1058"/>
    <n v="7.69"/>
    <n v="2.0699999999999998"/>
    <n v="9.76"/>
    <x v="1155"/>
    <x v="352"/>
    <x v="64"/>
    <n v="50.000000004"/>
    <x v="4"/>
    <x v="1"/>
  </r>
  <r>
    <x v="2"/>
    <x v="35"/>
    <x v="500"/>
    <n v="9.48"/>
    <x v="1059"/>
    <n v="10.26"/>
    <n v="0.35"/>
    <n v="10.61"/>
    <x v="100"/>
    <x v="1052"/>
    <x v="64"/>
    <n v="125.00000003999999"/>
    <x v="2"/>
    <x v="1"/>
  </r>
  <r>
    <x v="2"/>
    <x v="37"/>
    <x v="0"/>
    <n v="0"/>
    <x v="0"/>
    <n v="7.58"/>
    <n v="2.16"/>
    <n v="9.74"/>
    <x v="1156"/>
    <x v="0"/>
    <x v="64"/>
    <n v="0"/>
    <x v="4"/>
    <x v="1"/>
  </r>
  <r>
    <x v="2"/>
    <x v="38"/>
    <x v="578"/>
    <n v="6.32"/>
    <x v="1060"/>
    <n v="8.6199999999999992"/>
    <n v="1.81"/>
    <n v="10.43"/>
    <x v="1157"/>
    <x v="1053"/>
    <x v="64"/>
    <n v="152.00000003999997"/>
    <x v="2"/>
    <x v="1"/>
  </r>
  <r>
    <x v="2"/>
    <x v="41"/>
    <x v="642"/>
    <n v="4.53"/>
    <x v="1061"/>
    <n v="5.99"/>
    <n v="2.15"/>
    <n v="8.14"/>
    <x v="771"/>
    <x v="928"/>
    <x v="64"/>
    <n v="56.52"/>
    <x v="5"/>
    <x v="1"/>
  </r>
  <r>
    <x v="2"/>
    <x v="43"/>
    <x v="543"/>
    <n v="3.12"/>
    <x v="1062"/>
    <n v="7.25"/>
    <n v="3.06"/>
    <n v="10.31"/>
    <x v="1158"/>
    <x v="1054"/>
    <x v="64"/>
    <n v="57"/>
    <x v="3"/>
    <x v="1"/>
  </r>
  <r>
    <x v="2"/>
    <x v="44"/>
    <x v="0"/>
    <n v="0"/>
    <x v="0"/>
    <n v="5.32"/>
    <n v="2.96"/>
    <n v="8.2799999999999994"/>
    <x v="1159"/>
    <x v="0"/>
    <x v="64"/>
    <n v="0"/>
    <x v="3"/>
    <x v="1"/>
  </r>
  <r>
    <x v="2"/>
    <x v="45"/>
    <x v="4"/>
    <n v="0.67"/>
    <x v="711"/>
    <n v="6.42"/>
    <n v="1.69"/>
    <n v="8.11"/>
    <x v="1160"/>
    <x v="955"/>
    <x v="64"/>
    <n v="12"/>
    <x v="4"/>
    <x v="1"/>
  </r>
  <r>
    <x v="2"/>
    <x v="47"/>
    <x v="643"/>
    <n v="4.59"/>
    <x v="1063"/>
    <n v="7.54"/>
    <n v="0.61"/>
    <n v="8.15"/>
    <x v="235"/>
    <x v="1055"/>
    <x v="64"/>
    <n v="69.11999999999999"/>
    <x v="5"/>
    <x v="1"/>
  </r>
  <r>
    <x v="2"/>
    <x v="48"/>
    <x v="0"/>
    <n v="0"/>
    <x v="0"/>
    <n v="0"/>
    <n v="0"/>
    <n v="0"/>
    <x v="0"/>
    <x v="0"/>
    <x v="64"/>
    <n v="0"/>
    <x v="6"/>
    <x v="0"/>
  </r>
  <r>
    <x v="2"/>
    <x v="49"/>
    <x v="644"/>
    <n v="6.61"/>
    <x v="1064"/>
    <n v="4.92"/>
    <n v="3.38"/>
    <n v="8.3000000000000007"/>
    <x v="1161"/>
    <x v="1056"/>
    <x v="64"/>
    <n v="89.000000004"/>
    <x v="3"/>
    <x v="1"/>
  </r>
  <r>
    <x v="0"/>
    <x v="1"/>
    <x v="79"/>
    <n v="2.89"/>
    <x v="1065"/>
    <n v="11.34"/>
    <n v="0.08"/>
    <n v="11.42"/>
    <x v="170"/>
    <x v="206"/>
    <x v="65"/>
    <n v="16.440000000000001"/>
    <x v="0"/>
    <x v="1"/>
  </r>
  <r>
    <x v="0"/>
    <x v="2"/>
    <x v="645"/>
    <n v="1.42"/>
    <x v="1066"/>
    <n v="11.34"/>
    <n v="0.08"/>
    <n v="11.42"/>
    <x v="170"/>
    <x v="1057"/>
    <x v="65"/>
    <n v="7.44"/>
    <x v="0"/>
    <x v="1"/>
  </r>
  <r>
    <x v="0"/>
    <x v="4"/>
    <x v="318"/>
    <n v="9.4"/>
    <x v="1067"/>
    <n v="11.3"/>
    <n v="0.09"/>
    <n v="11.39"/>
    <x v="1162"/>
    <x v="1058"/>
    <x v="65"/>
    <n v="46.8"/>
    <x v="0"/>
    <x v="1"/>
  </r>
  <r>
    <x v="0"/>
    <x v="5"/>
    <x v="645"/>
    <n v="1.42"/>
    <x v="1066"/>
    <n v="11.32"/>
    <n v="0.11"/>
    <n v="11.43"/>
    <x v="1163"/>
    <x v="1059"/>
    <x v="65"/>
    <n v="7.44"/>
    <x v="0"/>
    <x v="1"/>
  </r>
  <r>
    <x v="0"/>
    <x v="6"/>
    <x v="318"/>
    <n v="9.4"/>
    <x v="1067"/>
    <n v="11.32"/>
    <n v="7.0000000000000007E-2"/>
    <n v="11.39"/>
    <x v="1164"/>
    <x v="1058"/>
    <x v="65"/>
    <n v="46.8"/>
    <x v="0"/>
    <x v="1"/>
  </r>
  <r>
    <x v="0"/>
    <x v="8"/>
    <x v="65"/>
    <n v="3.55"/>
    <x v="1068"/>
    <n v="10.130000000000001"/>
    <n v="0.44"/>
    <n v="10.57"/>
    <x v="1165"/>
    <x v="1060"/>
    <x v="65"/>
    <n v="15.6"/>
    <x v="0"/>
    <x v="1"/>
  </r>
  <r>
    <x v="1"/>
    <x v="10"/>
    <x v="646"/>
    <n v="3.97"/>
    <x v="1069"/>
    <n v="6.52"/>
    <n v="3.45"/>
    <n v="9.9700000000000006"/>
    <x v="1166"/>
    <x v="1061"/>
    <x v="65"/>
    <n v="87.999999996"/>
    <x v="1"/>
    <x v="1"/>
  </r>
  <r>
    <x v="1"/>
    <x v="12"/>
    <x v="647"/>
    <n v="4.8600000000000003"/>
    <x v="1070"/>
    <n v="6.54"/>
    <n v="1.59"/>
    <n v="8.1300000000000008"/>
    <x v="1167"/>
    <x v="1062"/>
    <x v="65"/>
    <n v="40.040000003999992"/>
    <x v="1"/>
    <x v="1"/>
  </r>
  <r>
    <x v="1"/>
    <x v="13"/>
    <x v="648"/>
    <n v="5.8"/>
    <x v="1071"/>
    <n v="7.44"/>
    <n v="0.66"/>
    <n v="8.1"/>
    <x v="1168"/>
    <x v="475"/>
    <x v="65"/>
    <n v="35.360000004"/>
    <x v="1"/>
    <x v="1"/>
  </r>
  <r>
    <x v="2"/>
    <x v="14"/>
    <x v="649"/>
    <n v="5.97"/>
    <x v="1072"/>
    <n v="8.08"/>
    <n v="0.11"/>
    <n v="8.19"/>
    <x v="1169"/>
    <x v="1063"/>
    <x v="65"/>
    <n v="186"/>
    <x v="2"/>
    <x v="1"/>
  </r>
  <r>
    <x v="2"/>
    <x v="16"/>
    <x v="650"/>
    <n v="4.74"/>
    <x v="1073"/>
    <n v="7.76"/>
    <n v="0.87"/>
    <n v="8.6300000000000008"/>
    <x v="1170"/>
    <x v="1064"/>
    <x v="65"/>
    <n v="62.88000000000001"/>
    <x v="4"/>
    <x v="1"/>
  </r>
  <r>
    <x v="2"/>
    <x v="17"/>
    <x v="165"/>
    <n v="3.72"/>
    <x v="1074"/>
    <n v="8.23"/>
    <n v="1.83"/>
    <n v="10.06"/>
    <x v="1171"/>
    <x v="25"/>
    <x v="65"/>
    <n v="37.92"/>
    <x v="3"/>
    <x v="1"/>
  </r>
  <r>
    <x v="2"/>
    <x v="18"/>
    <x v="142"/>
    <n v="3.81"/>
    <x v="718"/>
    <n v="6.87"/>
    <n v="1.32"/>
    <n v="8.19"/>
    <x v="1172"/>
    <x v="1065"/>
    <x v="65"/>
    <n v="72"/>
    <x v="3"/>
    <x v="1"/>
  </r>
  <r>
    <x v="2"/>
    <x v="19"/>
    <x v="343"/>
    <n v="7.83"/>
    <x v="1075"/>
    <n v="9.3000000000000007"/>
    <n v="0.88"/>
    <n v="10.18"/>
    <x v="156"/>
    <x v="1066"/>
    <x v="65"/>
    <n v="156.99999996000003"/>
    <x v="2"/>
    <x v="1"/>
  </r>
  <r>
    <x v="2"/>
    <x v="20"/>
    <x v="651"/>
    <n v="0.62"/>
    <x v="1076"/>
    <n v="7.98"/>
    <n v="1.5"/>
    <n v="9.48"/>
    <x v="786"/>
    <x v="1067"/>
    <x v="65"/>
    <n v="21.399999995999998"/>
    <x v="5"/>
    <x v="1"/>
  </r>
  <r>
    <x v="2"/>
    <x v="21"/>
    <x v="652"/>
    <n v="7.83"/>
    <x v="1077"/>
    <n v="9.76"/>
    <n v="1.35"/>
    <n v="11.11"/>
    <x v="452"/>
    <x v="1068"/>
    <x v="65"/>
    <n v="189.84"/>
    <x v="2"/>
    <x v="1"/>
  </r>
  <r>
    <x v="2"/>
    <x v="22"/>
    <x v="345"/>
    <n v="1.28"/>
    <x v="1078"/>
    <n v="8.69"/>
    <n v="1.31"/>
    <n v="10"/>
    <x v="1173"/>
    <x v="1069"/>
    <x v="65"/>
    <n v="11.000000004"/>
    <x v="4"/>
    <x v="1"/>
  </r>
  <r>
    <x v="2"/>
    <x v="23"/>
    <x v="213"/>
    <n v="0.88"/>
    <x v="1079"/>
    <n v="4.91"/>
    <n v="5.07"/>
    <n v="9.98"/>
    <x v="1174"/>
    <x v="1070"/>
    <x v="65"/>
    <n v="7.8"/>
    <x v="3"/>
    <x v="1"/>
  </r>
  <r>
    <x v="2"/>
    <x v="26"/>
    <x v="335"/>
    <n v="2.65"/>
    <x v="1080"/>
    <n v="8.4"/>
    <n v="1.1399999999999999"/>
    <n v="9.5399999999999991"/>
    <x v="1175"/>
    <x v="1071"/>
    <x v="65"/>
    <n v="18.999999996"/>
    <x v="3"/>
    <x v="1"/>
  </r>
  <r>
    <x v="2"/>
    <x v="29"/>
    <x v="3"/>
    <n v="0.34"/>
    <x v="1081"/>
    <n v="8.2799999999999994"/>
    <n v="1.18"/>
    <n v="9.4600000000000009"/>
    <x v="1176"/>
    <x v="1072"/>
    <x v="65"/>
    <n v="18"/>
    <x v="5"/>
    <x v="1"/>
  </r>
  <r>
    <x v="2"/>
    <x v="30"/>
    <x v="525"/>
    <n v="3.26"/>
    <x v="1082"/>
    <n v="9.31"/>
    <n v="0.15"/>
    <n v="9.4600000000000009"/>
    <x v="1177"/>
    <x v="1073"/>
    <x v="65"/>
    <n v="58.839999995999996"/>
    <x v="5"/>
    <x v="1"/>
  </r>
  <r>
    <x v="2"/>
    <x v="32"/>
    <x v="653"/>
    <n v="2.56"/>
    <x v="1083"/>
    <n v="6.41"/>
    <n v="3.58"/>
    <n v="9.99"/>
    <x v="1178"/>
    <x v="1074"/>
    <x v="65"/>
    <n v="18.240000000000002"/>
    <x v="3"/>
    <x v="1"/>
  </r>
  <r>
    <x v="2"/>
    <x v="33"/>
    <x v="654"/>
    <n v="6.97"/>
    <x v="1084"/>
    <n v="9.52"/>
    <n v="0.5"/>
    <n v="10.02"/>
    <x v="1179"/>
    <x v="1075"/>
    <x v="65"/>
    <n v="50.4"/>
    <x v="3"/>
    <x v="1"/>
  </r>
  <r>
    <x v="2"/>
    <x v="34"/>
    <x v="73"/>
    <n v="8.1300000000000008"/>
    <x v="1085"/>
    <n v="7.99"/>
    <n v="1.69"/>
    <n v="9.68"/>
    <x v="10"/>
    <x v="1076"/>
    <x v="65"/>
    <n v="60"/>
    <x v="4"/>
    <x v="1"/>
  </r>
  <r>
    <x v="2"/>
    <x v="36"/>
    <x v="644"/>
    <n v="8.33"/>
    <x v="1086"/>
    <n v="7.33"/>
    <n v="2.66"/>
    <n v="9.99"/>
    <x v="750"/>
    <x v="1077"/>
    <x v="65"/>
    <n v="89.000000004"/>
    <x v="4"/>
    <x v="1"/>
  </r>
  <r>
    <x v="2"/>
    <x v="38"/>
    <x v="526"/>
    <n v="8.52"/>
    <x v="1087"/>
    <n v="10"/>
    <n v="1.01"/>
    <n v="11.01"/>
    <x v="441"/>
    <x v="28"/>
    <x v="65"/>
    <n v="147"/>
    <x v="2"/>
    <x v="1"/>
  </r>
  <r>
    <x v="2"/>
    <x v="39"/>
    <x v="655"/>
    <n v="3.27"/>
    <x v="1088"/>
    <n v="6.11"/>
    <n v="1.96"/>
    <n v="8.07"/>
    <x v="1180"/>
    <x v="1078"/>
    <x v="65"/>
    <n v="48.920000003999995"/>
    <x v="2"/>
    <x v="1"/>
  </r>
  <r>
    <x v="2"/>
    <x v="40"/>
    <x v="204"/>
    <n v="6.38"/>
    <x v="1089"/>
    <n v="9.56"/>
    <n v="0.47"/>
    <n v="10.029999999999999"/>
    <x v="73"/>
    <x v="1079"/>
    <x v="65"/>
    <n v="38.4"/>
    <x v="3"/>
    <x v="1"/>
  </r>
  <r>
    <x v="2"/>
    <x v="41"/>
    <x v="656"/>
    <n v="3.63"/>
    <x v="1090"/>
    <n v="8.44"/>
    <n v="0.49"/>
    <n v="8.93"/>
    <x v="1181"/>
    <x v="1080"/>
    <x v="65"/>
    <n v="68.88000000000001"/>
    <x v="5"/>
    <x v="1"/>
  </r>
  <r>
    <x v="2"/>
    <x v="42"/>
    <x v="51"/>
    <n v="5.38"/>
    <x v="1091"/>
    <n v="6.93"/>
    <n v="1.26"/>
    <n v="8.19"/>
    <x v="1182"/>
    <x v="1081"/>
    <x v="65"/>
    <n v="132"/>
    <x v="2"/>
    <x v="1"/>
  </r>
  <r>
    <x v="2"/>
    <x v="43"/>
    <x v="380"/>
    <n v="5.87"/>
    <x v="1092"/>
    <n v="7.9"/>
    <n v="1.63"/>
    <n v="9.5299999999999994"/>
    <x v="1183"/>
    <x v="1082"/>
    <x v="65"/>
    <n v="38.000000004"/>
    <x v="3"/>
    <x v="1"/>
  </r>
  <r>
    <x v="2"/>
    <x v="44"/>
    <x v="268"/>
    <n v="7.4"/>
    <x v="1093"/>
    <n v="7.28"/>
    <n v="0.75"/>
    <n v="8.0299999999999994"/>
    <x v="1184"/>
    <x v="1083"/>
    <x v="65"/>
    <n v="98.000000003999986"/>
    <x v="3"/>
    <x v="1"/>
  </r>
  <r>
    <x v="2"/>
    <x v="45"/>
    <x v="4"/>
    <n v="0.77"/>
    <x v="1094"/>
    <n v="8.1"/>
    <n v="1.9"/>
    <n v="10"/>
    <x v="1185"/>
    <x v="1084"/>
    <x v="65"/>
    <n v="12"/>
    <x v="4"/>
    <x v="1"/>
  </r>
  <r>
    <x v="2"/>
    <x v="46"/>
    <x v="657"/>
    <n v="4.37"/>
    <x v="1095"/>
    <n v="8.74"/>
    <n v="0.83"/>
    <n v="9.57"/>
    <x v="1186"/>
    <x v="1085"/>
    <x v="65"/>
    <n v="58.92"/>
    <x v="4"/>
    <x v="1"/>
  </r>
  <r>
    <x v="2"/>
    <x v="47"/>
    <x v="658"/>
    <n v="5.13"/>
    <x v="1096"/>
    <n v="7.49"/>
    <n v="0.51"/>
    <n v="8"/>
    <x v="1187"/>
    <x v="1086"/>
    <x v="65"/>
    <n v="123.35999999999999"/>
    <x v="5"/>
    <x v="1"/>
  </r>
  <r>
    <x v="2"/>
    <x v="48"/>
    <x v="0"/>
    <n v="0"/>
    <x v="0"/>
    <n v="0"/>
    <n v="0"/>
    <n v="0"/>
    <x v="0"/>
    <x v="0"/>
    <x v="65"/>
    <n v="0"/>
    <x v="6"/>
    <x v="0"/>
  </r>
  <r>
    <x v="2"/>
    <x v="49"/>
    <x v="29"/>
    <n v="1.1200000000000001"/>
    <x v="962"/>
    <n v="6.92"/>
    <n v="1.1599999999999999"/>
    <n v="8.08"/>
    <x v="1188"/>
    <x v="1087"/>
    <x v="65"/>
    <n v="24"/>
    <x v="3"/>
    <x v="1"/>
  </r>
  <r>
    <x v="2"/>
    <x v="50"/>
    <x v="307"/>
    <n v="1.28"/>
    <x v="1097"/>
    <n v="9.48"/>
    <n v="0.5"/>
    <n v="9.98"/>
    <x v="956"/>
    <x v="1088"/>
    <x v="65"/>
    <n v="3.9999999960000006"/>
    <x v="4"/>
    <x v="1"/>
  </r>
  <r>
    <x v="0"/>
    <x v="0"/>
    <x v="0"/>
    <n v="0"/>
    <x v="0"/>
    <n v="0"/>
    <n v="0"/>
    <n v="0"/>
    <x v="0"/>
    <x v="0"/>
    <x v="66"/>
    <n v="0"/>
    <x v="0"/>
    <x v="0"/>
  </r>
  <r>
    <x v="0"/>
    <x v="1"/>
    <x v="0"/>
    <n v="0"/>
    <x v="0"/>
    <n v="10.93"/>
    <n v="0.17"/>
    <n v="11.1"/>
    <x v="472"/>
    <x v="0"/>
    <x v="66"/>
    <n v="0"/>
    <x v="0"/>
    <x v="1"/>
  </r>
  <r>
    <x v="0"/>
    <x v="2"/>
    <x v="0"/>
    <n v="0"/>
    <x v="0"/>
    <n v="10.92"/>
    <n v="0.16"/>
    <n v="11.08"/>
    <x v="707"/>
    <x v="0"/>
    <x v="66"/>
    <n v="0"/>
    <x v="0"/>
    <x v="1"/>
  </r>
  <r>
    <x v="0"/>
    <x v="3"/>
    <x v="659"/>
    <n v="3.55"/>
    <x v="1098"/>
    <n v="9.5"/>
    <n v="0.53"/>
    <n v="10.029999999999999"/>
    <x v="391"/>
    <x v="1089"/>
    <x v="66"/>
    <n v="3.84"/>
    <x v="0"/>
    <x v="1"/>
  </r>
  <r>
    <x v="0"/>
    <x v="5"/>
    <x v="0"/>
    <n v="0"/>
    <x v="0"/>
    <n v="10.92"/>
    <n v="0.17"/>
    <n v="11.09"/>
    <x v="472"/>
    <x v="0"/>
    <x v="66"/>
    <n v="0"/>
    <x v="0"/>
    <x v="1"/>
  </r>
  <r>
    <x v="0"/>
    <x v="6"/>
    <x v="660"/>
    <n v="9.2799999999999994"/>
    <x v="1099"/>
    <n v="10.95"/>
    <n v="0.14000000000000001"/>
    <n v="11.09"/>
    <x v="1189"/>
    <x v="1090"/>
    <x v="66"/>
    <n v="68.039999999999992"/>
    <x v="0"/>
    <x v="1"/>
  </r>
  <r>
    <x v="0"/>
    <x v="7"/>
    <x v="661"/>
    <n v="2.0499999999999998"/>
    <x v="1100"/>
    <n v="7.65"/>
    <n v="0.4"/>
    <n v="8.0500000000000007"/>
    <x v="1190"/>
    <x v="1091"/>
    <x v="66"/>
    <n v="2.1599999999999997"/>
    <x v="0"/>
    <x v="1"/>
  </r>
  <r>
    <x v="0"/>
    <x v="8"/>
    <x v="0"/>
    <n v="0"/>
    <x v="0"/>
    <n v="9.5399999999999991"/>
    <n v="0.54"/>
    <n v="10.08"/>
    <x v="1191"/>
    <x v="0"/>
    <x v="66"/>
    <n v="0"/>
    <x v="0"/>
    <x v="1"/>
  </r>
  <r>
    <x v="1"/>
    <x v="9"/>
    <x v="0"/>
    <n v="0"/>
    <x v="0"/>
    <n v="0"/>
    <n v="0"/>
    <n v="0"/>
    <x v="0"/>
    <x v="0"/>
    <x v="66"/>
    <n v="0"/>
    <x v="1"/>
    <x v="0"/>
  </r>
  <r>
    <x v="1"/>
    <x v="11"/>
    <x v="0"/>
    <n v="0"/>
    <x v="0"/>
    <n v="7.09"/>
    <n v="1.0900000000000001"/>
    <n v="8.18"/>
    <x v="1192"/>
    <x v="0"/>
    <x v="66"/>
    <n v="0"/>
    <x v="1"/>
    <x v="1"/>
  </r>
  <r>
    <x v="1"/>
    <x v="12"/>
    <x v="381"/>
    <n v="1.63"/>
    <x v="1101"/>
    <n v="6.4"/>
    <n v="1.77"/>
    <n v="8.17"/>
    <x v="1193"/>
    <x v="1092"/>
    <x v="66"/>
    <n v="12.999999996"/>
    <x v="1"/>
    <x v="1"/>
  </r>
  <r>
    <x v="1"/>
    <x v="13"/>
    <x v="0"/>
    <n v="0"/>
    <x v="0"/>
    <n v="4.6399999999999997"/>
    <n v="3.53"/>
    <n v="8.17"/>
    <x v="1194"/>
    <x v="0"/>
    <x v="66"/>
    <n v="0"/>
    <x v="1"/>
    <x v="1"/>
  </r>
  <r>
    <x v="2"/>
    <x v="17"/>
    <x v="0"/>
    <n v="0"/>
    <x v="0"/>
    <n v="1.1200000000000001"/>
    <n v="8.83"/>
    <n v="9.9499999999999993"/>
    <x v="1195"/>
    <x v="0"/>
    <x v="66"/>
    <n v="0"/>
    <x v="3"/>
    <x v="1"/>
  </r>
  <r>
    <x v="2"/>
    <x v="23"/>
    <x v="4"/>
    <n v="1.1000000000000001"/>
    <x v="1102"/>
    <n v="4.66"/>
    <n v="5.32"/>
    <n v="9.98"/>
    <x v="1196"/>
    <x v="449"/>
    <x v="66"/>
    <n v="12"/>
    <x v="3"/>
    <x v="1"/>
  </r>
  <r>
    <x v="2"/>
    <x v="24"/>
    <x v="48"/>
    <n v="4.87"/>
    <x v="1103"/>
    <n v="9.84"/>
    <n v="0.25"/>
    <n v="10.09"/>
    <x v="836"/>
    <x v="911"/>
    <x v="66"/>
    <n v="51.96"/>
    <x v="5"/>
    <x v="1"/>
  </r>
  <r>
    <x v="2"/>
    <x v="25"/>
    <x v="662"/>
    <n v="9.4"/>
    <x v="1104"/>
    <n v="8.82"/>
    <n v="0.68"/>
    <n v="9.5"/>
    <x v="1197"/>
    <x v="1093"/>
    <x v="66"/>
    <n v="155.00000003999997"/>
    <x v="2"/>
    <x v="1"/>
  </r>
  <r>
    <x v="2"/>
    <x v="27"/>
    <x v="663"/>
    <n v="3.95"/>
    <x v="1105"/>
    <n v="9.82"/>
    <n v="0.28000000000000003"/>
    <n v="10.1"/>
    <x v="1198"/>
    <x v="1094"/>
    <x v="66"/>
    <n v="54.11999999999999"/>
    <x v="5"/>
    <x v="1"/>
  </r>
  <r>
    <x v="2"/>
    <x v="30"/>
    <x v="664"/>
    <n v="6.56"/>
    <x v="1106"/>
    <n v="6.66"/>
    <n v="2.91"/>
    <n v="9.57"/>
    <x v="1199"/>
    <x v="1095"/>
    <x v="66"/>
    <n v="111.999999996"/>
    <x v="5"/>
    <x v="1"/>
  </r>
  <r>
    <x v="2"/>
    <x v="31"/>
    <x v="580"/>
    <n v="4.13"/>
    <x v="1107"/>
    <n v="8.18"/>
    <n v="0.32"/>
    <n v="8.5"/>
    <x v="1200"/>
    <x v="1096"/>
    <x v="66"/>
    <n v="84"/>
    <x v="2"/>
    <x v="1"/>
  </r>
  <r>
    <x v="2"/>
    <x v="32"/>
    <x v="276"/>
    <n v="7.42"/>
    <x v="1108"/>
    <n v="5.95"/>
    <n v="4.01"/>
    <n v="9.9600000000000009"/>
    <x v="1201"/>
    <x v="110"/>
    <x v="66"/>
    <n v="44.000000004"/>
    <x v="3"/>
    <x v="1"/>
  </r>
  <r>
    <x v="2"/>
    <x v="33"/>
    <x v="11"/>
    <n v="0.01"/>
    <x v="1109"/>
    <n v="7.32"/>
    <n v="0.73"/>
    <n v="8.0500000000000007"/>
    <x v="819"/>
    <x v="1097"/>
    <x v="66"/>
    <n v="9"/>
    <x v="3"/>
    <x v="1"/>
  </r>
  <r>
    <x v="2"/>
    <x v="37"/>
    <x v="398"/>
    <n v="7.1"/>
    <x v="1110"/>
    <n v="5.98"/>
    <n v="2.15"/>
    <n v="8.1300000000000008"/>
    <x v="1202"/>
    <x v="1098"/>
    <x v="66"/>
    <n v="93.999999996"/>
    <x v="4"/>
    <x v="1"/>
  </r>
  <r>
    <x v="2"/>
    <x v="38"/>
    <x v="665"/>
    <n v="10.01"/>
    <x v="1111"/>
    <n v="9.93"/>
    <n v="0.6"/>
    <n v="10.53"/>
    <x v="1203"/>
    <x v="1099"/>
    <x v="66"/>
    <n v="219"/>
    <x v="2"/>
    <x v="1"/>
  </r>
  <r>
    <x v="2"/>
    <x v="40"/>
    <x v="0"/>
    <n v="0"/>
    <x v="0"/>
    <n v="7.36"/>
    <n v="0.71"/>
    <n v="8.07"/>
    <x v="1204"/>
    <x v="0"/>
    <x v="66"/>
    <n v="0"/>
    <x v="3"/>
    <x v="1"/>
  </r>
  <r>
    <x v="2"/>
    <x v="42"/>
    <x v="662"/>
    <n v="6.13"/>
    <x v="1112"/>
    <n v="7.78"/>
    <n v="0.44"/>
    <n v="8.2200000000000006"/>
    <x v="44"/>
    <x v="1100"/>
    <x v="66"/>
    <n v="155.00000003999997"/>
    <x v="2"/>
    <x v="1"/>
  </r>
  <r>
    <x v="2"/>
    <x v="44"/>
    <x v="58"/>
    <n v="5.2"/>
    <x v="1011"/>
    <n v="6.65"/>
    <n v="1.36"/>
    <n v="8.01"/>
    <x v="1205"/>
    <x v="1101"/>
    <x v="66"/>
    <n v="42"/>
    <x v="3"/>
    <x v="1"/>
  </r>
  <r>
    <x v="2"/>
    <x v="50"/>
    <x v="666"/>
    <n v="2.58"/>
    <x v="1113"/>
    <n v="8.67"/>
    <n v="1.44"/>
    <n v="10.11"/>
    <x v="1206"/>
    <x v="394"/>
    <x v="66"/>
    <n v="36.519999996000003"/>
    <x v="4"/>
    <x v="1"/>
  </r>
  <r>
    <x v="0"/>
    <x v="0"/>
    <x v="667"/>
    <n v="7.48"/>
    <x v="1114"/>
    <n v="1.4"/>
    <n v="6.64"/>
    <n v="8.0399999999999991"/>
    <x v="1207"/>
    <x v="1102"/>
    <x v="67"/>
    <n v="61.2"/>
    <x v="0"/>
    <x v="1"/>
  </r>
  <r>
    <x v="0"/>
    <x v="3"/>
    <x v="668"/>
    <n v="5.56"/>
    <x v="1115"/>
    <n v="1.42"/>
    <n v="6.65"/>
    <n v="8.07"/>
    <x v="1208"/>
    <x v="1103"/>
    <x v="67"/>
    <n v="22.56"/>
    <x v="0"/>
    <x v="1"/>
  </r>
  <r>
    <x v="0"/>
    <x v="7"/>
    <x v="668"/>
    <n v="5.56"/>
    <x v="1115"/>
    <n v="1.4"/>
    <n v="6.67"/>
    <n v="8.07"/>
    <x v="1209"/>
    <x v="1103"/>
    <x v="67"/>
    <n v="22.56"/>
    <x v="0"/>
    <x v="1"/>
  </r>
  <r>
    <x v="1"/>
    <x v="9"/>
    <x v="0"/>
    <n v="0"/>
    <x v="0"/>
    <n v="0"/>
    <n v="0"/>
    <n v="0"/>
    <x v="0"/>
    <x v="0"/>
    <x v="67"/>
    <n v="0"/>
    <x v="1"/>
    <x v="0"/>
  </r>
  <r>
    <x v="1"/>
    <x v="10"/>
    <x v="310"/>
    <n v="6.86"/>
    <x v="1116"/>
    <n v="7.72"/>
    <n v="0.38"/>
    <n v="8.1"/>
    <x v="73"/>
    <x v="1104"/>
    <x v="67"/>
    <n v="117.999999996"/>
    <x v="1"/>
    <x v="1"/>
  </r>
  <r>
    <x v="1"/>
    <x v="11"/>
    <x v="669"/>
    <n v="7.33"/>
    <x v="1117"/>
    <n v="7.54"/>
    <n v="0.52"/>
    <n v="8.06"/>
    <x v="1210"/>
    <x v="1105"/>
    <x v="67"/>
    <n v="116.480000004"/>
    <x v="1"/>
    <x v="1"/>
  </r>
  <r>
    <x v="1"/>
    <x v="13"/>
    <x v="670"/>
    <n v="7.82"/>
    <x v="1118"/>
    <n v="7.55"/>
    <n v="0.52"/>
    <n v="8.07"/>
    <x v="1211"/>
    <x v="1106"/>
    <x v="67"/>
    <n v="123.44000004000002"/>
    <x v="1"/>
    <x v="1"/>
  </r>
  <r>
    <x v="2"/>
    <x v="15"/>
    <x v="671"/>
    <n v="2.62"/>
    <x v="1119"/>
    <n v="6.94"/>
    <n v="1.25"/>
    <n v="8.19"/>
    <x v="1212"/>
    <x v="1107"/>
    <x v="67"/>
    <n v="17.880000000000003"/>
    <x v="3"/>
    <x v="1"/>
  </r>
  <r>
    <x v="2"/>
    <x v="17"/>
    <x v="0"/>
    <n v="0"/>
    <x v="0"/>
    <n v="1.92"/>
    <n v="6.38"/>
    <n v="8.3000000000000007"/>
    <x v="1213"/>
    <x v="0"/>
    <x v="67"/>
    <n v="0"/>
    <x v="3"/>
    <x v="1"/>
  </r>
  <r>
    <x v="2"/>
    <x v="21"/>
    <x v="672"/>
    <n v="6.61"/>
    <x v="1120"/>
    <n v="6.86"/>
    <n v="1.03"/>
    <n v="7.89"/>
    <x v="1214"/>
    <x v="1108"/>
    <x v="67"/>
    <n v="135.99999996000003"/>
    <x v="2"/>
    <x v="1"/>
  </r>
  <r>
    <x v="2"/>
    <x v="23"/>
    <x v="82"/>
    <n v="3.17"/>
    <x v="1121"/>
    <n v="3.08"/>
    <n v="5.1100000000000003"/>
    <n v="8.19"/>
    <x v="1215"/>
    <x v="1109"/>
    <x v="67"/>
    <n v="11.879999999999999"/>
    <x v="3"/>
    <x v="1"/>
  </r>
  <r>
    <x v="2"/>
    <x v="25"/>
    <x v="363"/>
    <n v="5.99"/>
    <x v="1122"/>
    <n v="5.99"/>
    <n v="2"/>
    <n v="7.99"/>
    <x v="394"/>
    <x v="1110"/>
    <x v="67"/>
    <n v="146.00000003999997"/>
    <x v="2"/>
    <x v="1"/>
  </r>
  <r>
    <x v="2"/>
    <x v="27"/>
    <x v="673"/>
    <n v="5.7"/>
    <x v="1123"/>
    <n v="6.69"/>
    <n v="1.3"/>
    <n v="7.99"/>
    <x v="1216"/>
    <x v="1111"/>
    <x v="67"/>
    <n v="140.60000004"/>
    <x v="5"/>
    <x v="1"/>
  </r>
  <r>
    <x v="2"/>
    <x v="30"/>
    <x v="674"/>
    <n v="7.13"/>
    <x v="1124"/>
    <n v="8.2899999999999991"/>
    <n v="1.32"/>
    <n v="9.61"/>
    <x v="1217"/>
    <x v="1112"/>
    <x v="67"/>
    <n v="84.24"/>
    <x v="5"/>
    <x v="1"/>
  </r>
  <r>
    <x v="2"/>
    <x v="32"/>
    <x v="393"/>
    <n v="1.02"/>
    <x v="1125"/>
    <n v="6.47"/>
    <n v="1.82"/>
    <n v="8.2899999999999991"/>
    <x v="1218"/>
    <x v="1113"/>
    <x v="67"/>
    <n v="0.999999996"/>
    <x v="3"/>
    <x v="1"/>
  </r>
  <r>
    <x v="2"/>
    <x v="33"/>
    <x v="675"/>
    <n v="4.9400000000000004"/>
    <x v="1126"/>
    <n v="7.84"/>
    <n v="0.38"/>
    <n v="8.2200000000000006"/>
    <x v="1219"/>
    <x v="1114"/>
    <x v="67"/>
    <n v="47.120000004000005"/>
    <x v="3"/>
    <x v="1"/>
  </r>
  <r>
    <x v="2"/>
    <x v="34"/>
    <x v="54"/>
    <n v="4.6900000000000004"/>
    <x v="1127"/>
    <n v="4.32"/>
    <n v="3.81"/>
    <n v="8.1300000000000008"/>
    <x v="1220"/>
    <x v="1115"/>
    <x v="67"/>
    <n v="66"/>
    <x v="4"/>
    <x v="1"/>
  </r>
  <r>
    <x v="2"/>
    <x v="35"/>
    <x v="676"/>
    <n v="7.93"/>
    <x v="1128"/>
    <n v="7.12"/>
    <n v="1.1000000000000001"/>
    <n v="8.2200000000000006"/>
    <x v="367"/>
    <x v="1116"/>
    <x v="67"/>
    <n v="150.99999996000003"/>
    <x v="2"/>
    <x v="1"/>
  </r>
  <r>
    <x v="2"/>
    <x v="36"/>
    <x v="26"/>
    <n v="1.83"/>
    <x v="1129"/>
    <n v="3.58"/>
    <n v="4.58"/>
    <n v="8.16"/>
    <x v="776"/>
    <x v="1117"/>
    <x v="67"/>
    <n v="34.92"/>
    <x v="4"/>
    <x v="1"/>
  </r>
  <r>
    <x v="2"/>
    <x v="37"/>
    <x v="527"/>
    <n v="5.18"/>
    <x v="1130"/>
    <n v="6.37"/>
    <n v="1.78"/>
    <n v="8.15"/>
    <x v="1221"/>
    <x v="1118"/>
    <x v="67"/>
    <n v="54.999999996"/>
    <x v="4"/>
    <x v="1"/>
  </r>
  <r>
    <x v="2"/>
    <x v="40"/>
    <x v="294"/>
    <n v="7.07"/>
    <x v="1131"/>
    <n v="8.06"/>
    <n v="0.17"/>
    <n v="8.23"/>
    <x v="647"/>
    <x v="1119"/>
    <x v="67"/>
    <n v="63"/>
    <x v="3"/>
    <x v="1"/>
  </r>
  <r>
    <x v="2"/>
    <x v="42"/>
    <x v="677"/>
    <n v="7.61"/>
    <x v="1132"/>
    <n v="6.03"/>
    <n v="2.12"/>
    <n v="8.15"/>
    <x v="33"/>
    <x v="1120"/>
    <x v="67"/>
    <n v="185.67999996"/>
    <x v="2"/>
    <x v="1"/>
  </r>
  <r>
    <x v="2"/>
    <x v="44"/>
    <x v="24"/>
    <n v="4.05"/>
    <x v="1133"/>
    <n v="6.05"/>
    <n v="2.13"/>
    <n v="8.18"/>
    <x v="1222"/>
    <x v="1121"/>
    <x v="67"/>
    <n v="30"/>
    <x v="3"/>
    <x v="1"/>
  </r>
  <r>
    <x v="2"/>
    <x v="46"/>
    <x v="678"/>
    <n v="4.54"/>
    <x v="1134"/>
    <n v="8.15"/>
    <n v="0.02"/>
    <n v="8.17"/>
    <x v="934"/>
    <x v="1122"/>
    <x v="67"/>
    <n v="52.160000004000004"/>
    <x v="4"/>
    <x v="1"/>
  </r>
  <r>
    <x v="2"/>
    <x v="47"/>
    <x v="667"/>
    <n v="4.96"/>
    <x v="1135"/>
    <n v="7.94"/>
    <n v="7.0000000000000007E-2"/>
    <n v="8.01"/>
    <x v="1223"/>
    <x v="1123"/>
    <x v="67"/>
    <n v="61.2"/>
    <x v="5"/>
    <x v="1"/>
  </r>
  <r>
    <x v="2"/>
    <x v="48"/>
    <x v="0"/>
    <n v="0"/>
    <x v="0"/>
    <n v="0"/>
    <n v="0"/>
    <n v="0"/>
    <x v="0"/>
    <x v="0"/>
    <x v="67"/>
    <n v="0"/>
    <x v="6"/>
    <x v="0"/>
  </r>
  <r>
    <x v="0"/>
    <x v="1"/>
    <x v="0"/>
    <n v="0"/>
    <x v="0"/>
    <n v="4.3"/>
    <n v="4.01"/>
    <n v="8.31"/>
    <x v="1224"/>
    <x v="0"/>
    <x v="68"/>
    <n v="0"/>
    <x v="0"/>
    <x v="1"/>
  </r>
  <r>
    <x v="0"/>
    <x v="2"/>
    <x v="0"/>
    <n v="0"/>
    <x v="0"/>
    <n v="4.3"/>
    <n v="4.01"/>
    <n v="8.31"/>
    <x v="1224"/>
    <x v="0"/>
    <x v="68"/>
    <n v="0"/>
    <x v="0"/>
    <x v="1"/>
  </r>
  <r>
    <x v="0"/>
    <x v="3"/>
    <x v="0"/>
    <n v="0"/>
    <x v="0"/>
    <n v="0"/>
    <n v="0"/>
    <n v="0"/>
    <x v="0"/>
    <x v="0"/>
    <x v="68"/>
    <n v="0"/>
    <x v="0"/>
    <x v="0"/>
  </r>
  <r>
    <x v="0"/>
    <x v="4"/>
    <x v="0"/>
    <n v="0"/>
    <x v="0"/>
    <n v="4.32"/>
    <n v="4"/>
    <n v="8.32"/>
    <x v="1225"/>
    <x v="0"/>
    <x v="68"/>
    <n v="0"/>
    <x v="0"/>
    <x v="1"/>
  </r>
  <r>
    <x v="0"/>
    <x v="5"/>
    <x v="0"/>
    <n v="0"/>
    <x v="0"/>
    <n v="0"/>
    <n v="0"/>
    <n v="0"/>
    <x v="0"/>
    <x v="0"/>
    <x v="68"/>
    <n v="0"/>
    <x v="0"/>
    <x v="0"/>
  </r>
  <r>
    <x v="0"/>
    <x v="6"/>
    <x v="0"/>
    <n v="0"/>
    <x v="0"/>
    <n v="4.32"/>
    <n v="4"/>
    <n v="8.32"/>
    <x v="1225"/>
    <x v="0"/>
    <x v="68"/>
    <n v="0"/>
    <x v="0"/>
    <x v="1"/>
  </r>
  <r>
    <x v="0"/>
    <x v="7"/>
    <x v="0"/>
    <n v="0"/>
    <x v="0"/>
    <n v="0"/>
    <n v="0"/>
    <n v="0"/>
    <x v="0"/>
    <x v="0"/>
    <x v="68"/>
    <n v="0"/>
    <x v="0"/>
    <x v="0"/>
  </r>
  <r>
    <x v="0"/>
    <x v="8"/>
    <x v="0"/>
    <n v="0"/>
    <x v="0"/>
    <n v="0"/>
    <n v="0"/>
    <n v="0"/>
    <x v="0"/>
    <x v="0"/>
    <x v="68"/>
    <n v="0"/>
    <x v="0"/>
    <x v="0"/>
  </r>
  <r>
    <x v="1"/>
    <x v="9"/>
    <x v="0"/>
    <n v="0"/>
    <x v="0"/>
    <n v="0"/>
    <n v="0"/>
    <n v="0"/>
    <x v="0"/>
    <x v="0"/>
    <x v="68"/>
    <n v="0"/>
    <x v="1"/>
    <x v="0"/>
  </r>
  <r>
    <x v="1"/>
    <x v="10"/>
    <x v="0"/>
    <n v="0"/>
    <x v="0"/>
    <n v="0"/>
    <n v="0"/>
    <n v="0"/>
    <x v="0"/>
    <x v="0"/>
    <x v="68"/>
    <n v="0"/>
    <x v="1"/>
    <x v="0"/>
  </r>
  <r>
    <x v="1"/>
    <x v="12"/>
    <x v="679"/>
    <n v="1.1299999999999999"/>
    <x v="1136"/>
    <n v="6.47"/>
    <n v="1.8"/>
    <n v="8.27"/>
    <x v="1096"/>
    <x v="1124"/>
    <x v="68"/>
    <n v="19.2"/>
    <x v="1"/>
    <x v="1"/>
  </r>
  <r>
    <x v="1"/>
    <x v="13"/>
    <x v="0"/>
    <n v="0"/>
    <x v="0"/>
    <n v="0"/>
    <n v="0"/>
    <n v="0"/>
    <x v="0"/>
    <x v="0"/>
    <x v="68"/>
    <n v="0"/>
    <x v="1"/>
    <x v="0"/>
  </r>
  <r>
    <x v="2"/>
    <x v="14"/>
    <x v="528"/>
    <n v="3.24"/>
    <x v="1137"/>
    <n v="4.74"/>
    <n v="3.2"/>
    <n v="7.94"/>
    <x v="1226"/>
    <x v="1125"/>
    <x v="68"/>
    <n v="78.999999996"/>
    <x v="2"/>
    <x v="1"/>
  </r>
  <r>
    <x v="2"/>
    <x v="15"/>
    <x v="22"/>
    <n v="2.38"/>
    <x v="1138"/>
    <n v="4.3600000000000003"/>
    <n v="3.51"/>
    <n v="7.87"/>
    <x v="1227"/>
    <x v="1126"/>
    <x v="68"/>
    <n v="36"/>
    <x v="3"/>
    <x v="1"/>
  </r>
  <r>
    <x v="2"/>
    <x v="16"/>
    <x v="680"/>
    <n v="5.14"/>
    <x v="1139"/>
    <n v="3.52"/>
    <n v="4.3499999999999996"/>
    <n v="7.87"/>
    <x v="1228"/>
    <x v="1127"/>
    <x v="68"/>
    <n v="53.64"/>
    <x v="4"/>
    <x v="1"/>
  </r>
  <r>
    <x v="2"/>
    <x v="17"/>
    <x v="0"/>
    <n v="0"/>
    <x v="0"/>
    <n v="4.18"/>
    <n v="3.72"/>
    <n v="7.9"/>
    <x v="1229"/>
    <x v="0"/>
    <x v="68"/>
    <n v="0"/>
    <x v="3"/>
    <x v="1"/>
  </r>
  <r>
    <x v="2"/>
    <x v="18"/>
    <x v="0"/>
    <n v="0"/>
    <x v="0"/>
    <n v="0"/>
    <n v="0"/>
    <n v="0"/>
    <x v="0"/>
    <x v="0"/>
    <x v="68"/>
    <n v="0"/>
    <x v="3"/>
    <x v="0"/>
  </r>
  <r>
    <x v="2"/>
    <x v="19"/>
    <x v="681"/>
    <n v="5.67"/>
    <x v="1140"/>
    <n v="5.67"/>
    <n v="1.68"/>
    <n v="7.35"/>
    <x v="1230"/>
    <x v="1128"/>
    <x v="68"/>
    <n v="58.8"/>
    <x v="2"/>
    <x v="1"/>
  </r>
  <r>
    <x v="2"/>
    <x v="21"/>
    <x v="370"/>
    <n v="7.2"/>
    <x v="1141"/>
    <n v="5.85"/>
    <n v="2.12"/>
    <n v="7.97"/>
    <x v="1231"/>
    <x v="1129"/>
    <x v="68"/>
    <n v="92.679999996000006"/>
    <x v="2"/>
    <x v="1"/>
  </r>
  <r>
    <x v="2"/>
    <x v="22"/>
    <x v="682"/>
    <n v="3.53"/>
    <x v="1142"/>
    <n v="3.53"/>
    <n v="4.33"/>
    <n v="7.86"/>
    <x v="1232"/>
    <x v="1130"/>
    <x v="68"/>
    <n v="45.12"/>
    <x v="4"/>
    <x v="1"/>
  </r>
  <r>
    <x v="2"/>
    <x v="23"/>
    <x v="0"/>
    <n v="0"/>
    <x v="0"/>
    <n v="0"/>
    <n v="0"/>
    <n v="0"/>
    <x v="0"/>
    <x v="0"/>
    <x v="68"/>
    <n v="0"/>
    <x v="3"/>
    <x v="0"/>
  </r>
  <r>
    <x v="2"/>
    <x v="24"/>
    <x v="0"/>
    <n v="0"/>
    <x v="0"/>
    <n v="0"/>
    <n v="0"/>
    <n v="0"/>
    <x v="0"/>
    <x v="0"/>
    <x v="68"/>
    <n v="0"/>
    <x v="5"/>
    <x v="0"/>
  </r>
  <r>
    <x v="2"/>
    <x v="25"/>
    <x v="0"/>
    <n v="0"/>
    <x v="0"/>
    <n v="0"/>
    <n v="0"/>
    <n v="0"/>
    <x v="0"/>
    <x v="0"/>
    <x v="68"/>
    <n v="0"/>
    <x v="2"/>
    <x v="0"/>
  </r>
  <r>
    <x v="2"/>
    <x v="26"/>
    <x v="0"/>
    <n v="0"/>
    <x v="0"/>
    <n v="0"/>
    <n v="0"/>
    <n v="0"/>
    <x v="0"/>
    <x v="0"/>
    <x v="68"/>
    <n v="0"/>
    <x v="3"/>
    <x v="0"/>
  </r>
  <r>
    <x v="2"/>
    <x v="27"/>
    <x v="0"/>
    <n v="0"/>
    <x v="0"/>
    <n v="0"/>
    <n v="0"/>
    <n v="0"/>
    <x v="0"/>
    <x v="0"/>
    <x v="68"/>
    <n v="0"/>
    <x v="5"/>
    <x v="0"/>
  </r>
  <r>
    <x v="2"/>
    <x v="29"/>
    <x v="683"/>
    <n v="5.42"/>
    <x v="1143"/>
    <n v="4.26"/>
    <n v="3.61"/>
    <n v="7.87"/>
    <x v="1233"/>
    <x v="1131"/>
    <x v="68"/>
    <n v="146.24000003999998"/>
    <x v="5"/>
    <x v="1"/>
  </r>
  <r>
    <x v="2"/>
    <x v="31"/>
    <x v="348"/>
    <n v="3.85"/>
    <x v="1144"/>
    <n v="3.85"/>
    <n v="4.0199999999999996"/>
    <n v="7.87"/>
    <x v="1234"/>
    <x v="1132"/>
    <x v="68"/>
    <n v="110.000000004"/>
    <x v="2"/>
    <x v="1"/>
  </r>
  <r>
    <x v="2"/>
    <x v="32"/>
    <x v="0"/>
    <n v="0"/>
    <x v="0"/>
    <n v="5.57"/>
    <n v="2.3199999999999998"/>
    <n v="7.89"/>
    <x v="1235"/>
    <x v="0"/>
    <x v="68"/>
    <n v="0"/>
    <x v="3"/>
    <x v="1"/>
  </r>
  <r>
    <x v="2"/>
    <x v="33"/>
    <x v="0"/>
    <n v="0"/>
    <x v="0"/>
    <n v="0"/>
    <n v="0"/>
    <n v="0"/>
    <x v="0"/>
    <x v="0"/>
    <x v="68"/>
    <n v="0"/>
    <x v="3"/>
    <x v="0"/>
  </r>
  <r>
    <x v="2"/>
    <x v="34"/>
    <x v="684"/>
    <n v="5.3"/>
    <x v="1145"/>
    <n v="5.2"/>
    <n v="2.69"/>
    <n v="7.89"/>
    <x v="1236"/>
    <x v="1133"/>
    <x v="68"/>
    <n v="45.399999995999998"/>
    <x v="4"/>
    <x v="1"/>
  </r>
  <r>
    <x v="2"/>
    <x v="35"/>
    <x v="685"/>
    <n v="4.5599999999999996"/>
    <x v="1146"/>
    <n v="5.13"/>
    <n v="2.74"/>
    <n v="7.87"/>
    <x v="1237"/>
    <x v="1062"/>
    <x v="68"/>
    <n v="38.760000000000005"/>
    <x v="2"/>
    <x v="1"/>
  </r>
  <r>
    <x v="2"/>
    <x v="38"/>
    <x v="686"/>
    <n v="4.8499999999999996"/>
    <x v="1147"/>
    <n v="5.68"/>
    <n v="2.17"/>
    <n v="7.85"/>
    <x v="1238"/>
    <x v="1134"/>
    <x v="68"/>
    <n v="64.400000003999992"/>
    <x v="2"/>
    <x v="1"/>
  </r>
  <r>
    <x v="2"/>
    <x v="39"/>
    <x v="0"/>
    <n v="0"/>
    <x v="0"/>
    <n v="0"/>
    <n v="0"/>
    <n v="0"/>
    <x v="0"/>
    <x v="0"/>
    <x v="68"/>
    <n v="0"/>
    <x v="2"/>
    <x v="0"/>
  </r>
  <r>
    <x v="2"/>
    <x v="40"/>
    <x v="598"/>
    <n v="2.1"/>
    <x v="1148"/>
    <n v="5.52"/>
    <n v="2.39"/>
    <n v="7.91"/>
    <x v="1239"/>
    <x v="1135"/>
    <x v="68"/>
    <n v="17.000000004"/>
    <x v="3"/>
    <x v="1"/>
  </r>
  <r>
    <x v="2"/>
    <x v="41"/>
    <x v="0"/>
    <n v="0"/>
    <x v="0"/>
    <n v="0"/>
    <n v="0"/>
    <n v="0"/>
    <x v="0"/>
    <x v="0"/>
    <x v="68"/>
    <n v="0"/>
    <x v="5"/>
    <x v="0"/>
  </r>
  <r>
    <x v="2"/>
    <x v="43"/>
    <x v="450"/>
    <n v="1.05"/>
    <x v="1149"/>
    <n v="2.69"/>
    <n v="5.2"/>
    <n v="7.89"/>
    <x v="1240"/>
    <x v="1136"/>
    <x v="68"/>
    <n v="42.999999996"/>
    <x v="3"/>
    <x v="1"/>
  </r>
  <r>
    <x v="2"/>
    <x v="44"/>
    <x v="594"/>
    <n v="6.06"/>
    <x v="1150"/>
    <n v="3.24"/>
    <n v="4.6500000000000004"/>
    <n v="7.89"/>
    <x v="1241"/>
    <x v="1137"/>
    <x v="68"/>
    <n v="84.999999996"/>
    <x v="3"/>
    <x v="1"/>
  </r>
  <r>
    <x v="2"/>
    <x v="45"/>
    <x v="0"/>
    <n v="0"/>
    <x v="0"/>
    <n v="0"/>
    <n v="0"/>
    <n v="0"/>
    <x v="0"/>
    <x v="0"/>
    <x v="68"/>
    <n v="0"/>
    <x v="4"/>
    <x v="0"/>
  </r>
  <r>
    <x v="2"/>
    <x v="47"/>
    <x v="0"/>
    <n v="0"/>
    <x v="0"/>
    <n v="0"/>
    <n v="0"/>
    <n v="0"/>
    <x v="0"/>
    <x v="0"/>
    <x v="68"/>
    <n v="0"/>
    <x v="5"/>
    <x v="0"/>
  </r>
  <r>
    <x v="2"/>
    <x v="48"/>
    <x v="0"/>
    <n v="0"/>
    <x v="0"/>
    <n v="0"/>
    <n v="0"/>
    <n v="0"/>
    <x v="0"/>
    <x v="0"/>
    <x v="68"/>
    <n v="0"/>
    <x v="6"/>
    <x v="0"/>
  </r>
  <r>
    <x v="2"/>
    <x v="49"/>
    <x v="0"/>
    <n v="0"/>
    <x v="0"/>
    <n v="0"/>
    <n v="0"/>
    <n v="0"/>
    <x v="0"/>
    <x v="0"/>
    <x v="68"/>
    <n v="0"/>
    <x v="3"/>
    <x v="0"/>
  </r>
  <r>
    <x v="2"/>
    <x v="50"/>
    <x v="687"/>
    <n v="3.88"/>
    <x v="1151"/>
    <n v="5.65"/>
    <n v="2.23"/>
    <n v="7.88"/>
    <x v="1242"/>
    <x v="664"/>
    <x v="68"/>
    <n v="47.64"/>
    <x v="4"/>
    <x v="1"/>
  </r>
  <r>
    <x v="0"/>
    <x v="0"/>
    <x v="0"/>
    <n v="0"/>
    <x v="0"/>
    <n v="0"/>
    <n v="0"/>
    <n v="0"/>
    <x v="0"/>
    <x v="0"/>
    <x v="69"/>
    <n v="0"/>
    <x v="0"/>
    <x v="0"/>
  </r>
  <r>
    <x v="0"/>
    <x v="1"/>
    <x v="0"/>
    <n v="0"/>
    <x v="0"/>
    <n v="0"/>
    <n v="0"/>
    <n v="0"/>
    <x v="0"/>
    <x v="0"/>
    <x v="69"/>
    <n v="0"/>
    <x v="0"/>
    <x v="0"/>
  </r>
  <r>
    <x v="0"/>
    <x v="2"/>
    <x v="0"/>
    <n v="0"/>
    <x v="0"/>
    <n v="0"/>
    <n v="0"/>
    <n v="0"/>
    <x v="0"/>
    <x v="0"/>
    <x v="69"/>
    <n v="0"/>
    <x v="0"/>
    <x v="0"/>
  </r>
  <r>
    <x v="0"/>
    <x v="3"/>
    <x v="0"/>
    <n v="0"/>
    <x v="0"/>
    <n v="0"/>
    <n v="0"/>
    <n v="0"/>
    <x v="0"/>
    <x v="0"/>
    <x v="69"/>
    <n v="0"/>
    <x v="0"/>
    <x v="0"/>
  </r>
  <r>
    <x v="0"/>
    <x v="4"/>
    <x v="0"/>
    <n v="0"/>
    <x v="0"/>
    <n v="0"/>
    <n v="0"/>
    <n v="0"/>
    <x v="0"/>
    <x v="0"/>
    <x v="69"/>
    <n v="0"/>
    <x v="0"/>
    <x v="0"/>
  </r>
  <r>
    <x v="0"/>
    <x v="5"/>
    <x v="0"/>
    <n v="0"/>
    <x v="0"/>
    <n v="0"/>
    <n v="0"/>
    <n v="0"/>
    <x v="0"/>
    <x v="0"/>
    <x v="69"/>
    <n v="0"/>
    <x v="0"/>
    <x v="0"/>
  </r>
  <r>
    <x v="0"/>
    <x v="6"/>
    <x v="0"/>
    <n v="0"/>
    <x v="0"/>
    <n v="0"/>
    <n v="0"/>
    <n v="0"/>
    <x v="0"/>
    <x v="0"/>
    <x v="69"/>
    <n v="0"/>
    <x v="0"/>
    <x v="0"/>
  </r>
  <r>
    <x v="0"/>
    <x v="7"/>
    <x v="0"/>
    <n v="0"/>
    <x v="0"/>
    <n v="0"/>
    <n v="0"/>
    <n v="0"/>
    <x v="0"/>
    <x v="0"/>
    <x v="69"/>
    <n v="0"/>
    <x v="0"/>
    <x v="0"/>
  </r>
  <r>
    <x v="0"/>
    <x v="8"/>
    <x v="0"/>
    <n v="0"/>
    <x v="0"/>
    <n v="0"/>
    <n v="0"/>
    <n v="0"/>
    <x v="0"/>
    <x v="0"/>
    <x v="69"/>
    <n v="0"/>
    <x v="0"/>
    <x v="0"/>
  </r>
  <r>
    <x v="1"/>
    <x v="9"/>
    <x v="0"/>
    <n v="0"/>
    <x v="0"/>
    <n v="0"/>
    <n v="0"/>
    <n v="0"/>
    <x v="0"/>
    <x v="0"/>
    <x v="69"/>
    <n v="0"/>
    <x v="1"/>
    <x v="0"/>
  </r>
  <r>
    <x v="1"/>
    <x v="10"/>
    <x v="0"/>
    <n v="0"/>
    <x v="0"/>
    <n v="0"/>
    <n v="0"/>
    <n v="0"/>
    <x v="0"/>
    <x v="0"/>
    <x v="69"/>
    <n v="0"/>
    <x v="1"/>
    <x v="0"/>
  </r>
  <r>
    <x v="1"/>
    <x v="11"/>
    <x v="0"/>
    <n v="0"/>
    <x v="0"/>
    <n v="0"/>
    <n v="0"/>
    <n v="0"/>
    <x v="0"/>
    <x v="0"/>
    <x v="69"/>
    <n v="0"/>
    <x v="1"/>
    <x v="0"/>
  </r>
  <r>
    <x v="1"/>
    <x v="12"/>
    <x v="0"/>
    <n v="0"/>
    <x v="0"/>
    <n v="0"/>
    <n v="0"/>
    <n v="0"/>
    <x v="0"/>
    <x v="0"/>
    <x v="69"/>
    <n v="0"/>
    <x v="1"/>
    <x v="0"/>
  </r>
  <r>
    <x v="1"/>
    <x v="13"/>
    <x v="0"/>
    <n v="0"/>
    <x v="0"/>
    <n v="0"/>
    <n v="0"/>
    <n v="0"/>
    <x v="0"/>
    <x v="0"/>
    <x v="69"/>
    <n v="0"/>
    <x v="1"/>
    <x v="0"/>
  </r>
  <r>
    <x v="2"/>
    <x v="14"/>
    <x v="0"/>
    <n v="0"/>
    <x v="0"/>
    <n v="0"/>
    <n v="0"/>
    <n v="0"/>
    <x v="0"/>
    <x v="0"/>
    <x v="69"/>
    <n v="0"/>
    <x v="2"/>
    <x v="0"/>
  </r>
  <r>
    <x v="2"/>
    <x v="15"/>
    <x v="0"/>
    <n v="0"/>
    <x v="0"/>
    <n v="0"/>
    <n v="0"/>
    <n v="0"/>
    <x v="0"/>
    <x v="0"/>
    <x v="69"/>
    <n v="0"/>
    <x v="3"/>
    <x v="0"/>
  </r>
  <r>
    <x v="2"/>
    <x v="16"/>
    <x v="0"/>
    <n v="0"/>
    <x v="0"/>
    <n v="0"/>
    <n v="0"/>
    <n v="0"/>
    <x v="0"/>
    <x v="0"/>
    <x v="69"/>
    <n v="0"/>
    <x v="4"/>
    <x v="0"/>
  </r>
  <r>
    <x v="2"/>
    <x v="17"/>
    <x v="0"/>
    <n v="0"/>
    <x v="0"/>
    <n v="0"/>
    <n v="0"/>
    <n v="0"/>
    <x v="0"/>
    <x v="0"/>
    <x v="69"/>
    <n v="0"/>
    <x v="3"/>
    <x v="0"/>
  </r>
  <r>
    <x v="2"/>
    <x v="18"/>
    <x v="0"/>
    <n v="0"/>
    <x v="0"/>
    <n v="0"/>
    <n v="0"/>
    <n v="0"/>
    <x v="0"/>
    <x v="0"/>
    <x v="69"/>
    <n v="0"/>
    <x v="3"/>
    <x v="0"/>
  </r>
  <r>
    <x v="2"/>
    <x v="19"/>
    <x v="0"/>
    <n v="0"/>
    <x v="0"/>
    <n v="0"/>
    <n v="0"/>
    <n v="0"/>
    <x v="0"/>
    <x v="0"/>
    <x v="69"/>
    <n v="0"/>
    <x v="2"/>
    <x v="0"/>
  </r>
  <r>
    <x v="2"/>
    <x v="20"/>
    <x v="0"/>
    <n v="0"/>
    <x v="0"/>
    <n v="0"/>
    <n v="0"/>
    <n v="0"/>
    <x v="0"/>
    <x v="0"/>
    <x v="69"/>
    <n v="0"/>
    <x v="5"/>
    <x v="0"/>
  </r>
  <r>
    <x v="2"/>
    <x v="21"/>
    <x v="0"/>
    <n v="0"/>
    <x v="0"/>
    <n v="0"/>
    <n v="0"/>
    <n v="0"/>
    <x v="0"/>
    <x v="0"/>
    <x v="69"/>
    <n v="0"/>
    <x v="2"/>
    <x v="0"/>
  </r>
  <r>
    <x v="2"/>
    <x v="22"/>
    <x v="0"/>
    <n v="0"/>
    <x v="0"/>
    <n v="0"/>
    <n v="0"/>
    <n v="0"/>
    <x v="0"/>
    <x v="0"/>
    <x v="69"/>
    <n v="0"/>
    <x v="4"/>
    <x v="0"/>
  </r>
  <r>
    <x v="2"/>
    <x v="23"/>
    <x v="0"/>
    <n v="0"/>
    <x v="0"/>
    <n v="0"/>
    <n v="0"/>
    <n v="0"/>
    <x v="0"/>
    <x v="0"/>
    <x v="69"/>
    <n v="0"/>
    <x v="3"/>
    <x v="0"/>
  </r>
  <r>
    <x v="2"/>
    <x v="24"/>
    <x v="0"/>
    <n v="0"/>
    <x v="0"/>
    <n v="0"/>
    <n v="0"/>
    <n v="0"/>
    <x v="0"/>
    <x v="0"/>
    <x v="69"/>
    <n v="0"/>
    <x v="5"/>
    <x v="0"/>
  </r>
  <r>
    <x v="2"/>
    <x v="25"/>
    <x v="0"/>
    <n v="0"/>
    <x v="0"/>
    <n v="0"/>
    <n v="0"/>
    <n v="0"/>
    <x v="0"/>
    <x v="0"/>
    <x v="69"/>
    <n v="0"/>
    <x v="2"/>
    <x v="0"/>
  </r>
  <r>
    <x v="2"/>
    <x v="26"/>
    <x v="0"/>
    <n v="0"/>
    <x v="0"/>
    <n v="0"/>
    <n v="0"/>
    <n v="0"/>
    <x v="0"/>
    <x v="0"/>
    <x v="69"/>
    <n v="0"/>
    <x v="3"/>
    <x v="0"/>
  </r>
  <r>
    <x v="2"/>
    <x v="27"/>
    <x v="0"/>
    <n v="0"/>
    <x v="0"/>
    <n v="0"/>
    <n v="0"/>
    <n v="0"/>
    <x v="0"/>
    <x v="0"/>
    <x v="69"/>
    <n v="0"/>
    <x v="5"/>
    <x v="0"/>
  </r>
  <r>
    <x v="2"/>
    <x v="29"/>
    <x v="0"/>
    <n v="0"/>
    <x v="0"/>
    <n v="0"/>
    <n v="0"/>
    <n v="0"/>
    <x v="0"/>
    <x v="0"/>
    <x v="69"/>
    <n v="0"/>
    <x v="5"/>
    <x v="0"/>
  </r>
  <r>
    <x v="2"/>
    <x v="30"/>
    <x v="0"/>
    <n v="0"/>
    <x v="0"/>
    <n v="0"/>
    <n v="0"/>
    <n v="0"/>
    <x v="0"/>
    <x v="0"/>
    <x v="69"/>
    <n v="0"/>
    <x v="5"/>
    <x v="0"/>
  </r>
  <r>
    <x v="2"/>
    <x v="31"/>
    <x v="0"/>
    <n v="0"/>
    <x v="0"/>
    <n v="0"/>
    <n v="0"/>
    <n v="0"/>
    <x v="0"/>
    <x v="0"/>
    <x v="69"/>
    <n v="0"/>
    <x v="2"/>
    <x v="0"/>
  </r>
  <r>
    <x v="2"/>
    <x v="32"/>
    <x v="0"/>
    <n v="0"/>
    <x v="0"/>
    <n v="0"/>
    <n v="0"/>
    <n v="0"/>
    <x v="0"/>
    <x v="0"/>
    <x v="69"/>
    <n v="0"/>
    <x v="3"/>
    <x v="0"/>
  </r>
  <r>
    <x v="2"/>
    <x v="33"/>
    <x v="0"/>
    <n v="0"/>
    <x v="0"/>
    <n v="0"/>
    <n v="0"/>
    <n v="0"/>
    <x v="0"/>
    <x v="0"/>
    <x v="69"/>
    <n v="0"/>
    <x v="3"/>
    <x v="0"/>
  </r>
  <r>
    <x v="2"/>
    <x v="34"/>
    <x v="0"/>
    <n v="0"/>
    <x v="0"/>
    <n v="0"/>
    <n v="0"/>
    <n v="0"/>
    <x v="0"/>
    <x v="0"/>
    <x v="69"/>
    <n v="0"/>
    <x v="4"/>
    <x v="0"/>
  </r>
  <r>
    <x v="2"/>
    <x v="35"/>
    <x v="0"/>
    <n v="0"/>
    <x v="0"/>
    <n v="0"/>
    <n v="0"/>
    <n v="0"/>
    <x v="0"/>
    <x v="0"/>
    <x v="69"/>
    <n v="0"/>
    <x v="2"/>
    <x v="0"/>
  </r>
  <r>
    <x v="2"/>
    <x v="36"/>
    <x v="0"/>
    <n v="0"/>
    <x v="0"/>
    <n v="0"/>
    <n v="0"/>
    <n v="0"/>
    <x v="0"/>
    <x v="0"/>
    <x v="69"/>
    <n v="0"/>
    <x v="4"/>
    <x v="0"/>
  </r>
  <r>
    <x v="2"/>
    <x v="37"/>
    <x v="0"/>
    <n v="0"/>
    <x v="0"/>
    <n v="0"/>
    <n v="0"/>
    <n v="0"/>
    <x v="0"/>
    <x v="0"/>
    <x v="69"/>
    <n v="0"/>
    <x v="4"/>
    <x v="0"/>
  </r>
  <r>
    <x v="2"/>
    <x v="38"/>
    <x v="0"/>
    <n v="0"/>
    <x v="0"/>
    <n v="0"/>
    <n v="0"/>
    <n v="0"/>
    <x v="0"/>
    <x v="0"/>
    <x v="69"/>
    <n v="0"/>
    <x v="2"/>
    <x v="0"/>
  </r>
  <r>
    <x v="2"/>
    <x v="39"/>
    <x v="0"/>
    <n v="0"/>
    <x v="0"/>
    <n v="0"/>
    <n v="0"/>
    <n v="0"/>
    <x v="0"/>
    <x v="0"/>
    <x v="69"/>
    <n v="0"/>
    <x v="2"/>
    <x v="0"/>
  </r>
  <r>
    <x v="2"/>
    <x v="40"/>
    <x v="0"/>
    <n v="0"/>
    <x v="0"/>
    <n v="0"/>
    <n v="0"/>
    <n v="0"/>
    <x v="0"/>
    <x v="0"/>
    <x v="69"/>
    <n v="0"/>
    <x v="3"/>
    <x v="0"/>
  </r>
  <r>
    <x v="2"/>
    <x v="41"/>
    <x v="0"/>
    <n v="0"/>
    <x v="0"/>
    <n v="0"/>
    <n v="0"/>
    <n v="0"/>
    <x v="0"/>
    <x v="0"/>
    <x v="69"/>
    <n v="0"/>
    <x v="5"/>
    <x v="0"/>
  </r>
  <r>
    <x v="2"/>
    <x v="42"/>
    <x v="0"/>
    <n v="0"/>
    <x v="0"/>
    <n v="0"/>
    <n v="0"/>
    <n v="0"/>
    <x v="0"/>
    <x v="0"/>
    <x v="69"/>
    <n v="0"/>
    <x v="2"/>
    <x v="0"/>
  </r>
  <r>
    <x v="2"/>
    <x v="43"/>
    <x v="0"/>
    <n v="0"/>
    <x v="0"/>
    <n v="0"/>
    <n v="0"/>
    <n v="0"/>
    <x v="0"/>
    <x v="0"/>
    <x v="69"/>
    <n v="0"/>
    <x v="3"/>
    <x v="0"/>
  </r>
  <r>
    <x v="2"/>
    <x v="44"/>
    <x v="0"/>
    <n v="0"/>
    <x v="0"/>
    <n v="0"/>
    <n v="0"/>
    <n v="0"/>
    <x v="0"/>
    <x v="0"/>
    <x v="69"/>
    <n v="0"/>
    <x v="3"/>
    <x v="0"/>
  </r>
  <r>
    <x v="2"/>
    <x v="45"/>
    <x v="0"/>
    <n v="0"/>
    <x v="0"/>
    <n v="0"/>
    <n v="0"/>
    <n v="0"/>
    <x v="0"/>
    <x v="0"/>
    <x v="69"/>
    <n v="0"/>
    <x v="4"/>
    <x v="0"/>
  </r>
  <r>
    <x v="2"/>
    <x v="46"/>
    <x v="0"/>
    <n v="0"/>
    <x v="0"/>
    <n v="0"/>
    <n v="0"/>
    <n v="0"/>
    <x v="0"/>
    <x v="0"/>
    <x v="69"/>
    <n v="0"/>
    <x v="4"/>
    <x v="0"/>
  </r>
  <r>
    <x v="2"/>
    <x v="47"/>
    <x v="0"/>
    <n v="0"/>
    <x v="0"/>
    <n v="0"/>
    <n v="0"/>
    <n v="0"/>
    <x v="0"/>
    <x v="0"/>
    <x v="69"/>
    <n v="0"/>
    <x v="5"/>
    <x v="0"/>
  </r>
  <r>
    <x v="2"/>
    <x v="48"/>
    <x v="0"/>
    <n v="0"/>
    <x v="0"/>
    <n v="0"/>
    <n v="0"/>
    <n v="0"/>
    <x v="0"/>
    <x v="0"/>
    <x v="69"/>
    <n v="0"/>
    <x v="6"/>
    <x v="0"/>
  </r>
  <r>
    <x v="2"/>
    <x v="49"/>
    <x v="0"/>
    <n v="0"/>
    <x v="0"/>
    <n v="0"/>
    <n v="0"/>
    <n v="0"/>
    <x v="0"/>
    <x v="0"/>
    <x v="69"/>
    <n v="0"/>
    <x v="3"/>
    <x v="0"/>
  </r>
  <r>
    <x v="2"/>
    <x v="50"/>
    <x v="0"/>
    <n v="0"/>
    <x v="0"/>
    <n v="0"/>
    <n v="0"/>
    <n v="0"/>
    <x v="0"/>
    <x v="0"/>
    <x v="69"/>
    <n v="0"/>
    <x v="4"/>
    <x v="0"/>
  </r>
  <r>
    <x v="0"/>
    <x v="0"/>
    <x v="0"/>
    <n v="0"/>
    <x v="0"/>
    <n v="0"/>
    <n v="0"/>
    <n v="0"/>
    <x v="0"/>
    <x v="0"/>
    <x v="70"/>
    <n v="0"/>
    <x v="0"/>
    <x v="0"/>
  </r>
  <r>
    <x v="0"/>
    <x v="1"/>
    <x v="587"/>
    <n v="6.95"/>
    <x v="1152"/>
    <n v="10.24"/>
    <n v="0.14000000000000001"/>
    <n v="10.38"/>
    <x v="1243"/>
    <x v="1138"/>
    <x v="70"/>
    <n v="14.279999999999998"/>
    <x v="0"/>
    <x v="1"/>
  </r>
  <r>
    <x v="0"/>
    <x v="2"/>
    <x v="587"/>
    <n v="6.95"/>
    <x v="1152"/>
    <n v="10.25"/>
    <n v="0.14000000000000001"/>
    <n v="10.39"/>
    <x v="1243"/>
    <x v="1139"/>
    <x v="70"/>
    <n v="14.279999999999998"/>
    <x v="0"/>
    <x v="1"/>
  </r>
  <r>
    <x v="0"/>
    <x v="3"/>
    <x v="11"/>
    <n v="6"/>
    <x v="1153"/>
    <n v="7.9"/>
    <n v="0.09"/>
    <n v="7.99"/>
    <x v="1244"/>
    <x v="198"/>
    <x v="70"/>
    <n v="9"/>
    <x v="0"/>
    <x v="1"/>
  </r>
  <r>
    <x v="0"/>
    <x v="4"/>
    <x v="688"/>
    <n v="8.41"/>
    <x v="1154"/>
    <n v="10.27"/>
    <n v="0.16"/>
    <n v="10.43"/>
    <x v="472"/>
    <x v="1140"/>
    <x v="70"/>
    <n v="66.599999999999994"/>
    <x v="0"/>
    <x v="1"/>
  </r>
  <r>
    <x v="0"/>
    <x v="5"/>
    <x v="587"/>
    <n v="6.95"/>
    <x v="1152"/>
    <n v="10.23"/>
    <n v="0.14000000000000001"/>
    <n v="10.37"/>
    <x v="1243"/>
    <x v="1141"/>
    <x v="70"/>
    <n v="14.279999999999998"/>
    <x v="0"/>
    <x v="1"/>
  </r>
  <r>
    <x v="0"/>
    <x v="6"/>
    <x v="689"/>
    <n v="8.91"/>
    <x v="1155"/>
    <n v="10.26"/>
    <n v="0.16"/>
    <n v="10.42"/>
    <x v="1144"/>
    <x v="1142"/>
    <x v="70"/>
    <n v="86.600000004000009"/>
    <x v="0"/>
    <x v="1"/>
  </r>
  <r>
    <x v="0"/>
    <x v="7"/>
    <x v="220"/>
    <n v="9.61"/>
    <x v="1156"/>
    <n v="10.18"/>
    <n v="0.09"/>
    <n v="10.27"/>
    <x v="1245"/>
    <x v="1143"/>
    <x v="70"/>
    <n v="39.480000000000004"/>
    <x v="0"/>
    <x v="1"/>
  </r>
  <r>
    <x v="0"/>
    <x v="8"/>
    <x v="690"/>
    <n v="6.23"/>
    <x v="1157"/>
    <n v="10.31"/>
    <n v="0.19"/>
    <n v="10.5"/>
    <x v="1142"/>
    <x v="1144"/>
    <x v="70"/>
    <n v="52.44"/>
    <x v="0"/>
    <x v="1"/>
  </r>
  <r>
    <x v="1"/>
    <x v="9"/>
    <x v="0"/>
    <n v="0"/>
    <x v="0"/>
    <n v="0"/>
    <n v="0"/>
    <n v="0"/>
    <x v="0"/>
    <x v="0"/>
    <x v="70"/>
    <n v="0"/>
    <x v="1"/>
    <x v="0"/>
  </r>
  <r>
    <x v="1"/>
    <x v="10"/>
    <x v="0"/>
    <n v="0"/>
    <x v="0"/>
    <n v="5.39"/>
    <n v="2.56"/>
    <n v="7.95"/>
    <x v="1246"/>
    <x v="0"/>
    <x v="70"/>
    <n v="0"/>
    <x v="1"/>
    <x v="1"/>
  </r>
  <r>
    <x v="1"/>
    <x v="12"/>
    <x v="691"/>
    <n v="6.35"/>
    <x v="1158"/>
    <n v="3.55"/>
    <n v="4.45"/>
    <n v="8"/>
    <x v="1247"/>
    <x v="1145"/>
    <x v="70"/>
    <n v="82.320000000000007"/>
    <x v="1"/>
    <x v="1"/>
  </r>
  <r>
    <x v="2"/>
    <x v="14"/>
    <x v="357"/>
    <n v="4.7300000000000004"/>
    <x v="1159"/>
    <n v="6.33"/>
    <n v="1.68"/>
    <n v="8.01"/>
    <x v="1248"/>
    <x v="1146"/>
    <x v="70"/>
    <n v="137.00000003999997"/>
    <x v="2"/>
    <x v="1"/>
  </r>
  <r>
    <x v="2"/>
    <x v="15"/>
    <x v="596"/>
    <n v="3.87"/>
    <x v="1160"/>
    <n v="7.93"/>
    <n v="0.2"/>
    <n v="8.1300000000000008"/>
    <x v="1249"/>
    <x v="1147"/>
    <x v="70"/>
    <n v="20.000000004"/>
    <x v="3"/>
    <x v="1"/>
  </r>
  <r>
    <x v="2"/>
    <x v="16"/>
    <x v="104"/>
    <n v="0.9"/>
    <x v="836"/>
    <n v="7.84"/>
    <n v="0.27"/>
    <n v="8.11"/>
    <x v="800"/>
    <x v="1148"/>
    <x v="70"/>
    <n v="12.120000000000001"/>
    <x v="4"/>
    <x v="1"/>
  </r>
  <r>
    <x v="2"/>
    <x v="17"/>
    <x v="181"/>
    <n v="4.05"/>
    <x v="1161"/>
    <n v="6.69"/>
    <n v="3.15"/>
    <n v="9.84"/>
    <x v="1250"/>
    <x v="1149"/>
    <x v="70"/>
    <n v="15"/>
    <x v="3"/>
    <x v="1"/>
  </r>
  <r>
    <x v="2"/>
    <x v="18"/>
    <x v="0"/>
    <n v="0"/>
    <x v="0"/>
    <n v="4.88"/>
    <n v="3.04"/>
    <n v="7.92"/>
    <x v="1251"/>
    <x v="0"/>
    <x v="70"/>
    <n v="0"/>
    <x v="3"/>
    <x v="1"/>
  </r>
  <r>
    <x v="2"/>
    <x v="19"/>
    <x v="449"/>
    <n v="5.32"/>
    <x v="1162"/>
    <n v="7.12"/>
    <n v="0.84"/>
    <n v="7.96"/>
    <x v="1252"/>
    <x v="1150"/>
    <x v="70"/>
    <n v="86.000000004"/>
    <x v="2"/>
    <x v="1"/>
  </r>
  <r>
    <x v="2"/>
    <x v="20"/>
    <x v="692"/>
    <n v="5.87"/>
    <x v="1163"/>
    <n v="6.99"/>
    <n v="1.1100000000000001"/>
    <n v="8.1"/>
    <x v="1253"/>
    <x v="1151"/>
    <x v="70"/>
    <n v="87.440000003999998"/>
    <x v="5"/>
    <x v="1"/>
  </r>
  <r>
    <x v="2"/>
    <x v="21"/>
    <x v="550"/>
    <n v="6.88"/>
    <x v="1164"/>
    <n v="6.87"/>
    <n v="1.07"/>
    <n v="7.94"/>
    <x v="1254"/>
    <x v="1152"/>
    <x v="70"/>
    <n v="143.00000003999997"/>
    <x v="2"/>
    <x v="1"/>
  </r>
  <r>
    <x v="2"/>
    <x v="22"/>
    <x v="0"/>
    <n v="0"/>
    <x v="0"/>
    <n v="6.97"/>
    <n v="1.1100000000000001"/>
    <n v="8.08"/>
    <x v="1217"/>
    <x v="0"/>
    <x v="70"/>
    <n v="0"/>
    <x v="4"/>
    <x v="1"/>
  </r>
  <r>
    <x v="2"/>
    <x v="23"/>
    <x v="0"/>
    <n v="0"/>
    <x v="0"/>
    <n v="2.02"/>
    <n v="7.85"/>
    <n v="9.8699999999999992"/>
    <x v="1255"/>
    <x v="0"/>
    <x v="70"/>
    <n v="0"/>
    <x v="3"/>
    <x v="1"/>
  </r>
  <r>
    <x v="2"/>
    <x v="24"/>
    <x v="125"/>
    <n v="0.82"/>
    <x v="1165"/>
    <n v="7.53"/>
    <n v="0.41"/>
    <n v="7.94"/>
    <x v="830"/>
    <x v="76"/>
    <x v="70"/>
    <n v="12.48"/>
    <x v="5"/>
    <x v="1"/>
  </r>
  <r>
    <x v="2"/>
    <x v="25"/>
    <x v="402"/>
    <n v="6.21"/>
    <x v="1166"/>
    <n v="6.21"/>
    <n v="1.74"/>
    <n v="7.95"/>
    <x v="1256"/>
    <x v="1153"/>
    <x v="70"/>
    <n v="81.999999996"/>
    <x v="2"/>
    <x v="1"/>
  </r>
  <r>
    <x v="2"/>
    <x v="26"/>
    <x v="693"/>
    <n v="5.24"/>
    <x v="1167"/>
    <n v="5.23"/>
    <n v="2.85"/>
    <n v="8.08"/>
    <x v="1257"/>
    <x v="1154"/>
    <x v="70"/>
    <n v="74.000000004"/>
    <x v="3"/>
    <x v="1"/>
  </r>
  <r>
    <x v="2"/>
    <x v="27"/>
    <x v="694"/>
    <n v="4.74"/>
    <x v="1168"/>
    <n v="7.55"/>
    <n v="0.39"/>
    <n v="7.94"/>
    <x v="1258"/>
    <x v="1155"/>
    <x v="70"/>
    <n v="114.47999999999999"/>
    <x v="5"/>
    <x v="1"/>
  </r>
  <r>
    <x v="2"/>
    <x v="31"/>
    <x v="695"/>
    <n v="5.42"/>
    <x v="1169"/>
    <n v="6.57"/>
    <n v="1.35"/>
    <n v="7.92"/>
    <x v="1259"/>
    <x v="1156"/>
    <x v="70"/>
    <n v="113.31999999600001"/>
    <x v="2"/>
    <x v="1"/>
  </r>
  <r>
    <x v="2"/>
    <x v="32"/>
    <x v="334"/>
    <n v="3.49"/>
    <x v="1170"/>
    <n v="4.6500000000000004"/>
    <n v="4.76"/>
    <n v="9.41"/>
    <x v="1260"/>
    <x v="1157"/>
    <x v="70"/>
    <n v="8.0000000040000003"/>
    <x v="3"/>
    <x v="1"/>
  </r>
  <r>
    <x v="2"/>
    <x v="33"/>
    <x v="696"/>
    <n v="2.1800000000000002"/>
    <x v="1171"/>
    <n v="1.1200000000000001"/>
    <n v="4.45"/>
    <n v="5.57"/>
    <x v="1261"/>
    <x v="1158"/>
    <x v="70"/>
    <n v="21.119999999999997"/>
    <x v="3"/>
    <x v="1"/>
  </r>
  <r>
    <x v="2"/>
    <x v="35"/>
    <x v="327"/>
    <n v="4.7699999999999996"/>
    <x v="1172"/>
    <n v="9.31"/>
    <n v="0.67"/>
    <n v="9.98"/>
    <x v="1262"/>
    <x v="1159"/>
    <x v="70"/>
    <n v="72.999999996"/>
    <x v="2"/>
    <x v="1"/>
  </r>
  <r>
    <x v="2"/>
    <x v="37"/>
    <x v="0"/>
    <n v="0"/>
    <x v="0"/>
    <n v="0"/>
    <n v="0"/>
    <n v="0"/>
    <x v="0"/>
    <x v="0"/>
    <x v="70"/>
    <n v="0"/>
    <x v="4"/>
    <x v="0"/>
  </r>
  <r>
    <x v="2"/>
    <x v="38"/>
    <x v="697"/>
    <n v="7.26"/>
    <x v="1173"/>
    <n v="8.58"/>
    <n v="1.37"/>
    <n v="9.9499999999999993"/>
    <x v="863"/>
    <x v="1160"/>
    <x v="70"/>
    <n v="180.99999996000003"/>
    <x v="2"/>
    <x v="1"/>
  </r>
  <r>
    <x v="2"/>
    <x v="39"/>
    <x v="365"/>
    <n v="3.43"/>
    <x v="1174"/>
    <n v="6.24"/>
    <n v="1.69"/>
    <n v="7.93"/>
    <x v="1263"/>
    <x v="1161"/>
    <x v="70"/>
    <n v="47.000000004"/>
    <x v="2"/>
    <x v="1"/>
  </r>
  <r>
    <x v="2"/>
    <x v="40"/>
    <x v="698"/>
    <n v="2.15"/>
    <x v="1175"/>
    <n v="2.97"/>
    <n v="4.8899999999999997"/>
    <n v="7.86"/>
    <x v="1102"/>
    <x v="1162"/>
    <x v="70"/>
    <n v="20.880000000000003"/>
    <x v="3"/>
    <x v="1"/>
  </r>
  <r>
    <x v="2"/>
    <x v="41"/>
    <x v="685"/>
    <n v="2.6"/>
    <x v="1176"/>
    <n v="8.0500000000000007"/>
    <n v="1.93"/>
    <n v="9.98"/>
    <x v="1264"/>
    <x v="1163"/>
    <x v="70"/>
    <n v="38.760000000000005"/>
    <x v="5"/>
    <x v="1"/>
  </r>
  <r>
    <x v="2"/>
    <x v="42"/>
    <x v="699"/>
    <n v="8"/>
    <x v="1177"/>
    <n v="7.25"/>
    <n v="0.76"/>
    <n v="8.01"/>
    <x v="1265"/>
    <x v="1164"/>
    <x v="70"/>
    <n v="131.55999995999997"/>
    <x v="2"/>
    <x v="1"/>
  </r>
  <r>
    <x v="2"/>
    <x v="43"/>
    <x v="0"/>
    <n v="0"/>
    <x v="0"/>
    <n v="5.94"/>
    <n v="2.21"/>
    <n v="8.15"/>
    <x v="641"/>
    <x v="0"/>
    <x v="70"/>
    <n v="0"/>
    <x v="3"/>
    <x v="1"/>
  </r>
  <r>
    <x v="2"/>
    <x v="44"/>
    <x v="260"/>
    <n v="4.59"/>
    <x v="1178"/>
    <n v="4.58"/>
    <n v="3.54"/>
    <n v="8.1199999999999992"/>
    <x v="1266"/>
    <x v="440"/>
    <x v="70"/>
    <n v="48"/>
    <x v="3"/>
    <x v="1"/>
  </r>
  <r>
    <x v="2"/>
    <x v="45"/>
    <x v="0"/>
    <n v="0"/>
    <x v="0"/>
    <n v="2.82"/>
    <n v="5.17"/>
    <n v="7.99"/>
    <x v="1267"/>
    <x v="0"/>
    <x v="70"/>
    <n v="0"/>
    <x v="4"/>
    <x v="1"/>
  </r>
  <r>
    <x v="2"/>
    <x v="46"/>
    <x v="82"/>
    <n v="0.88"/>
    <x v="1179"/>
    <n v="7.78"/>
    <n v="0.28999999999999998"/>
    <n v="8.07"/>
    <x v="968"/>
    <x v="148"/>
    <x v="70"/>
    <n v="11.879999999999999"/>
    <x v="4"/>
    <x v="1"/>
  </r>
  <r>
    <x v="2"/>
    <x v="47"/>
    <x v="700"/>
    <n v="4.18"/>
    <x v="1180"/>
    <n v="7.68"/>
    <n v="0.3"/>
    <n v="7.98"/>
    <x v="1200"/>
    <x v="1165"/>
    <x v="70"/>
    <n v="48.519999995999996"/>
    <x v="5"/>
    <x v="1"/>
  </r>
  <r>
    <x v="2"/>
    <x v="48"/>
    <x v="0"/>
    <n v="0"/>
    <x v="0"/>
    <n v="0"/>
    <n v="0"/>
    <n v="0"/>
    <x v="0"/>
    <x v="0"/>
    <x v="70"/>
    <n v="0"/>
    <x v="6"/>
    <x v="0"/>
  </r>
  <r>
    <x v="2"/>
    <x v="50"/>
    <x v="0"/>
    <n v="0"/>
    <x v="0"/>
    <n v="7.77"/>
    <n v="0.43"/>
    <n v="8.1999999999999993"/>
    <x v="230"/>
    <x v="0"/>
    <x v="70"/>
    <n v="0"/>
    <x v="4"/>
    <x v="1"/>
  </r>
  <r>
    <x v="0"/>
    <x v="0"/>
    <x v="0"/>
    <n v="0"/>
    <x v="0"/>
    <n v="0"/>
    <n v="0"/>
    <n v="0"/>
    <x v="0"/>
    <x v="0"/>
    <x v="71"/>
    <n v="0"/>
    <x v="0"/>
    <x v="0"/>
  </r>
  <r>
    <x v="0"/>
    <x v="1"/>
    <x v="701"/>
    <n v="5.6"/>
    <x v="1181"/>
    <n v="10.88"/>
    <n v="0.13"/>
    <n v="11.01"/>
    <x v="1268"/>
    <x v="1166"/>
    <x v="71"/>
    <n v="23.04"/>
    <x v="0"/>
    <x v="1"/>
  </r>
  <r>
    <x v="0"/>
    <x v="2"/>
    <x v="126"/>
    <n v="9.59"/>
    <x v="1182"/>
    <n v="10.93"/>
    <n v="0.09"/>
    <n v="11.02"/>
    <x v="1269"/>
    <x v="1167"/>
    <x v="71"/>
    <n v="38.519999999999996"/>
    <x v="0"/>
    <x v="1"/>
  </r>
  <r>
    <x v="0"/>
    <x v="3"/>
    <x v="0"/>
    <n v="0"/>
    <x v="0"/>
    <n v="7.71"/>
    <n v="0.36"/>
    <n v="8.07"/>
    <x v="596"/>
    <x v="0"/>
    <x v="71"/>
    <n v="0"/>
    <x v="0"/>
    <x v="1"/>
  </r>
  <r>
    <x v="0"/>
    <x v="4"/>
    <x v="15"/>
    <n v="4.03"/>
    <x v="1183"/>
    <n v="10.48"/>
    <n v="0.13"/>
    <n v="10.61"/>
    <x v="516"/>
    <x v="1168"/>
    <x v="71"/>
    <n v="42.96"/>
    <x v="0"/>
    <x v="1"/>
  </r>
  <r>
    <x v="0"/>
    <x v="5"/>
    <x v="126"/>
    <n v="9.59"/>
    <x v="1182"/>
    <n v="10.55"/>
    <n v="0.08"/>
    <n v="10.63"/>
    <x v="971"/>
    <x v="155"/>
    <x v="71"/>
    <n v="38.519999999999996"/>
    <x v="0"/>
    <x v="1"/>
  </r>
  <r>
    <x v="0"/>
    <x v="7"/>
    <x v="702"/>
    <n v="3.9"/>
    <x v="1184"/>
    <n v="7.67"/>
    <n v="0.35"/>
    <n v="8.02"/>
    <x v="1045"/>
    <x v="1169"/>
    <x v="71"/>
    <n v="26.28"/>
    <x v="0"/>
    <x v="1"/>
  </r>
  <r>
    <x v="1"/>
    <x v="10"/>
    <x v="328"/>
    <n v="1.97"/>
    <x v="1185"/>
    <n v="10.01"/>
    <n v="0.56000000000000005"/>
    <n v="10.57"/>
    <x v="1270"/>
    <x v="1170"/>
    <x v="71"/>
    <n v="57.999999996"/>
    <x v="1"/>
    <x v="1"/>
  </r>
  <r>
    <x v="1"/>
    <x v="11"/>
    <x v="703"/>
    <n v="3.44"/>
    <x v="1186"/>
    <n v="6.99"/>
    <n v="1.05"/>
    <n v="8.0399999999999991"/>
    <x v="1271"/>
    <x v="1171"/>
    <x v="71"/>
    <n v="64.359999995999999"/>
    <x v="1"/>
    <x v="1"/>
  </r>
  <r>
    <x v="1"/>
    <x v="12"/>
    <x v="211"/>
    <n v="7.66"/>
    <x v="1187"/>
    <n v="8.93"/>
    <n v="1.25"/>
    <n v="10.18"/>
    <x v="1272"/>
    <x v="1172"/>
    <x v="71"/>
    <n v="77.16"/>
    <x v="1"/>
    <x v="1"/>
  </r>
  <r>
    <x v="2"/>
    <x v="14"/>
    <x v="704"/>
    <n v="6.61"/>
    <x v="1188"/>
    <n v="7.43"/>
    <n v="0.5"/>
    <n v="7.93"/>
    <x v="1273"/>
    <x v="1173"/>
    <x v="71"/>
    <n v="189.99999996000003"/>
    <x v="2"/>
    <x v="1"/>
  </r>
  <r>
    <x v="2"/>
    <x v="15"/>
    <x v="368"/>
    <n v="3.03"/>
    <x v="1189"/>
    <n v="8.01"/>
    <n v="1.25"/>
    <n v="9.26"/>
    <x v="578"/>
    <x v="1174"/>
    <x v="71"/>
    <n v="14.000000004"/>
    <x v="3"/>
    <x v="1"/>
  </r>
  <r>
    <x v="2"/>
    <x v="17"/>
    <x v="0"/>
    <n v="0"/>
    <x v="0"/>
    <n v="0"/>
    <n v="11.13"/>
    <n v="11.13"/>
    <x v="0"/>
    <x v="0"/>
    <x v="71"/>
    <n v="0"/>
    <x v="3"/>
    <x v="1"/>
  </r>
  <r>
    <x v="2"/>
    <x v="20"/>
    <x v="705"/>
    <n v="1.03"/>
    <x v="1190"/>
    <n v="7.88"/>
    <n v="0.37"/>
    <n v="8.25"/>
    <x v="890"/>
    <x v="269"/>
    <x v="71"/>
    <n v="20.399999999999999"/>
    <x v="5"/>
    <x v="1"/>
  </r>
  <r>
    <x v="2"/>
    <x v="21"/>
    <x v="599"/>
    <n v="4.8099999999999996"/>
    <x v="1191"/>
    <n v="7.14"/>
    <n v="0.85"/>
    <n v="7.99"/>
    <x v="1274"/>
    <x v="1175"/>
    <x v="71"/>
    <n v="129.99999996000003"/>
    <x v="2"/>
    <x v="1"/>
  </r>
  <r>
    <x v="2"/>
    <x v="23"/>
    <x v="0"/>
    <n v="0"/>
    <x v="0"/>
    <n v="8.81"/>
    <n v="2.29"/>
    <n v="11.1"/>
    <x v="1275"/>
    <x v="0"/>
    <x v="71"/>
    <n v="0"/>
    <x v="3"/>
    <x v="1"/>
  </r>
  <r>
    <x v="2"/>
    <x v="25"/>
    <x v="644"/>
    <n v="6.28"/>
    <x v="1192"/>
    <n v="6.28"/>
    <n v="1.74"/>
    <n v="8.02"/>
    <x v="1276"/>
    <x v="1176"/>
    <x v="71"/>
    <n v="89.000000004"/>
    <x v="2"/>
    <x v="1"/>
  </r>
  <r>
    <x v="2"/>
    <x v="30"/>
    <x v="706"/>
    <n v="7.6"/>
    <x v="1193"/>
    <n v="7.77"/>
    <n v="0.46"/>
    <n v="8.23"/>
    <x v="1277"/>
    <x v="1177"/>
    <x v="71"/>
    <n v="97.959999996000008"/>
    <x v="5"/>
    <x v="1"/>
  </r>
  <r>
    <x v="2"/>
    <x v="32"/>
    <x v="707"/>
    <n v="1.98"/>
    <x v="1194"/>
    <n v="9.51"/>
    <n v="1.61"/>
    <n v="11.12"/>
    <x v="1278"/>
    <x v="1178"/>
    <x v="71"/>
    <n v="3.6"/>
    <x v="3"/>
    <x v="1"/>
  </r>
  <r>
    <x v="2"/>
    <x v="33"/>
    <x v="614"/>
    <n v="3.71"/>
    <x v="1195"/>
    <n v="6.78"/>
    <n v="2.2799999999999998"/>
    <n v="9.06"/>
    <x v="1279"/>
    <x v="1179"/>
    <x v="71"/>
    <n v="28.920000000000005"/>
    <x v="3"/>
    <x v="1"/>
  </r>
  <r>
    <x v="2"/>
    <x v="34"/>
    <x v="334"/>
    <n v="0.82"/>
    <x v="587"/>
    <n v="8.4700000000000006"/>
    <n v="1.64"/>
    <n v="10.11"/>
    <x v="1021"/>
    <x v="1180"/>
    <x v="71"/>
    <n v="8.0000000040000003"/>
    <x v="4"/>
    <x v="1"/>
  </r>
  <r>
    <x v="2"/>
    <x v="36"/>
    <x v="0"/>
    <n v="0"/>
    <x v="0"/>
    <n v="8.69"/>
    <n v="1.41"/>
    <n v="10.1"/>
    <x v="1280"/>
    <x v="0"/>
    <x v="71"/>
    <n v="0"/>
    <x v="4"/>
    <x v="1"/>
  </r>
  <r>
    <x v="2"/>
    <x v="37"/>
    <x v="0"/>
    <n v="0"/>
    <x v="0"/>
    <n v="8.1999999999999993"/>
    <n v="0.96"/>
    <n v="9.16"/>
    <x v="1281"/>
    <x v="0"/>
    <x v="71"/>
    <n v="0"/>
    <x v="4"/>
    <x v="1"/>
  </r>
  <r>
    <x v="2"/>
    <x v="38"/>
    <x v="672"/>
    <n v="6.77"/>
    <x v="1196"/>
    <n v="9.23"/>
    <n v="0.4"/>
    <n v="9.6300000000000008"/>
    <x v="217"/>
    <x v="1181"/>
    <x v="71"/>
    <n v="135.99999996000003"/>
    <x v="2"/>
    <x v="1"/>
  </r>
  <r>
    <x v="2"/>
    <x v="39"/>
    <x v="664"/>
    <n v="7.84"/>
    <x v="1197"/>
    <n v="7.03"/>
    <n v="0.96"/>
    <n v="7.99"/>
    <x v="1282"/>
    <x v="1182"/>
    <x v="71"/>
    <n v="111.999999996"/>
    <x v="2"/>
    <x v="1"/>
  </r>
  <r>
    <x v="2"/>
    <x v="40"/>
    <x v="708"/>
    <n v="4.41"/>
    <x v="528"/>
    <n v="8.82"/>
    <n v="2.2799999999999998"/>
    <n v="11.1"/>
    <x v="1283"/>
    <x v="462"/>
    <x v="71"/>
    <n v="41.160000000000004"/>
    <x v="3"/>
    <x v="1"/>
  </r>
  <r>
    <x v="2"/>
    <x v="41"/>
    <x v="709"/>
    <n v="4.41"/>
    <x v="1198"/>
    <n v="7.96"/>
    <n v="0.12"/>
    <n v="8.08"/>
    <x v="1284"/>
    <x v="1183"/>
    <x v="71"/>
    <n v="62.760000000000005"/>
    <x v="5"/>
    <x v="1"/>
  </r>
  <r>
    <x v="2"/>
    <x v="46"/>
    <x v="710"/>
    <n v="0.8"/>
    <x v="1199"/>
    <n v="7.53"/>
    <n v="0.56999999999999995"/>
    <n v="8.1"/>
    <x v="1285"/>
    <x v="1184"/>
    <x v="71"/>
    <n v="6.12"/>
    <x v="4"/>
    <x v="1"/>
  </r>
  <r>
    <x v="2"/>
    <x v="47"/>
    <x v="711"/>
    <n v="5.47"/>
    <x v="1200"/>
    <n v="8.01"/>
    <n v="0.1"/>
    <n v="8.11"/>
    <x v="516"/>
    <x v="1185"/>
    <x v="71"/>
    <n v="81.080000003999999"/>
    <x v="5"/>
    <x v="1"/>
  </r>
  <r>
    <x v="2"/>
    <x v="48"/>
    <x v="0"/>
    <n v="0"/>
    <x v="0"/>
    <n v="0"/>
    <n v="0"/>
    <n v="0"/>
    <x v="0"/>
    <x v="0"/>
    <x v="71"/>
    <n v="0"/>
    <x v="6"/>
    <x v="0"/>
  </r>
  <r>
    <x v="2"/>
    <x v="49"/>
    <x v="4"/>
    <n v="1.25"/>
    <x v="1201"/>
    <n v="7.68"/>
    <n v="1.31"/>
    <n v="8.99"/>
    <x v="642"/>
    <x v="1186"/>
    <x v="71"/>
    <n v="12"/>
    <x v="3"/>
    <x v="1"/>
  </r>
  <r>
    <x v="2"/>
    <x v="50"/>
    <x v="322"/>
    <n v="2"/>
    <x v="1202"/>
    <n v="8.06"/>
    <n v="0.15"/>
    <n v="8.2100000000000009"/>
    <x v="645"/>
    <x v="1187"/>
    <x v="71"/>
    <n v="23.480000003999997"/>
    <x v="4"/>
    <x v="1"/>
  </r>
  <r>
    <x v="0"/>
    <x v="0"/>
    <x v="0"/>
    <n v="0"/>
    <x v="0"/>
    <n v="0"/>
    <n v="0"/>
    <n v="0"/>
    <x v="0"/>
    <x v="0"/>
    <x v="72"/>
    <n v="0"/>
    <x v="0"/>
    <x v="0"/>
  </r>
  <r>
    <x v="0"/>
    <x v="1"/>
    <x v="712"/>
    <n v="10.220000000000001"/>
    <x v="1203"/>
    <n v="10.55"/>
    <n v="0.03"/>
    <n v="10.58"/>
    <x v="1286"/>
    <x v="1188"/>
    <x v="72"/>
    <n v="33.36"/>
    <x v="0"/>
    <x v="1"/>
  </r>
  <r>
    <x v="0"/>
    <x v="4"/>
    <x v="181"/>
    <n v="3.48"/>
    <x v="1204"/>
    <n v="9.61"/>
    <n v="0.86"/>
    <n v="10.47"/>
    <x v="632"/>
    <x v="1189"/>
    <x v="72"/>
    <n v="15"/>
    <x v="0"/>
    <x v="1"/>
  </r>
  <r>
    <x v="0"/>
    <x v="5"/>
    <x v="712"/>
    <n v="10.199999999999999"/>
    <x v="1205"/>
    <n v="10.55"/>
    <n v="0.03"/>
    <n v="10.58"/>
    <x v="1286"/>
    <x v="1188"/>
    <x v="72"/>
    <n v="33.36"/>
    <x v="0"/>
    <x v="1"/>
  </r>
  <r>
    <x v="1"/>
    <x v="9"/>
    <x v="0"/>
    <n v="0"/>
    <x v="0"/>
    <n v="1.66"/>
    <n v="6.4"/>
    <n v="8.06"/>
    <x v="1287"/>
    <x v="0"/>
    <x v="72"/>
    <n v="0"/>
    <x v="1"/>
    <x v="1"/>
  </r>
  <r>
    <x v="1"/>
    <x v="10"/>
    <x v="301"/>
    <n v="2.2599999999999998"/>
    <x v="1206"/>
    <n v="6.76"/>
    <n v="1.3"/>
    <n v="8.06"/>
    <x v="1288"/>
    <x v="1190"/>
    <x v="72"/>
    <n v="29.000000003999997"/>
    <x v="1"/>
    <x v="1"/>
  </r>
  <r>
    <x v="1"/>
    <x v="12"/>
    <x v="713"/>
    <n v="6.25"/>
    <x v="1207"/>
    <n v="7.08"/>
    <n v="1"/>
    <n v="8.08"/>
    <x v="808"/>
    <x v="1191"/>
    <x v="72"/>
    <n v="78.599999999999994"/>
    <x v="1"/>
    <x v="1"/>
  </r>
  <r>
    <x v="1"/>
    <x v="13"/>
    <x v="714"/>
    <n v="4.29"/>
    <x v="1208"/>
    <n v="6.84"/>
    <n v="1.25"/>
    <n v="8.09"/>
    <x v="61"/>
    <x v="1192"/>
    <x v="72"/>
    <n v="49.320000000000007"/>
    <x v="1"/>
    <x v="1"/>
  </r>
  <r>
    <x v="2"/>
    <x v="14"/>
    <x v="382"/>
    <n v="7.15"/>
    <x v="1209"/>
    <n v="7.85"/>
    <n v="0.28999999999999998"/>
    <n v="8.14"/>
    <x v="1289"/>
    <x v="1193"/>
    <x v="72"/>
    <n v="191.00000003999997"/>
    <x v="2"/>
    <x v="1"/>
  </r>
  <r>
    <x v="2"/>
    <x v="16"/>
    <x v="463"/>
    <n v="0.65"/>
    <x v="1210"/>
    <n v="7.81"/>
    <n v="0.24"/>
    <n v="8.0500000000000007"/>
    <x v="1290"/>
    <x v="1194"/>
    <x v="72"/>
    <n v="5.88"/>
    <x v="4"/>
    <x v="1"/>
  </r>
  <r>
    <x v="2"/>
    <x v="17"/>
    <x v="307"/>
    <n v="0.43"/>
    <x v="1211"/>
    <n v="5.56"/>
    <n v="4.03"/>
    <n v="9.59"/>
    <x v="692"/>
    <x v="1195"/>
    <x v="72"/>
    <n v="3.9999999960000006"/>
    <x v="3"/>
    <x v="1"/>
  </r>
  <r>
    <x v="2"/>
    <x v="18"/>
    <x v="29"/>
    <n v="5.23"/>
    <x v="1212"/>
    <n v="6.59"/>
    <n v="2.1800000000000002"/>
    <n v="8.77"/>
    <x v="413"/>
    <x v="1196"/>
    <x v="72"/>
    <n v="24"/>
    <x v="3"/>
    <x v="1"/>
  </r>
  <r>
    <x v="2"/>
    <x v="19"/>
    <x v="142"/>
    <n v="3.77"/>
    <x v="1213"/>
    <n v="8.65"/>
    <n v="1.1399999999999999"/>
    <n v="9.7899999999999991"/>
    <x v="525"/>
    <x v="1197"/>
    <x v="72"/>
    <n v="72"/>
    <x v="2"/>
    <x v="1"/>
  </r>
  <r>
    <x v="2"/>
    <x v="20"/>
    <x v="715"/>
    <n v="5.58"/>
    <x v="1214"/>
    <n v="11.08"/>
    <n v="0.39"/>
    <n v="11.47"/>
    <x v="386"/>
    <x v="1198"/>
    <x v="72"/>
    <n v="107.31999999600001"/>
    <x v="5"/>
    <x v="1"/>
  </r>
  <r>
    <x v="2"/>
    <x v="21"/>
    <x v="25"/>
    <n v="5.77"/>
    <x v="1215"/>
    <n v="5.56"/>
    <n v="0.94"/>
    <n v="6.5"/>
    <x v="1291"/>
    <x v="1199"/>
    <x v="72"/>
    <n v="108"/>
    <x v="2"/>
    <x v="1"/>
  </r>
  <r>
    <x v="2"/>
    <x v="22"/>
    <x v="0"/>
    <n v="0"/>
    <x v="0"/>
    <n v="7.05"/>
    <n v="1.48"/>
    <n v="8.5299999999999994"/>
    <x v="1157"/>
    <x v="0"/>
    <x v="72"/>
    <n v="0"/>
    <x v="4"/>
    <x v="1"/>
  </r>
  <r>
    <x v="2"/>
    <x v="23"/>
    <x v="685"/>
    <n v="8.7100000000000009"/>
    <x v="1216"/>
    <n v="4.3499999999999996"/>
    <n v="5.21"/>
    <n v="9.56"/>
    <x v="1292"/>
    <x v="1200"/>
    <x v="72"/>
    <n v="38.760000000000005"/>
    <x v="3"/>
    <x v="1"/>
  </r>
  <r>
    <x v="2"/>
    <x v="25"/>
    <x v="716"/>
    <n v="4.4400000000000004"/>
    <x v="1217"/>
    <n v="7.02"/>
    <n v="1.1000000000000001"/>
    <n v="8.1199999999999992"/>
    <x v="1293"/>
    <x v="1201"/>
    <x v="72"/>
    <n v="90"/>
    <x v="2"/>
    <x v="1"/>
  </r>
  <r>
    <x v="2"/>
    <x v="26"/>
    <x v="717"/>
    <n v="6.04"/>
    <x v="1218"/>
    <n v="7.26"/>
    <n v="0.93"/>
    <n v="8.19"/>
    <x v="672"/>
    <x v="1202"/>
    <x v="72"/>
    <n v="57.440000003999998"/>
    <x v="3"/>
    <x v="1"/>
  </r>
  <r>
    <x v="2"/>
    <x v="27"/>
    <x v="718"/>
    <n v="5.34"/>
    <x v="1219"/>
    <n v="9.66"/>
    <n v="0.51"/>
    <n v="10.17"/>
    <x v="956"/>
    <x v="1203"/>
    <x v="72"/>
    <n v="89.64"/>
    <x v="5"/>
    <x v="1"/>
  </r>
  <r>
    <x v="2"/>
    <x v="29"/>
    <x v="0"/>
    <n v="0"/>
    <x v="0"/>
    <n v="0"/>
    <n v="0"/>
    <n v="0"/>
    <x v="0"/>
    <x v="0"/>
    <x v="72"/>
    <n v="0"/>
    <x v="5"/>
    <x v="0"/>
  </r>
  <r>
    <x v="2"/>
    <x v="30"/>
    <x v="719"/>
    <n v="11.04"/>
    <x v="1220"/>
    <n v="10.92"/>
    <n v="0.6"/>
    <n v="11.52"/>
    <x v="1294"/>
    <x v="1204"/>
    <x v="72"/>
    <n v="155.55999995999997"/>
    <x v="5"/>
    <x v="1"/>
  </r>
  <r>
    <x v="2"/>
    <x v="31"/>
    <x v="509"/>
    <n v="8.06"/>
    <x v="1221"/>
    <n v="6.96"/>
    <n v="1.27"/>
    <n v="8.23"/>
    <x v="1295"/>
    <x v="1205"/>
    <x v="72"/>
    <n v="105.999999996"/>
    <x v="2"/>
    <x v="1"/>
  </r>
  <r>
    <x v="2"/>
    <x v="32"/>
    <x v="720"/>
    <n v="9.33"/>
    <x v="1222"/>
    <n v="8.1300000000000008"/>
    <n v="1.45"/>
    <n v="9.58"/>
    <x v="1296"/>
    <x v="1206"/>
    <x v="72"/>
    <n v="13.239999996"/>
    <x v="3"/>
    <x v="1"/>
  </r>
  <r>
    <x v="2"/>
    <x v="33"/>
    <x v="721"/>
    <n v="8.06"/>
    <x v="1223"/>
    <n v="8.14"/>
    <n v="1.1499999999999999"/>
    <n v="9.2899999999999991"/>
    <x v="808"/>
    <x v="1207"/>
    <x v="72"/>
    <n v="40.119999996000004"/>
    <x v="3"/>
    <x v="1"/>
  </r>
  <r>
    <x v="2"/>
    <x v="35"/>
    <x v="662"/>
    <n v="7.08"/>
    <x v="1224"/>
    <n v="9.98"/>
    <n v="1.27"/>
    <n v="11.25"/>
    <x v="947"/>
    <x v="1208"/>
    <x v="72"/>
    <n v="155.00000003999997"/>
    <x v="2"/>
    <x v="1"/>
  </r>
  <r>
    <x v="2"/>
    <x v="36"/>
    <x v="0"/>
    <n v="0"/>
    <x v="0"/>
    <n v="7.2"/>
    <n v="3.71"/>
    <n v="10.91"/>
    <x v="1297"/>
    <x v="0"/>
    <x v="72"/>
    <n v="0"/>
    <x v="4"/>
    <x v="1"/>
  </r>
  <r>
    <x v="2"/>
    <x v="37"/>
    <x v="0"/>
    <n v="0"/>
    <x v="0"/>
    <n v="8.02"/>
    <n v="0.56999999999999995"/>
    <n v="8.59"/>
    <x v="1298"/>
    <x v="0"/>
    <x v="72"/>
    <n v="0"/>
    <x v="4"/>
    <x v="1"/>
  </r>
  <r>
    <x v="2"/>
    <x v="38"/>
    <x v="405"/>
    <n v="7.67"/>
    <x v="1225"/>
    <n v="9.27"/>
    <n v="0.51"/>
    <n v="9.7799999999999994"/>
    <x v="1294"/>
    <x v="1209"/>
    <x v="72"/>
    <n v="102.999999996"/>
    <x v="2"/>
    <x v="1"/>
  </r>
  <r>
    <x v="2"/>
    <x v="40"/>
    <x v="104"/>
    <n v="5.51"/>
    <x v="1226"/>
    <n v="8.0500000000000007"/>
    <n v="1.1599999999999999"/>
    <n v="9.2100000000000009"/>
    <x v="1299"/>
    <x v="1210"/>
    <x v="72"/>
    <n v="12.120000000000001"/>
    <x v="3"/>
    <x v="1"/>
  </r>
  <r>
    <x v="2"/>
    <x v="41"/>
    <x v="722"/>
    <n v="5.21"/>
    <x v="1227"/>
    <n v="7.19"/>
    <n v="0.83"/>
    <n v="8.02"/>
    <x v="1300"/>
    <x v="1211"/>
    <x v="72"/>
    <n v="78.84"/>
    <x v="5"/>
    <x v="1"/>
  </r>
  <r>
    <x v="2"/>
    <x v="42"/>
    <x v="637"/>
    <n v="5.37"/>
    <x v="1228"/>
    <n v="6.97"/>
    <n v="1.31"/>
    <n v="8.2799999999999994"/>
    <x v="786"/>
    <x v="1212"/>
    <x v="72"/>
    <n v="114.999999996"/>
    <x v="2"/>
    <x v="1"/>
  </r>
  <r>
    <x v="2"/>
    <x v="44"/>
    <x v="276"/>
    <n v="2.5099999999999998"/>
    <x v="1229"/>
    <n v="6.8"/>
    <n v="1.31"/>
    <n v="8.11"/>
    <x v="258"/>
    <x v="1213"/>
    <x v="72"/>
    <n v="44.000000004"/>
    <x v="3"/>
    <x v="1"/>
  </r>
  <r>
    <x v="2"/>
    <x v="45"/>
    <x v="598"/>
    <n v="3.68"/>
    <x v="1230"/>
    <n v="3.15"/>
    <n v="5.78"/>
    <n v="8.93"/>
    <x v="1301"/>
    <x v="1072"/>
    <x v="72"/>
    <n v="17.000000004"/>
    <x v="4"/>
    <x v="1"/>
  </r>
  <r>
    <x v="2"/>
    <x v="47"/>
    <x v="290"/>
    <n v="6.1"/>
    <x v="1231"/>
    <n v="7.21"/>
    <n v="0.81"/>
    <n v="8.02"/>
    <x v="894"/>
    <x v="1214"/>
    <x v="72"/>
    <n v="102.96"/>
    <x v="5"/>
    <x v="1"/>
  </r>
  <r>
    <x v="2"/>
    <x v="48"/>
    <x v="0"/>
    <n v="0"/>
    <x v="0"/>
    <n v="0"/>
    <n v="0"/>
    <n v="0"/>
    <x v="0"/>
    <x v="0"/>
    <x v="72"/>
    <n v="0"/>
    <x v="6"/>
    <x v="0"/>
  </r>
  <r>
    <x v="2"/>
    <x v="49"/>
    <x v="723"/>
    <n v="7.23"/>
    <x v="1232"/>
    <n v="7.7"/>
    <n v="0.42"/>
    <n v="8.1199999999999992"/>
    <x v="1302"/>
    <x v="1215"/>
    <x v="72"/>
    <n v="122.00000003999999"/>
    <x v="3"/>
    <x v="1"/>
  </r>
  <r>
    <x v="0"/>
    <x v="0"/>
    <x v="0"/>
    <n v="0"/>
    <x v="0"/>
    <n v="7.33"/>
    <n v="0.68"/>
    <n v="8.01"/>
    <x v="1303"/>
    <x v="0"/>
    <x v="73"/>
    <n v="0"/>
    <x v="0"/>
    <x v="1"/>
  </r>
  <r>
    <x v="0"/>
    <x v="1"/>
    <x v="0"/>
    <n v="0"/>
    <x v="0"/>
    <n v="9.4499999999999993"/>
    <n v="0.09"/>
    <n v="9.5399999999999991"/>
    <x v="1304"/>
    <x v="0"/>
    <x v="73"/>
    <n v="0"/>
    <x v="0"/>
    <x v="1"/>
  </r>
  <r>
    <x v="0"/>
    <x v="2"/>
    <x v="0"/>
    <n v="0"/>
    <x v="0"/>
    <n v="9.4499999999999993"/>
    <n v="0.08"/>
    <n v="9.5299999999999994"/>
    <x v="1305"/>
    <x v="0"/>
    <x v="73"/>
    <n v="0"/>
    <x v="0"/>
    <x v="1"/>
  </r>
  <r>
    <x v="0"/>
    <x v="5"/>
    <x v="0"/>
    <n v="0"/>
    <x v="0"/>
    <n v="9.4499999999999993"/>
    <n v="0.08"/>
    <n v="9.5299999999999994"/>
    <x v="1305"/>
    <x v="0"/>
    <x v="73"/>
    <n v="0"/>
    <x v="0"/>
    <x v="1"/>
  </r>
  <r>
    <x v="0"/>
    <x v="8"/>
    <x v="152"/>
    <n v="4.54"/>
    <x v="1233"/>
    <n v="7.5"/>
    <n v="0.6"/>
    <n v="8.1"/>
    <x v="1306"/>
    <x v="1216"/>
    <x v="73"/>
    <n v="26.640000000000004"/>
    <x v="0"/>
    <x v="1"/>
  </r>
  <r>
    <x v="1"/>
    <x v="9"/>
    <x v="4"/>
    <n v="0.57999999999999996"/>
    <x v="1234"/>
    <n v="0.7"/>
    <n v="7.4"/>
    <n v="8.1"/>
    <x v="1307"/>
    <x v="584"/>
    <x v="73"/>
    <n v="12"/>
    <x v="1"/>
    <x v="1"/>
  </r>
  <r>
    <x v="1"/>
    <x v="10"/>
    <x v="641"/>
    <n v="8.33"/>
    <x v="1235"/>
    <n v="10.86"/>
    <n v="0.26"/>
    <n v="11.12"/>
    <x v="599"/>
    <x v="1217"/>
    <x v="73"/>
    <n v="123"/>
    <x v="1"/>
    <x v="1"/>
  </r>
  <r>
    <x v="1"/>
    <x v="12"/>
    <x v="724"/>
    <n v="7.09"/>
    <x v="1236"/>
    <n v="5"/>
    <n v="3.09"/>
    <n v="8.09"/>
    <x v="1308"/>
    <x v="1218"/>
    <x v="73"/>
    <n v="71.64"/>
    <x v="1"/>
    <x v="1"/>
  </r>
  <r>
    <x v="2"/>
    <x v="14"/>
    <x v="725"/>
    <n v="6.11"/>
    <x v="1237"/>
    <n v="7.37"/>
    <n v="0.79"/>
    <n v="8.16"/>
    <x v="1309"/>
    <x v="1219"/>
    <x v="73"/>
    <n v="185.48000003999999"/>
    <x v="2"/>
    <x v="1"/>
  </r>
  <r>
    <x v="2"/>
    <x v="15"/>
    <x v="24"/>
    <n v="6.73"/>
    <x v="1238"/>
    <n v="9.25"/>
    <n v="0.22"/>
    <n v="9.4700000000000006"/>
    <x v="1310"/>
    <x v="1220"/>
    <x v="73"/>
    <n v="30"/>
    <x v="3"/>
    <x v="1"/>
  </r>
  <r>
    <x v="2"/>
    <x v="17"/>
    <x v="364"/>
    <n v="0.73"/>
    <x v="1239"/>
    <n v="0"/>
    <n v="5.48"/>
    <n v="5.48"/>
    <x v="0"/>
    <x v="1221"/>
    <x v="73"/>
    <n v="9.9999999959999997"/>
    <x v="3"/>
    <x v="1"/>
  </r>
  <r>
    <x v="2"/>
    <x v="18"/>
    <x v="222"/>
    <n v="8.65"/>
    <x v="1240"/>
    <n v="5.84"/>
    <n v="3.38"/>
    <n v="9.2200000000000006"/>
    <x v="1311"/>
    <x v="1222"/>
    <x v="73"/>
    <n v="81"/>
    <x v="3"/>
    <x v="1"/>
  </r>
  <r>
    <x v="2"/>
    <x v="19"/>
    <x v="142"/>
    <n v="3.98"/>
    <x v="1241"/>
    <n v="8.58"/>
    <n v="0.44"/>
    <n v="9.02"/>
    <x v="1312"/>
    <x v="1223"/>
    <x v="73"/>
    <n v="72"/>
    <x v="2"/>
    <x v="1"/>
  </r>
  <r>
    <x v="2"/>
    <x v="20"/>
    <x v="726"/>
    <n v="6.11"/>
    <x v="1242"/>
    <n v="7.65"/>
    <n v="0.99"/>
    <n v="8.64"/>
    <x v="1313"/>
    <x v="1224"/>
    <x v="73"/>
    <n v="151.19999999999999"/>
    <x v="5"/>
    <x v="1"/>
  </r>
  <r>
    <x v="2"/>
    <x v="21"/>
    <x v="727"/>
    <n v="4.75"/>
    <x v="1243"/>
    <n v="9.35"/>
    <n v="0.88"/>
    <n v="10.23"/>
    <x v="1070"/>
    <x v="1225"/>
    <x v="73"/>
    <n v="55.599999996000008"/>
    <x v="2"/>
    <x v="1"/>
  </r>
  <r>
    <x v="2"/>
    <x v="22"/>
    <x v="532"/>
    <n v="3.87"/>
    <x v="1244"/>
    <n v="7.85"/>
    <n v="2.0099999999999998"/>
    <n v="9.86"/>
    <x v="1314"/>
    <x v="1226"/>
    <x v="73"/>
    <n v="32.000000004"/>
    <x v="4"/>
    <x v="1"/>
  </r>
  <r>
    <x v="2"/>
    <x v="23"/>
    <x v="45"/>
    <n v="0.01"/>
    <x v="192"/>
    <n v="0"/>
    <n v="4.43"/>
    <n v="4.43"/>
    <x v="0"/>
    <x v="1227"/>
    <x v="73"/>
    <n v="6"/>
    <x v="3"/>
    <x v="1"/>
  </r>
  <r>
    <x v="2"/>
    <x v="24"/>
    <x v="159"/>
    <n v="5.48"/>
    <x v="1245"/>
    <n v="8.5299999999999994"/>
    <n v="1.52"/>
    <n v="10.050000000000001"/>
    <x v="1315"/>
    <x v="1228"/>
    <x v="73"/>
    <n v="74.039999999999992"/>
    <x v="5"/>
    <x v="1"/>
  </r>
  <r>
    <x v="2"/>
    <x v="25"/>
    <x v="312"/>
    <n v="5.27"/>
    <x v="1246"/>
    <n v="6.98"/>
    <n v="1.07"/>
    <n v="8.0500000000000007"/>
    <x v="1316"/>
    <x v="1229"/>
    <x v="73"/>
    <n v="126.99999996000001"/>
    <x v="2"/>
    <x v="1"/>
  </r>
  <r>
    <x v="2"/>
    <x v="26"/>
    <x v="29"/>
    <n v="1.99"/>
    <x v="1247"/>
    <n v="7.22"/>
    <n v="0.95"/>
    <n v="8.17"/>
    <x v="1317"/>
    <x v="608"/>
    <x v="73"/>
    <n v="24"/>
    <x v="3"/>
    <x v="1"/>
  </r>
  <r>
    <x v="2"/>
    <x v="27"/>
    <x v="728"/>
    <n v="9.23"/>
    <x v="1248"/>
    <n v="9.74"/>
    <n v="0.33"/>
    <n v="10.07"/>
    <x v="1318"/>
    <x v="1230"/>
    <x v="73"/>
    <n v="212.16"/>
    <x v="5"/>
    <x v="1"/>
  </r>
  <r>
    <x v="2"/>
    <x v="29"/>
    <x v="0"/>
    <n v="0"/>
    <x v="0"/>
    <n v="0"/>
    <n v="0"/>
    <n v="0"/>
    <x v="0"/>
    <x v="0"/>
    <x v="73"/>
    <n v="0"/>
    <x v="5"/>
    <x v="0"/>
  </r>
  <r>
    <x v="2"/>
    <x v="31"/>
    <x v="729"/>
    <n v="7.07"/>
    <x v="1249"/>
    <n v="9.02"/>
    <n v="0.53"/>
    <n v="9.5500000000000007"/>
    <x v="1319"/>
    <x v="1231"/>
    <x v="73"/>
    <n v="134.00000003999997"/>
    <x v="2"/>
    <x v="1"/>
  </r>
  <r>
    <x v="2"/>
    <x v="32"/>
    <x v="258"/>
    <n v="3.8"/>
    <x v="1250"/>
    <n v="6.43"/>
    <n v="3.1"/>
    <n v="9.5299999999999994"/>
    <x v="1320"/>
    <x v="1232"/>
    <x v="73"/>
    <n v="33"/>
    <x v="3"/>
    <x v="1"/>
  </r>
  <r>
    <x v="2"/>
    <x v="33"/>
    <x v="124"/>
    <n v="1.1000000000000001"/>
    <x v="1251"/>
    <n v="6.23"/>
    <n v="2.14"/>
    <n v="8.3699999999999992"/>
    <x v="1321"/>
    <x v="1233"/>
    <x v="73"/>
    <n v="1.92"/>
    <x v="3"/>
    <x v="1"/>
  </r>
  <r>
    <x v="2"/>
    <x v="34"/>
    <x v="3"/>
    <n v="1.67"/>
    <x v="1252"/>
    <n v="4.82"/>
    <n v="3.1"/>
    <n v="7.92"/>
    <x v="1322"/>
    <x v="485"/>
    <x v="73"/>
    <n v="18"/>
    <x v="4"/>
    <x v="1"/>
  </r>
  <r>
    <x v="2"/>
    <x v="35"/>
    <x v="730"/>
    <n v="5.91"/>
    <x v="1253"/>
    <n v="8.89"/>
    <n v="0.1"/>
    <n v="8.99"/>
    <x v="1323"/>
    <x v="1234"/>
    <x v="73"/>
    <n v="195.95999999999998"/>
    <x v="2"/>
    <x v="1"/>
  </r>
  <r>
    <x v="2"/>
    <x v="36"/>
    <x v="364"/>
    <n v="0.55000000000000004"/>
    <x v="1254"/>
    <n v="4.83"/>
    <n v="5.0999999999999996"/>
    <n v="9.93"/>
    <x v="1324"/>
    <x v="79"/>
    <x v="73"/>
    <n v="9.9999999959999997"/>
    <x v="4"/>
    <x v="1"/>
  </r>
  <r>
    <x v="2"/>
    <x v="37"/>
    <x v="0"/>
    <n v="0"/>
    <x v="0"/>
    <n v="8.59"/>
    <n v="1.22"/>
    <n v="9.81"/>
    <x v="281"/>
    <x v="0"/>
    <x v="73"/>
    <n v="0"/>
    <x v="4"/>
    <x v="1"/>
  </r>
  <r>
    <x v="2"/>
    <x v="39"/>
    <x v="422"/>
    <n v="4.82"/>
    <x v="1255"/>
    <n v="6.02"/>
    <n v="1.95"/>
    <n v="7.97"/>
    <x v="1325"/>
    <x v="1235"/>
    <x v="73"/>
    <n v="69.999999996"/>
    <x v="2"/>
    <x v="1"/>
  </r>
  <r>
    <x v="2"/>
    <x v="40"/>
    <x v="731"/>
    <n v="4.03"/>
    <x v="1256"/>
    <n v="6.26"/>
    <n v="1.84"/>
    <n v="8.1"/>
    <x v="1326"/>
    <x v="1236"/>
    <x v="73"/>
    <n v="20.04"/>
    <x v="3"/>
    <x v="1"/>
  </r>
  <r>
    <x v="2"/>
    <x v="42"/>
    <x v="306"/>
    <n v="3.3"/>
    <x v="1257"/>
    <n v="7.15"/>
    <n v="2.61"/>
    <n v="9.76"/>
    <x v="699"/>
    <x v="1237"/>
    <x v="73"/>
    <n v="66.999999996"/>
    <x v="2"/>
    <x v="1"/>
  </r>
  <r>
    <x v="2"/>
    <x v="44"/>
    <x v="732"/>
    <n v="2.25"/>
    <x v="1258"/>
    <n v="6.27"/>
    <n v="1.83"/>
    <n v="8.1"/>
    <x v="1327"/>
    <x v="1238"/>
    <x v="73"/>
    <n v="20.52"/>
    <x v="3"/>
    <x v="1"/>
  </r>
  <r>
    <x v="2"/>
    <x v="45"/>
    <x v="0"/>
    <n v="0"/>
    <x v="0"/>
    <n v="6.08"/>
    <n v="2.14"/>
    <n v="8.2200000000000006"/>
    <x v="1328"/>
    <x v="0"/>
    <x v="73"/>
    <n v="0"/>
    <x v="4"/>
    <x v="1"/>
  </r>
  <r>
    <x v="2"/>
    <x v="48"/>
    <x v="0"/>
    <n v="0"/>
    <x v="0"/>
    <n v="0"/>
    <n v="0"/>
    <n v="0"/>
    <x v="0"/>
    <x v="0"/>
    <x v="73"/>
    <n v="0"/>
    <x v="6"/>
    <x v="0"/>
  </r>
  <r>
    <x v="2"/>
    <x v="49"/>
    <x v="317"/>
    <n v="4.1500000000000004"/>
    <x v="1259"/>
    <n v="5.9"/>
    <n v="0.01"/>
    <n v="5.91"/>
    <x v="1329"/>
    <x v="1239"/>
    <x v="73"/>
    <n v="15.999999996"/>
    <x v="3"/>
    <x v="1"/>
  </r>
  <r>
    <x v="0"/>
    <x v="0"/>
    <x v="0"/>
    <n v="0"/>
    <x v="0"/>
    <n v="3.54"/>
    <n v="4.46"/>
    <n v="8"/>
    <x v="1330"/>
    <x v="0"/>
    <x v="74"/>
    <n v="0"/>
    <x v="0"/>
    <x v="1"/>
  </r>
  <r>
    <x v="0"/>
    <x v="3"/>
    <x v="0"/>
    <n v="0"/>
    <x v="0"/>
    <n v="4.08"/>
    <n v="3.93"/>
    <n v="8.01"/>
    <x v="146"/>
    <x v="0"/>
    <x v="74"/>
    <n v="0"/>
    <x v="0"/>
    <x v="1"/>
  </r>
  <r>
    <x v="0"/>
    <x v="7"/>
    <x v="733"/>
    <n v="3.63"/>
    <x v="1260"/>
    <n v="4.0599999999999996"/>
    <n v="3.93"/>
    <n v="7.99"/>
    <x v="1331"/>
    <x v="841"/>
    <x v="74"/>
    <n v="22.68"/>
    <x v="0"/>
    <x v="1"/>
  </r>
  <r>
    <x v="1"/>
    <x v="9"/>
    <x v="328"/>
    <n v="4.5999999999999996"/>
    <x v="1261"/>
    <n v="5.14"/>
    <n v="2.91"/>
    <n v="8.0500000000000007"/>
    <x v="1332"/>
    <x v="1240"/>
    <x v="74"/>
    <n v="57.999999996"/>
    <x v="1"/>
    <x v="1"/>
  </r>
  <r>
    <x v="1"/>
    <x v="10"/>
    <x v="25"/>
    <n v="5.89"/>
    <x v="1262"/>
    <n v="5.19"/>
    <n v="2.87"/>
    <n v="8.06"/>
    <x v="267"/>
    <x v="1241"/>
    <x v="74"/>
    <n v="108"/>
    <x v="1"/>
    <x v="1"/>
  </r>
  <r>
    <x v="1"/>
    <x v="11"/>
    <x v="0"/>
    <n v="0"/>
    <x v="0"/>
    <n v="0"/>
    <n v="0"/>
    <n v="0"/>
    <x v="0"/>
    <x v="0"/>
    <x v="74"/>
    <n v="0"/>
    <x v="1"/>
    <x v="0"/>
  </r>
  <r>
    <x v="1"/>
    <x v="12"/>
    <x v="734"/>
    <n v="6.75"/>
    <x v="1263"/>
    <n v="5.4"/>
    <n v="2.65"/>
    <n v="8.0500000000000007"/>
    <x v="1081"/>
    <x v="1242"/>
    <x v="74"/>
    <n v="142.52000004000001"/>
    <x v="1"/>
    <x v="1"/>
  </r>
  <r>
    <x v="1"/>
    <x v="13"/>
    <x v="735"/>
    <n v="0.86"/>
    <x v="1264"/>
    <n v="7.17"/>
    <n v="0.89"/>
    <n v="8.06"/>
    <x v="183"/>
    <x v="1243"/>
    <x v="74"/>
    <n v="29.52"/>
    <x v="1"/>
    <x v="1"/>
  </r>
  <r>
    <x v="2"/>
    <x v="15"/>
    <x v="736"/>
    <n v="6.01"/>
    <x v="1265"/>
    <n v="7.12"/>
    <n v="0.87"/>
    <n v="7.99"/>
    <x v="1042"/>
    <x v="1244"/>
    <x v="74"/>
    <n v="62.559999996000002"/>
    <x v="3"/>
    <x v="1"/>
  </r>
  <r>
    <x v="2"/>
    <x v="16"/>
    <x v="737"/>
    <n v="1.55"/>
    <x v="1266"/>
    <n v="6.76"/>
    <n v="1.29"/>
    <n v="8.0500000000000007"/>
    <x v="1333"/>
    <x v="1245"/>
    <x v="74"/>
    <n v="5.5200000000000005"/>
    <x v="4"/>
    <x v="1"/>
  </r>
  <r>
    <x v="2"/>
    <x v="17"/>
    <x v="381"/>
    <n v="4.57"/>
    <x v="1267"/>
    <n v="0"/>
    <n v="8.8000000000000007"/>
    <n v="8.8000000000000007"/>
    <x v="0"/>
    <x v="1246"/>
    <x v="74"/>
    <n v="12.999999996"/>
    <x v="3"/>
    <x v="1"/>
  </r>
  <r>
    <x v="2"/>
    <x v="20"/>
    <x v="738"/>
    <n v="6.5"/>
    <x v="1268"/>
    <n v="5.95"/>
    <n v="2.16"/>
    <n v="8.11"/>
    <x v="750"/>
    <x v="1247"/>
    <x v="74"/>
    <n v="76.520000004000011"/>
    <x v="5"/>
    <x v="1"/>
  </r>
  <r>
    <x v="2"/>
    <x v="22"/>
    <x v="739"/>
    <n v="5.58"/>
    <x v="1269"/>
    <n v="5.93"/>
    <n v="2.12"/>
    <n v="8.0500000000000007"/>
    <x v="722"/>
    <x v="1248"/>
    <x v="74"/>
    <n v="32.519999999999996"/>
    <x v="4"/>
    <x v="1"/>
  </r>
  <r>
    <x v="2"/>
    <x v="23"/>
    <x v="0"/>
    <n v="0"/>
    <x v="0"/>
    <n v="0"/>
    <n v="8.8000000000000007"/>
    <n v="8.8000000000000007"/>
    <x v="0"/>
    <x v="0"/>
    <x v="74"/>
    <n v="0"/>
    <x v="3"/>
    <x v="1"/>
  </r>
  <r>
    <x v="2"/>
    <x v="24"/>
    <x v="740"/>
    <n v="4.95"/>
    <x v="1270"/>
    <n v="7.7"/>
    <n v="0.42"/>
    <n v="8.1199999999999992"/>
    <x v="1302"/>
    <x v="1249"/>
    <x v="74"/>
    <n v="94.839999995999989"/>
    <x v="5"/>
    <x v="1"/>
  </r>
  <r>
    <x v="2"/>
    <x v="26"/>
    <x v="431"/>
    <n v="7.65"/>
    <x v="1271"/>
    <n v="7.84"/>
    <n v="0.11"/>
    <n v="7.95"/>
    <x v="1334"/>
    <x v="1250"/>
    <x v="74"/>
    <n v="104.000000004"/>
    <x v="3"/>
    <x v="1"/>
  </r>
  <r>
    <x v="2"/>
    <x v="27"/>
    <x v="741"/>
    <n v="7.44"/>
    <x v="1272"/>
    <n v="7.32"/>
    <n v="0.83"/>
    <n v="8.15"/>
    <x v="1335"/>
    <x v="1251"/>
    <x v="74"/>
    <n v="217.11999996"/>
    <x v="5"/>
    <x v="1"/>
  </r>
  <r>
    <x v="2"/>
    <x v="29"/>
    <x v="0"/>
    <n v="0"/>
    <x v="0"/>
    <n v="0"/>
    <n v="0"/>
    <n v="0"/>
    <x v="0"/>
    <x v="0"/>
    <x v="74"/>
    <n v="0"/>
    <x v="5"/>
    <x v="0"/>
  </r>
  <r>
    <x v="2"/>
    <x v="30"/>
    <x v="742"/>
    <n v="6.88"/>
    <x v="1273"/>
    <n v="6.81"/>
    <n v="1.31"/>
    <n v="8.1199999999999992"/>
    <x v="1288"/>
    <x v="1252"/>
    <x v="74"/>
    <n v="134.48000003999999"/>
    <x v="5"/>
    <x v="1"/>
  </r>
  <r>
    <x v="2"/>
    <x v="32"/>
    <x v="260"/>
    <n v="4.9400000000000004"/>
    <x v="1274"/>
    <n v="4.46"/>
    <n v="4.66"/>
    <n v="9.1199999999999992"/>
    <x v="133"/>
    <x v="599"/>
    <x v="74"/>
    <n v="48"/>
    <x v="3"/>
    <x v="1"/>
  </r>
  <r>
    <x v="2"/>
    <x v="34"/>
    <x v="0"/>
    <n v="0"/>
    <x v="0"/>
    <n v="5.12"/>
    <n v="2.95"/>
    <n v="8.07"/>
    <x v="1336"/>
    <x v="0"/>
    <x v="74"/>
    <n v="0"/>
    <x v="4"/>
    <x v="1"/>
  </r>
  <r>
    <x v="2"/>
    <x v="38"/>
    <x v="743"/>
    <n v="7.32"/>
    <x v="1275"/>
    <n v="9.3699999999999992"/>
    <n v="0.26"/>
    <n v="9.6300000000000008"/>
    <x v="345"/>
    <x v="1253"/>
    <x v="74"/>
    <n v="216"/>
    <x v="2"/>
    <x v="1"/>
  </r>
  <r>
    <x v="2"/>
    <x v="43"/>
    <x v="73"/>
    <n v="3.51"/>
    <x v="1276"/>
    <n v="4.34"/>
    <n v="3.66"/>
    <n v="8"/>
    <x v="1337"/>
    <x v="1254"/>
    <x v="74"/>
    <n v="60"/>
    <x v="3"/>
    <x v="1"/>
  </r>
  <r>
    <x v="2"/>
    <x v="44"/>
    <x v="260"/>
    <n v="2.85"/>
    <x v="1277"/>
    <n v="6.38"/>
    <n v="1.65"/>
    <n v="8.0299999999999994"/>
    <x v="1338"/>
    <x v="1255"/>
    <x v="74"/>
    <n v="48"/>
    <x v="3"/>
    <x v="1"/>
  </r>
  <r>
    <x v="2"/>
    <x v="45"/>
    <x v="744"/>
    <n v="1.6"/>
    <x v="1278"/>
    <n v="4.18"/>
    <n v="3.98"/>
    <n v="8.16"/>
    <x v="1339"/>
    <x v="1256"/>
    <x v="74"/>
    <n v="10.199999999999999"/>
    <x v="4"/>
    <x v="1"/>
  </r>
  <r>
    <x v="2"/>
    <x v="46"/>
    <x v="0"/>
    <n v="0"/>
    <x v="0"/>
    <n v="6.74"/>
    <n v="1.32"/>
    <n v="8.06"/>
    <x v="1340"/>
    <x v="0"/>
    <x v="74"/>
    <n v="0"/>
    <x v="4"/>
    <x v="1"/>
  </r>
  <r>
    <x v="2"/>
    <x v="47"/>
    <x v="745"/>
    <n v="9.36"/>
    <x v="1279"/>
    <n v="9.76"/>
    <n v="0.3"/>
    <n v="10.06"/>
    <x v="1290"/>
    <x v="1257"/>
    <x v="74"/>
    <n v="157.16000004"/>
    <x v="5"/>
    <x v="1"/>
  </r>
  <r>
    <x v="2"/>
    <x v="48"/>
    <x v="0"/>
    <n v="0"/>
    <x v="0"/>
    <n v="0"/>
    <n v="0"/>
    <n v="0"/>
    <x v="0"/>
    <x v="0"/>
    <x v="74"/>
    <n v="0"/>
    <x v="6"/>
    <x v="0"/>
  </r>
  <r>
    <x v="2"/>
    <x v="49"/>
    <x v="0"/>
    <n v="0"/>
    <x v="0"/>
    <n v="6.34"/>
    <n v="1.6"/>
    <n v="7.94"/>
    <x v="1341"/>
    <x v="0"/>
    <x v="74"/>
    <n v="0"/>
    <x v="3"/>
    <x v="1"/>
  </r>
  <r>
    <x v="2"/>
    <x v="50"/>
    <x v="746"/>
    <n v="7.59"/>
    <x v="1280"/>
    <n v="6.27"/>
    <n v="1.8"/>
    <n v="8.07"/>
    <x v="1342"/>
    <x v="1258"/>
    <x v="74"/>
    <n v="134.79999996000001"/>
    <x v="4"/>
    <x v="1"/>
  </r>
  <r>
    <x v="0"/>
    <x v="0"/>
    <x v="0"/>
    <n v="0"/>
    <x v="0"/>
    <n v="6.38"/>
    <n v="1.61"/>
    <n v="7.99"/>
    <x v="1341"/>
    <x v="0"/>
    <x v="75"/>
    <n v="0"/>
    <x v="0"/>
    <x v="1"/>
  </r>
  <r>
    <x v="0"/>
    <x v="1"/>
    <x v="0"/>
    <n v="0"/>
    <x v="0"/>
    <n v="0"/>
    <n v="0"/>
    <n v="0"/>
    <x v="0"/>
    <x v="0"/>
    <x v="75"/>
    <n v="0"/>
    <x v="0"/>
    <x v="0"/>
  </r>
  <r>
    <x v="0"/>
    <x v="2"/>
    <x v="0"/>
    <n v="0"/>
    <x v="0"/>
    <n v="0"/>
    <n v="0"/>
    <n v="0"/>
    <x v="0"/>
    <x v="0"/>
    <x v="75"/>
    <n v="0"/>
    <x v="0"/>
    <x v="0"/>
  </r>
  <r>
    <x v="0"/>
    <x v="3"/>
    <x v="0"/>
    <n v="0"/>
    <x v="0"/>
    <n v="0"/>
    <n v="0"/>
    <n v="0"/>
    <x v="0"/>
    <x v="0"/>
    <x v="75"/>
    <n v="0"/>
    <x v="0"/>
    <x v="0"/>
  </r>
  <r>
    <x v="0"/>
    <x v="5"/>
    <x v="0"/>
    <n v="0"/>
    <x v="0"/>
    <n v="0"/>
    <n v="0"/>
    <n v="0"/>
    <x v="0"/>
    <x v="0"/>
    <x v="75"/>
    <n v="0"/>
    <x v="0"/>
    <x v="0"/>
  </r>
  <r>
    <x v="0"/>
    <x v="6"/>
    <x v="0"/>
    <n v="0"/>
    <x v="0"/>
    <n v="0"/>
    <n v="0"/>
    <n v="0"/>
    <x v="0"/>
    <x v="0"/>
    <x v="75"/>
    <n v="0"/>
    <x v="0"/>
    <x v="0"/>
  </r>
  <r>
    <x v="0"/>
    <x v="7"/>
    <x v="0"/>
    <n v="0"/>
    <x v="0"/>
    <n v="0"/>
    <n v="0"/>
    <n v="0"/>
    <x v="0"/>
    <x v="0"/>
    <x v="75"/>
    <n v="0"/>
    <x v="0"/>
    <x v="0"/>
  </r>
  <r>
    <x v="0"/>
    <x v="8"/>
    <x v="0"/>
    <n v="0"/>
    <x v="0"/>
    <n v="6.38"/>
    <n v="1.63"/>
    <n v="8.01"/>
    <x v="1343"/>
    <x v="0"/>
    <x v="75"/>
    <n v="0"/>
    <x v="0"/>
    <x v="1"/>
  </r>
  <r>
    <x v="1"/>
    <x v="9"/>
    <x v="0"/>
    <n v="0"/>
    <x v="0"/>
    <n v="0"/>
    <n v="0"/>
    <n v="0"/>
    <x v="0"/>
    <x v="0"/>
    <x v="75"/>
    <n v="0"/>
    <x v="1"/>
    <x v="0"/>
  </r>
  <r>
    <x v="1"/>
    <x v="10"/>
    <x v="186"/>
    <n v="3.15"/>
    <x v="1197"/>
    <n v="5"/>
    <n v="3.08"/>
    <n v="8.08"/>
    <x v="149"/>
    <x v="1259"/>
    <x v="75"/>
    <n v="45"/>
    <x v="1"/>
    <x v="1"/>
  </r>
  <r>
    <x v="1"/>
    <x v="11"/>
    <x v="0"/>
    <n v="0"/>
    <x v="0"/>
    <n v="0"/>
    <n v="0"/>
    <n v="0"/>
    <x v="0"/>
    <x v="0"/>
    <x v="75"/>
    <n v="0"/>
    <x v="1"/>
    <x v="0"/>
  </r>
  <r>
    <x v="1"/>
    <x v="12"/>
    <x v="0"/>
    <n v="0"/>
    <x v="0"/>
    <n v="0"/>
    <n v="0"/>
    <n v="0"/>
    <x v="0"/>
    <x v="0"/>
    <x v="75"/>
    <n v="0"/>
    <x v="1"/>
    <x v="0"/>
  </r>
  <r>
    <x v="1"/>
    <x v="13"/>
    <x v="0"/>
    <n v="0"/>
    <x v="0"/>
    <n v="6"/>
    <n v="2.0499999999999998"/>
    <n v="8.0500000000000007"/>
    <x v="1344"/>
    <x v="0"/>
    <x v="75"/>
    <n v="0"/>
    <x v="1"/>
    <x v="1"/>
  </r>
  <r>
    <x v="2"/>
    <x v="16"/>
    <x v="0"/>
    <n v="0"/>
    <x v="0"/>
    <n v="0"/>
    <n v="0"/>
    <n v="0"/>
    <x v="0"/>
    <x v="0"/>
    <x v="75"/>
    <n v="0"/>
    <x v="4"/>
    <x v="0"/>
  </r>
  <r>
    <x v="2"/>
    <x v="17"/>
    <x v="0"/>
    <n v="0"/>
    <x v="0"/>
    <n v="0"/>
    <n v="0"/>
    <n v="0"/>
    <x v="0"/>
    <x v="0"/>
    <x v="75"/>
    <n v="0"/>
    <x v="3"/>
    <x v="0"/>
  </r>
  <r>
    <x v="2"/>
    <x v="18"/>
    <x v="747"/>
    <n v="6.32"/>
    <x v="1281"/>
    <n v="3.65"/>
    <n v="4.41"/>
    <n v="8.06"/>
    <x v="1345"/>
    <x v="1260"/>
    <x v="75"/>
    <n v="87.200000004000003"/>
    <x v="3"/>
    <x v="1"/>
  </r>
  <r>
    <x v="2"/>
    <x v="19"/>
    <x v="377"/>
    <n v="4.17"/>
    <x v="1282"/>
    <n v="5.88"/>
    <n v="2.16"/>
    <n v="8.0399999999999991"/>
    <x v="698"/>
    <x v="1066"/>
    <x v="75"/>
    <n v="123.99999996000001"/>
    <x v="2"/>
    <x v="1"/>
  </r>
  <r>
    <x v="2"/>
    <x v="24"/>
    <x v="748"/>
    <n v="7.01"/>
    <x v="1283"/>
    <n v="4.96"/>
    <n v="3.11"/>
    <n v="8.07"/>
    <x v="1346"/>
    <x v="1261"/>
    <x v="75"/>
    <n v="118.04000000399999"/>
    <x v="5"/>
    <x v="1"/>
  </r>
  <r>
    <x v="2"/>
    <x v="25"/>
    <x v="574"/>
    <n v="6.81"/>
    <x v="1284"/>
    <n v="4.24"/>
    <n v="3.81"/>
    <n v="8.0500000000000007"/>
    <x v="1347"/>
    <x v="1262"/>
    <x v="75"/>
    <n v="95.480000004000004"/>
    <x v="2"/>
    <x v="1"/>
  </r>
  <r>
    <x v="2"/>
    <x v="27"/>
    <x v="749"/>
    <n v="6.31"/>
    <x v="1285"/>
    <n v="4.91"/>
    <n v="3.15"/>
    <n v="8.06"/>
    <x v="1348"/>
    <x v="1263"/>
    <x v="75"/>
    <n v="113.64000000000001"/>
    <x v="5"/>
    <x v="1"/>
  </r>
  <r>
    <x v="2"/>
    <x v="29"/>
    <x v="0"/>
    <n v="0"/>
    <x v="0"/>
    <n v="0"/>
    <n v="0"/>
    <n v="0"/>
    <x v="0"/>
    <x v="0"/>
    <x v="75"/>
    <n v="0"/>
    <x v="5"/>
    <x v="0"/>
  </r>
  <r>
    <x v="2"/>
    <x v="30"/>
    <x v="750"/>
    <n v="5.67"/>
    <x v="1286"/>
    <n v="4.09"/>
    <n v="4"/>
    <n v="8.09"/>
    <x v="1349"/>
    <x v="1264"/>
    <x v="75"/>
    <n v="97.479999995999989"/>
    <x v="5"/>
    <x v="1"/>
  </r>
  <r>
    <x v="2"/>
    <x v="31"/>
    <x v="306"/>
    <n v="5.33"/>
    <x v="1287"/>
    <n v="4.9000000000000004"/>
    <n v="3.16"/>
    <n v="8.06"/>
    <x v="1350"/>
    <x v="1265"/>
    <x v="75"/>
    <n v="66.999999996"/>
    <x v="2"/>
    <x v="1"/>
  </r>
  <r>
    <x v="2"/>
    <x v="33"/>
    <x v="751"/>
    <n v="5.35"/>
    <x v="1288"/>
    <n v="4.66"/>
    <n v="3.4"/>
    <n v="8.06"/>
    <x v="1351"/>
    <x v="1266"/>
    <x v="75"/>
    <n v="41.88"/>
    <x v="3"/>
    <x v="1"/>
  </r>
  <r>
    <x v="2"/>
    <x v="34"/>
    <x v="0"/>
    <n v="0"/>
    <x v="0"/>
    <n v="0"/>
    <n v="0"/>
    <n v="0"/>
    <x v="0"/>
    <x v="0"/>
    <x v="75"/>
    <n v="0"/>
    <x v="4"/>
    <x v="0"/>
  </r>
  <r>
    <x v="2"/>
    <x v="36"/>
    <x v="752"/>
    <n v="4.3"/>
    <x v="1289"/>
    <n v="4.3"/>
    <n v="3.76"/>
    <n v="8.06"/>
    <x v="1352"/>
    <x v="1267"/>
    <x v="75"/>
    <n v="84.159999995999996"/>
    <x v="4"/>
    <x v="1"/>
  </r>
  <r>
    <x v="2"/>
    <x v="37"/>
    <x v="0"/>
    <n v="0"/>
    <x v="0"/>
    <n v="0"/>
    <n v="0"/>
    <n v="0"/>
    <x v="0"/>
    <x v="0"/>
    <x v="75"/>
    <n v="0"/>
    <x v="4"/>
    <x v="0"/>
  </r>
  <r>
    <x v="2"/>
    <x v="38"/>
    <x v="646"/>
    <n v="5.6"/>
    <x v="1290"/>
    <n v="5.83"/>
    <n v="2.2200000000000002"/>
    <n v="8.0500000000000007"/>
    <x v="1353"/>
    <x v="1268"/>
    <x v="75"/>
    <n v="87.999999996"/>
    <x v="2"/>
    <x v="1"/>
  </r>
  <r>
    <x v="2"/>
    <x v="39"/>
    <x v="723"/>
    <n v="6.75"/>
    <x v="1291"/>
    <n v="4.91"/>
    <n v="3.15"/>
    <n v="8.06"/>
    <x v="1348"/>
    <x v="1269"/>
    <x v="75"/>
    <n v="122.00000003999999"/>
    <x v="2"/>
    <x v="1"/>
  </r>
  <r>
    <x v="2"/>
    <x v="42"/>
    <x v="753"/>
    <n v="5.29"/>
    <x v="1292"/>
    <n v="4.84"/>
    <n v="3.25"/>
    <n v="8.09"/>
    <x v="1354"/>
    <x v="1270"/>
    <x v="75"/>
    <n v="123.80000004000001"/>
    <x v="2"/>
    <x v="1"/>
  </r>
  <r>
    <x v="2"/>
    <x v="44"/>
    <x v="0"/>
    <n v="0"/>
    <x v="0"/>
    <n v="0"/>
    <n v="0"/>
    <n v="0"/>
    <x v="0"/>
    <x v="0"/>
    <x v="75"/>
    <n v="0"/>
    <x v="3"/>
    <x v="0"/>
  </r>
  <r>
    <x v="2"/>
    <x v="45"/>
    <x v="754"/>
    <n v="3.96"/>
    <x v="1293"/>
    <n v="5.0999999999999996"/>
    <n v="3"/>
    <n v="8.1"/>
    <x v="1355"/>
    <x v="1271"/>
    <x v="75"/>
    <n v="66.279999996000001"/>
    <x v="4"/>
    <x v="1"/>
  </r>
  <r>
    <x v="2"/>
    <x v="46"/>
    <x v="0"/>
    <n v="0"/>
    <x v="0"/>
    <n v="0"/>
    <n v="0"/>
    <n v="0"/>
    <x v="0"/>
    <x v="0"/>
    <x v="75"/>
    <n v="0"/>
    <x v="4"/>
    <x v="0"/>
  </r>
  <r>
    <x v="2"/>
    <x v="48"/>
    <x v="0"/>
    <n v="0"/>
    <x v="0"/>
    <n v="0"/>
    <n v="0"/>
    <n v="0"/>
    <x v="0"/>
    <x v="0"/>
    <x v="75"/>
    <n v="0"/>
    <x v="6"/>
    <x v="0"/>
  </r>
  <r>
    <x v="2"/>
    <x v="49"/>
    <x v="52"/>
    <n v="3.4"/>
    <x v="1294"/>
    <n v="3.4"/>
    <n v="4.67"/>
    <n v="8.07"/>
    <x v="1356"/>
    <x v="1272"/>
    <x v="75"/>
    <n v="27.96"/>
    <x v="3"/>
    <x v="1"/>
  </r>
  <r>
    <x v="2"/>
    <x v="50"/>
    <x v="0"/>
    <n v="0"/>
    <x v="0"/>
    <n v="0"/>
    <n v="0"/>
    <n v="0"/>
    <x v="0"/>
    <x v="0"/>
    <x v="75"/>
    <n v="0"/>
    <x v="4"/>
    <x v="0"/>
  </r>
  <r>
    <x v="0"/>
    <x v="0"/>
    <x v="0"/>
    <n v="0"/>
    <x v="0"/>
    <n v="0"/>
    <n v="0"/>
    <n v="0"/>
    <x v="0"/>
    <x v="0"/>
    <x v="76"/>
    <n v="0"/>
    <x v="0"/>
    <x v="0"/>
  </r>
  <r>
    <x v="0"/>
    <x v="1"/>
    <x v="0"/>
    <n v="0"/>
    <x v="0"/>
    <n v="0"/>
    <n v="0"/>
    <n v="0"/>
    <x v="0"/>
    <x v="0"/>
    <x v="76"/>
    <n v="0"/>
    <x v="0"/>
    <x v="0"/>
  </r>
  <r>
    <x v="0"/>
    <x v="2"/>
    <x v="0"/>
    <n v="0"/>
    <x v="0"/>
    <n v="0"/>
    <n v="0"/>
    <n v="0"/>
    <x v="0"/>
    <x v="0"/>
    <x v="76"/>
    <n v="0"/>
    <x v="0"/>
    <x v="0"/>
  </r>
  <r>
    <x v="0"/>
    <x v="3"/>
    <x v="0"/>
    <n v="0"/>
    <x v="0"/>
    <n v="0"/>
    <n v="0"/>
    <n v="0"/>
    <x v="0"/>
    <x v="0"/>
    <x v="76"/>
    <n v="0"/>
    <x v="0"/>
    <x v="0"/>
  </r>
  <r>
    <x v="0"/>
    <x v="4"/>
    <x v="0"/>
    <n v="0"/>
    <x v="0"/>
    <n v="0"/>
    <n v="0"/>
    <n v="0"/>
    <x v="0"/>
    <x v="0"/>
    <x v="76"/>
    <n v="0"/>
    <x v="0"/>
    <x v="0"/>
  </r>
  <r>
    <x v="0"/>
    <x v="5"/>
    <x v="0"/>
    <n v="0"/>
    <x v="0"/>
    <n v="0"/>
    <n v="0"/>
    <n v="0"/>
    <x v="0"/>
    <x v="0"/>
    <x v="76"/>
    <n v="0"/>
    <x v="0"/>
    <x v="0"/>
  </r>
  <r>
    <x v="0"/>
    <x v="6"/>
    <x v="0"/>
    <n v="0"/>
    <x v="0"/>
    <n v="0"/>
    <n v="0"/>
    <n v="0"/>
    <x v="0"/>
    <x v="0"/>
    <x v="76"/>
    <n v="0"/>
    <x v="0"/>
    <x v="0"/>
  </r>
  <r>
    <x v="0"/>
    <x v="7"/>
    <x v="0"/>
    <n v="0"/>
    <x v="0"/>
    <n v="0"/>
    <n v="0"/>
    <n v="0"/>
    <x v="0"/>
    <x v="0"/>
    <x v="76"/>
    <n v="0"/>
    <x v="0"/>
    <x v="0"/>
  </r>
  <r>
    <x v="0"/>
    <x v="8"/>
    <x v="0"/>
    <n v="0"/>
    <x v="0"/>
    <n v="0"/>
    <n v="0"/>
    <n v="0"/>
    <x v="0"/>
    <x v="0"/>
    <x v="76"/>
    <n v="0"/>
    <x v="0"/>
    <x v="0"/>
  </r>
  <r>
    <x v="1"/>
    <x v="9"/>
    <x v="0"/>
    <n v="0"/>
    <x v="0"/>
    <n v="0"/>
    <n v="0"/>
    <n v="0"/>
    <x v="0"/>
    <x v="0"/>
    <x v="76"/>
    <n v="0"/>
    <x v="1"/>
    <x v="0"/>
  </r>
  <r>
    <x v="1"/>
    <x v="10"/>
    <x v="0"/>
    <n v="0"/>
    <x v="0"/>
    <n v="0"/>
    <n v="0"/>
    <n v="0"/>
    <x v="0"/>
    <x v="0"/>
    <x v="76"/>
    <n v="0"/>
    <x v="1"/>
    <x v="0"/>
  </r>
  <r>
    <x v="1"/>
    <x v="11"/>
    <x v="0"/>
    <n v="0"/>
    <x v="0"/>
    <n v="0"/>
    <n v="0"/>
    <n v="0"/>
    <x v="0"/>
    <x v="0"/>
    <x v="76"/>
    <n v="0"/>
    <x v="1"/>
    <x v="0"/>
  </r>
  <r>
    <x v="1"/>
    <x v="12"/>
    <x v="0"/>
    <n v="0"/>
    <x v="0"/>
    <n v="0"/>
    <n v="0"/>
    <n v="0"/>
    <x v="0"/>
    <x v="0"/>
    <x v="76"/>
    <n v="0"/>
    <x v="1"/>
    <x v="0"/>
  </r>
  <r>
    <x v="1"/>
    <x v="13"/>
    <x v="0"/>
    <n v="0"/>
    <x v="0"/>
    <n v="0"/>
    <n v="0"/>
    <n v="0"/>
    <x v="0"/>
    <x v="0"/>
    <x v="76"/>
    <n v="0"/>
    <x v="1"/>
    <x v="0"/>
  </r>
  <r>
    <x v="2"/>
    <x v="14"/>
    <x v="0"/>
    <n v="0"/>
    <x v="0"/>
    <n v="0"/>
    <n v="0"/>
    <n v="0"/>
    <x v="0"/>
    <x v="0"/>
    <x v="76"/>
    <n v="0"/>
    <x v="2"/>
    <x v="0"/>
  </r>
  <r>
    <x v="2"/>
    <x v="15"/>
    <x v="0"/>
    <n v="0"/>
    <x v="0"/>
    <n v="0"/>
    <n v="0"/>
    <n v="0"/>
    <x v="0"/>
    <x v="0"/>
    <x v="76"/>
    <n v="0"/>
    <x v="3"/>
    <x v="0"/>
  </r>
  <r>
    <x v="2"/>
    <x v="16"/>
    <x v="0"/>
    <n v="0"/>
    <x v="0"/>
    <n v="0"/>
    <n v="0"/>
    <n v="0"/>
    <x v="0"/>
    <x v="0"/>
    <x v="76"/>
    <n v="0"/>
    <x v="4"/>
    <x v="0"/>
  </r>
  <r>
    <x v="2"/>
    <x v="17"/>
    <x v="0"/>
    <n v="0"/>
    <x v="0"/>
    <n v="0"/>
    <n v="0"/>
    <n v="0"/>
    <x v="0"/>
    <x v="0"/>
    <x v="76"/>
    <n v="0"/>
    <x v="3"/>
    <x v="0"/>
  </r>
  <r>
    <x v="2"/>
    <x v="18"/>
    <x v="0"/>
    <n v="0"/>
    <x v="0"/>
    <n v="0"/>
    <n v="0"/>
    <n v="0"/>
    <x v="0"/>
    <x v="0"/>
    <x v="76"/>
    <n v="0"/>
    <x v="3"/>
    <x v="0"/>
  </r>
  <r>
    <x v="2"/>
    <x v="19"/>
    <x v="0"/>
    <n v="0"/>
    <x v="0"/>
    <n v="0"/>
    <n v="0"/>
    <n v="0"/>
    <x v="0"/>
    <x v="0"/>
    <x v="76"/>
    <n v="0"/>
    <x v="2"/>
    <x v="0"/>
  </r>
  <r>
    <x v="2"/>
    <x v="20"/>
    <x v="0"/>
    <n v="0"/>
    <x v="0"/>
    <n v="0"/>
    <n v="0"/>
    <n v="0"/>
    <x v="0"/>
    <x v="0"/>
    <x v="76"/>
    <n v="0"/>
    <x v="5"/>
    <x v="0"/>
  </r>
  <r>
    <x v="2"/>
    <x v="21"/>
    <x v="0"/>
    <n v="0"/>
    <x v="0"/>
    <n v="0"/>
    <n v="0"/>
    <n v="0"/>
    <x v="0"/>
    <x v="0"/>
    <x v="76"/>
    <n v="0"/>
    <x v="2"/>
    <x v="0"/>
  </r>
  <r>
    <x v="2"/>
    <x v="22"/>
    <x v="0"/>
    <n v="0"/>
    <x v="0"/>
    <n v="0"/>
    <n v="0"/>
    <n v="0"/>
    <x v="0"/>
    <x v="0"/>
    <x v="76"/>
    <n v="0"/>
    <x v="4"/>
    <x v="0"/>
  </r>
  <r>
    <x v="2"/>
    <x v="23"/>
    <x v="0"/>
    <n v="0"/>
    <x v="0"/>
    <n v="0"/>
    <n v="0"/>
    <n v="0"/>
    <x v="0"/>
    <x v="0"/>
    <x v="76"/>
    <n v="0"/>
    <x v="3"/>
    <x v="0"/>
  </r>
  <r>
    <x v="2"/>
    <x v="24"/>
    <x v="0"/>
    <n v="0"/>
    <x v="0"/>
    <n v="0"/>
    <n v="0"/>
    <n v="0"/>
    <x v="0"/>
    <x v="0"/>
    <x v="76"/>
    <n v="0"/>
    <x v="5"/>
    <x v="0"/>
  </r>
  <r>
    <x v="2"/>
    <x v="25"/>
    <x v="0"/>
    <n v="0"/>
    <x v="0"/>
    <n v="0"/>
    <n v="0"/>
    <n v="0"/>
    <x v="0"/>
    <x v="0"/>
    <x v="76"/>
    <n v="0"/>
    <x v="2"/>
    <x v="0"/>
  </r>
  <r>
    <x v="2"/>
    <x v="26"/>
    <x v="0"/>
    <n v="0"/>
    <x v="0"/>
    <n v="0"/>
    <n v="0"/>
    <n v="0"/>
    <x v="0"/>
    <x v="0"/>
    <x v="76"/>
    <n v="0"/>
    <x v="3"/>
    <x v="0"/>
  </r>
  <r>
    <x v="2"/>
    <x v="27"/>
    <x v="0"/>
    <n v="0"/>
    <x v="0"/>
    <n v="0"/>
    <n v="0"/>
    <n v="0"/>
    <x v="0"/>
    <x v="0"/>
    <x v="76"/>
    <n v="0"/>
    <x v="5"/>
    <x v="0"/>
  </r>
  <r>
    <x v="2"/>
    <x v="29"/>
    <x v="0"/>
    <n v="0"/>
    <x v="0"/>
    <n v="0"/>
    <n v="0"/>
    <n v="0"/>
    <x v="0"/>
    <x v="0"/>
    <x v="76"/>
    <n v="0"/>
    <x v="5"/>
    <x v="0"/>
  </r>
  <r>
    <x v="2"/>
    <x v="30"/>
    <x v="0"/>
    <n v="0"/>
    <x v="0"/>
    <n v="0"/>
    <n v="0"/>
    <n v="0"/>
    <x v="0"/>
    <x v="0"/>
    <x v="76"/>
    <n v="0"/>
    <x v="5"/>
    <x v="0"/>
  </r>
  <r>
    <x v="2"/>
    <x v="31"/>
    <x v="0"/>
    <n v="0"/>
    <x v="0"/>
    <n v="0"/>
    <n v="0"/>
    <n v="0"/>
    <x v="0"/>
    <x v="0"/>
    <x v="76"/>
    <n v="0"/>
    <x v="2"/>
    <x v="0"/>
  </r>
  <r>
    <x v="2"/>
    <x v="32"/>
    <x v="0"/>
    <n v="0"/>
    <x v="0"/>
    <n v="0"/>
    <n v="0"/>
    <n v="0"/>
    <x v="0"/>
    <x v="0"/>
    <x v="76"/>
    <n v="0"/>
    <x v="3"/>
    <x v="0"/>
  </r>
  <r>
    <x v="2"/>
    <x v="33"/>
    <x v="0"/>
    <n v="0"/>
    <x v="0"/>
    <n v="0"/>
    <n v="0"/>
    <n v="0"/>
    <x v="0"/>
    <x v="0"/>
    <x v="76"/>
    <n v="0"/>
    <x v="3"/>
    <x v="0"/>
  </r>
  <r>
    <x v="2"/>
    <x v="34"/>
    <x v="0"/>
    <n v="0"/>
    <x v="0"/>
    <n v="0"/>
    <n v="0"/>
    <n v="0"/>
    <x v="0"/>
    <x v="0"/>
    <x v="76"/>
    <n v="0"/>
    <x v="4"/>
    <x v="0"/>
  </r>
  <r>
    <x v="2"/>
    <x v="35"/>
    <x v="0"/>
    <n v="0"/>
    <x v="0"/>
    <n v="0"/>
    <n v="0"/>
    <n v="0"/>
    <x v="0"/>
    <x v="0"/>
    <x v="76"/>
    <n v="0"/>
    <x v="2"/>
    <x v="0"/>
  </r>
  <r>
    <x v="2"/>
    <x v="36"/>
    <x v="0"/>
    <n v="0"/>
    <x v="0"/>
    <n v="0"/>
    <n v="0"/>
    <n v="0"/>
    <x v="0"/>
    <x v="0"/>
    <x v="76"/>
    <n v="0"/>
    <x v="4"/>
    <x v="0"/>
  </r>
  <r>
    <x v="2"/>
    <x v="37"/>
    <x v="0"/>
    <n v="0"/>
    <x v="0"/>
    <n v="0"/>
    <n v="0"/>
    <n v="0"/>
    <x v="0"/>
    <x v="0"/>
    <x v="76"/>
    <n v="0"/>
    <x v="4"/>
    <x v="0"/>
  </r>
  <r>
    <x v="2"/>
    <x v="38"/>
    <x v="0"/>
    <n v="0"/>
    <x v="0"/>
    <n v="0"/>
    <n v="0"/>
    <n v="0"/>
    <x v="0"/>
    <x v="0"/>
    <x v="76"/>
    <n v="0"/>
    <x v="2"/>
    <x v="0"/>
  </r>
  <r>
    <x v="2"/>
    <x v="39"/>
    <x v="0"/>
    <n v="0"/>
    <x v="0"/>
    <n v="0"/>
    <n v="0"/>
    <n v="0"/>
    <x v="0"/>
    <x v="0"/>
    <x v="76"/>
    <n v="0"/>
    <x v="2"/>
    <x v="0"/>
  </r>
  <r>
    <x v="2"/>
    <x v="40"/>
    <x v="0"/>
    <n v="0"/>
    <x v="0"/>
    <n v="0"/>
    <n v="0"/>
    <n v="0"/>
    <x v="0"/>
    <x v="0"/>
    <x v="76"/>
    <n v="0"/>
    <x v="3"/>
    <x v="0"/>
  </r>
  <r>
    <x v="2"/>
    <x v="41"/>
    <x v="0"/>
    <n v="0"/>
    <x v="0"/>
    <n v="0"/>
    <n v="0"/>
    <n v="0"/>
    <x v="0"/>
    <x v="0"/>
    <x v="76"/>
    <n v="0"/>
    <x v="5"/>
    <x v="0"/>
  </r>
  <r>
    <x v="2"/>
    <x v="42"/>
    <x v="0"/>
    <n v="0"/>
    <x v="0"/>
    <n v="0"/>
    <n v="0"/>
    <n v="0"/>
    <x v="0"/>
    <x v="0"/>
    <x v="76"/>
    <n v="0"/>
    <x v="2"/>
    <x v="0"/>
  </r>
  <r>
    <x v="2"/>
    <x v="43"/>
    <x v="0"/>
    <n v="0"/>
    <x v="0"/>
    <n v="0"/>
    <n v="0"/>
    <n v="0"/>
    <x v="0"/>
    <x v="0"/>
    <x v="76"/>
    <n v="0"/>
    <x v="3"/>
    <x v="0"/>
  </r>
  <r>
    <x v="2"/>
    <x v="44"/>
    <x v="0"/>
    <n v="0"/>
    <x v="0"/>
    <n v="0"/>
    <n v="0"/>
    <n v="0"/>
    <x v="0"/>
    <x v="0"/>
    <x v="76"/>
    <n v="0"/>
    <x v="3"/>
    <x v="0"/>
  </r>
  <r>
    <x v="2"/>
    <x v="45"/>
    <x v="0"/>
    <n v="0"/>
    <x v="0"/>
    <n v="0"/>
    <n v="0"/>
    <n v="0"/>
    <x v="0"/>
    <x v="0"/>
    <x v="76"/>
    <n v="0"/>
    <x v="4"/>
    <x v="0"/>
  </r>
  <r>
    <x v="2"/>
    <x v="46"/>
    <x v="0"/>
    <n v="0"/>
    <x v="0"/>
    <n v="0"/>
    <n v="0"/>
    <n v="0"/>
    <x v="0"/>
    <x v="0"/>
    <x v="76"/>
    <n v="0"/>
    <x v="4"/>
    <x v="0"/>
  </r>
  <r>
    <x v="2"/>
    <x v="47"/>
    <x v="0"/>
    <n v="0"/>
    <x v="0"/>
    <n v="0"/>
    <n v="0"/>
    <n v="0"/>
    <x v="0"/>
    <x v="0"/>
    <x v="76"/>
    <n v="0"/>
    <x v="5"/>
    <x v="0"/>
  </r>
  <r>
    <x v="2"/>
    <x v="48"/>
    <x v="0"/>
    <n v="0"/>
    <x v="0"/>
    <n v="0"/>
    <n v="0"/>
    <n v="0"/>
    <x v="0"/>
    <x v="0"/>
    <x v="76"/>
    <n v="0"/>
    <x v="6"/>
    <x v="0"/>
  </r>
  <r>
    <x v="2"/>
    <x v="49"/>
    <x v="0"/>
    <n v="0"/>
    <x v="0"/>
    <n v="0"/>
    <n v="0"/>
    <n v="0"/>
    <x v="0"/>
    <x v="0"/>
    <x v="76"/>
    <n v="0"/>
    <x v="3"/>
    <x v="0"/>
  </r>
  <r>
    <x v="2"/>
    <x v="50"/>
    <x v="0"/>
    <n v="0"/>
    <x v="0"/>
    <n v="0"/>
    <n v="0"/>
    <n v="0"/>
    <x v="0"/>
    <x v="0"/>
    <x v="76"/>
    <n v="0"/>
    <x v="4"/>
    <x v="0"/>
  </r>
  <r>
    <x v="0"/>
    <x v="0"/>
    <x v="0"/>
    <n v="0"/>
    <x v="0"/>
    <n v="4.8099999999999996"/>
    <n v="3.21"/>
    <n v="8.02"/>
    <x v="1357"/>
    <x v="0"/>
    <x v="77"/>
    <n v="0"/>
    <x v="0"/>
    <x v="1"/>
  </r>
  <r>
    <x v="0"/>
    <x v="1"/>
    <x v="0"/>
    <n v="0"/>
    <x v="0"/>
    <n v="3.9"/>
    <n v="4.03"/>
    <n v="7.93"/>
    <x v="1358"/>
    <x v="0"/>
    <x v="77"/>
    <n v="0"/>
    <x v="0"/>
    <x v="1"/>
  </r>
  <r>
    <x v="0"/>
    <x v="2"/>
    <x v="0"/>
    <n v="0"/>
    <x v="0"/>
    <n v="3.9"/>
    <n v="4.03"/>
    <n v="7.93"/>
    <x v="1358"/>
    <x v="0"/>
    <x v="77"/>
    <n v="0"/>
    <x v="0"/>
    <x v="1"/>
  </r>
  <r>
    <x v="0"/>
    <x v="3"/>
    <x v="0"/>
    <n v="0"/>
    <x v="0"/>
    <n v="1.23"/>
    <n v="6.79"/>
    <n v="8.02"/>
    <x v="1359"/>
    <x v="0"/>
    <x v="77"/>
    <n v="0"/>
    <x v="0"/>
    <x v="1"/>
  </r>
  <r>
    <x v="0"/>
    <x v="4"/>
    <x v="0"/>
    <n v="0"/>
    <x v="0"/>
    <n v="1.92"/>
    <n v="6.01"/>
    <n v="7.93"/>
    <x v="1360"/>
    <x v="0"/>
    <x v="77"/>
    <n v="0"/>
    <x v="0"/>
    <x v="1"/>
  </r>
  <r>
    <x v="0"/>
    <x v="5"/>
    <x v="0"/>
    <n v="0"/>
    <x v="0"/>
    <n v="3.9"/>
    <n v="4.03"/>
    <n v="7.93"/>
    <x v="1358"/>
    <x v="0"/>
    <x v="77"/>
    <n v="0"/>
    <x v="0"/>
    <x v="1"/>
  </r>
  <r>
    <x v="0"/>
    <x v="6"/>
    <x v="0"/>
    <n v="0"/>
    <x v="0"/>
    <n v="1.92"/>
    <n v="6.01"/>
    <n v="7.93"/>
    <x v="1360"/>
    <x v="0"/>
    <x v="77"/>
    <n v="0"/>
    <x v="0"/>
    <x v="1"/>
  </r>
  <r>
    <x v="0"/>
    <x v="7"/>
    <x v="375"/>
    <n v="7.33"/>
    <x v="1295"/>
    <n v="1.23"/>
    <n v="6.79"/>
    <n v="8.02"/>
    <x v="1359"/>
    <x v="800"/>
    <x v="77"/>
    <n v="39.999999996"/>
    <x v="0"/>
    <x v="1"/>
  </r>
  <r>
    <x v="0"/>
    <x v="8"/>
    <x v="0"/>
    <n v="0"/>
    <x v="0"/>
    <n v="4.84"/>
    <n v="3.22"/>
    <n v="8.06"/>
    <x v="1361"/>
    <x v="0"/>
    <x v="77"/>
    <n v="0"/>
    <x v="0"/>
    <x v="1"/>
  </r>
  <r>
    <x v="1"/>
    <x v="9"/>
    <x v="0"/>
    <n v="0"/>
    <x v="0"/>
    <n v="4.75"/>
    <n v="3.23"/>
    <n v="7.98"/>
    <x v="1362"/>
    <x v="0"/>
    <x v="77"/>
    <n v="0"/>
    <x v="1"/>
    <x v="1"/>
  </r>
  <r>
    <x v="1"/>
    <x v="10"/>
    <x v="53"/>
    <n v="2.08"/>
    <x v="1296"/>
    <n v="3.55"/>
    <n v="4.41"/>
    <n v="7.96"/>
    <x v="1363"/>
    <x v="1273"/>
    <x v="77"/>
    <n v="27"/>
    <x v="1"/>
    <x v="1"/>
  </r>
  <r>
    <x v="1"/>
    <x v="11"/>
    <x v="0"/>
    <n v="0"/>
    <x v="0"/>
    <n v="0"/>
    <n v="0"/>
    <n v="0"/>
    <x v="0"/>
    <x v="0"/>
    <x v="77"/>
    <n v="0"/>
    <x v="1"/>
    <x v="0"/>
  </r>
  <r>
    <x v="1"/>
    <x v="12"/>
    <x v="0"/>
    <n v="0"/>
    <x v="0"/>
    <n v="5.85"/>
    <n v="2.12"/>
    <n v="7.97"/>
    <x v="1231"/>
    <x v="0"/>
    <x v="77"/>
    <n v="0"/>
    <x v="1"/>
    <x v="1"/>
  </r>
  <r>
    <x v="1"/>
    <x v="13"/>
    <x v="0"/>
    <n v="0"/>
    <x v="0"/>
    <n v="7.19"/>
    <n v="0.78"/>
    <n v="7.97"/>
    <x v="353"/>
    <x v="0"/>
    <x v="77"/>
    <n v="0"/>
    <x v="1"/>
    <x v="1"/>
  </r>
  <r>
    <x v="2"/>
    <x v="14"/>
    <x v="55"/>
    <n v="7.78"/>
    <x v="1297"/>
    <n v="7.27"/>
    <n v="0.81"/>
    <n v="8.08"/>
    <x v="1364"/>
    <x v="1274"/>
    <x v="77"/>
    <n v="96"/>
    <x v="2"/>
    <x v="1"/>
  </r>
  <r>
    <x v="2"/>
    <x v="15"/>
    <x v="0"/>
    <n v="0"/>
    <x v="0"/>
    <n v="7.85"/>
    <n v="0.34"/>
    <n v="8.19"/>
    <x v="217"/>
    <x v="0"/>
    <x v="77"/>
    <n v="0"/>
    <x v="3"/>
    <x v="1"/>
  </r>
  <r>
    <x v="2"/>
    <x v="16"/>
    <x v="0"/>
    <n v="0"/>
    <x v="0"/>
    <n v="0"/>
    <n v="0"/>
    <n v="0"/>
    <x v="0"/>
    <x v="0"/>
    <x v="77"/>
    <n v="0"/>
    <x v="4"/>
    <x v="0"/>
  </r>
  <r>
    <x v="2"/>
    <x v="17"/>
    <x v="0"/>
    <n v="0"/>
    <x v="0"/>
    <n v="4.53"/>
    <n v="4.71"/>
    <n v="9.24"/>
    <x v="1365"/>
    <x v="0"/>
    <x v="77"/>
    <n v="0"/>
    <x v="3"/>
    <x v="1"/>
  </r>
  <r>
    <x v="2"/>
    <x v="18"/>
    <x v="0"/>
    <n v="0"/>
    <x v="0"/>
    <n v="3.91"/>
    <n v="4.16"/>
    <n v="8.07"/>
    <x v="1366"/>
    <x v="0"/>
    <x v="77"/>
    <n v="0"/>
    <x v="3"/>
    <x v="1"/>
  </r>
  <r>
    <x v="2"/>
    <x v="19"/>
    <x v="755"/>
    <n v="3.62"/>
    <x v="1298"/>
    <n v="7.8"/>
    <n v="0.75"/>
    <n v="8.5500000000000007"/>
    <x v="1367"/>
    <x v="1275"/>
    <x v="77"/>
    <n v="61.520000004000011"/>
    <x v="2"/>
    <x v="1"/>
  </r>
  <r>
    <x v="2"/>
    <x v="20"/>
    <x v="756"/>
    <n v="3.71"/>
    <x v="1299"/>
    <n v="9.16"/>
    <n v="0.5"/>
    <n v="9.66"/>
    <x v="1368"/>
    <x v="1276"/>
    <x v="77"/>
    <n v="82.56"/>
    <x v="5"/>
    <x v="1"/>
  </r>
  <r>
    <x v="2"/>
    <x v="21"/>
    <x v="757"/>
    <n v="6.4"/>
    <x v="1300"/>
    <n v="9.01"/>
    <n v="1.1599999999999999"/>
    <n v="10.17"/>
    <x v="677"/>
    <x v="1277"/>
    <x v="77"/>
    <n v="138.99999996000003"/>
    <x v="2"/>
    <x v="1"/>
  </r>
  <r>
    <x v="2"/>
    <x v="22"/>
    <x v="758"/>
    <n v="1.27"/>
    <x v="1301"/>
    <n v="6.17"/>
    <n v="1.69"/>
    <n v="7.86"/>
    <x v="1369"/>
    <x v="1278"/>
    <x v="77"/>
    <n v="7.2"/>
    <x v="4"/>
    <x v="1"/>
  </r>
  <r>
    <x v="2"/>
    <x v="23"/>
    <x v="4"/>
    <n v="1.08"/>
    <x v="1302"/>
    <n v="3.83"/>
    <n v="5.42"/>
    <n v="9.25"/>
    <x v="1370"/>
    <x v="833"/>
    <x v="77"/>
    <n v="12"/>
    <x v="3"/>
    <x v="1"/>
  </r>
  <r>
    <x v="2"/>
    <x v="24"/>
    <x v="0"/>
    <n v="0"/>
    <x v="0"/>
    <n v="7.24"/>
    <n v="0.82"/>
    <n v="8.06"/>
    <x v="1371"/>
    <x v="0"/>
    <x v="77"/>
    <n v="0"/>
    <x v="5"/>
    <x v="1"/>
  </r>
  <r>
    <x v="2"/>
    <x v="25"/>
    <x v="759"/>
    <n v="6.91"/>
    <x v="1303"/>
    <n v="7.33"/>
    <n v="0.68"/>
    <n v="8.01"/>
    <x v="1303"/>
    <x v="1279"/>
    <x v="77"/>
    <n v="121.68000000000002"/>
    <x v="2"/>
    <x v="1"/>
  </r>
  <r>
    <x v="2"/>
    <x v="26"/>
    <x v="0"/>
    <n v="0"/>
    <x v="0"/>
    <n v="7.69"/>
    <n v="0.46"/>
    <n v="8.15"/>
    <x v="329"/>
    <x v="0"/>
    <x v="77"/>
    <n v="0"/>
    <x v="3"/>
    <x v="1"/>
  </r>
  <r>
    <x v="2"/>
    <x v="27"/>
    <x v="760"/>
    <n v="5.53"/>
    <x v="1304"/>
    <n v="7.31"/>
    <n v="0.74"/>
    <n v="8.0500000000000007"/>
    <x v="343"/>
    <x v="1044"/>
    <x v="77"/>
    <n v="111"/>
    <x v="5"/>
    <x v="1"/>
  </r>
  <r>
    <x v="2"/>
    <x v="29"/>
    <x v="0"/>
    <n v="0"/>
    <x v="0"/>
    <n v="0"/>
    <n v="0"/>
    <n v="0"/>
    <x v="0"/>
    <x v="0"/>
    <x v="77"/>
    <n v="0"/>
    <x v="5"/>
    <x v="0"/>
  </r>
  <r>
    <x v="2"/>
    <x v="31"/>
    <x v="600"/>
    <n v="1.4"/>
    <x v="1290"/>
    <n v="7.87"/>
    <n v="1.39"/>
    <n v="9.26"/>
    <x v="1372"/>
    <x v="1280"/>
    <x v="77"/>
    <n v="21.999999996"/>
    <x v="2"/>
    <x v="1"/>
  </r>
  <r>
    <x v="2"/>
    <x v="32"/>
    <x v="761"/>
    <n v="1.74"/>
    <x v="1305"/>
    <n v="7.31"/>
    <n v="2.2599999999999998"/>
    <n v="9.57"/>
    <x v="1373"/>
    <x v="1281"/>
    <x v="77"/>
    <n v="17.759999999999998"/>
    <x v="3"/>
    <x v="1"/>
  </r>
  <r>
    <x v="2"/>
    <x v="33"/>
    <x v="0"/>
    <n v="0"/>
    <x v="0"/>
    <n v="9.2799999999999994"/>
    <n v="0.34"/>
    <n v="9.6199999999999992"/>
    <x v="1374"/>
    <x v="0"/>
    <x v="77"/>
    <n v="0"/>
    <x v="3"/>
    <x v="1"/>
  </r>
  <r>
    <x v="2"/>
    <x v="34"/>
    <x v="762"/>
    <n v="2.3199999999999998"/>
    <x v="1306"/>
    <n v="6.06"/>
    <n v="3.55"/>
    <n v="9.61"/>
    <x v="1375"/>
    <x v="1282"/>
    <x v="77"/>
    <n v="12.360000000000001"/>
    <x v="4"/>
    <x v="1"/>
  </r>
  <r>
    <x v="2"/>
    <x v="35"/>
    <x v="763"/>
    <n v="8.0500000000000007"/>
    <x v="1307"/>
    <n v="8.6999999999999993"/>
    <n v="0.82"/>
    <n v="9.52"/>
    <x v="1376"/>
    <x v="1283"/>
    <x v="77"/>
    <n v="155.43999995999999"/>
    <x v="2"/>
    <x v="1"/>
  </r>
  <r>
    <x v="2"/>
    <x v="36"/>
    <x v="193"/>
    <n v="1.75"/>
    <x v="1308"/>
    <n v="5.42"/>
    <n v="2.4500000000000002"/>
    <n v="7.87"/>
    <x v="1377"/>
    <x v="1284"/>
    <x v="77"/>
    <n v="8.879999999999999"/>
    <x v="4"/>
    <x v="1"/>
  </r>
  <r>
    <x v="2"/>
    <x v="37"/>
    <x v="764"/>
    <n v="1.92"/>
    <x v="1309"/>
    <n v="7.07"/>
    <n v="0.92"/>
    <n v="7.99"/>
    <x v="1124"/>
    <x v="1285"/>
    <x v="77"/>
    <n v="2.7600000000000002"/>
    <x v="4"/>
    <x v="1"/>
  </r>
  <r>
    <x v="2"/>
    <x v="38"/>
    <x v="765"/>
    <n v="8.0299999999999994"/>
    <x v="1310"/>
    <n v="8.3699999999999992"/>
    <n v="1.1599999999999999"/>
    <n v="9.5299999999999994"/>
    <x v="1139"/>
    <x v="1286"/>
    <x v="77"/>
    <n v="185.00000003999997"/>
    <x v="2"/>
    <x v="1"/>
  </r>
  <r>
    <x v="2"/>
    <x v="39"/>
    <x v="380"/>
    <n v="2.42"/>
    <x v="1311"/>
    <n v="5.39"/>
    <n v="2.5099999999999998"/>
    <n v="7.9"/>
    <x v="1378"/>
    <x v="1287"/>
    <x v="77"/>
    <n v="38.000000004"/>
    <x v="2"/>
    <x v="1"/>
  </r>
  <r>
    <x v="2"/>
    <x v="41"/>
    <x v="766"/>
    <n v="3.4"/>
    <x v="1312"/>
    <n v="7.9"/>
    <n v="0.15"/>
    <n v="8.0500000000000007"/>
    <x v="72"/>
    <x v="1288"/>
    <x v="77"/>
    <n v="39.36"/>
    <x v="5"/>
    <x v="1"/>
  </r>
  <r>
    <x v="2"/>
    <x v="42"/>
    <x v="626"/>
    <n v="7.72"/>
    <x v="1313"/>
    <n v="7.04"/>
    <n v="1.26"/>
    <n v="8.3000000000000007"/>
    <x v="1379"/>
    <x v="1289"/>
    <x v="77"/>
    <n v="138"/>
    <x v="2"/>
    <x v="1"/>
  </r>
  <r>
    <x v="2"/>
    <x v="43"/>
    <x v="0"/>
    <n v="0"/>
    <x v="0"/>
    <n v="7.55"/>
    <n v="0.65"/>
    <n v="8.1999999999999993"/>
    <x v="1380"/>
    <x v="0"/>
    <x v="77"/>
    <n v="0"/>
    <x v="3"/>
    <x v="1"/>
  </r>
  <r>
    <x v="2"/>
    <x v="44"/>
    <x v="418"/>
    <n v="8.09"/>
    <x v="1314"/>
    <n v="6.23"/>
    <n v="1.88"/>
    <n v="8.11"/>
    <x v="1381"/>
    <x v="1290"/>
    <x v="77"/>
    <n v="80.000000004"/>
    <x v="3"/>
    <x v="1"/>
  </r>
  <r>
    <x v="2"/>
    <x v="46"/>
    <x v="0"/>
    <n v="0"/>
    <x v="0"/>
    <n v="7.05"/>
    <n v="0.81"/>
    <n v="7.86"/>
    <x v="1382"/>
    <x v="0"/>
    <x v="77"/>
    <n v="0"/>
    <x v="4"/>
    <x v="1"/>
  </r>
  <r>
    <x v="2"/>
    <x v="47"/>
    <x v="767"/>
    <n v="3.4"/>
    <x v="1315"/>
    <n v="7.88"/>
    <n v="0.15"/>
    <n v="8.0299999999999994"/>
    <x v="1383"/>
    <x v="126"/>
    <x v="77"/>
    <n v="27.6"/>
    <x v="5"/>
    <x v="1"/>
  </r>
  <r>
    <x v="2"/>
    <x v="48"/>
    <x v="0"/>
    <n v="0"/>
    <x v="0"/>
    <n v="0"/>
    <n v="0"/>
    <n v="0"/>
    <x v="0"/>
    <x v="0"/>
    <x v="77"/>
    <n v="0"/>
    <x v="6"/>
    <x v="0"/>
  </r>
  <r>
    <x v="2"/>
    <x v="49"/>
    <x v="4"/>
    <n v="0.19"/>
    <x v="1316"/>
    <n v="7.66"/>
    <n v="0.45"/>
    <n v="8.11"/>
    <x v="1319"/>
    <x v="955"/>
    <x v="77"/>
    <n v="12"/>
    <x v="3"/>
    <x v="1"/>
  </r>
  <r>
    <x v="0"/>
    <x v="5"/>
    <x v="152"/>
    <n v="10.34"/>
    <x v="1317"/>
    <n v="10.46"/>
    <n v="0.09"/>
    <n v="10.55"/>
    <x v="1384"/>
    <x v="1291"/>
    <x v="78"/>
    <n v="26.640000000000004"/>
    <x v="0"/>
    <x v="1"/>
  </r>
  <r>
    <x v="0"/>
    <x v="7"/>
    <x v="768"/>
    <n v="5.88"/>
    <x v="1318"/>
    <n v="7.48"/>
    <n v="0.57999999999999996"/>
    <n v="8.06"/>
    <x v="108"/>
    <x v="1292"/>
    <x v="78"/>
    <n v="39.6"/>
    <x v="0"/>
    <x v="1"/>
  </r>
  <r>
    <x v="1"/>
    <x v="9"/>
    <x v="769"/>
    <n v="3.37"/>
    <x v="1319"/>
    <n v="1.68"/>
    <n v="6.37"/>
    <n v="8.0500000000000007"/>
    <x v="1385"/>
    <x v="1293"/>
    <x v="78"/>
    <n v="53.240000004000002"/>
    <x v="1"/>
    <x v="1"/>
  </r>
  <r>
    <x v="1"/>
    <x v="12"/>
    <x v="770"/>
    <n v="6.01"/>
    <x v="1320"/>
    <n v="6.18"/>
    <n v="1.89"/>
    <n v="8.07"/>
    <x v="1386"/>
    <x v="1294"/>
    <x v="78"/>
    <n v="88.040000004000007"/>
    <x v="1"/>
    <x v="1"/>
  </r>
  <r>
    <x v="2"/>
    <x v="14"/>
    <x v="771"/>
    <n v="5.31"/>
    <x v="1321"/>
    <n v="8.18"/>
    <n v="0.14000000000000001"/>
    <n v="8.32"/>
    <x v="1095"/>
    <x v="1295"/>
    <x v="78"/>
    <n v="159.72"/>
    <x v="2"/>
    <x v="1"/>
  </r>
  <r>
    <x v="2"/>
    <x v="15"/>
    <x v="0"/>
    <n v="0"/>
    <x v="0"/>
    <n v="7.82"/>
    <n v="0.32"/>
    <n v="8.14"/>
    <x v="1387"/>
    <x v="0"/>
    <x v="78"/>
    <n v="0"/>
    <x v="3"/>
    <x v="1"/>
  </r>
  <r>
    <x v="2"/>
    <x v="17"/>
    <x v="307"/>
    <n v="0.97"/>
    <x v="1322"/>
    <n v="0"/>
    <n v="4.47"/>
    <n v="4.47"/>
    <x v="0"/>
    <x v="1296"/>
    <x v="78"/>
    <n v="3.9999999960000006"/>
    <x v="3"/>
    <x v="1"/>
  </r>
  <r>
    <x v="2"/>
    <x v="18"/>
    <x v="772"/>
    <n v="1.46"/>
    <x v="1323"/>
    <n v="7.01"/>
    <n v="1.48"/>
    <n v="8.49"/>
    <x v="1388"/>
    <x v="1297"/>
    <x v="78"/>
    <n v="29.76"/>
    <x v="3"/>
    <x v="1"/>
  </r>
  <r>
    <x v="2"/>
    <x v="21"/>
    <x v="773"/>
    <n v="6.26"/>
    <x v="1324"/>
    <n v="9.1199999999999992"/>
    <n v="0.44"/>
    <n v="9.56"/>
    <x v="347"/>
    <x v="1298"/>
    <x v="78"/>
    <n v="145.23999996000001"/>
    <x v="2"/>
    <x v="1"/>
  </r>
  <r>
    <x v="2"/>
    <x v="22"/>
    <x v="396"/>
    <n v="4.25"/>
    <x v="1325"/>
    <n v="7.4"/>
    <n v="0.8"/>
    <n v="8.1999999999999993"/>
    <x v="1389"/>
    <x v="1299"/>
    <x v="78"/>
    <n v="41.64"/>
    <x v="4"/>
    <x v="1"/>
  </r>
  <r>
    <x v="2"/>
    <x v="23"/>
    <x v="668"/>
    <n v="1.76"/>
    <x v="1326"/>
    <n v="3.85"/>
    <n v="6.15"/>
    <n v="10"/>
    <x v="1390"/>
    <x v="976"/>
    <x v="78"/>
    <n v="22.56"/>
    <x v="3"/>
    <x v="1"/>
  </r>
  <r>
    <x v="2"/>
    <x v="24"/>
    <x v="774"/>
    <n v="10.48"/>
    <x v="1327"/>
    <n v="9.16"/>
    <n v="1.89"/>
    <n v="11.05"/>
    <x v="1183"/>
    <x v="1300"/>
    <x v="78"/>
    <n v="132.12"/>
    <x v="5"/>
    <x v="1"/>
  </r>
  <r>
    <x v="2"/>
    <x v="25"/>
    <x v="420"/>
    <n v="7.49"/>
    <x v="1328"/>
    <n v="8.92"/>
    <n v="0.88"/>
    <n v="9.8000000000000007"/>
    <x v="1391"/>
    <x v="1301"/>
    <x v="78"/>
    <n v="144.99999996000003"/>
    <x v="2"/>
    <x v="1"/>
  </r>
  <r>
    <x v="2"/>
    <x v="26"/>
    <x v="368"/>
    <n v="1.35"/>
    <x v="1140"/>
    <n v="9.4700000000000006"/>
    <n v="0.56999999999999995"/>
    <n v="10.039999999999999"/>
    <x v="499"/>
    <x v="1302"/>
    <x v="78"/>
    <n v="14.000000004"/>
    <x v="3"/>
    <x v="1"/>
  </r>
  <r>
    <x v="2"/>
    <x v="27"/>
    <x v="775"/>
    <n v="6.74"/>
    <x v="1329"/>
    <n v="9.5399999999999991"/>
    <n v="1.51"/>
    <n v="11.05"/>
    <x v="1392"/>
    <x v="1303"/>
    <x v="78"/>
    <n v="151.83999996"/>
    <x v="5"/>
    <x v="1"/>
  </r>
  <r>
    <x v="2"/>
    <x v="29"/>
    <x v="0"/>
    <n v="0"/>
    <x v="0"/>
    <n v="0"/>
    <n v="0"/>
    <n v="0"/>
    <x v="0"/>
    <x v="0"/>
    <x v="78"/>
    <n v="0"/>
    <x v="5"/>
    <x v="0"/>
  </r>
  <r>
    <x v="2"/>
    <x v="31"/>
    <x v="408"/>
    <n v="4.12"/>
    <x v="1330"/>
    <n v="7.76"/>
    <n v="1.67"/>
    <n v="9.43"/>
    <x v="1393"/>
    <x v="612"/>
    <x v="78"/>
    <n v="71.000000004"/>
    <x v="2"/>
    <x v="1"/>
  </r>
  <r>
    <x v="2"/>
    <x v="32"/>
    <x v="776"/>
    <n v="2.95"/>
    <x v="1331"/>
    <n v="8.89"/>
    <n v="1.1100000000000001"/>
    <n v="10"/>
    <x v="1394"/>
    <x v="1304"/>
    <x v="78"/>
    <n v="17.360000004"/>
    <x v="3"/>
    <x v="1"/>
  </r>
  <r>
    <x v="2"/>
    <x v="33"/>
    <x v="78"/>
    <n v="7.05"/>
    <x v="1332"/>
    <n v="9.6300000000000008"/>
    <n v="0.43"/>
    <n v="10.06"/>
    <x v="1395"/>
    <x v="1305"/>
    <x v="78"/>
    <n v="61.92"/>
    <x v="3"/>
    <x v="1"/>
  </r>
  <r>
    <x v="2"/>
    <x v="35"/>
    <x v="777"/>
    <n v="9.66"/>
    <x v="1333"/>
    <n v="11.12"/>
    <n v="0.88"/>
    <n v="12"/>
    <x v="32"/>
    <x v="1306"/>
    <x v="78"/>
    <n v="168.68000004000001"/>
    <x v="2"/>
    <x v="1"/>
  </r>
  <r>
    <x v="2"/>
    <x v="36"/>
    <x v="45"/>
    <n v="0.94"/>
    <x v="1334"/>
    <n v="6"/>
    <n v="2.41"/>
    <n v="8.41"/>
    <x v="1396"/>
    <x v="1307"/>
    <x v="78"/>
    <n v="6"/>
    <x v="4"/>
    <x v="1"/>
  </r>
  <r>
    <x v="2"/>
    <x v="37"/>
    <x v="0"/>
    <n v="0"/>
    <x v="0"/>
    <n v="7.97"/>
    <n v="0.53"/>
    <n v="8.5"/>
    <x v="1397"/>
    <x v="0"/>
    <x v="78"/>
    <n v="0"/>
    <x v="4"/>
    <x v="1"/>
  </r>
  <r>
    <x v="2"/>
    <x v="39"/>
    <x v="778"/>
    <n v="7.7"/>
    <x v="1335"/>
    <n v="6.63"/>
    <n v="1.52"/>
    <n v="8.15"/>
    <x v="203"/>
    <x v="1308"/>
    <x v="78"/>
    <n v="111.75999999599999"/>
    <x v="2"/>
    <x v="1"/>
  </r>
  <r>
    <x v="2"/>
    <x v="41"/>
    <x v="779"/>
    <n v="5.59"/>
    <x v="1336"/>
    <n v="8.5"/>
    <n v="1.1200000000000001"/>
    <n v="9.6199999999999992"/>
    <x v="525"/>
    <x v="1309"/>
    <x v="78"/>
    <n v="54.239999999999995"/>
    <x v="5"/>
    <x v="1"/>
  </r>
  <r>
    <x v="2"/>
    <x v="42"/>
    <x v="780"/>
    <n v="5.75"/>
    <x v="1337"/>
    <n v="8.02"/>
    <n v="0.78"/>
    <n v="8.8000000000000007"/>
    <x v="977"/>
    <x v="1310"/>
    <x v="78"/>
    <n v="135"/>
    <x v="2"/>
    <x v="1"/>
  </r>
  <r>
    <x v="2"/>
    <x v="43"/>
    <x v="364"/>
    <n v="2.6"/>
    <x v="1338"/>
    <n v="6.64"/>
    <n v="1.5"/>
    <n v="8.14"/>
    <x v="1398"/>
    <x v="1311"/>
    <x v="78"/>
    <n v="9.9999999959999997"/>
    <x v="3"/>
    <x v="1"/>
  </r>
  <r>
    <x v="2"/>
    <x v="44"/>
    <x v="409"/>
    <n v="5.04"/>
    <x v="1339"/>
    <n v="6.6"/>
    <n v="2.5499999999999998"/>
    <n v="9.15"/>
    <x v="851"/>
    <x v="1312"/>
    <x v="78"/>
    <n v="33.999999996"/>
    <x v="3"/>
    <x v="1"/>
  </r>
  <r>
    <x v="2"/>
    <x v="45"/>
    <x v="0"/>
    <n v="0"/>
    <x v="0"/>
    <n v="3.98"/>
    <n v="4.07"/>
    <n v="8.0500000000000007"/>
    <x v="1399"/>
    <x v="0"/>
    <x v="78"/>
    <n v="0"/>
    <x v="4"/>
    <x v="1"/>
  </r>
  <r>
    <x v="2"/>
    <x v="46"/>
    <x v="781"/>
    <n v="6.55"/>
    <x v="1340"/>
    <n v="8.4499999999999993"/>
    <n v="0.61"/>
    <n v="9.06"/>
    <x v="1400"/>
    <x v="1313"/>
    <x v="78"/>
    <n v="73.2"/>
    <x v="4"/>
    <x v="1"/>
  </r>
  <r>
    <x v="2"/>
    <x v="47"/>
    <x v="465"/>
    <n v="5.23"/>
    <x v="1341"/>
    <n v="7.89"/>
    <n v="0.83"/>
    <n v="8.7200000000000006"/>
    <x v="1401"/>
    <x v="551"/>
    <x v="78"/>
    <n v="114.800000004"/>
    <x v="5"/>
    <x v="1"/>
  </r>
  <r>
    <x v="2"/>
    <x v="48"/>
    <x v="0"/>
    <n v="0"/>
    <x v="0"/>
    <n v="0"/>
    <n v="0"/>
    <n v="0"/>
    <x v="0"/>
    <x v="0"/>
    <x v="78"/>
    <n v="0"/>
    <x v="6"/>
    <x v="0"/>
  </r>
  <r>
    <x v="2"/>
    <x v="49"/>
    <x v="469"/>
    <n v="7.87"/>
    <x v="1342"/>
    <n v="7.19"/>
    <n v="0.82"/>
    <n v="8.01"/>
    <x v="1402"/>
    <x v="1314"/>
    <x v="78"/>
    <n v="56.000000004"/>
    <x v="3"/>
    <x v="1"/>
  </r>
  <r>
    <x v="0"/>
    <x v="0"/>
    <x v="0"/>
    <n v="0"/>
    <x v="0"/>
    <n v="7.5"/>
    <n v="0.47"/>
    <n v="7.97"/>
    <x v="958"/>
    <x v="0"/>
    <x v="79"/>
    <n v="0"/>
    <x v="0"/>
    <x v="1"/>
  </r>
  <r>
    <x v="0"/>
    <x v="1"/>
    <x v="0"/>
    <n v="0"/>
    <x v="0"/>
    <n v="7.99"/>
    <n v="0.08"/>
    <n v="8.07"/>
    <x v="501"/>
    <x v="0"/>
    <x v="79"/>
    <n v="0"/>
    <x v="0"/>
    <x v="1"/>
  </r>
  <r>
    <x v="0"/>
    <x v="2"/>
    <x v="4"/>
    <n v="0.08"/>
    <x v="1343"/>
    <n v="7.99"/>
    <n v="0.08"/>
    <n v="8.07"/>
    <x v="501"/>
    <x v="1315"/>
    <x v="79"/>
    <n v="12"/>
    <x v="0"/>
    <x v="1"/>
  </r>
  <r>
    <x v="0"/>
    <x v="3"/>
    <x v="147"/>
    <n v="1.24"/>
    <x v="1344"/>
    <n v="7.53"/>
    <n v="0.48"/>
    <n v="8.01"/>
    <x v="1403"/>
    <x v="94"/>
    <x v="79"/>
    <n v="11.040000000000001"/>
    <x v="0"/>
    <x v="1"/>
  </r>
  <r>
    <x v="0"/>
    <x v="5"/>
    <x v="0"/>
    <n v="0"/>
    <x v="0"/>
    <n v="7.99"/>
    <n v="0.08"/>
    <n v="8.07"/>
    <x v="501"/>
    <x v="0"/>
    <x v="79"/>
    <n v="0"/>
    <x v="0"/>
    <x v="1"/>
  </r>
  <r>
    <x v="0"/>
    <x v="7"/>
    <x v="782"/>
    <n v="5.29"/>
    <x v="1345"/>
    <n v="7.54"/>
    <n v="0.47"/>
    <n v="8.01"/>
    <x v="369"/>
    <x v="1316"/>
    <x v="79"/>
    <n v="47.919999995999994"/>
    <x v="0"/>
    <x v="1"/>
  </r>
  <r>
    <x v="0"/>
    <x v="8"/>
    <x v="186"/>
    <n v="7.42"/>
    <x v="1346"/>
    <n v="7.6"/>
    <n v="0.47"/>
    <n v="8.07"/>
    <x v="573"/>
    <x v="1317"/>
    <x v="79"/>
    <n v="45"/>
    <x v="0"/>
    <x v="1"/>
  </r>
  <r>
    <x v="1"/>
    <x v="9"/>
    <x v="760"/>
    <n v="4.5199999999999996"/>
    <x v="1347"/>
    <n v="4.55"/>
    <n v="3.49"/>
    <n v="8.0399999999999991"/>
    <x v="1404"/>
    <x v="1318"/>
    <x v="79"/>
    <n v="111"/>
    <x v="1"/>
    <x v="1"/>
  </r>
  <r>
    <x v="1"/>
    <x v="12"/>
    <x v="783"/>
    <n v="4.75"/>
    <x v="1348"/>
    <n v="7.67"/>
    <n v="0.4"/>
    <n v="8.07"/>
    <x v="57"/>
    <x v="1319"/>
    <x v="79"/>
    <n v="13.839999996"/>
    <x v="1"/>
    <x v="1"/>
  </r>
  <r>
    <x v="2"/>
    <x v="14"/>
    <x v="312"/>
    <n v="4.8499999999999996"/>
    <x v="1349"/>
    <n v="7.49"/>
    <n v="0.49"/>
    <n v="7.98"/>
    <x v="1405"/>
    <x v="1320"/>
    <x v="79"/>
    <n v="126.99999996000001"/>
    <x v="2"/>
    <x v="1"/>
  </r>
  <r>
    <x v="2"/>
    <x v="16"/>
    <x v="0"/>
    <n v="0"/>
    <x v="0"/>
    <n v="0"/>
    <n v="0"/>
    <n v="0"/>
    <x v="0"/>
    <x v="0"/>
    <x v="79"/>
    <n v="0"/>
    <x v="4"/>
    <x v="0"/>
  </r>
  <r>
    <x v="2"/>
    <x v="17"/>
    <x v="4"/>
    <n v="0.97"/>
    <x v="1350"/>
    <n v="6.26"/>
    <n v="1.8"/>
    <n v="8.06"/>
    <x v="676"/>
    <x v="839"/>
    <x v="79"/>
    <n v="12"/>
    <x v="3"/>
    <x v="1"/>
  </r>
  <r>
    <x v="2"/>
    <x v="18"/>
    <x v="374"/>
    <n v="2.46"/>
    <x v="1351"/>
    <n v="7.54"/>
    <n v="0.53"/>
    <n v="8.07"/>
    <x v="1406"/>
    <x v="1321"/>
    <x v="79"/>
    <n v="26.000000003999997"/>
    <x v="3"/>
    <x v="1"/>
  </r>
  <r>
    <x v="2"/>
    <x v="20"/>
    <x v="784"/>
    <n v="2.12"/>
    <x v="1352"/>
    <n v="9.68"/>
    <n v="0.5"/>
    <n v="10.18"/>
    <x v="1258"/>
    <x v="1322"/>
    <x v="79"/>
    <n v="50.240000004000002"/>
    <x v="5"/>
    <x v="1"/>
  </r>
  <r>
    <x v="2"/>
    <x v="22"/>
    <x v="785"/>
    <n v="5.66"/>
    <x v="1353"/>
    <n v="6.55"/>
    <n v="1.36"/>
    <n v="7.91"/>
    <x v="1130"/>
    <x v="1323"/>
    <x v="79"/>
    <n v="61.08"/>
    <x v="4"/>
    <x v="1"/>
  </r>
  <r>
    <x v="2"/>
    <x v="23"/>
    <x v="4"/>
    <n v="0.27"/>
    <x v="1354"/>
    <n v="7.27"/>
    <n v="0.85"/>
    <n v="8.1199999999999992"/>
    <x v="1407"/>
    <x v="450"/>
    <x v="79"/>
    <n v="12"/>
    <x v="3"/>
    <x v="1"/>
  </r>
  <r>
    <x v="2"/>
    <x v="24"/>
    <x v="786"/>
    <n v="7.62"/>
    <x v="1355"/>
    <n v="9.93"/>
    <n v="0.1"/>
    <n v="10.029999999999999"/>
    <x v="550"/>
    <x v="1324"/>
    <x v="79"/>
    <n v="75.560000004000003"/>
    <x v="5"/>
    <x v="1"/>
  </r>
  <r>
    <x v="2"/>
    <x v="25"/>
    <x v="787"/>
    <n v="7.13"/>
    <x v="1356"/>
    <n v="7.33"/>
    <n v="0.66"/>
    <n v="7.99"/>
    <x v="1408"/>
    <x v="1325"/>
    <x v="79"/>
    <n v="81.639999996"/>
    <x v="2"/>
    <x v="1"/>
  </r>
  <r>
    <x v="2"/>
    <x v="26"/>
    <x v="0"/>
    <n v="0"/>
    <x v="0"/>
    <n v="7.74"/>
    <n v="0.26"/>
    <n v="8"/>
    <x v="739"/>
    <x v="0"/>
    <x v="79"/>
    <n v="0"/>
    <x v="3"/>
    <x v="1"/>
  </r>
  <r>
    <x v="2"/>
    <x v="29"/>
    <x v="335"/>
    <n v="2.2200000000000002"/>
    <x v="1357"/>
    <n v="6.91"/>
    <n v="0.87"/>
    <n v="7.78"/>
    <x v="328"/>
    <x v="1326"/>
    <x v="79"/>
    <n v="18.999999996"/>
    <x v="5"/>
    <x v="1"/>
  </r>
  <r>
    <x v="2"/>
    <x v="30"/>
    <x v="788"/>
    <n v="3.85"/>
    <x v="1358"/>
    <n v="9.17"/>
    <n v="0.87"/>
    <n v="10.039999999999999"/>
    <x v="1186"/>
    <x v="1327"/>
    <x v="79"/>
    <n v="23.679999995999999"/>
    <x v="5"/>
    <x v="1"/>
  </r>
  <r>
    <x v="2"/>
    <x v="31"/>
    <x v="606"/>
    <n v="7.4"/>
    <x v="1359"/>
    <n v="7.23"/>
    <n v="0.96"/>
    <n v="8.19"/>
    <x v="448"/>
    <x v="1328"/>
    <x v="79"/>
    <n v="92.000000004"/>
    <x v="2"/>
    <x v="1"/>
  </r>
  <r>
    <x v="2"/>
    <x v="32"/>
    <x v="387"/>
    <n v="3.17"/>
    <x v="1360"/>
    <n v="7"/>
    <n v="1.1100000000000001"/>
    <n v="8.11"/>
    <x v="1409"/>
    <x v="1329"/>
    <x v="79"/>
    <n v="35.880000000000003"/>
    <x v="3"/>
    <x v="1"/>
  </r>
  <r>
    <x v="2"/>
    <x v="33"/>
    <x v="0"/>
    <n v="0"/>
    <x v="0"/>
    <n v="9.1199999999999992"/>
    <n v="0.86"/>
    <n v="9.98"/>
    <x v="1410"/>
    <x v="0"/>
    <x v="79"/>
    <n v="0"/>
    <x v="3"/>
    <x v="1"/>
  </r>
  <r>
    <x v="2"/>
    <x v="35"/>
    <x v="723"/>
    <n v="5.62"/>
    <x v="1361"/>
    <n v="9.14"/>
    <n v="1.03"/>
    <n v="10.17"/>
    <x v="1411"/>
    <x v="1330"/>
    <x v="79"/>
    <n v="122.00000003999999"/>
    <x v="2"/>
    <x v="1"/>
  </r>
  <r>
    <x v="2"/>
    <x v="38"/>
    <x v="90"/>
    <n v="6.2"/>
    <x v="644"/>
    <n v="9.06"/>
    <n v="0.6"/>
    <n v="9.66"/>
    <x v="1412"/>
    <x v="1331"/>
    <x v="79"/>
    <n v="120"/>
    <x v="2"/>
    <x v="1"/>
  </r>
  <r>
    <x v="2"/>
    <x v="39"/>
    <x v="729"/>
    <n v="6.86"/>
    <x v="1362"/>
    <n v="6.15"/>
    <n v="1.87"/>
    <n v="8.02"/>
    <x v="1413"/>
    <x v="1332"/>
    <x v="79"/>
    <n v="134.00000003999997"/>
    <x v="2"/>
    <x v="1"/>
  </r>
  <r>
    <x v="2"/>
    <x v="40"/>
    <x v="789"/>
    <n v="0.24"/>
    <x v="441"/>
    <n v="9.19"/>
    <n v="0.81"/>
    <n v="10"/>
    <x v="823"/>
    <x v="1333"/>
    <x v="79"/>
    <n v="2.0000000039999999"/>
    <x v="3"/>
    <x v="1"/>
  </r>
  <r>
    <x v="2"/>
    <x v="41"/>
    <x v="790"/>
    <n v="1.59"/>
    <x v="1363"/>
    <n v="8.99"/>
    <n v="0.21"/>
    <n v="9.1999999999999993"/>
    <x v="1414"/>
    <x v="1334"/>
    <x v="79"/>
    <n v="45.480000000000004"/>
    <x v="5"/>
    <x v="1"/>
  </r>
  <r>
    <x v="2"/>
    <x v="42"/>
    <x v="791"/>
    <n v="7.34"/>
    <x v="1364"/>
    <n v="8.56"/>
    <n v="0.44"/>
    <n v="9"/>
    <x v="976"/>
    <x v="1335"/>
    <x v="79"/>
    <n v="198.99999996"/>
    <x v="2"/>
    <x v="1"/>
  </r>
  <r>
    <x v="2"/>
    <x v="44"/>
    <x v="45"/>
    <n v="0.94"/>
    <x v="1334"/>
    <n v="6.35"/>
    <n v="1.64"/>
    <n v="7.99"/>
    <x v="1129"/>
    <x v="1336"/>
    <x v="79"/>
    <n v="6"/>
    <x v="3"/>
    <x v="1"/>
  </r>
  <r>
    <x v="2"/>
    <x v="45"/>
    <x v="381"/>
    <n v="0.56999999999999995"/>
    <x v="1365"/>
    <n v="5.8"/>
    <n v="2.0699999999999998"/>
    <n v="7.87"/>
    <x v="25"/>
    <x v="1337"/>
    <x v="79"/>
    <n v="12.999999996"/>
    <x v="4"/>
    <x v="1"/>
  </r>
  <r>
    <x v="2"/>
    <x v="46"/>
    <x v="3"/>
    <n v="3.38"/>
    <x v="1366"/>
    <n v="6.46"/>
    <n v="1.27"/>
    <n v="7.73"/>
    <x v="935"/>
    <x v="1338"/>
    <x v="79"/>
    <n v="18"/>
    <x v="4"/>
    <x v="1"/>
  </r>
  <r>
    <x v="2"/>
    <x v="47"/>
    <x v="792"/>
    <n v="3.21"/>
    <x v="1367"/>
    <n v="7.89"/>
    <n v="0.17"/>
    <n v="8.06"/>
    <x v="440"/>
    <x v="1339"/>
    <x v="79"/>
    <n v="76.479999995999989"/>
    <x v="5"/>
    <x v="1"/>
  </r>
  <r>
    <x v="2"/>
    <x v="48"/>
    <x v="0"/>
    <n v="0"/>
    <x v="0"/>
    <n v="0"/>
    <n v="0"/>
    <n v="0"/>
    <x v="0"/>
    <x v="0"/>
    <x v="79"/>
    <n v="0"/>
    <x v="6"/>
    <x v="0"/>
  </r>
  <r>
    <x v="2"/>
    <x v="50"/>
    <x v="380"/>
    <n v="2.57"/>
    <x v="1368"/>
    <n v="7.15"/>
    <n v="0.59"/>
    <n v="7.74"/>
    <x v="1415"/>
    <x v="1340"/>
    <x v="79"/>
    <n v="38.000000004"/>
    <x v="4"/>
    <x v="1"/>
  </r>
  <r>
    <x v="0"/>
    <x v="0"/>
    <x v="793"/>
    <n v="7.26"/>
    <x v="1369"/>
    <n v="7.19"/>
    <n v="0.83"/>
    <n v="8.02"/>
    <x v="1300"/>
    <x v="1341"/>
    <x v="80"/>
    <n v="51.920000003999995"/>
    <x v="0"/>
    <x v="1"/>
  </r>
  <r>
    <x v="0"/>
    <x v="4"/>
    <x v="0"/>
    <n v="0"/>
    <x v="0"/>
    <n v="10.37"/>
    <n v="0.2"/>
    <n v="10.57"/>
    <x v="1416"/>
    <x v="0"/>
    <x v="80"/>
    <n v="0"/>
    <x v="0"/>
    <x v="1"/>
  </r>
  <r>
    <x v="0"/>
    <x v="6"/>
    <x v="450"/>
    <n v="2"/>
    <x v="1370"/>
    <n v="10.39"/>
    <n v="0.2"/>
    <n v="10.59"/>
    <x v="1416"/>
    <x v="891"/>
    <x v="80"/>
    <n v="42.999999996"/>
    <x v="0"/>
    <x v="1"/>
  </r>
  <r>
    <x v="0"/>
    <x v="7"/>
    <x v="794"/>
    <n v="0.53"/>
    <x v="1371"/>
    <n v="7.16"/>
    <n v="0.89"/>
    <n v="8.0500000000000007"/>
    <x v="233"/>
    <x v="1342"/>
    <x v="80"/>
    <n v="2.4"/>
    <x v="0"/>
    <x v="1"/>
  </r>
  <r>
    <x v="0"/>
    <x v="8"/>
    <x v="731"/>
    <n v="3.09"/>
    <x v="1372"/>
    <n v="10.84"/>
    <n v="0.38"/>
    <n v="11.22"/>
    <x v="1417"/>
    <x v="1343"/>
    <x v="80"/>
    <n v="20.04"/>
    <x v="0"/>
    <x v="1"/>
  </r>
  <r>
    <x v="1"/>
    <x v="9"/>
    <x v="449"/>
    <n v="4.53"/>
    <x v="1373"/>
    <n v="6.66"/>
    <n v="1.46"/>
    <n v="8.1199999999999992"/>
    <x v="1418"/>
    <x v="1344"/>
    <x v="80"/>
    <n v="86.000000004"/>
    <x v="1"/>
    <x v="1"/>
  </r>
  <r>
    <x v="1"/>
    <x v="10"/>
    <x v="55"/>
    <n v="7.72"/>
    <x v="1374"/>
    <n v="4.55"/>
    <n v="3.55"/>
    <n v="8.1"/>
    <x v="1419"/>
    <x v="1345"/>
    <x v="80"/>
    <n v="96"/>
    <x v="1"/>
    <x v="1"/>
  </r>
  <r>
    <x v="1"/>
    <x v="11"/>
    <x v="795"/>
    <n v="0.42"/>
    <x v="1375"/>
    <n v="7.47"/>
    <n v="0.64"/>
    <n v="8.11"/>
    <x v="8"/>
    <x v="1346"/>
    <x v="80"/>
    <n v="7.68"/>
    <x v="1"/>
    <x v="1"/>
  </r>
  <r>
    <x v="1"/>
    <x v="12"/>
    <x v="796"/>
    <n v="7.94"/>
    <x v="1376"/>
    <n v="7.48"/>
    <n v="0.63"/>
    <n v="8.11"/>
    <x v="1420"/>
    <x v="1347"/>
    <x v="80"/>
    <n v="85.2"/>
    <x v="1"/>
    <x v="1"/>
  </r>
  <r>
    <x v="1"/>
    <x v="13"/>
    <x v="563"/>
    <n v="4.59"/>
    <x v="1377"/>
    <n v="7.47"/>
    <n v="0.66"/>
    <n v="8.1300000000000008"/>
    <x v="924"/>
    <x v="1348"/>
    <x v="80"/>
    <n v="102.39999999599999"/>
    <x v="1"/>
    <x v="1"/>
  </r>
  <r>
    <x v="2"/>
    <x v="15"/>
    <x v="258"/>
    <n v="4.8"/>
    <x v="1378"/>
    <n v="9.4499999999999993"/>
    <n v="0.56999999999999995"/>
    <n v="10.02"/>
    <x v="1421"/>
    <x v="1349"/>
    <x v="80"/>
    <n v="33"/>
    <x v="3"/>
    <x v="1"/>
  </r>
  <r>
    <x v="2"/>
    <x v="16"/>
    <x v="0"/>
    <n v="0"/>
    <x v="0"/>
    <n v="0"/>
    <n v="0"/>
    <n v="0"/>
    <x v="0"/>
    <x v="0"/>
    <x v="80"/>
    <n v="0"/>
    <x v="4"/>
    <x v="0"/>
  </r>
  <r>
    <x v="2"/>
    <x v="17"/>
    <x v="11"/>
    <n v="0.93"/>
    <x v="1379"/>
    <n v="6.67"/>
    <n v="2.85"/>
    <n v="9.52"/>
    <x v="1422"/>
    <x v="1350"/>
    <x v="80"/>
    <n v="9"/>
    <x v="3"/>
    <x v="1"/>
  </r>
  <r>
    <x v="2"/>
    <x v="18"/>
    <x v="4"/>
    <n v="0.77"/>
    <x v="1094"/>
    <n v="7.13"/>
    <n v="1.82"/>
    <n v="8.9499999999999993"/>
    <x v="950"/>
    <x v="1037"/>
    <x v="80"/>
    <n v="12"/>
    <x v="3"/>
    <x v="1"/>
  </r>
  <r>
    <x v="2"/>
    <x v="19"/>
    <x v="490"/>
    <n v="9.1199999999999992"/>
    <x v="1380"/>
    <n v="10.220000000000001"/>
    <n v="0.3"/>
    <n v="10.52"/>
    <x v="763"/>
    <x v="1351"/>
    <x v="80"/>
    <n v="207"/>
    <x v="2"/>
    <x v="1"/>
  </r>
  <r>
    <x v="2"/>
    <x v="21"/>
    <x v="797"/>
    <n v="6.47"/>
    <x v="1381"/>
    <n v="7.52"/>
    <n v="0.76"/>
    <n v="8.2799999999999994"/>
    <x v="790"/>
    <x v="1352"/>
    <x v="80"/>
    <n v="103.280000004"/>
    <x v="2"/>
    <x v="1"/>
  </r>
  <r>
    <x v="2"/>
    <x v="22"/>
    <x v="372"/>
    <n v="4.34"/>
    <x v="1382"/>
    <n v="8.75"/>
    <n v="0.84"/>
    <n v="9.59"/>
    <x v="1423"/>
    <x v="1353"/>
    <x v="80"/>
    <n v="35.000000004"/>
    <x v="4"/>
    <x v="1"/>
  </r>
  <r>
    <x v="2"/>
    <x v="24"/>
    <x v="331"/>
    <n v="1.1200000000000001"/>
    <x v="1383"/>
    <n v="9.42"/>
    <n v="0.12"/>
    <n v="9.5399999999999991"/>
    <x v="1189"/>
    <x v="1354"/>
    <x v="80"/>
    <n v="30.999999996000003"/>
    <x v="5"/>
    <x v="1"/>
  </r>
  <r>
    <x v="2"/>
    <x v="25"/>
    <x v="402"/>
    <n v="8.23"/>
    <x v="1384"/>
    <n v="9.58"/>
    <n v="0.36"/>
    <n v="9.94"/>
    <x v="1424"/>
    <x v="1355"/>
    <x v="80"/>
    <n v="81.999999996"/>
    <x v="2"/>
    <x v="1"/>
  </r>
  <r>
    <x v="2"/>
    <x v="26"/>
    <x v="303"/>
    <n v="6.27"/>
    <x v="1385"/>
    <n v="7.08"/>
    <n v="0.95"/>
    <n v="8.0299999999999994"/>
    <x v="1425"/>
    <x v="503"/>
    <x v="80"/>
    <n v="62.000000004"/>
    <x v="3"/>
    <x v="1"/>
  </r>
  <r>
    <x v="2"/>
    <x v="29"/>
    <x v="348"/>
    <n v="3.12"/>
    <x v="1386"/>
    <n v="7.17"/>
    <n v="0.87"/>
    <n v="8.0399999999999991"/>
    <x v="506"/>
    <x v="42"/>
    <x v="80"/>
    <n v="110.000000004"/>
    <x v="5"/>
    <x v="1"/>
  </r>
  <r>
    <x v="2"/>
    <x v="30"/>
    <x v="798"/>
    <n v="7.9"/>
    <x v="1387"/>
    <n v="5.91"/>
    <n v="2.09"/>
    <n v="8"/>
    <x v="1426"/>
    <x v="1356"/>
    <x v="80"/>
    <n v="129.80000004000001"/>
    <x v="5"/>
    <x v="1"/>
  </r>
  <r>
    <x v="2"/>
    <x v="31"/>
    <x v="799"/>
    <n v="6.55"/>
    <x v="1388"/>
    <n v="9.5500000000000007"/>
    <n v="1.0900000000000001"/>
    <n v="10.64"/>
    <x v="1402"/>
    <x v="1357"/>
    <x v="80"/>
    <n v="95.000000004"/>
    <x v="2"/>
    <x v="1"/>
  </r>
  <r>
    <x v="2"/>
    <x v="32"/>
    <x v="596"/>
    <n v="2.8"/>
    <x v="1389"/>
    <n v="6.67"/>
    <n v="2.84"/>
    <n v="9.51"/>
    <x v="1427"/>
    <x v="1358"/>
    <x v="80"/>
    <n v="20.000000004"/>
    <x v="3"/>
    <x v="1"/>
  </r>
  <r>
    <x v="2"/>
    <x v="33"/>
    <x v="800"/>
    <n v="6.02"/>
    <x v="1390"/>
    <n v="7.11"/>
    <n v="0.99"/>
    <n v="8.1"/>
    <x v="331"/>
    <x v="657"/>
    <x v="80"/>
    <n v="38.880000000000003"/>
    <x v="3"/>
    <x v="1"/>
  </r>
  <r>
    <x v="2"/>
    <x v="34"/>
    <x v="801"/>
    <n v="2.38"/>
    <x v="1391"/>
    <n v="7.16"/>
    <n v="0.78"/>
    <n v="7.94"/>
    <x v="1428"/>
    <x v="1359"/>
    <x v="80"/>
    <n v="19.160000004"/>
    <x v="4"/>
    <x v="1"/>
  </r>
  <r>
    <x v="2"/>
    <x v="36"/>
    <x v="802"/>
    <n v="3.65"/>
    <x v="1392"/>
    <n v="7.15"/>
    <n v="0.77"/>
    <n v="7.92"/>
    <x v="1429"/>
    <x v="435"/>
    <x v="80"/>
    <n v="41.840000004000004"/>
    <x v="4"/>
    <x v="1"/>
  </r>
  <r>
    <x v="2"/>
    <x v="37"/>
    <x v="258"/>
    <n v="3.97"/>
    <x v="1393"/>
    <n v="5.13"/>
    <n v="2.76"/>
    <n v="7.89"/>
    <x v="653"/>
    <x v="1360"/>
    <x v="80"/>
    <n v="33"/>
    <x v="4"/>
    <x v="1"/>
  </r>
  <r>
    <x v="2"/>
    <x v="39"/>
    <x v="296"/>
    <n v="4.96"/>
    <x v="1394"/>
    <n v="7.28"/>
    <n v="1.87"/>
    <n v="9.15"/>
    <x v="1430"/>
    <x v="1361"/>
    <x v="80"/>
    <n v="75.999999996"/>
    <x v="2"/>
    <x v="1"/>
  </r>
  <r>
    <x v="2"/>
    <x v="40"/>
    <x v="169"/>
    <n v="4.7300000000000004"/>
    <x v="1395"/>
    <n v="7.11"/>
    <n v="0.98"/>
    <n v="8.09"/>
    <x v="1431"/>
    <x v="1362"/>
    <x v="80"/>
    <n v="20.64"/>
    <x v="3"/>
    <x v="1"/>
  </r>
  <r>
    <x v="2"/>
    <x v="42"/>
    <x v="803"/>
    <n v="7.45"/>
    <x v="1396"/>
    <n v="6.38"/>
    <n v="4.24"/>
    <n v="10.62"/>
    <x v="799"/>
    <x v="1363"/>
    <x v="80"/>
    <n v="288"/>
    <x v="2"/>
    <x v="1"/>
  </r>
  <r>
    <x v="2"/>
    <x v="43"/>
    <x v="186"/>
    <n v="4.22"/>
    <x v="1397"/>
    <n v="7.72"/>
    <n v="0.45"/>
    <n v="8.17"/>
    <x v="1432"/>
    <x v="1364"/>
    <x v="80"/>
    <n v="45"/>
    <x v="3"/>
    <x v="1"/>
  </r>
  <r>
    <x v="2"/>
    <x v="44"/>
    <x v="469"/>
    <n v="7.41"/>
    <x v="1398"/>
    <n v="4.54"/>
    <n v="3.49"/>
    <n v="8.0299999999999994"/>
    <x v="1433"/>
    <x v="1365"/>
    <x v="80"/>
    <n v="56.000000004"/>
    <x v="3"/>
    <x v="1"/>
  </r>
  <r>
    <x v="2"/>
    <x v="48"/>
    <x v="0"/>
    <n v="0"/>
    <x v="0"/>
    <n v="0"/>
    <n v="0"/>
    <n v="0"/>
    <x v="0"/>
    <x v="0"/>
    <x v="80"/>
    <n v="0"/>
    <x v="6"/>
    <x v="0"/>
  </r>
  <r>
    <x v="2"/>
    <x v="49"/>
    <x v="0"/>
    <n v="0"/>
    <x v="0"/>
    <n v="0"/>
    <n v="0"/>
    <n v="0"/>
    <x v="0"/>
    <x v="0"/>
    <x v="80"/>
    <n v="0"/>
    <x v="3"/>
    <x v="0"/>
  </r>
  <r>
    <x v="0"/>
    <x v="0"/>
    <x v="165"/>
    <n v="6.86"/>
    <x v="1399"/>
    <n v="3.75"/>
    <n v="4.3"/>
    <n v="8.0500000000000007"/>
    <x v="1434"/>
    <x v="1366"/>
    <x v="81"/>
    <n v="37.92"/>
    <x v="0"/>
    <x v="1"/>
  </r>
  <r>
    <x v="0"/>
    <x v="4"/>
    <x v="0"/>
    <n v="0"/>
    <x v="0"/>
    <n v="6.72"/>
    <n v="1.29"/>
    <n v="8.01"/>
    <x v="1435"/>
    <x v="0"/>
    <x v="81"/>
    <n v="0"/>
    <x v="0"/>
    <x v="1"/>
  </r>
  <r>
    <x v="0"/>
    <x v="6"/>
    <x v="804"/>
    <n v="3.92"/>
    <x v="1400"/>
    <n v="6.69"/>
    <n v="1.32"/>
    <n v="8.01"/>
    <x v="936"/>
    <x v="1367"/>
    <x v="81"/>
    <n v="18.720000000000002"/>
    <x v="0"/>
    <x v="1"/>
  </r>
  <r>
    <x v="1"/>
    <x v="9"/>
    <x v="566"/>
    <n v="3.49"/>
    <x v="1401"/>
    <n v="3.75"/>
    <n v="4.29"/>
    <n v="8.0399999999999991"/>
    <x v="1436"/>
    <x v="1368"/>
    <x v="81"/>
    <n v="159.99999996000003"/>
    <x v="1"/>
    <x v="1"/>
  </r>
  <r>
    <x v="1"/>
    <x v="12"/>
    <x v="805"/>
    <n v="3.36"/>
    <x v="1402"/>
    <n v="7.35"/>
    <n v="0.68"/>
    <n v="8.0299999999999994"/>
    <x v="131"/>
    <x v="1369"/>
    <x v="81"/>
    <n v="39.039999995999999"/>
    <x v="1"/>
    <x v="1"/>
  </r>
  <r>
    <x v="2"/>
    <x v="17"/>
    <x v="80"/>
    <n v="2.2200000000000002"/>
    <x v="1403"/>
    <n v="8.1300000000000008"/>
    <n v="1.96"/>
    <n v="10.09"/>
    <x v="1437"/>
    <x v="1370"/>
    <x v="81"/>
    <n v="11.16"/>
    <x v="3"/>
    <x v="1"/>
  </r>
  <r>
    <x v="2"/>
    <x v="19"/>
    <x v="662"/>
    <n v="6.6"/>
    <x v="1404"/>
    <n v="7.28"/>
    <n v="0.72"/>
    <n v="8"/>
    <x v="1438"/>
    <x v="1371"/>
    <x v="81"/>
    <n v="155.00000003999997"/>
    <x v="2"/>
    <x v="1"/>
  </r>
  <r>
    <x v="2"/>
    <x v="39"/>
    <x v="601"/>
    <n v="6.82"/>
    <x v="1405"/>
    <n v="7.32"/>
    <n v="0.67"/>
    <n v="7.99"/>
    <x v="1439"/>
    <x v="1372"/>
    <x v="81"/>
    <n v="128.00000003999997"/>
    <x v="2"/>
    <x v="1"/>
  </r>
  <r>
    <x v="2"/>
    <x v="41"/>
    <x v="328"/>
    <n v="2.4500000000000002"/>
    <x v="1406"/>
    <n v="5.57"/>
    <n v="2.58"/>
    <n v="8.15"/>
    <x v="1440"/>
    <x v="1373"/>
    <x v="81"/>
    <n v="57.999999996"/>
    <x v="5"/>
    <x v="1"/>
  </r>
  <r>
    <x v="2"/>
    <x v="42"/>
    <x v="806"/>
    <n v="7.34"/>
    <x v="1407"/>
    <n v="7.39"/>
    <n v="0.52"/>
    <n v="7.91"/>
    <x v="1406"/>
    <x v="1374"/>
    <x v="81"/>
    <n v="174"/>
    <x v="2"/>
    <x v="1"/>
  </r>
  <r>
    <x v="2"/>
    <x v="48"/>
    <x v="0"/>
    <n v="0"/>
    <x v="0"/>
    <n v="0"/>
    <n v="0"/>
    <n v="0"/>
    <x v="0"/>
    <x v="0"/>
    <x v="81"/>
    <n v="0"/>
    <x v="6"/>
    <x v="0"/>
  </r>
  <r>
    <x v="2"/>
    <x v="49"/>
    <x v="301"/>
    <n v="4.4400000000000004"/>
    <x v="1408"/>
    <n v="6.53"/>
    <n v="1.56"/>
    <n v="8.09"/>
    <x v="81"/>
    <x v="1375"/>
    <x v="81"/>
    <n v="29.000000003999997"/>
    <x v="3"/>
    <x v="1"/>
  </r>
  <r>
    <x v="0"/>
    <x v="1"/>
    <x v="0"/>
    <n v="0"/>
    <x v="0"/>
    <n v="0"/>
    <n v="0"/>
    <n v="0"/>
    <x v="0"/>
    <x v="0"/>
    <x v="82"/>
    <n v="0"/>
    <x v="0"/>
    <x v="0"/>
  </r>
  <r>
    <x v="0"/>
    <x v="2"/>
    <x v="0"/>
    <n v="0"/>
    <x v="0"/>
    <n v="0"/>
    <n v="0"/>
    <n v="0"/>
    <x v="0"/>
    <x v="0"/>
    <x v="82"/>
    <n v="0"/>
    <x v="0"/>
    <x v="0"/>
  </r>
  <r>
    <x v="0"/>
    <x v="3"/>
    <x v="0"/>
    <n v="0"/>
    <x v="0"/>
    <n v="0"/>
    <n v="0"/>
    <n v="0"/>
    <x v="0"/>
    <x v="0"/>
    <x v="82"/>
    <n v="0"/>
    <x v="0"/>
    <x v="0"/>
  </r>
  <r>
    <x v="0"/>
    <x v="4"/>
    <x v="807"/>
    <n v="4.7"/>
    <x v="1409"/>
    <n v="5.58"/>
    <n v="2.36"/>
    <n v="7.94"/>
    <x v="1441"/>
    <x v="1376"/>
    <x v="82"/>
    <n v="25.44"/>
    <x v="0"/>
    <x v="1"/>
  </r>
  <r>
    <x v="0"/>
    <x v="5"/>
    <x v="0"/>
    <n v="0"/>
    <x v="0"/>
    <n v="5.56"/>
    <n v="2.38"/>
    <n v="7.94"/>
    <x v="1442"/>
    <x v="0"/>
    <x v="82"/>
    <n v="0"/>
    <x v="0"/>
    <x v="1"/>
  </r>
  <r>
    <x v="0"/>
    <x v="6"/>
    <x v="297"/>
    <n v="4.92"/>
    <x v="1410"/>
    <n v="5.58"/>
    <n v="2.36"/>
    <n v="7.94"/>
    <x v="1441"/>
    <x v="1377"/>
    <x v="82"/>
    <n v="27.560000004000006"/>
    <x v="0"/>
    <x v="1"/>
  </r>
  <r>
    <x v="0"/>
    <x v="7"/>
    <x v="0"/>
    <n v="0"/>
    <x v="0"/>
    <n v="0"/>
    <n v="0"/>
    <n v="0"/>
    <x v="0"/>
    <x v="0"/>
    <x v="82"/>
    <n v="0"/>
    <x v="0"/>
    <x v="0"/>
  </r>
  <r>
    <x v="1"/>
    <x v="11"/>
    <x v="0"/>
    <n v="0"/>
    <x v="0"/>
    <n v="0"/>
    <n v="0"/>
    <n v="0"/>
    <x v="0"/>
    <x v="0"/>
    <x v="82"/>
    <n v="0"/>
    <x v="1"/>
    <x v="0"/>
  </r>
  <r>
    <x v="1"/>
    <x v="12"/>
    <x v="0"/>
    <n v="0"/>
    <x v="0"/>
    <n v="0"/>
    <n v="0"/>
    <n v="0"/>
    <x v="0"/>
    <x v="0"/>
    <x v="82"/>
    <n v="0"/>
    <x v="1"/>
    <x v="0"/>
  </r>
  <r>
    <x v="1"/>
    <x v="13"/>
    <x v="0"/>
    <n v="0"/>
    <x v="0"/>
    <n v="0"/>
    <n v="0"/>
    <n v="0"/>
    <x v="0"/>
    <x v="0"/>
    <x v="82"/>
    <n v="0"/>
    <x v="1"/>
    <x v="0"/>
  </r>
  <r>
    <x v="2"/>
    <x v="14"/>
    <x v="808"/>
    <n v="6.37"/>
    <x v="1411"/>
    <n v="5.77"/>
    <n v="2.23"/>
    <n v="8"/>
    <x v="851"/>
    <x v="1378"/>
    <x v="82"/>
    <n v="85.320000000000007"/>
    <x v="2"/>
    <x v="1"/>
  </r>
  <r>
    <x v="2"/>
    <x v="15"/>
    <x v="809"/>
    <n v="1.65"/>
    <x v="1412"/>
    <n v="5.95"/>
    <n v="2.02"/>
    <n v="7.97"/>
    <x v="1443"/>
    <x v="1379"/>
    <x v="82"/>
    <n v="11.4"/>
    <x v="3"/>
    <x v="1"/>
  </r>
  <r>
    <x v="2"/>
    <x v="16"/>
    <x v="244"/>
    <n v="5.31"/>
    <x v="1413"/>
    <n v="5.45"/>
    <n v="2.5099999999999998"/>
    <n v="7.96"/>
    <x v="1444"/>
    <x v="1380"/>
    <x v="82"/>
    <n v="87"/>
    <x v="4"/>
    <x v="1"/>
  </r>
  <r>
    <x v="2"/>
    <x v="17"/>
    <x v="0"/>
    <n v="0"/>
    <x v="0"/>
    <n v="6.08"/>
    <n v="1.89"/>
    <n v="7.97"/>
    <x v="1445"/>
    <x v="0"/>
    <x v="82"/>
    <n v="0"/>
    <x v="3"/>
    <x v="1"/>
  </r>
  <r>
    <x v="2"/>
    <x v="18"/>
    <x v="0"/>
    <n v="0"/>
    <x v="0"/>
    <n v="0"/>
    <n v="0"/>
    <n v="0"/>
    <x v="0"/>
    <x v="0"/>
    <x v="82"/>
    <n v="0"/>
    <x v="3"/>
    <x v="0"/>
  </r>
  <r>
    <x v="2"/>
    <x v="20"/>
    <x v="54"/>
    <n v="2.13"/>
    <x v="1414"/>
    <n v="5.86"/>
    <n v="2.15"/>
    <n v="8.01"/>
    <x v="1446"/>
    <x v="1381"/>
    <x v="82"/>
    <n v="66"/>
    <x v="5"/>
    <x v="1"/>
  </r>
  <r>
    <x v="2"/>
    <x v="21"/>
    <x v="810"/>
    <n v="6.43"/>
    <x v="1415"/>
    <n v="6.15"/>
    <n v="1.89"/>
    <n v="8.0399999999999991"/>
    <x v="1447"/>
    <x v="1382"/>
    <x v="82"/>
    <n v="87.72"/>
    <x v="2"/>
    <x v="1"/>
  </r>
  <r>
    <x v="2"/>
    <x v="22"/>
    <x v="0"/>
    <n v="0"/>
    <x v="0"/>
    <n v="0"/>
    <n v="0"/>
    <n v="0"/>
    <x v="0"/>
    <x v="0"/>
    <x v="82"/>
    <n v="0"/>
    <x v="4"/>
    <x v="0"/>
  </r>
  <r>
    <x v="2"/>
    <x v="23"/>
    <x v="573"/>
    <n v="3.47"/>
    <x v="1416"/>
    <n v="4.92"/>
    <n v="3.03"/>
    <n v="7.95"/>
    <x v="1448"/>
    <x v="1383"/>
    <x v="82"/>
    <n v="48.080000004000006"/>
    <x v="3"/>
    <x v="1"/>
  </r>
  <r>
    <x v="2"/>
    <x v="25"/>
    <x v="0"/>
    <n v="0"/>
    <x v="0"/>
    <n v="0"/>
    <n v="0"/>
    <n v="0"/>
    <x v="0"/>
    <x v="0"/>
    <x v="82"/>
    <n v="0"/>
    <x v="2"/>
    <x v="0"/>
  </r>
  <r>
    <x v="2"/>
    <x v="26"/>
    <x v="0"/>
    <n v="0"/>
    <x v="0"/>
    <n v="0"/>
    <n v="0"/>
    <n v="0"/>
    <x v="0"/>
    <x v="0"/>
    <x v="82"/>
    <n v="0"/>
    <x v="3"/>
    <x v="0"/>
  </r>
  <r>
    <x v="2"/>
    <x v="30"/>
    <x v="0"/>
    <n v="0"/>
    <x v="0"/>
    <n v="0"/>
    <n v="0"/>
    <n v="0"/>
    <x v="0"/>
    <x v="0"/>
    <x v="82"/>
    <n v="0"/>
    <x v="5"/>
    <x v="0"/>
  </r>
  <r>
    <x v="2"/>
    <x v="32"/>
    <x v="0"/>
    <n v="0"/>
    <x v="0"/>
    <n v="6.06"/>
    <n v="1.92"/>
    <n v="7.98"/>
    <x v="1449"/>
    <x v="0"/>
    <x v="82"/>
    <n v="0"/>
    <x v="3"/>
    <x v="1"/>
  </r>
  <r>
    <x v="2"/>
    <x v="33"/>
    <x v="405"/>
    <n v="5.2"/>
    <x v="1417"/>
    <n v="5.2"/>
    <n v="2.77"/>
    <n v="7.97"/>
    <x v="1450"/>
    <x v="1384"/>
    <x v="82"/>
    <n v="102.999999996"/>
    <x v="3"/>
    <x v="1"/>
  </r>
  <r>
    <x v="2"/>
    <x v="34"/>
    <x v="811"/>
    <n v="3.86"/>
    <x v="1418"/>
    <n v="5.62"/>
    <n v="2.31"/>
    <n v="7.93"/>
    <x v="888"/>
    <x v="1385"/>
    <x v="82"/>
    <n v="24.560000004000003"/>
    <x v="4"/>
    <x v="1"/>
  </r>
  <r>
    <x v="2"/>
    <x v="35"/>
    <x v="812"/>
    <n v="6.61"/>
    <x v="1419"/>
    <n v="6.01"/>
    <n v="1.97"/>
    <n v="7.98"/>
    <x v="1451"/>
    <x v="1386"/>
    <x v="82"/>
    <n v="94.56"/>
    <x v="2"/>
    <x v="1"/>
  </r>
  <r>
    <x v="2"/>
    <x v="36"/>
    <x v="3"/>
    <n v="0.68"/>
    <x v="1420"/>
    <n v="7.07"/>
    <n v="0.89"/>
    <n v="7.96"/>
    <x v="328"/>
    <x v="1387"/>
    <x v="82"/>
    <n v="18"/>
    <x v="4"/>
    <x v="1"/>
  </r>
  <r>
    <x v="2"/>
    <x v="37"/>
    <x v="813"/>
    <n v="3.68"/>
    <x v="1421"/>
    <n v="6.32"/>
    <n v="1.65"/>
    <n v="7.97"/>
    <x v="1452"/>
    <x v="1388"/>
    <x v="82"/>
    <n v="63.6"/>
    <x v="4"/>
    <x v="1"/>
  </r>
  <r>
    <x v="2"/>
    <x v="38"/>
    <x v="814"/>
    <n v="6.8"/>
    <x v="1422"/>
    <n v="6.06"/>
    <n v="1.89"/>
    <n v="7.95"/>
    <x v="1453"/>
    <x v="1389"/>
    <x v="82"/>
    <n v="110.28"/>
    <x v="2"/>
    <x v="1"/>
  </r>
  <r>
    <x v="2"/>
    <x v="39"/>
    <x v="0"/>
    <n v="0"/>
    <x v="0"/>
    <n v="0"/>
    <n v="0"/>
    <n v="0"/>
    <x v="0"/>
    <x v="0"/>
    <x v="82"/>
    <n v="0"/>
    <x v="2"/>
    <x v="0"/>
  </r>
  <r>
    <x v="2"/>
    <x v="40"/>
    <x v="0"/>
    <n v="0"/>
    <x v="0"/>
    <n v="0"/>
    <n v="0"/>
    <n v="0"/>
    <x v="0"/>
    <x v="0"/>
    <x v="82"/>
    <n v="0"/>
    <x v="3"/>
    <x v="0"/>
  </r>
  <r>
    <x v="2"/>
    <x v="41"/>
    <x v="815"/>
    <n v="2.14"/>
    <x v="1423"/>
    <n v="6.05"/>
    <n v="1.92"/>
    <n v="7.97"/>
    <x v="1454"/>
    <x v="1390"/>
    <x v="82"/>
    <n v="20.360000004"/>
    <x v="5"/>
    <x v="1"/>
  </r>
  <r>
    <x v="2"/>
    <x v="44"/>
    <x v="0"/>
    <n v="0"/>
    <x v="0"/>
    <n v="0"/>
    <n v="0"/>
    <n v="0"/>
    <x v="0"/>
    <x v="0"/>
    <x v="82"/>
    <n v="0"/>
    <x v="3"/>
    <x v="0"/>
  </r>
  <r>
    <x v="2"/>
    <x v="45"/>
    <x v="816"/>
    <n v="3.21"/>
    <x v="1424"/>
    <n v="3.74"/>
    <n v="4.2300000000000004"/>
    <n v="7.97"/>
    <x v="1455"/>
    <x v="1391"/>
    <x v="82"/>
    <n v="63.159999995999996"/>
    <x v="4"/>
    <x v="1"/>
  </r>
  <r>
    <x v="2"/>
    <x v="46"/>
    <x v="0"/>
    <n v="0"/>
    <x v="0"/>
    <n v="0"/>
    <n v="0"/>
    <n v="0"/>
    <x v="0"/>
    <x v="0"/>
    <x v="82"/>
    <n v="0"/>
    <x v="4"/>
    <x v="0"/>
  </r>
  <r>
    <x v="2"/>
    <x v="48"/>
    <x v="0"/>
    <n v="0"/>
    <x v="0"/>
    <n v="0"/>
    <n v="0"/>
    <n v="0"/>
    <x v="0"/>
    <x v="0"/>
    <x v="82"/>
    <n v="0"/>
    <x v="6"/>
    <x v="0"/>
  </r>
  <r>
    <x v="2"/>
    <x v="49"/>
    <x v="0"/>
    <n v="0"/>
    <x v="0"/>
    <n v="0"/>
    <n v="0"/>
    <n v="0"/>
    <x v="0"/>
    <x v="0"/>
    <x v="82"/>
    <n v="0"/>
    <x v="3"/>
    <x v="0"/>
  </r>
  <r>
    <x v="0"/>
    <x v="0"/>
    <x v="0"/>
    <n v="0"/>
    <x v="0"/>
    <n v="0"/>
    <n v="0"/>
    <n v="0"/>
    <x v="0"/>
    <x v="0"/>
    <x v="83"/>
    <n v="0"/>
    <x v="0"/>
    <x v="0"/>
  </r>
  <r>
    <x v="0"/>
    <x v="1"/>
    <x v="0"/>
    <n v="0"/>
    <x v="0"/>
    <n v="0"/>
    <n v="0"/>
    <n v="0"/>
    <x v="0"/>
    <x v="0"/>
    <x v="83"/>
    <n v="0"/>
    <x v="0"/>
    <x v="0"/>
  </r>
  <r>
    <x v="0"/>
    <x v="2"/>
    <x v="0"/>
    <n v="0"/>
    <x v="0"/>
    <n v="0"/>
    <n v="0"/>
    <n v="0"/>
    <x v="0"/>
    <x v="0"/>
    <x v="83"/>
    <n v="0"/>
    <x v="0"/>
    <x v="0"/>
  </r>
  <r>
    <x v="0"/>
    <x v="3"/>
    <x v="0"/>
    <n v="0"/>
    <x v="0"/>
    <n v="0"/>
    <n v="0"/>
    <n v="0"/>
    <x v="0"/>
    <x v="0"/>
    <x v="83"/>
    <n v="0"/>
    <x v="0"/>
    <x v="0"/>
  </r>
  <r>
    <x v="0"/>
    <x v="4"/>
    <x v="0"/>
    <n v="0"/>
    <x v="0"/>
    <n v="0"/>
    <n v="0"/>
    <n v="0"/>
    <x v="0"/>
    <x v="0"/>
    <x v="83"/>
    <n v="0"/>
    <x v="0"/>
    <x v="0"/>
  </r>
  <r>
    <x v="0"/>
    <x v="5"/>
    <x v="0"/>
    <n v="0"/>
    <x v="0"/>
    <n v="0"/>
    <n v="0"/>
    <n v="0"/>
    <x v="0"/>
    <x v="0"/>
    <x v="83"/>
    <n v="0"/>
    <x v="0"/>
    <x v="0"/>
  </r>
  <r>
    <x v="0"/>
    <x v="6"/>
    <x v="0"/>
    <n v="0"/>
    <x v="0"/>
    <n v="0"/>
    <n v="0"/>
    <n v="0"/>
    <x v="0"/>
    <x v="0"/>
    <x v="83"/>
    <n v="0"/>
    <x v="0"/>
    <x v="0"/>
  </r>
  <r>
    <x v="0"/>
    <x v="7"/>
    <x v="0"/>
    <n v="0"/>
    <x v="0"/>
    <n v="0"/>
    <n v="0"/>
    <n v="0"/>
    <x v="0"/>
    <x v="0"/>
    <x v="83"/>
    <n v="0"/>
    <x v="0"/>
    <x v="0"/>
  </r>
  <r>
    <x v="0"/>
    <x v="8"/>
    <x v="0"/>
    <n v="0"/>
    <x v="0"/>
    <n v="0"/>
    <n v="0"/>
    <n v="0"/>
    <x v="0"/>
    <x v="0"/>
    <x v="83"/>
    <n v="0"/>
    <x v="0"/>
    <x v="0"/>
  </r>
  <r>
    <x v="1"/>
    <x v="9"/>
    <x v="0"/>
    <n v="0"/>
    <x v="0"/>
    <n v="0"/>
    <n v="0"/>
    <n v="0"/>
    <x v="0"/>
    <x v="0"/>
    <x v="83"/>
    <n v="0"/>
    <x v="1"/>
    <x v="0"/>
  </r>
  <r>
    <x v="1"/>
    <x v="10"/>
    <x v="0"/>
    <n v="0"/>
    <x v="0"/>
    <n v="0"/>
    <n v="0"/>
    <n v="0"/>
    <x v="0"/>
    <x v="0"/>
    <x v="83"/>
    <n v="0"/>
    <x v="1"/>
    <x v="0"/>
  </r>
  <r>
    <x v="1"/>
    <x v="11"/>
    <x v="0"/>
    <n v="0"/>
    <x v="0"/>
    <n v="0"/>
    <n v="0"/>
    <n v="0"/>
    <x v="0"/>
    <x v="0"/>
    <x v="83"/>
    <n v="0"/>
    <x v="1"/>
    <x v="0"/>
  </r>
  <r>
    <x v="1"/>
    <x v="12"/>
    <x v="0"/>
    <n v="0"/>
    <x v="0"/>
    <n v="0"/>
    <n v="0"/>
    <n v="0"/>
    <x v="0"/>
    <x v="0"/>
    <x v="83"/>
    <n v="0"/>
    <x v="1"/>
    <x v="0"/>
  </r>
  <r>
    <x v="1"/>
    <x v="13"/>
    <x v="0"/>
    <n v="0"/>
    <x v="0"/>
    <n v="0"/>
    <n v="0"/>
    <n v="0"/>
    <x v="0"/>
    <x v="0"/>
    <x v="83"/>
    <n v="0"/>
    <x v="1"/>
    <x v="0"/>
  </r>
  <r>
    <x v="2"/>
    <x v="14"/>
    <x v="0"/>
    <n v="0"/>
    <x v="0"/>
    <n v="0"/>
    <n v="0"/>
    <n v="0"/>
    <x v="0"/>
    <x v="0"/>
    <x v="83"/>
    <n v="0"/>
    <x v="2"/>
    <x v="0"/>
  </r>
  <r>
    <x v="2"/>
    <x v="15"/>
    <x v="0"/>
    <n v="0"/>
    <x v="0"/>
    <n v="0"/>
    <n v="0"/>
    <n v="0"/>
    <x v="0"/>
    <x v="0"/>
    <x v="83"/>
    <n v="0"/>
    <x v="3"/>
    <x v="0"/>
  </r>
  <r>
    <x v="2"/>
    <x v="16"/>
    <x v="0"/>
    <n v="0"/>
    <x v="0"/>
    <n v="0"/>
    <n v="0"/>
    <n v="0"/>
    <x v="0"/>
    <x v="0"/>
    <x v="83"/>
    <n v="0"/>
    <x v="4"/>
    <x v="0"/>
  </r>
  <r>
    <x v="2"/>
    <x v="17"/>
    <x v="0"/>
    <n v="0"/>
    <x v="0"/>
    <n v="0"/>
    <n v="0"/>
    <n v="0"/>
    <x v="0"/>
    <x v="0"/>
    <x v="83"/>
    <n v="0"/>
    <x v="3"/>
    <x v="0"/>
  </r>
  <r>
    <x v="2"/>
    <x v="18"/>
    <x v="0"/>
    <n v="0"/>
    <x v="0"/>
    <n v="0"/>
    <n v="0"/>
    <n v="0"/>
    <x v="0"/>
    <x v="0"/>
    <x v="83"/>
    <n v="0"/>
    <x v="3"/>
    <x v="0"/>
  </r>
  <r>
    <x v="2"/>
    <x v="19"/>
    <x v="0"/>
    <n v="0"/>
    <x v="0"/>
    <n v="0"/>
    <n v="0"/>
    <n v="0"/>
    <x v="0"/>
    <x v="0"/>
    <x v="83"/>
    <n v="0"/>
    <x v="2"/>
    <x v="0"/>
  </r>
  <r>
    <x v="2"/>
    <x v="20"/>
    <x v="0"/>
    <n v="0"/>
    <x v="0"/>
    <n v="0"/>
    <n v="0"/>
    <n v="0"/>
    <x v="0"/>
    <x v="0"/>
    <x v="83"/>
    <n v="0"/>
    <x v="5"/>
    <x v="0"/>
  </r>
  <r>
    <x v="2"/>
    <x v="21"/>
    <x v="0"/>
    <n v="0"/>
    <x v="0"/>
    <n v="0"/>
    <n v="0"/>
    <n v="0"/>
    <x v="0"/>
    <x v="0"/>
    <x v="83"/>
    <n v="0"/>
    <x v="2"/>
    <x v="0"/>
  </r>
  <r>
    <x v="2"/>
    <x v="22"/>
    <x v="0"/>
    <n v="0"/>
    <x v="0"/>
    <n v="0"/>
    <n v="0"/>
    <n v="0"/>
    <x v="0"/>
    <x v="0"/>
    <x v="83"/>
    <n v="0"/>
    <x v="4"/>
    <x v="0"/>
  </r>
  <r>
    <x v="2"/>
    <x v="23"/>
    <x v="0"/>
    <n v="0"/>
    <x v="0"/>
    <n v="0"/>
    <n v="0"/>
    <n v="0"/>
    <x v="0"/>
    <x v="0"/>
    <x v="83"/>
    <n v="0"/>
    <x v="3"/>
    <x v="0"/>
  </r>
  <r>
    <x v="2"/>
    <x v="24"/>
    <x v="0"/>
    <n v="0"/>
    <x v="0"/>
    <n v="0"/>
    <n v="0"/>
    <n v="0"/>
    <x v="0"/>
    <x v="0"/>
    <x v="83"/>
    <n v="0"/>
    <x v="5"/>
    <x v="0"/>
  </r>
  <r>
    <x v="2"/>
    <x v="25"/>
    <x v="0"/>
    <n v="0"/>
    <x v="0"/>
    <n v="0"/>
    <n v="0"/>
    <n v="0"/>
    <x v="0"/>
    <x v="0"/>
    <x v="83"/>
    <n v="0"/>
    <x v="2"/>
    <x v="0"/>
  </r>
  <r>
    <x v="2"/>
    <x v="26"/>
    <x v="0"/>
    <n v="0"/>
    <x v="0"/>
    <n v="0"/>
    <n v="0"/>
    <n v="0"/>
    <x v="0"/>
    <x v="0"/>
    <x v="83"/>
    <n v="0"/>
    <x v="3"/>
    <x v="0"/>
  </r>
  <r>
    <x v="2"/>
    <x v="27"/>
    <x v="0"/>
    <n v="0"/>
    <x v="0"/>
    <n v="0"/>
    <n v="0"/>
    <n v="0"/>
    <x v="0"/>
    <x v="0"/>
    <x v="83"/>
    <n v="0"/>
    <x v="5"/>
    <x v="0"/>
  </r>
  <r>
    <x v="2"/>
    <x v="29"/>
    <x v="0"/>
    <n v="0"/>
    <x v="0"/>
    <n v="0"/>
    <n v="0"/>
    <n v="0"/>
    <x v="0"/>
    <x v="0"/>
    <x v="83"/>
    <n v="0"/>
    <x v="5"/>
    <x v="0"/>
  </r>
  <r>
    <x v="2"/>
    <x v="30"/>
    <x v="0"/>
    <n v="0"/>
    <x v="0"/>
    <n v="0"/>
    <n v="0"/>
    <n v="0"/>
    <x v="0"/>
    <x v="0"/>
    <x v="83"/>
    <n v="0"/>
    <x v="5"/>
    <x v="0"/>
  </r>
  <r>
    <x v="2"/>
    <x v="31"/>
    <x v="0"/>
    <n v="0"/>
    <x v="0"/>
    <n v="0"/>
    <n v="0"/>
    <n v="0"/>
    <x v="0"/>
    <x v="0"/>
    <x v="83"/>
    <n v="0"/>
    <x v="2"/>
    <x v="0"/>
  </r>
  <r>
    <x v="2"/>
    <x v="32"/>
    <x v="0"/>
    <n v="0"/>
    <x v="0"/>
    <n v="0"/>
    <n v="0"/>
    <n v="0"/>
    <x v="0"/>
    <x v="0"/>
    <x v="83"/>
    <n v="0"/>
    <x v="3"/>
    <x v="0"/>
  </r>
  <r>
    <x v="2"/>
    <x v="33"/>
    <x v="0"/>
    <n v="0"/>
    <x v="0"/>
    <n v="0"/>
    <n v="0"/>
    <n v="0"/>
    <x v="0"/>
    <x v="0"/>
    <x v="83"/>
    <n v="0"/>
    <x v="3"/>
    <x v="0"/>
  </r>
  <r>
    <x v="2"/>
    <x v="34"/>
    <x v="0"/>
    <n v="0"/>
    <x v="0"/>
    <n v="0"/>
    <n v="0"/>
    <n v="0"/>
    <x v="0"/>
    <x v="0"/>
    <x v="83"/>
    <n v="0"/>
    <x v="4"/>
    <x v="0"/>
  </r>
  <r>
    <x v="2"/>
    <x v="35"/>
    <x v="0"/>
    <n v="0"/>
    <x v="0"/>
    <n v="0"/>
    <n v="0"/>
    <n v="0"/>
    <x v="0"/>
    <x v="0"/>
    <x v="83"/>
    <n v="0"/>
    <x v="2"/>
    <x v="0"/>
  </r>
  <r>
    <x v="2"/>
    <x v="36"/>
    <x v="0"/>
    <n v="0"/>
    <x v="0"/>
    <n v="0"/>
    <n v="0"/>
    <n v="0"/>
    <x v="0"/>
    <x v="0"/>
    <x v="83"/>
    <n v="0"/>
    <x v="4"/>
    <x v="0"/>
  </r>
  <r>
    <x v="2"/>
    <x v="37"/>
    <x v="0"/>
    <n v="0"/>
    <x v="0"/>
    <n v="0"/>
    <n v="0"/>
    <n v="0"/>
    <x v="0"/>
    <x v="0"/>
    <x v="83"/>
    <n v="0"/>
    <x v="4"/>
    <x v="0"/>
  </r>
  <r>
    <x v="2"/>
    <x v="38"/>
    <x v="0"/>
    <n v="0"/>
    <x v="0"/>
    <n v="0"/>
    <n v="0"/>
    <n v="0"/>
    <x v="0"/>
    <x v="0"/>
    <x v="83"/>
    <n v="0"/>
    <x v="2"/>
    <x v="0"/>
  </r>
  <r>
    <x v="2"/>
    <x v="39"/>
    <x v="0"/>
    <n v="0"/>
    <x v="0"/>
    <n v="0"/>
    <n v="0"/>
    <n v="0"/>
    <x v="0"/>
    <x v="0"/>
    <x v="83"/>
    <n v="0"/>
    <x v="2"/>
    <x v="0"/>
  </r>
  <r>
    <x v="2"/>
    <x v="40"/>
    <x v="0"/>
    <n v="0"/>
    <x v="0"/>
    <n v="0"/>
    <n v="0"/>
    <n v="0"/>
    <x v="0"/>
    <x v="0"/>
    <x v="83"/>
    <n v="0"/>
    <x v="3"/>
    <x v="0"/>
  </r>
  <r>
    <x v="2"/>
    <x v="41"/>
    <x v="0"/>
    <n v="0"/>
    <x v="0"/>
    <n v="0"/>
    <n v="0"/>
    <n v="0"/>
    <x v="0"/>
    <x v="0"/>
    <x v="83"/>
    <n v="0"/>
    <x v="5"/>
    <x v="0"/>
  </r>
  <r>
    <x v="2"/>
    <x v="42"/>
    <x v="0"/>
    <n v="0"/>
    <x v="0"/>
    <n v="0"/>
    <n v="0"/>
    <n v="0"/>
    <x v="0"/>
    <x v="0"/>
    <x v="83"/>
    <n v="0"/>
    <x v="2"/>
    <x v="0"/>
  </r>
  <r>
    <x v="2"/>
    <x v="43"/>
    <x v="0"/>
    <n v="0"/>
    <x v="0"/>
    <n v="0"/>
    <n v="0"/>
    <n v="0"/>
    <x v="0"/>
    <x v="0"/>
    <x v="83"/>
    <n v="0"/>
    <x v="3"/>
    <x v="0"/>
  </r>
  <r>
    <x v="2"/>
    <x v="44"/>
    <x v="0"/>
    <n v="0"/>
    <x v="0"/>
    <n v="0"/>
    <n v="0"/>
    <n v="0"/>
    <x v="0"/>
    <x v="0"/>
    <x v="83"/>
    <n v="0"/>
    <x v="3"/>
    <x v="0"/>
  </r>
  <r>
    <x v="2"/>
    <x v="45"/>
    <x v="0"/>
    <n v="0"/>
    <x v="0"/>
    <n v="0"/>
    <n v="0"/>
    <n v="0"/>
    <x v="0"/>
    <x v="0"/>
    <x v="83"/>
    <n v="0"/>
    <x v="4"/>
    <x v="0"/>
  </r>
  <r>
    <x v="2"/>
    <x v="46"/>
    <x v="0"/>
    <n v="0"/>
    <x v="0"/>
    <n v="0"/>
    <n v="0"/>
    <n v="0"/>
    <x v="0"/>
    <x v="0"/>
    <x v="83"/>
    <n v="0"/>
    <x v="4"/>
    <x v="0"/>
  </r>
  <r>
    <x v="2"/>
    <x v="47"/>
    <x v="0"/>
    <n v="0"/>
    <x v="0"/>
    <n v="0"/>
    <n v="0"/>
    <n v="0"/>
    <x v="0"/>
    <x v="0"/>
    <x v="83"/>
    <n v="0"/>
    <x v="5"/>
    <x v="0"/>
  </r>
  <r>
    <x v="2"/>
    <x v="48"/>
    <x v="0"/>
    <n v="0"/>
    <x v="0"/>
    <n v="0"/>
    <n v="0"/>
    <n v="0"/>
    <x v="0"/>
    <x v="0"/>
    <x v="83"/>
    <n v="0"/>
    <x v="6"/>
    <x v="0"/>
  </r>
  <r>
    <x v="2"/>
    <x v="49"/>
    <x v="0"/>
    <n v="0"/>
    <x v="0"/>
    <n v="0"/>
    <n v="0"/>
    <n v="0"/>
    <x v="0"/>
    <x v="0"/>
    <x v="83"/>
    <n v="0"/>
    <x v="3"/>
    <x v="0"/>
  </r>
  <r>
    <x v="2"/>
    <x v="50"/>
    <x v="0"/>
    <n v="0"/>
    <x v="0"/>
    <n v="0"/>
    <n v="0"/>
    <n v="0"/>
    <x v="0"/>
    <x v="0"/>
    <x v="83"/>
    <n v="0"/>
    <x v="4"/>
    <x v="0"/>
  </r>
  <r>
    <x v="0"/>
    <x v="0"/>
    <x v="0"/>
    <n v="0"/>
    <x v="0"/>
    <n v="6.95"/>
    <n v="1.03"/>
    <n v="7.98"/>
    <x v="1456"/>
    <x v="0"/>
    <x v="84"/>
    <n v="0"/>
    <x v="0"/>
    <x v="1"/>
  </r>
  <r>
    <x v="0"/>
    <x v="1"/>
    <x v="107"/>
    <n v="6.53"/>
    <x v="1425"/>
    <n v="6"/>
    <n v="1.92"/>
    <n v="7.92"/>
    <x v="1457"/>
    <x v="1392"/>
    <x v="84"/>
    <n v="15.720000000000002"/>
    <x v="0"/>
    <x v="1"/>
  </r>
  <r>
    <x v="0"/>
    <x v="2"/>
    <x v="107"/>
    <n v="6.53"/>
    <x v="1425"/>
    <n v="6"/>
    <n v="1.93"/>
    <n v="7.93"/>
    <x v="943"/>
    <x v="1393"/>
    <x v="84"/>
    <n v="15.720000000000002"/>
    <x v="0"/>
    <x v="1"/>
  </r>
  <r>
    <x v="0"/>
    <x v="4"/>
    <x v="817"/>
    <n v="5.95"/>
    <x v="1426"/>
    <n v="6.93"/>
    <n v="0.96"/>
    <n v="7.89"/>
    <x v="1139"/>
    <x v="1394"/>
    <x v="84"/>
    <n v="85.92"/>
    <x v="0"/>
    <x v="1"/>
  </r>
  <r>
    <x v="0"/>
    <x v="5"/>
    <x v="107"/>
    <n v="6.53"/>
    <x v="1425"/>
    <n v="5.96"/>
    <n v="1.94"/>
    <n v="7.9"/>
    <x v="1458"/>
    <x v="1395"/>
    <x v="84"/>
    <n v="15.720000000000002"/>
    <x v="0"/>
    <x v="1"/>
  </r>
  <r>
    <x v="0"/>
    <x v="6"/>
    <x v="818"/>
    <n v="6.63"/>
    <x v="1427"/>
    <n v="7.03"/>
    <n v="0.88"/>
    <n v="7.91"/>
    <x v="1459"/>
    <x v="1396"/>
    <x v="84"/>
    <n v="63.039999995999992"/>
    <x v="0"/>
    <x v="1"/>
  </r>
  <r>
    <x v="0"/>
    <x v="7"/>
    <x v="0"/>
    <n v="0"/>
    <x v="0"/>
    <n v="6.45"/>
    <n v="0.6"/>
    <n v="7.05"/>
    <x v="1460"/>
    <x v="0"/>
    <x v="84"/>
    <n v="0"/>
    <x v="0"/>
    <x v="1"/>
  </r>
  <r>
    <x v="1"/>
    <x v="9"/>
    <x v="0"/>
    <n v="0"/>
    <x v="0"/>
    <n v="5.94"/>
    <n v="2.08"/>
    <n v="8.02"/>
    <x v="1461"/>
    <x v="0"/>
    <x v="84"/>
    <n v="0"/>
    <x v="1"/>
    <x v="1"/>
  </r>
  <r>
    <x v="1"/>
    <x v="10"/>
    <x v="278"/>
    <n v="4.18"/>
    <x v="1428"/>
    <n v="6.7"/>
    <n v="1.33"/>
    <n v="8.0299999999999994"/>
    <x v="973"/>
    <x v="1397"/>
    <x v="84"/>
    <n v="75"/>
    <x v="1"/>
    <x v="1"/>
  </r>
  <r>
    <x v="1"/>
    <x v="11"/>
    <x v="819"/>
    <n v="6.89"/>
    <x v="1429"/>
    <n v="7.27"/>
    <n v="0.77"/>
    <n v="8.0399999999999991"/>
    <x v="1462"/>
    <x v="1398"/>
    <x v="84"/>
    <n v="141.84"/>
    <x v="1"/>
    <x v="1"/>
  </r>
  <r>
    <x v="2"/>
    <x v="14"/>
    <x v="820"/>
    <n v="5.25"/>
    <x v="1430"/>
    <n v="7.28"/>
    <n v="0.67"/>
    <n v="7.95"/>
    <x v="1463"/>
    <x v="1399"/>
    <x v="84"/>
    <n v="78.519999995999996"/>
    <x v="2"/>
    <x v="1"/>
  </r>
  <r>
    <x v="2"/>
    <x v="16"/>
    <x v="0"/>
    <n v="0"/>
    <x v="0"/>
    <n v="0"/>
    <n v="0"/>
    <n v="0"/>
    <x v="0"/>
    <x v="0"/>
    <x v="84"/>
    <n v="0"/>
    <x v="4"/>
    <x v="0"/>
  </r>
  <r>
    <x v="2"/>
    <x v="18"/>
    <x v="0"/>
    <n v="0"/>
    <x v="0"/>
    <n v="6.58"/>
    <n v="1.83"/>
    <n v="8.41"/>
    <x v="1464"/>
    <x v="0"/>
    <x v="84"/>
    <n v="0"/>
    <x v="3"/>
    <x v="1"/>
  </r>
  <r>
    <x v="2"/>
    <x v="19"/>
    <x v="821"/>
    <n v="5.78"/>
    <x v="1431"/>
    <n v="7.34"/>
    <n v="0.99"/>
    <n v="8.33"/>
    <x v="1465"/>
    <x v="1400"/>
    <x v="84"/>
    <n v="141.99999996000003"/>
    <x v="2"/>
    <x v="1"/>
  </r>
  <r>
    <x v="2"/>
    <x v="20"/>
    <x v="156"/>
    <n v="4.99"/>
    <x v="1432"/>
    <n v="10.77"/>
    <n v="0.41"/>
    <n v="11.18"/>
    <x v="1466"/>
    <x v="1401"/>
    <x v="84"/>
    <n v="82.8"/>
    <x v="5"/>
    <x v="1"/>
  </r>
  <r>
    <x v="2"/>
    <x v="21"/>
    <x v="822"/>
    <n v="5.44"/>
    <x v="1433"/>
    <n v="6.28"/>
    <n v="0.76"/>
    <n v="7.04"/>
    <x v="1467"/>
    <x v="1402"/>
    <x v="84"/>
    <n v="125.36000004"/>
    <x v="2"/>
    <x v="1"/>
  </r>
  <r>
    <x v="2"/>
    <x v="22"/>
    <x v="0"/>
    <n v="0"/>
    <x v="0"/>
    <n v="6.66"/>
    <n v="2.42"/>
    <n v="9.08"/>
    <x v="272"/>
    <x v="0"/>
    <x v="84"/>
    <n v="0"/>
    <x v="4"/>
    <x v="1"/>
  </r>
  <r>
    <x v="2"/>
    <x v="23"/>
    <x v="334"/>
    <n v="1.45"/>
    <x v="1434"/>
    <n v="7.35"/>
    <n v="2.96"/>
    <n v="10.31"/>
    <x v="1468"/>
    <x v="1403"/>
    <x v="84"/>
    <n v="8.0000000040000003"/>
    <x v="3"/>
    <x v="1"/>
  </r>
  <r>
    <x v="2"/>
    <x v="24"/>
    <x v="823"/>
    <n v="2.73"/>
    <x v="1435"/>
    <n v="6.62"/>
    <n v="1.35"/>
    <n v="7.97"/>
    <x v="1469"/>
    <x v="1404"/>
    <x v="84"/>
    <n v="34.359999995999999"/>
    <x v="5"/>
    <x v="1"/>
  </r>
  <r>
    <x v="2"/>
    <x v="25"/>
    <x v="824"/>
    <n v="6.69"/>
    <x v="1436"/>
    <n v="7.96"/>
    <n v="0.23"/>
    <n v="8.19"/>
    <x v="1470"/>
    <x v="1405"/>
    <x v="84"/>
    <n v="116.000000004"/>
    <x v="2"/>
    <x v="1"/>
  </r>
  <r>
    <x v="2"/>
    <x v="26"/>
    <x v="0"/>
    <n v="0"/>
    <x v="0"/>
    <n v="5.73"/>
    <n v="2.4"/>
    <n v="8.1300000000000008"/>
    <x v="1471"/>
    <x v="0"/>
    <x v="84"/>
    <n v="0"/>
    <x v="3"/>
    <x v="1"/>
  </r>
  <r>
    <x v="2"/>
    <x v="27"/>
    <x v="825"/>
    <n v="3.83"/>
    <x v="1437"/>
    <n v="6.21"/>
    <n v="1.78"/>
    <n v="7.99"/>
    <x v="1472"/>
    <x v="1406"/>
    <x v="84"/>
    <n v="78.759999996000005"/>
    <x v="5"/>
    <x v="1"/>
  </r>
  <r>
    <x v="2"/>
    <x v="29"/>
    <x v="826"/>
    <n v="6.01"/>
    <x v="1438"/>
    <n v="10.68"/>
    <n v="0.47"/>
    <n v="11.15"/>
    <x v="1473"/>
    <x v="1407"/>
    <x v="84"/>
    <n v="59.4"/>
    <x v="5"/>
    <x v="1"/>
  </r>
  <r>
    <x v="2"/>
    <x v="31"/>
    <x v="273"/>
    <n v="3.42"/>
    <x v="1439"/>
    <n v="9.0399999999999991"/>
    <n v="0.57999999999999996"/>
    <n v="9.6199999999999992"/>
    <x v="1474"/>
    <x v="1408"/>
    <x v="84"/>
    <n v="65.000000004"/>
    <x v="2"/>
    <x v="1"/>
  </r>
  <r>
    <x v="2"/>
    <x v="32"/>
    <x v="53"/>
    <n v="5.0999999999999996"/>
    <x v="1440"/>
    <n v="8.8800000000000008"/>
    <n v="1.43"/>
    <n v="10.31"/>
    <x v="1475"/>
    <x v="1409"/>
    <x v="84"/>
    <n v="27"/>
    <x v="3"/>
    <x v="1"/>
  </r>
  <r>
    <x v="2"/>
    <x v="33"/>
    <x v="827"/>
    <n v="9.91"/>
    <x v="1441"/>
    <n v="10.02"/>
    <n v="0.31"/>
    <n v="10.33"/>
    <x v="1476"/>
    <x v="1410"/>
    <x v="84"/>
    <n v="64.520000004000011"/>
    <x v="3"/>
    <x v="1"/>
  </r>
  <r>
    <x v="2"/>
    <x v="34"/>
    <x v="454"/>
    <n v="4.37"/>
    <x v="1442"/>
    <n v="8.17"/>
    <n v="1.84"/>
    <n v="10.01"/>
    <x v="1477"/>
    <x v="1411"/>
    <x v="84"/>
    <n v="28.68"/>
    <x v="4"/>
    <x v="1"/>
  </r>
  <r>
    <x v="2"/>
    <x v="35"/>
    <x v="528"/>
    <n v="4.46"/>
    <x v="1443"/>
    <n v="8.82"/>
    <n v="0.68"/>
    <n v="9.5"/>
    <x v="1197"/>
    <x v="1412"/>
    <x v="84"/>
    <n v="78.999999996"/>
    <x v="2"/>
    <x v="1"/>
  </r>
  <r>
    <x v="2"/>
    <x v="36"/>
    <x v="29"/>
    <n v="7.08"/>
    <x v="1444"/>
    <n v="8.92"/>
    <n v="1.65"/>
    <n v="10.57"/>
    <x v="1478"/>
    <x v="1413"/>
    <x v="84"/>
    <n v="24"/>
    <x v="4"/>
    <x v="1"/>
  </r>
  <r>
    <x v="2"/>
    <x v="37"/>
    <x v="828"/>
    <n v="4.38"/>
    <x v="1445"/>
    <n v="6.78"/>
    <n v="2"/>
    <n v="8.7799999999999994"/>
    <x v="1479"/>
    <x v="1414"/>
    <x v="84"/>
    <n v="47.079999995999998"/>
    <x v="4"/>
    <x v="1"/>
  </r>
  <r>
    <x v="2"/>
    <x v="39"/>
    <x v="398"/>
    <n v="7.62"/>
    <x v="1446"/>
    <n v="6.54"/>
    <n v="1.52"/>
    <n v="8.06"/>
    <x v="1480"/>
    <x v="1415"/>
    <x v="84"/>
    <n v="93.999999996"/>
    <x v="2"/>
    <x v="1"/>
  </r>
  <r>
    <x v="2"/>
    <x v="40"/>
    <x v="829"/>
    <n v="7.71"/>
    <x v="1447"/>
    <n v="7.69"/>
    <n v="0.24"/>
    <n v="7.93"/>
    <x v="1481"/>
    <x v="1416"/>
    <x v="84"/>
    <n v="35.760000000000005"/>
    <x v="3"/>
    <x v="1"/>
  </r>
  <r>
    <x v="2"/>
    <x v="42"/>
    <x v="0"/>
    <n v="0"/>
    <x v="0"/>
    <n v="0"/>
    <n v="0"/>
    <n v="0"/>
    <x v="0"/>
    <x v="0"/>
    <x v="84"/>
    <n v="0"/>
    <x v="2"/>
    <x v="0"/>
  </r>
  <r>
    <x v="2"/>
    <x v="44"/>
    <x v="380"/>
    <n v="3.89"/>
    <x v="1448"/>
    <n v="7.43"/>
    <n v="0.73"/>
    <n v="8.16"/>
    <x v="1482"/>
    <x v="1417"/>
    <x v="84"/>
    <n v="38.000000004"/>
    <x v="3"/>
    <x v="1"/>
  </r>
  <r>
    <x v="2"/>
    <x v="45"/>
    <x v="830"/>
    <n v="4.5599999999999996"/>
    <x v="1449"/>
    <n v="4.9000000000000004"/>
    <n v="3.84"/>
    <n v="8.74"/>
    <x v="1483"/>
    <x v="1418"/>
    <x v="84"/>
    <n v="19.280000004000001"/>
    <x v="4"/>
    <x v="1"/>
  </r>
  <r>
    <x v="2"/>
    <x v="46"/>
    <x v="0"/>
    <n v="0"/>
    <x v="0"/>
    <n v="7.61"/>
    <n v="0.86"/>
    <n v="8.4700000000000006"/>
    <x v="1484"/>
    <x v="0"/>
    <x v="84"/>
    <n v="0"/>
    <x v="4"/>
    <x v="1"/>
  </r>
  <r>
    <x v="2"/>
    <x v="47"/>
    <x v="831"/>
    <n v="4.71"/>
    <x v="1450"/>
    <n v="7.64"/>
    <n v="0.39"/>
    <n v="8.0299999999999994"/>
    <x v="1485"/>
    <x v="1419"/>
    <x v="84"/>
    <n v="66.239999999999995"/>
    <x v="5"/>
    <x v="1"/>
  </r>
  <r>
    <x v="2"/>
    <x v="48"/>
    <x v="0"/>
    <n v="0"/>
    <x v="0"/>
    <n v="0"/>
    <n v="0"/>
    <n v="0"/>
    <x v="0"/>
    <x v="0"/>
    <x v="84"/>
    <n v="0"/>
    <x v="6"/>
    <x v="0"/>
  </r>
  <r>
    <x v="2"/>
    <x v="49"/>
    <x v="600"/>
    <n v="4.75"/>
    <x v="1451"/>
    <n v="6.85"/>
    <n v="1.29"/>
    <n v="8.14"/>
    <x v="1486"/>
    <x v="1420"/>
    <x v="84"/>
    <n v="21.999999996"/>
    <x v="3"/>
    <x v="1"/>
  </r>
  <r>
    <x v="2"/>
    <x v="50"/>
    <x v="73"/>
    <n v="5.56"/>
    <x v="1452"/>
    <n v="8.9"/>
    <n v="1.5"/>
    <n v="10.4"/>
    <x v="1154"/>
    <x v="1421"/>
    <x v="84"/>
    <n v="60"/>
    <x v="4"/>
    <x v="1"/>
  </r>
  <r>
    <x v="0"/>
    <x v="1"/>
    <x v="360"/>
    <n v="3.93"/>
    <x v="1453"/>
    <n v="10.83"/>
    <n v="0.18"/>
    <n v="11.01"/>
    <x v="1487"/>
    <x v="1422"/>
    <x v="85"/>
    <n v="13.320000000000002"/>
    <x v="0"/>
    <x v="1"/>
  </r>
  <r>
    <x v="0"/>
    <x v="2"/>
    <x v="360"/>
    <n v="3.93"/>
    <x v="1453"/>
    <n v="10.83"/>
    <n v="0.18"/>
    <n v="11.01"/>
    <x v="1487"/>
    <x v="1422"/>
    <x v="85"/>
    <n v="13.320000000000002"/>
    <x v="0"/>
    <x v="1"/>
  </r>
  <r>
    <x v="0"/>
    <x v="3"/>
    <x v="735"/>
    <n v="5.1100000000000003"/>
    <x v="1454"/>
    <n v="9.35"/>
    <n v="0.73"/>
    <n v="10.08"/>
    <x v="300"/>
    <x v="1423"/>
    <x v="85"/>
    <n v="29.52"/>
    <x v="0"/>
    <x v="1"/>
  </r>
  <r>
    <x v="0"/>
    <x v="8"/>
    <x v="219"/>
    <n v="3.43"/>
    <x v="1455"/>
    <n v="9.43"/>
    <n v="0.66"/>
    <n v="10.09"/>
    <x v="1488"/>
    <x v="415"/>
    <x v="85"/>
    <n v="47.160000000000004"/>
    <x v="0"/>
    <x v="1"/>
  </r>
  <r>
    <x v="1"/>
    <x v="9"/>
    <x v="535"/>
    <n v="6.5"/>
    <x v="1456"/>
    <n v="5.19"/>
    <n v="2.91"/>
    <n v="8.1"/>
    <x v="1489"/>
    <x v="1424"/>
    <x v="85"/>
    <n v="129"/>
    <x v="1"/>
    <x v="1"/>
  </r>
  <r>
    <x v="1"/>
    <x v="10"/>
    <x v="55"/>
    <n v="7.14"/>
    <x v="1457"/>
    <n v="9.98"/>
    <n v="0.67"/>
    <n v="10.65"/>
    <x v="177"/>
    <x v="1425"/>
    <x v="85"/>
    <n v="96"/>
    <x v="1"/>
    <x v="1"/>
  </r>
  <r>
    <x v="1"/>
    <x v="11"/>
    <x v="832"/>
    <n v="5.92"/>
    <x v="1458"/>
    <n v="7.5"/>
    <n v="0.61"/>
    <n v="8.11"/>
    <x v="1490"/>
    <x v="1426"/>
    <x v="85"/>
    <n v="47.04"/>
    <x v="1"/>
    <x v="1"/>
  </r>
  <r>
    <x v="2"/>
    <x v="14"/>
    <x v="833"/>
    <n v="5.1100000000000003"/>
    <x v="1459"/>
    <n v="8.52"/>
    <n v="0.5"/>
    <n v="9.02"/>
    <x v="1491"/>
    <x v="1427"/>
    <x v="85"/>
    <n v="126"/>
    <x v="2"/>
    <x v="1"/>
  </r>
  <r>
    <x v="2"/>
    <x v="16"/>
    <x v="0"/>
    <n v="0"/>
    <x v="0"/>
    <n v="0"/>
    <n v="0"/>
    <n v="0"/>
    <x v="0"/>
    <x v="0"/>
    <x v="85"/>
    <n v="0"/>
    <x v="4"/>
    <x v="0"/>
  </r>
  <r>
    <x v="2"/>
    <x v="17"/>
    <x v="794"/>
    <n v="0.83"/>
    <x v="1460"/>
    <n v="8.57"/>
    <n v="1.83"/>
    <n v="10.4"/>
    <x v="1492"/>
    <x v="1428"/>
    <x v="85"/>
    <n v="2.4"/>
    <x v="3"/>
    <x v="1"/>
  </r>
  <r>
    <x v="2"/>
    <x v="18"/>
    <x v="4"/>
    <n v="0.06"/>
    <x v="1461"/>
    <n v="7.31"/>
    <n v="1.05"/>
    <n v="8.36"/>
    <x v="120"/>
    <x v="1429"/>
    <x v="85"/>
    <n v="12"/>
    <x v="3"/>
    <x v="1"/>
  </r>
  <r>
    <x v="2"/>
    <x v="19"/>
    <x v="834"/>
    <n v="6.59"/>
    <x v="1462"/>
    <n v="9.69"/>
    <n v="0.8"/>
    <n v="10.49"/>
    <x v="1493"/>
    <x v="1430"/>
    <x v="85"/>
    <n v="161.67999996"/>
    <x v="2"/>
    <x v="1"/>
  </r>
  <r>
    <x v="2"/>
    <x v="20"/>
    <x v="835"/>
    <n v="6.89"/>
    <x v="1463"/>
    <n v="7.8"/>
    <n v="0.75"/>
    <n v="8.5500000000000007"/>
    <x v="1367"/>
    <x v="1431"/>
    <x v="85"/>
    <n v="93.759999996000005"/>
    <x v="5"/>
    <x v="1"/>
  </r>
  <r>
    <x v="2"/>
    <x v="21"/>
    <x v="836"/>
    <n v="4.82"/>
    <x v="1464"/>
    <n v="7.38"/>
    <n v="0.7"/>
    <n v="8.08"/>
    <x v="1494"/>
    <x v="313"/>
    <x v="85"/>
    <n v="107.000000004"/>
    <x v="2"/>
    <x v="1"/>
  </r>
  <r>
    <x v="2"/>
    <x v="25"/>
    <x v="303"/>
    <n v="6.28"/>
    <x v="1465"/>
    <n v="9.4"/>
    <n v="1.1200000000000001"/>
    <n v="10.52"/>
    <x v="1495"/>
    <x v="1432"/>
    <x v="85"/>
    <n v="62.000000004"/>
    <x v="2"/>
    <x v="1"/>
  </r>
  <r>
    <x v="2"/>
    <x v="27"/>
    <x v="837"/>
    <n v="5.0999999999999996"/>
    <x v="1466"/>
    <n v="7.83"/>
    <n v="0.16"/>
    <n v="7.99"/>
    <x v="1496"/>
    <x v="1433"/>
    <x v="85"/>
    <n v="137.79999996000001"/>
    <x v="5"/>
    <x v="1"/>
  </r>
  <r>
    <x v="2"/>
    <x v="29"/>
    <x v="141"/>
    <n v="5.19"/>
    <x v="1467"/>
    <n v="7.76"/>
    <n v="0.76"/>
    <n v="8.52"/>
    <x v="1497"/>
    <x v="1434"/>
    <x v="85"/>
    <n v="87.36"/>
    <x v="5"/>
    <x v="1"/>
  </r>
  <r>
    <x v="2"/>
    <x v="31"/>
    <x v="838"/>
    <n v="9.1999999999999993"/>
    <x v="1468"/>
    <n v="7.56"/>
    <n v="2.74"/>
    <n v="10.3"/>
    <x v="1231"/>
    <x v="1435"/>
    <x v="85"/>
    <n v="254.00000004000003"/>
    <x v="2"/>
    <x v="1"/>
  </r>
  <r>
    <x v="2"/>
    <x v="32"/>
    <x v="0"/>
    <n v="0"/>
    <x v="0"/>
    <n v="8.57"/>
    <n v="1.83"/>
    <n v="10.4"/>
    <x v="1492"/>
    <x v="0"/>
    <x v="85"/>
    <n v="0"/>
    <x v="3"/>
    <x v="1"/>
  </r>
  <r>
    <x v="2"/>
    <x v="33"/>
    <x v="839"/>
    <n v="7.88"/>
    <x v="1469"/>
    <n v="6.92"/>
    <n v="1.24"/>
    <n v="8.16"/>
    <x v="1498"/>
    <x v="1436"/>
    <x v="85"/>
    <n v="28.959999996000004"/>
    <x v="3"/>
    <x v="1"/>
  </r>
  <r>
    <x v="2"/>
    <x v="34"/>
    <x v="840"/>
    <n v="7.51"/>
    <x v="1470"/>
    <n v="8.41"/>
    <n v="1.52"/>
    <n v="9.93"/>
    <x v="245"/>
    <x v="143"/>
    <x v="85"/>
    <n v="52.679999999999993"/>
    <x v="4"/>
    <x v="1"/>
  </r>
  <r>
    <x v="2"/>
    <x v="35"/>
    <x v="841"/>
    <n v="5.84"/>
    <x v="1471"/>
    <n v="8.67"/>
    <n v="1.0900000000000001"/>
    <n v="9.76"/>
    <x v="90"/>
    <x v="1437"/>
    <x v="85"/>
    <n v="159.44000004000003"/>
    <x v="2"/>
    <x v="1"/>
  </r>
  <r>
    <x v="2"/>
    <x v="37"/>
    <x v="0"/>
    <n v="0"/>
    <x v="0"/>
    <n v="9.27"/>
    <n v="0.65"/>
    <n v="9.92"/>
    <x v="1499"/>
    <x v="0"/>
    <x v="85"/>
    <n v="0"/>
    <x v="4"/>
    <x v="1"/>
  </r>
  <r>
    <x v="2"/>
    <x v="38"/>
    <x v="842"/>
    <n v="3.37"/>
    <x v="1472"/>
    <n v="8.66"/>
    <n v="0.64"/>
    <n v="9.3000000000000007"/>
    <x v="979"/>
    <x v="1438"/>
    <x v="85"/>
    <n v="70.239999996000009"/>
    <x v="2"/>
    <x v="1"/>
  </r>
  <r>
    <x v="2"/>
    <x v="39"/>
    <x v="281"/>
    <n v="5.04"/>
    <x v="1473"/>
    <n v="5.66"/>
    <n v="2.33"/>
    <n v="7.99"/>
    <x v="1500"/>
    <x v="1439"/>
    <x v="85"/>
    <n v="77.000000004"/>
    <x v="2"/>
    <x v="1"/>
  </r>
  <r>
    <x v="2"/>
    <x v="40"/>
    <x v="843"/>
    <n v="4.34"/>
    <x v="1474"/>
    <n v="9.49"/>
    <n v="0.73"/>
    <n v="10.220000000000001"/>
    <x v="524"/>
    <x v="1440"/>
    <x v="85"/>
    <n v="18.039999995999999"/>
    <x v="3"/>
    <x v="1"/>
  </r>
  <r>
    <x v="2"/>
    <x v="43"/>
    <x v="596"/>
    <n v="1.61"/>
    <x v="1475"/>
    <n v="9.64"/>
    <n v="0.59"/>
    <n v="10.23"/>
    <x v="610"/>
    <x v="1441"/>
    <x v="85"/>
    <n v="20.000000004"/>
    <x v="3"/>
    <x v="1"/>
  </r>
  <r>
    <x v="2"/>
    <x v="44"/>
    <x v="283"/>
    <n v="5.84"/>
    <x v="1476"/>
    <n v="7.06"/>
    <n v="0.95"/>
    <n v="8.01"/>
    <x v="1501"/>
    <x v="1442"/>
    <x v="85"/>
    <n v="55.56"/>
    <x v="3"/>
    <x v="1"/>
  </r>
  <r>
    <x v="2"/>
    <x v="45"/>
    <x v="351"/>
    <n v="8.61"/>
    <x v="1477"/>
    <n v="7.55"/>
    <n v="1.43"/>
    <n v="8.98"/>
    <x v="581"/>
    <x v="1443"/>
    <x v="85"/>
    <n v="34.719999995999999"/>
    <x v="4"/>
    <x v="1"/>
  </r>
  <r>
    <x v="2"/>
    <x v="48"/>
    <x v="0"/>
    <n v="0"/>
    <x v="0"/>
    <n v="0"/>
    <n v="0"/>
    <n v="0"/>
    <x v="0"/>
    <x v="0"/>
    <x v="85"/>
    <n v="0"/>
    <x v="6"/>
    <x v="0"/>
  </r>
  <r>
    <x v="2"/>
    <x v="49"/>
    <x v="342"/>
    <n v="3.84"/>
    <x v="1478"/>
    <n v="7.63"/>
    <n v="0.54"/>
    <n v="8.17"/>
    <x v="624"/>
    <x v="1444"/>
    <x v="85"/>
    <n v="50.000000004"/>
    <x v="3"/>
    <x v="1"/>
  </r>
  <r>
    <x v="2"/>
    <x v="50"/>
    <x v="0"/>
    <n v="0"/>
    <x v="0"/>
    <n v="9.35"/>
    <n v="0.6"/>
    <n v="9.9499999999999993"/>
    <x v="1474"/>
    <x v="0"/>
    <x v="85"/>
    <n v="0"/>
    <x v="4"/>
    <x v="1"/>
  </r>
  <r>
    <x v="0"/>
    <x v="0"/>
    <x v="0"/>
    <n v="0"/>
    <x v="0"/>
    <n v="9.25"/>
    <n v="0.85"/>
    <n v="10.1"/>
    <x v="528"/>
    <x v="0"/>
    <x v="86"/>
    <n v="0"/>
    <x v="0"/>
    <x v="1"/>
  </r>
  <r>
    <x v="0"/>
    <x v="1"/>
    <x v="570"/>
    <n v="7.88"/>
    <x v="1479"/>
    <n v="10.45"/>
    <n v="0.14000000000000001"/>
    <n v="10.59"/>
    <x v="1502"/>
    <x v="1445"/>
    <x v="86"/>
    <n v="29.4"/>
    <x v="0"/>
    <x v="1"/>
  </r>
  <r>
    <x v="0"/>
    <x v="2"/>
    <x v="844"/>
    <n v="5.78"/>
    <x v="1480"/>
    <n v="10.47"/>
    <n v="0.14000000000000001"/>
    <n v="10.61"/>
    <x v="1502"/>
    <x v="1446"/>
    <x v="86"/>
    <n v="26.160000000000004"/>
    <x v="0"/>
    <x v="1"/>
  </r>
  <r>
    <x v="0"/>
    <x v="3"/>
    <x v="0"/>
    <n v="0"/>
    <x v="0"/>
    <n v="9.23"/>
    <n v="1.32"/>
    <n v="10.55"/>
    <x v="1503"/>
    <x v="0"/>
    <x v="86"/>
    <n v="0"/>
    <x v="0"/>
    <x v="1"/>
  </r>
  <r>
    <x v="0"/>
    <x v="4"/>
    <x v="845"/>
    <n v="5.14"/>
    <x v="1481"/>
    <n v="9.64"/>
    <n v="0.03"/>
    <n v="9.67"/>
    <x v="1504"/>
    <x v="1447"/>
    <x v="86"/>
    <n v="64.8"/>
    <x v="0"/>
    <x v="1"/>
  </r>
  <r>
    <x v="0"/>
    <x v="6"/>
    <x v="846"/>
    <n v="5.12"/>
    <x v="1482"/>
    <n v="10.5"/>
    <n v="0.15"/>
    <n v="10.65"/>
    <x v="1505"/>
    <x v="1448"/>
    <x v="86"/>
    <n v="64.320000000000007"/>
    <x v="0"/>
    <x v="1"/>
  </r>
  <r>
    <x v="0"/>
    <x v="7"/>
    <x v="0"/>
    <n v="0"/>
    <x v="0"/>
    <n v="7.8"/>
    <n v="0.35"/>
    <n v="8.15"/>
    <x v="1506"/>
    <x v="0"/>
    <x v="86"/>
    <n v="0"/>
    <x v="0"/>
    <x v="1"/>
  </r>
  <r>
    <x v="0"/>
    <x v="8"/>
    <x v="0"/>
    <n v="0"/>
    <x v="0"/>
    <n v="9.25"/>
    <n v="1.31"/>
    <n v="10.56"/>
    <x v="567"/>
    <x v="0"/>
    <x v="86"/>
    <n v="0"/>
    <x v="0"/>
    <x v="1"/>
  </r>
  <r>
    <x v="1"/>
    <x v="9"/>
    <x v="0"/>
    <n v="0"/>
    <x v="0"/>
    <n v="4.08"/>
    <n v="4"/>
    <n v="8.08"/>
    <x v="1507"/>
    <x v="0"/>
    <x v="86"/>
    <n v="0"/>
    <x v="1"/>
    <x v="1"/>
  </r>
  <r>
    <x v="1"/>
    <x v="10"/>
    <x v="258"/>
    <n v="2.48"/>
    <x v="1483"/>
    <n v="8.4499999999999993"/>
    <n v="1.97"/>
    <n v="10.42"/>
    <x v="1508"/>
    <x v="1449"/>
    <x v="86"/>
    <n v="33"/>
    <x v="1"/>
    <x v="1"/>
  </r>
  <r>
    <x v="1"/>
    <x v="12"/>
    <x v="847"/>
    <n v="5.58"/>
    <x v="1484"/>
    <n v="6.98"/>
    <n v="1.19"/>
    <n v="8.17"/>
    <x v="642"/>
    <x v="1450"/>
    <x v="86"/>
    <n v="63.11999999999999"/>
    <x v="1"/>
    <x v="1"/>
  </r>
  <r>
    <x v="2"/>
    <x v="14"/>
    <x v="848"/>
    <n v="5.22"/>
    <x v="1485"/>
    <n v="7.36"/>
    <n v="0.72"/>
    <n v="8.08"/>
    <x v="1509"/>
    <x v="1451"/>
    <x v="86"/>
    <n v="158.00000003999997"/>
    <x v="2"/>
    <x v="1"/>
  </r>
  <r>
    <x v="2"/>
    <x v="15"/>
    <x v="0"/>
    <n v="0"/>
    <x v="0"/>
    <n v="8.4700000000000006"/>
    <n v="0.32"/>
    <n v="8.7899999999999991"/>
    <x v="1510"/>
    <x v="0"/>
    <x v="86"/>
    <n v="0"/>
    <x v="3"/>
    <x v="1"/>
  </r>
  <r>
    <x v="2"/>
    <x v="16"/>
    <x v="849"/>
    <n v="1.07"/>
    <x v="1486"/>
    <n v="7.73"/>
    <n v="0.08"/>
    <n v="7.81"/>
    <x v="1511"/>
    <x v="1370"/>
    <x v="86"/>
    <n v="8.6399999999999988"/>
    <x v="4"/>
    <x v="1"/>
  </r>
  <r>
    <x v="2"/>
    <x v="18"/>
    <x v="19"/>
    <n v="8.06"/>
    <x v="1487"/>
    <n v="6.72"/>
    <n v="1.53"/>
    <n v="8.25"/>
    <x v="1512"/>
    <x v="1452"/>
    <x v="86"/>
    <n v="99"/>
    <x v="3"/>
    <x v="1"/>
  </r>
  <r>
    <x v="2"/>
    <x v="19"/>
    <x v="338"/>
    <n v="3.96"/>
    <x v="1488"/>
    <n v="9.26"/>
    <n v="0.2"/>
    <n v="9.4600000000000009"/>
    <x v="440"/>
    <x v="1453"/>
    <x v="86"/>
    <n v="102"/>
    <x v="2"/>
    <x v="1"/>
  </r>
  <r>
    <x v="2"/>
    <x v="22"/>
    <x v="73"/>
    <n v="5.6"/>
    <x v="656"/>
    <n v="5.94"/>
    <n v="1.9"/>
    <n v="7.84"/>
    <x v="1513"/>
    <x v="1454"/>
    <x v="86"/>
    <n v="60"/>
    <x v="4"/>
    <x v="1"/>
  </r>
  <r>
    <x v="2"/>
    <x v="24"/>
    <x v="24"/>
    <n v="3.53"/>
    <x v="1489"/>
    <n v="10.07"/>
    <n v="0.5"/>
    <n v="10.57"/>
    <x v="155"/>
    <x v="841"/>
    <x v="86"/>
    <n v="30"/>
    <x v="5"/>
    <x v="1"/>
  </r>
  <r>
    <x v="2"/>
    <x v="25"/>
    <x v="162"/>
    <n v="4.58"/>
    <x v="1490"/>
    <n v="9.2200000000000006"/>
    <n v="0.35"/>
    <n v="9.57"/>
    <x v="1514"/>
    <x v="1455"/>
    <x v="86"/>
    <n v="78"/>
    <x v="2"/>
    <x v="1"/>
  </r>
  <r>
    <x v="2"/>
    <x v="29"/>
    <x v="850"/>
    <n v="6.3"/>
    <x v="1491"/>
    <n v="7.27"/>
    <n v="1.36"/>
    <n v="8.6300000000000008"/>
    <x v="959"/>
    <x v="1456"/>
    <x v="86"/>
    <n v="118.52000000400001"/>
    <x v="5"/>
    <x v="1"/>
  </r>
  <r>
    <x v="2"/>
    <x v="30"/>
    <x v="851"/>
    <n v="7.79"/>
    <x v="1492"/>
    <n v="6.79"/>
    <n v="1.28"/>
    <n v="8.07"/>
    <x v="1515"/>
    <x v="1457"/>
    <x v="86"/>
    <n v="110.919999996"/>
    <x v="5"/>
    <x v="1"/>
  </r>
  <r>
    <x v="2"/>
    <x v="31"/>
    <x v="852"/>
    <n v="6.75"/>
    <x v="1493"/>
    <n v="7.16"/>
    <n v="0.87"/>
    <n v="8.0299999999999994"/>
    <x v="1516"/>
    <x v="1458"/>
    <x v="86"/>
    <n v="102.159999996"/>
    <x v="2"/>
    <x v="1"/>
  </r>
  <r>
    <x v="2"/>
    <x v="33"/>
    <x v="853"/>
    <n v="4.8899999999999997"/>
    <x v="1494"/>
    <n v="7.55"/>
    <n v="1.66"/>
    <n v="9.2100000000000009"/>
    <x v="1517"/>
    <x v="1246"/>
    <x v="86"/>
    <n v="13.599999995999999"/>
    <x v="3"/>
    <x v="1"/>
  </r>
  <r>
    <x v="2"/>
    <x v="34"/>
    <x v="143"/>
    <n v="4.28"/>
    <x v="1495"/>
    <n v="6.73"/>
    <n v="1.04"/>
    <n v="7.77"/>
    <x v="367"/>
    <x v="1459"/>
    <x v="86"/>
    <n v="51"/>
    <x v="4"/>
    <x v="1"/>
  </r>
  <r>
    <x v="2"/>
    <x v="35"/>
    <x v="854"/>
    <n v="7.78"/>
    <x v="1496"/>
    <n v="8.3800000000000008"/>
    <n v="1.36"/>
    <n v="9.74"/>
    <x v="1280"/>
    <x v="1460"/>
    <x v="86"/>
    <n v="169.23999996000001"/>
    <x v="2"/>
    <x v="1"/>
  </r>
  <r>
    <x v="2"/>
    <x v="36"/>
    <x v="0"/>
    <n v="0"/>
    <x v="0"/>
    <n v="8.27"/>
    <n v="1.41"/>
    <n v="9.68"/>
    <x v="642"/>
    <x v="0"/>
    <x v="86"/>
    <n v="0"/>
    <x v="4"/>
    <x v="1"/>
  </r>
  <r>
    <x v="2"/>
    <x v="37"/>
    <x v="29"/>
    <n v="7.82"/>
    <x v="1497"/>
    <n v="7.33"/>
    <n v="2.4500000000000002"/>
    <n v="9.7799999999999994"/>
    <x v="1518"/>
    <x v="443"/>
    <x v="86"/>
    <n v="24"/>
    <x v="4"/>
    <x v="1"/>
  </r>
  <r>
    <x v="2"/>
    <x v="38"/>
    <x v="855"/>
    <n v="8.33"/>
    <x v="1498"/>
    <n v="8.15"/>
    <n v="0.82"/>
    <n v="8.9700000000000006"/>
    <x v="1519"/>
    <x v="1461"/>
    <x v="86"/>
    <n v="207.99999995999997"/>
    <x v="2"/>
    <x v="1"/>
  </r>
  <r>
    <x v="2"/>
    <x v="39"/>
    <x v="599"/>
    <n v="6.23"/>
    <x v="1499"/>
    <n v="7.17"/>
    <n v="0.88"/>
    <n v="8.0500000000000007"/>
    <x v="815"/>
    <x v="1462"/>
    <x v="86"/>
    <n v="129.99999996000003"/>
    <x v="2"/>
    <x v="1"/>
  </r>
  <r>
    <x v="2"/>
    <x v="40"/>
    <x v="708"/>
    <n v="6.74"/>
    <x v="1500"/>
    <n v="7.35"/>
    <n v="0.85"/>
    <n v="8.1999999999999993"/>
    <x v="1520"/>
    <x v="1463"/>
    <x v="86"/>
    <n v="41.160000000000004"/>
    <x v="3"/>
    <x v="1"/>
  </r>
  <r>
    <x v="2"/>
    <x v="42"/>
    <x v="420"/>
    <n v="4.0599999999999996"/>
    <x v="1501"/>
    <n v="8.32"/>
    <n v="0.74"/>
    <n v="9.06"/>
    <x v="900"/>
    <x v="1464"/>
    <x v="86"/>
    <n v="144.99999996000003"/>
    <x v="2"/>
    <x v="1"/>
  </r>
  <r>
    <x v="2"/>
    <x v="43"/>
    <x v="74"/>
    <n v="7.28"/>
    <x v="1502"/>
    <n v="8.5299999999999994"/>
    <n v="1"/>
    <n v="9.5299999999999994"/>
    <x v="1521"/>
    <x v="1465"/>
    <x v="86"/>
    <n v="54"/>
    <x v="3"/>
    <x v="1"/>
  </r>
  <r>
    <x v="2"/>
    <x v="45"/>
    <x v="307"/>
    <n v="0.32"/>
    <x v="609"/>
    <n v="8.81"/>
    <n v="0.27"/>
    <n v="9.08"/>
    <x v="1522"/>
    <x v="1466"/>
    <x v="86"/>
    <n v="3.9999999960000006"/>
    <x v="4"/>
    <x v="1"/>
  </r>
  <r>
    <x v="2"/>
    <x v="46"/>
    <x v="856"/>
    <n v="4.1100000000000003"/>
    <x v="1503"/>
    <n v="7.72"/>
    <n v="0.06"/>
    <n v="7.78"/>
    <x v="1523"/>
    <x v="1467"/>
    <x v="86"/>
    <n v="50.360000003999993"/>
    <x v="4"/>
    <x v="1"/>
  </r>
  <r>
    <x v="2"/>
    <x v="49"/>
    <x v="469"/>
    <n v="6.4"/>
    <x v="1504"/>
    <n v="7.28"/>
    <n v="0.81"/>
    <n v="8.09"/>
    <x v="89"/>
    <x v="1468"/>
    <x v="86"/>
    <n v="56.000000004"/>
    <x v="3"/>
    <x v="1"/>
  </r>
  <r>
    <x v="2"/>
    <x v="50"/>
    <x v="857"/>
    <n v="5.31"/>
    <x v="1505"/>
    <n v="8.7899999999999991"/>
    <n v="0.92"/>
    <n v="9.7100000000000009"/>
    <x v="552"/>
    <x v="1469"/>
    <x v="86"/>
    <n v="60.800000004000005"/>
    <x v="4"/>
    <x v="1"/>
  </r>
  <r>
    <x v="0"/>
    <x v="1"/>
    <x v="762"/>
    <n v="4.37"/>
    <x v="1506"/>
    <n v="7.66"/>
    <n v="0.11"/>
    <n v="7.77"/>
    <x v="1524"/>
    <x v="1092"/>
    <x v="87"/>
    <n v="12.360000000000001"/>
    <x v="0"/>
    <x v="1"/>
  </r>
  <r>
    <x v="0"/>
    <x v="2"/>
    <x v="762"/>
    <n v="4.3499999999999996"/>
    <x v="1507"/>
    <n v="7.66"/>
    <n v="0.11"/>
    <n v="7.77"/>
    <x v="1524"/>
    <x v="1092"/>
    <x v="87"/>
    <n v="12.360000000000001"/>
    <x v="0"/>
    <x v="1"/>
  </r>
  <r>
    <x v="0"/>
    <x v="5"/>
    <x v="858"/>
    <n v="4.33"/>
    <x v="1508"/>
    <n v="7.68"/>
    <n v="0.1"/>
    <n v="7.78"/>
    <x v="1525"/>
    <x v="919"/>
    <x v="87"/>
    <n v="12.24"/>
    <x v="0"/>
    <x v="1"/>
  </r>
  <r>
    <x v="0"/>
    <x v="7"/>
    <x v="0"/>
    <n v="0"/>
    <x v="0"/>
    <n v="7.54"/>
    <n v="0.5"/>
    <n v="8.0399999999999991"/>
    <x v="1526"/>
    <x v="0"/>
    <x v="87"/>
    <n v="0"/>
    <x v="0"/>
    <x v="1"/>
  </r>
  <r>
    <x v="0"/>
    <x v="8"/>
    <x v="0"/>
    <n v="0"/>
    <x v="0"/>
    <n v="9.83"/>
    <n v="0.73"/>
    <n v="10.56"/>
    <x v="1527"/>
    <x v="0"/>
    <x v="87"/>
    <n v="0"/>
    <x v="0"/>
    <x v="1"/>
  </r>
  <r>
    <x v="1"/>
    <x v="9"/>
    <x v="402"/>
    <n v="1.57"/>
    <x v="1509"/>
    <n v="3.2"/>
    <n v="4.82"/>
    <n v="8.02"/>
    <x v="1528"/>
    <x v="1470"/>
    <x v="87"/>
    <n v="81.999999996"/>
    <x v="1"/>
    <x v="1"/>
  </r>
  <r>
    <x v="1"/>
    <x v="10"/>
    <x v="268"/>
    <n v="4.5199999999999996"/>
    <x v="1510"/>
    <n v="3.56"/>
    <n v="4.45"/>
    <n v="8.01"/>
    <x v="1529"/>
    <x v="1471"/>
    <x v="87"/>
    <n v="98.000000003999986"/>
    <x v="1"/>
    <x v="1"/>
  </r>
  <r>
    <x v="2"/>
    <x v="15"/>
    <x v="0"/>
    <n v="0"/>
    <x v="0"/>
    <n v="8.9"/>
    <n v="0.17"/>
    <n v="9.07"/>
    <x v="1383"/>
    <x v="0"/>
    <x v="87"/>
    <n v="0"/>
    <x v="3"/>
    <x v="1"/>
  </r>
  <r>
    <x v="2"/>
    <x v="17"/>
    <x v="0"/>
    <n v="0"/>
    <x v="0"/>
    <n v="0"/>
    <n v="9.2200000000000006"/>
    <n v="9.2200000000000006"/>
    <x v="0"/>
    <x v="0"/>
    <x v="87"/>
    <n v="0"/>
    <x v="3"/>
    <x v="1"/>
  </r>
  <r>
    <x v="2"/>
    <x v="19"/>
    <x v="859"/>
    <n v="5.61"/>
    <x v="1511"/>
    <n v="7.65"/>
    <n v="0.62"/>
    <n v="8.27"/>
    <x v="1530"/>
    <x v="469"/>
    <x v="87"/>
    <n v="61.640000004000001"/>
    <x v="2"/>
    <x v="1"/>
  </r>
  <r>
    <x v="2"/>
    <x v="20"/>
    <x v="500"/>
    <n v="4.79"/>
    <x v="1512"/>
    <n v="6.59"/>
    <n v="1.71"/>
    <n v="8.3000000000000007"/>
    <x v="518"/>
    <x v="1472"/>
    <x v="87"/>
    <n v="125.00000003999999"/>
    <x v="5"/>
    <x v="1"/>
  </r>
  <r>
    <x v="2"/>
    <x v="24"/>
    <x v="860"/>
    <n v="5.18"/>
    <x v="1513"/>
    <n v="7.64"/>
    <n v="0.13"/>
    <n v="7.77"/>
    <x v="1531"/>
    <x v="1473"/>
    <x v="87"/>
    <n v="76.119999996000004"/>
    <x v="5"/>
    <x v="1"/>
  </r>
  <r>
    <x v="2"/>
    <x v="27"/>
    <x v="861"/>
    <n v="6.17"/>
    <x v="1514"/>
    <n v="8.9499999999999993"/>
    <n v="0.63"/>
    <n v="9.58"/>
    <x v="1532"/>
    <x v="1474"/>
    <x v="87"/>
    <n v="123.84"/>
    <x v="5"/>
    <x v="1"/>
  </r>
  <r>
    <x v="2"/>
    <x v="29"/>
    <x v="862"/>
    <n v="6.96"/>
    <x v="1515"/>
    <n v="7.59"/>
    <n v="0.35"/>
    <n v="7.94"/>
    <x v="1533"/>
    <x v="1475"/>
    <x v="87"/>
    <n v="162"/>
    <x v="5"/>
    <x v="1"/>
  </r>
  <r>
    <x v="2"/>
    <x v="30"/>
    <x v="0"/>
    <n v="0"/>
    <x v="0"/>
    <n v="5.77"/>
    <n v="1.1599999999999999"/>
    <n v="6.93"/>
    <x v="1534"/>
    <x v="0"/>
    <x v="87"/>
    <n v="0"/>
    <x v="5"/>
    <x v="1"/>
  </r>
  <r>
    <x v="2"/>
    <x v="33"/>
    <x v="863"/>
    <n v="6.78"/>
    <x v="1516"/>
    <n v="6.78"/>
    <n v="1.95"/>
    <n v="8.73"/>
    <x v="1535"/>
    <x v="1476"/>
    <x v="87"/>
    <n v="66.879999996000009"/>
    <x v="3"/>
    <x v="1"/>
  </r>
  <r>
    <x v="2"/>
    <x v="34"/>
    <x v="486"/>
    <n v="5.2"/>
    <x v="1517"/>
    <n v="9.15"/>
    <n v="0.22"/>
    <n v="9.3699999999999992"/>
    <x v="194"/>
    <x v="1340"/>
    <x v="87"/>
    <n v="45.999999996"/>
    <x v="4"/>
    <x v="1"/>
  </r>
  <r>
    <x v="2"/>
    <x v="35"/>
    <x v="864"/>
    <n v="9.08"/>
    <x v="1518"/>
    <n v="9.0299999999999994"/>
    <n v="0.26"/>
    <n v="9.2899999999999991"/>
    <x v="1116"/>
    <x v="1477"/>
    <x v="87"/>
    <n v="278.55999996000003"/>
    <x v="2"/>
    <x v="1"/>
  </r>
  <r>
    <x v="2"/>
    <x v="36"/>
    <x v="0"/>
    <n v="0"/>
    <x v="0"/>
    <n v="8.9"/>
    <n v="0.97"/>
    <n v="9.8699999999999992"/>
    <x v="523"/>
    <x v="0"/>
    <x v="87"/>
    <n v="0"/>
    <x v="4"/>
    <x v="1"/>
  </r>
  <r>
    <x v="2"/>
    <x v="44"/>
    <x v="305"/>
    <n v="7.51"/>
    <x v="1519"/>
    <n v="7.39"/>
    <n v="0.81"/>
    <n v="8.1999999999999993"/>
    <x v="1536"/>
    <x v="1478"/>
    <x v="87"/>
    <n v="23.000000004"/>
    <x v="3"/>
    <x v="1"/>
  </r>
  <r>
    <x v="2"/>
    <x v="48"/>
    <x v="0"/>
    <n v="0"/>
    <x v="0"/>
    <n v="0"/>
    <n v="0"/>
    <n v="0"/>
    <x v="0"/>
    <x v="0"/>
    <x v="87"/>
    <n v="0"/>
    <x v="6"/>
    <x v="0"/>
  </r>
  <r>
    <x v="2"/>
    <x v="49"/>
    <x v="276"/>
    <n v="5.64"/>
    <x v="1520"/>
    <n v="6.52"/>
    <n v="1.64"/>
    <n v="8.16"/>
    <x v="1537"/>
    <x v="1479"/>
    <x v="87"/>
    <n v="44.000000004"/>
    <x v="3"/>
    <x v="1"/>
  </r>
  <r>
    <x v="0"/>
    <x v="2"/>
    <x v="865"/>
    <n v="5.53"/>
    <x v="1521"/>
    <n v="7.83"/>
    <n v="0.2"/>
    <n v="8.0299999999999994"/>
    <x v="809"/>
    <x v="1280"/>
    <x v="88"/>
    <n v="19.080000000000002"/>
    <x v="0"/>
    <x v="1"/>
  </r>
  <r>
    <x v="0"/>
    <x v="5"/>
    <x v="866"/>
    <n v="7.19"/>
    <x v="1522"/>
    <n v="7.85"/>
    <n v="0.19"/>
    <n v="8.0399999999999991"/>
    <x v="191"/>
    <x v="1480"/>
    <x v="88"/>
    <n v="32.880000000000003"/>
    <x v="0"/>
    <x v="1"/>
  </r>
  <r>
    <x v="0"/>
    <x v="7"/>
    <x v="0"/>
    <n v="0"/>
    <x v="0"/>
    <n v="7.57"/>
    <n v="0.48"/>
    <n v="8.0500000000000007"/>
    <x v="138"/>
    <x v="0"/>
    <x v="88"/>
    <n v="0"/>
    <x v="0"/>
    <x v="1"/>
  </r>
  <r>
    <x v="1"/>
    <x v="9"/>
    <x v="455"/>
    <n v="1.6"/>
    <x v="1523"/>
    <n v="4.05"/>
    <n v="4.07"/>
    <n v="8.1199999999999992"/>
    <x v="198"/>
    <x v="1481"/>
    <x v="88"/>
    <n v="96.999999996000014"/>
    <x v="1"/>
    <x v="1"/>
  </r>
  <r>
    <x v="1"/>
    <x v="12"/>
    <x v="867"/>
    <n v="7.67"/>
    <x v="1524"/>
    <n v="7.95"/>
    <n v="0.21"/>
    <n v="8.16"/>
    <x v="1538"/>
    <x v="1482"/>
    <x v="88"/>
    <n v="35.519999999999996"/>
    <x v="1"/>
    <x v="1"/>
  </r>
  <r>
    <x v="2"/>
    <x v="15"/>
    <x v="317"/>
    <n v="2.56"/>
    <x v="508"/>
    <n v="7.46"/>
    <n v="0.7"/>
    <n v="8.16"/>
    <x v="593"/>
    <x v="390"/>
    <x v="88"/>
    <n v="15.999999996"/>
    <x v="3"/>
    <x v="1"/>
  </r>
  <r>
    <x v="2"/>
    <x v="16"/>
    <x v="347"/>
    <n v="3.7"/>
    <x v="1525"/>
    <n v="6.88"/>
    <n v="1.19"/>
    <n v="8.07"/>
    <x v="22"/>
    <x v="1449"/>
    <x v="88"/>
    <n v="25.56"/>
    <x v="4"/>
    <x v="1"/>
  </r>
  <r>
    <x v="2"/>
    <x v="17"/>
    <x v="0"/>
    <n v="0"/>
    <x v="0"/>
    <n v="1.53"/>
    <n v="6.63"/>
    <n v="8.16"/>
    <x v="1539"/>
    <x v="0"/>
    <x v="88"/>
    <n v="0"/>
    <x v="3"/>
    <x v="1"/>
  </r>
  <r>
    <x v="2"/>
    <x v="18"/>
    <x v="499"/>
    <n v="5.79"/>
    <x v="1526"/>
    <n v="7.98"/>
    <n v="2.2200000000000002"/>
    <n v="10.199999999999999"/>
    <x v="1464"/>
    <x v="1483"/>
    <x v="88"/>
    <n v="63.999999996"/>
    <x v="3"/>
    <x v="1"/>
  </r>
  <r>
    <x v="2"/>
    <x v="21"/>
    <x v="868"/>
    <n v="6.98"/>
    <x v="1527"/>
    <n v="6.23"/>
    <n v="1.75"/>
    <n v="7.98"/>
    <x v="28"/>
    <x v="1484"/>
    <x v="88"/>
    <n v="195.87999996000002"/>
    <x v="2"/>
    <x v="1"/>
  </r>
  <r>
    <x v="2"/>
    <x v="22"/>
    <x v="450"/>
    <n v="5.8"/>
    <x v="1528"/>
    <n v="6.23"/>
    <n v="1.84"/>
    <n v="8.07"/>
    <x v="709"/>
    <x v="399"/>
    <x v="88"/>
    <n v="42.999999996"/>
    <x v="4"/>
    <x v="1"/>
  </r>
  <r>
    <x v="2"/>
    <x v="26"/>
    <x v="338"/>
    <n v="5.66"/>
    <x v="1529"/>
    <n v="6.85"/>
    <n v="1.28"/>
    <n v="8.1300000000000008"/>
    <x v="1540"/>
    <x v="1485"/>
    <x v="88"/>
    <n v="102"/>
    <x v="3"/>
    <x v="1"/>
  </r>
  <r>
    <x v="2"/>
    <x v="27"/>
    <x v="330"/>
    <n v="1.62"/>
    <x v="1530"/>
    <n v="6.19"/>
    <n v="1.86"/>
    <n v="8.0500000000000007"/>
    <x v="1541"/>
    <x v="130"/>
    <x v="88"/>
    <n v="31.32"/>
    <x v="5"/>
    <x v="1"/>
  </r>
  <r>
    <x v="2"/>
    <x v="30"/>
    <x v="869"/>
    <n v="7.36"/>
    <x v="1531"/>
    <n v="7.57"/>
    <n v="0.67"/>
    <n v="8.24"/>
    <x v="371"/>
    <x v="1486"/>
    <x v="88"/>
    <n v="119.199999996"/>
    <x v="5"/>
    <x v="1"/>
  </r>
  <r>
    <x v="2"/>
    <x v="31"/>
    <x v="0"/>
    <n v="0"/>
    <x v="0"/>
    <n v="0"/>
    <n v="0"/>
    <n v="0"/>
    <x v="0"/>
    <x v="0"/>
    <x v="88"/>
    <n v="0"/>
    <x v="2"/>
    <x v="0"/>
  </r>
  <r>
    <x v="2"/>
    <x v="32"/>
    <x v="0"/>
    <n v="0"/>
    <x v="0"/>
    <n v="5.0599999999999996"/>
    <n v="2.98"/>
    <n v="8.0399999999999991"/>
    <x v="1542"/>
    <x v="0"/>
    <x v="88"/>
    <n v="0"/>
    <x v="3"/>
    <x v="1"/>
  </r>
  <r>
    <x v="2"/>
    <x v="33"/>
    <x v="3"/>
    <n v="1.08"/>
    <x v="1532"/>
    <n v="4.37"/>
    <n v="5.82"/>
    <n v="10.19"/>
    <x v="1543"/>
    <x v="1487"/>
    <x v="88"/>
    <n v="18"/>
    <x v="3"/>
    <x v="1"/>
  </r>
  <r>
    <x v="2"/>
    <x v="34"/>
    <x v="0"/>
    <n v="0"/>
    <x v="0"/>
    <n v="0"/>
    <n v="0"/>
    <n v="0"/>
    <x v="0"/>
    <x v="0"/>
    <x v="88"/>
    <n v="0"/>
    <x v="4"/>
    <x v="0"/>
  </r>
  <r>
    <x v="2"/>
    <x v="36"/>
    <x v="0"/>
    <n v="0"/>
    <x v="0"/>
    <n v="7.61"/>
    <n v="0.46"/>
    <n v="8.07"/>
    <x v="1203"/>
    <x v="0"/>
    <x v="88"/>
    <n v="0"/>
    <x v="4"/>
    <x v="1"/>
  </r>
  <r>
    <x v="2"/>
    <x v="37"/>
    <x v="53"/>
    <n v="3.8"/>
    <x v="1533"/>
    <n v="6.03"/>
    <n v="2.04"/>
    <n v="8.07"/>
    <x v="1544"/>
    <x v="1488"/>
    <x v="88"/>
    <n v="27"/>
    <x v="4"/>
    <x v="1"/>
  </r>
  <r>
    <x v="2"/>
    <x v="38"/>
    <x v="870"/>
    <n v="7.57"/>
    <x v="1534"/>
    <n v="8.92"/>
    <n v="0.09"/>
    <n v="9.01"/>
    <x v="550"/>
    <x v="1489"/>
    <x v="88"/>
    <n v="179.00000003999997"/>
    <x v="2"/>
    <x v="1"/>
  </r>
  <r>
    <x v="2"/>
    <x v="39"/>
    <x v="870"/>
    <n v="7.63"/>
    <x v="1535"/>
    <n v="6.14"/>
    <n v="1.75"/>
    <n v="7.89"/>
    <x v="1156"/>
    <x v="1490"/>
    <x v="88"/>
    <n v="179.00000003999997"/>
    <x v="2"/>
    <x v="1"/>
  </r>
  <r>
    <x v="2"/>
    <x v="40"/>
    <x v="4"/>
    <n v="0.6"/>
    <x v="512"/>
    <n v="4.6100000000000003"/>
    <n v="3.49"/>
    <n v="8.1"/>
    <x v="1545"/>
    <x v="584"/>
    <x v="88"/>
    <n v="12"/>
    <x v="3"/>
    <x v="1"/>
  </r>
  <r>
    <x v="2"/>
    <x v="47"/>
    <x v="870"/>
    <n v="3.25"/>
    <x v="1536"/>
    <n v="6.78"/>
    <n v="1.19"/>
    <n v="7.97"/>
    <x v="1546"/>
    <x v="1491"/>
    <x v="88"/>
    <n v="179.00000003999997"/>
    <x v="5"/>
    <x v="1"/>
  </r>
  <r>
    <x v="2"/>
    <x v="48"/>
    <x v="0"/>
    <n v="0"/>
    <x v="0"/>
    <n v="0"/>
    <n v="0"/>
    <n v="0"/>
    <x v="0"/>
    <x v="0"/>
    <x v="88"/>
    <n v="0"/>
    <x v="6"/>
    <x v="0"/>
  </r>
  <r>
    <x v="0"/>
    <x v="0"/>
    <x v="0"/>
    <n v="0"/>
    <x v="0"/>
    <n v="6.87"/>
    <n v="1.27"/>
    <n v="8.14"/>
    <x v="1547"/>
    <x v="0"/>
    <x v="89"/>
    <n v="0"/>
    <x v="0"/>
    <x v="1"/>
  </r>
  <r>
    <x v="0"/>
    <x v="1"/>
    <x v="0"/>
    <n v="0"/>
    <x v="0"/>
    <n v="0"/>
    <n v="0"/>
    <n v="0"/>
    <x v="0"/>
    <x v="0"/>
    <x v="89"/>
    <n v="0"/>
    <x v="0"/>
    <x v="0"/>
  </r>
  <r>
    <x v="0"/>
    <x v="2"/>
    <x v="0"/>
    <n v="0"/>
    <x v="0"/>
    <n v="0"/>
    <n v="0"/>
    <n v="0"/>
    <x v="0"/>
    <x v="0"/>
    <x v="89"/>
    <n v="0"/>
    <x v="0"/>
    <x v="0"/>
  </r>
  <r>
    <x v="0"/>
    <x v="3"/>
    <x v="0"/>
    <n v="0"/>
    <x v="0"/>
    <n v="0"/>
    <n v="0"/>
    <n v="0"/>
    <x v="0"/>
    <x v="0"/>
    <x v="89"/>
    <n v="0"/>
    <x v="0"/>
    <x v="0"/>
  </r>
  <r>
    <x v="0"/>
    <x v="4"/>
    <x v="0"/>
    <n v="0"/>
    <x v="0"/>
    <n v="0"/>
    <n v="0"/>
    <n v="0"/>
    <x v="0"/>
    <x v="0"/>
    <x v="89"/>
    <n v="0"/>
    <x v="0"/>
    <x v="0"/>
  </r>
  <r>
    <x v="0"/>
    <x v="5"/>
    <x v="0"/>
    <n v="0"/>
    <x v="0"/>
    <n v="0"/>
    <n v="0"/>
    <n v="0"/>
    <x v="0"/>
    <x v="0"/>
    <x v="89"/>
    <n v="0"/>
    <x v="0"/>
    <x v="0"/>
  </r>
  <r>
    <x v="0"/>
    <x v="6"/>
    <x v="0"/>
    <n v="0"/>
    <x v="0"/>
    <n v="6.37"/>
    <n v="1.77"/>
    <n v="8.14"/>
    <x v="1548"/>
    <x v="0"/>
    <x v="89"/>
    <n v="0"/>
    <x v="0"/>
    <x v="1"/>
  </r>
  <r>
    <x v="0"/>
    <x v="7"/>
    <x v="0"/>
    <n v="0"/>
    <x v="0"/>
    <n v="0"/>
    <n v="0"/>
    <n v="0"/>
    <x v="0"/>
    <x v="0"/>
    <x v="89"/>
    <n v="0"/>
    <x v="0"/>
    <x v="0"/>
  </r>
  <r>
    <x v="0"/>
    <x v="8"/>
    <x v="0"/>
    <n v="0"/>
    <x v="0"/>
    <n v="0"/>
    <n v="0"/>
    <n v="0"/>
    <x v="0"/>
    <x v="0"/>
    <x v="89"/>
    <n v="0"/>
    <x v="0"/>
    <x v="0"/>
  </r>
  <r>
    <x v="1"/>
    <x v="9"/>
    <x v="0"/>
    <n v="0"/>
    <x v="0"/>
    <n v="0"/>
    <n v="0"/>
    <n v="0"/>
    <x v="0"/>
    <x v="0"/>
    <x v="89"/>
    <n v="0"/>
    <x v="1"/>
    <x v="0"/>
  </r>
  <r>
    <x v="1"/>
    <x v="10"/>
    <x v="0"/>
    <n v="0"/>
    <x v="0"/>
    <n v="6.96"/>
    <n v="1.2"/>
    <n v="8.16"/>
    <x v="1549"/>
    <x v="0"/>
    <x v="89"/>
    <n v="0"/>
    <x v="1"/>
    <x v="1"/>
  </r>
  <r>
    <x v="1"/>
    <x v="11"/>
    <x v="0"/>
    <n v="0"/>
    <x v="0"/>
    <n v="4.4800000000000004"/>
    <n v="3.69"/>
    <n v="8.17"/>
    <x v="1550"/>
    <x v="0"/>
    <x v="89"/>
    <n v="0"/>
    <x v="1"/>
    <x v="1"/>
  </r>
  <r>
    <x v="1"/>
    <x v="12"/>
    <x v="0"/>
    <n v="0"/>
    <x v="0"/>
    <n v="0"/>
    <n v="0"/>
    <n v="0"/>
    <x v="0"/>
    <x v="0"/>
    <x v="89"/>
    <n v="0"/>
    <x v="1"/>
    <x v="0"/>
  </r>
  <r>
    <x v="1"/>
    <x v="13"/>
    <x v="0"/>
    <n v="0"/>
    <x v="0"/>
    <n v="0"/>
    <n v="0"/>
    <n v="0"/>
    <x v="0"/>
    <x v="0"/>
    <x v="89"/>
    <n v="0"/>
    <x v="1"/>
    <x v="0"/>
  </r>
  <r>
    <x v="2"/>
    <x v="16"/>
    <x v="0"/>
    <n v="0"/>
    <x v="0"/>
    <n v="0"/>
    <n v="0"/>
    <n v="0"/>
    <x v="0"/>
    <x v="0"/>
    <x v="89"/>
    <n v="0"/>
    <x v="4"/>
    <x v="0"/>
  </r>
  <r>
    <x v="2"/>
    <x v="17"/>
    <x v="0"/>
    <n v="0"/>
    <x v="0"/>
    <n v="0"/>
    <n v="0"/>
    <n v="0"/>
    <x v="0"/>
    <x v="0"/>
    <x v="89"/>
    <n v="0"/>
    <x v="3"/>
    <x v="0"/>
  </r>
  <r>
    <x v="2"/>
    <x v="18"/>
    <x v="57"/>
    <n v="5.34"/>
    <x v="1537"/>
    <n v="5.34"/>
    <n v="2.77"/>
    <n v="8.11"/>
    <x v="949"/>
    <x v="1492"/>
    <x v="89"/>
    <n v="90.960000000000008"/>
    <x v="3"/>
    <x v="1"/>
  </r>
  <r>
    <x v="2"/>
    <x v="19"/>
    <x v="365"/>
    <n v="2.4300000000000002"/>
    <x v="1538"/>
    <n v="5.58"/>
    <n v="2.4300000000000002"/>
    <n v="8.01"/>
    <x v="1551"/>
    <x v="1493"/>
    <x v="89"/>
    <n v="47.000000004"/>
    <x v="2"/>
    <x v="1"/>
  </r>
  <r>
    <x v="2"/>
    <x v="20"/>
    <x v="326"/>
    <n v="5.16"/>
    <x v="1539"/>
    <n v="4.8099999999999996"/>
    <n v="3.23"/>
    <n v="8.0399999999999991"/>
    <x v="1354"/>
    <x v="1494"/>
    <x v="89"/>
    <n v="83.28"/>
    <x v="5"/>
    <x v="1"/>
  </r>
  <r>
    <x v="2"/>
    <x v="22"/>
    <x v="871"/>
    <n v="3.51"/>
    <x v="1540"/>
    <n v="3.98"/>
    <n v="4.05"/>
    <n v="8.0299999999999994"/>
    <x v="1552"/>
    <x v="1495"/>
    <x v="89"/>
    <n v="86.439999995999997"/>
    <x v="4"/>
    <x v="1"/>
  </r>
  <r>
    <x v="2"/>
    <x v="23"/>
    <x v="872"/>
    <n v="1.08"/>
    <x v="1541"/>
    <n v="3.26"/>
    <n v="4.78"/>
    <n v="8.0399999999999991"/>
    <x v="1553"/>
    <x v="388"/>
    <x v="89"/>
    <n v="4.8"/>
    <x v="3"/>
    <x v="1"/>
  </r>
  <r>
    <x v="2"/>
    <x v="24"/>
    <x v="435"/>
    <n v="3.91"/>
    <x v="1542"/>
    <n v="7.71"/>
    <n v="0.3"/>
    <n v="8.01"/>
    <x v="357"/>
    <x v="304"/>
    <x v="89"/>
    <n v="47.760000000000005"/>
    <x v="5"/>
    <x v="1"/>
  </r>
  <r>
    <x v="2"/>
    <x v="25"/>
    <x v="873"/>
    <n v="3.67"/>
    <x v="1543"/>
    <n v="3.67"/>
    <n v="4.3499999999999996"/>
    <n v="8.02"/>
    <x v="1554"/>
    <x v="1496"/>
    <x v="89"/>
    <n v="45.639999996"/>
    <x v="2"/>
    <x v="1"/>
  </r>
  <r>
    <x v="2"/>
    <x v="26"/>
    <x v="121"/>
    <n v="2.71"/>
    <x v="1544"/>
    <n v="4.13"/>
    <n v="3.9"/>
    <n v="8.0299999999999994"/>
    <x v="1555"/>
    <x v="1497"/>
    <x v="89"/>
    <n v="29.160000000000004"/>
    <x v="3"/>
    <x v="1"/>
  </r>
  <r>
    <x v="2"/>
    <x v="27"/>
    <x v="650"/>
    <n v="3.79"/>
    <x v="1545"/>
    <n v="7.74"/>
    <n v="0.32"/>
    <n v="8.06"/>
    <x v="398"/>
    <x v="1498"/>
    <x v="89"/>
    <n v="62.88000000000001"/>
    <x v="5"/>
    <x v="1"/>
  </r>
  <r>
    <x v="2"/>
    <x v="29"/>
    <x v="732"/>
    <n v="2.4"/>
    <x v="1546"/>
    <n v="4.13"/>
    <n v="3.89"/>
    <n v="8.02"/>
    <x v="1556"/>
    <x v="1499"/>
    <x v="89"/>
    <n v="20.52"/>
    <x v="5"/>
    <x v="1"/>
  </r>
  <r>
    <x v="2"/>
    <x v="30"/>
    <x v="874"/>
    <n v="5.41"/>
    <x v="1547"/>
    <n v="3.62"/>
    <n v="4.41"/>
    <n v="8.0299999999999994"/>
    <x v="1557"/>
    <x v="1500"/>
    <x v="89"/>
    <n v="122.16"/>
    <x v="5"/>
    <x v="1"/>
  </r>
  <r>
    <x v="2"/>
    <x v="31"/>
    <x v="0"/>
    <n v="0"/>
    <x v="0"/>
    <n v="0"/>
    <n v="0"/>
    <n v="0"/>
    <x v="0"/>
    <x v="0"/>
    <x v="89"/>
    <n v="0"/>
    <x v="2"/>
    <x v="0"/>
  </r>
  <r>
    <x v="2"/>
    <x v="32"/>
    <x v="0"/>
    <n v="0"/>
    <x v="0"/>
    <n v="0"/>
    <n v="0"/>
    <n v="0"/>
    <x v="0"/>
    <x v="0"/>
    <x v="89"/>
    <n v="0"/>
    <x v="3"/>
    <x v="0"/>
  </r>
  <r>
    <x v="2"/>
    <x v="33"/>
    <x v="0"/>
    <n v="0"/>
    <x v="0"/>
    <n v="0"/>
    <n v="0"/>
    <n v="0"/>
    <x v="0"/>
    <x v="0"/>
    <x v="89"/>
    <n v="0"/>
    <x v="3"/>
    <x v="0"/>
  </r>
  <r>
    <x v="2"/>
    <x v="34"/>
    <x v="318"/>
    <n v="3.59"/>
    <x v="1548"/>
    <n v="3.59"/>
    <n v="4.43"/>
    <n v="8.02"/>
    <x v="1558"/>
    <x v="1501"/>
    <x v="89"/>
    <n v="46.8"/>
    <x v="4"/>
    <x v="1"/>
  </r>
  <r>
    <x v="2"/>
    <x v="36"/>
    <x v="0"/>
    <n v="0"/>
    <x v="0"/>
    <n v="0"/>
    <n v="0"/>
    <n v="0"/>
    <x v="0"/>
    <x v="0"/>
    <x v="89"/>
    <n v="0"/>
    <x v="4"/>
    <x v="0"/>
  </r>
  <r>
    <x v="2"/>
    <x v="37"/>
    <x v="0"/>
    <n v="0"/>
    <x v="0"/>
    <n v="0"/>
    <n v="0"/>
    <n v="0"/>
    <x v="0"/>
    <x v="0"/>
    <x v="89"/>
    <n v="0"/>
    <x v="4"/>
    <x v="0"/>
  </r>
  <r>
    <x v="2"/>
    <x v="39"/>
    <x v="875"/>
    <n v="4.5"/>
    <x v="1549"/>
    <n v="4.5"/>
    <n v="3.55"/>
    <n v="8.0500000000000007"/>
    <x v="1559"/>
    <x v="1502"/>
    <x v="89"/>
    <n v="59.240000004000002"/>
    <x v="2"/>
    <x v="1"/>
  </r>
  <r>
    <x v="2"/>
    <x v="40"/>
    <x v="0"/>
    <n v="0"/>
    <x v="0"/>
    <n v="0"/>
    <n v="0"/>
    <n v="0"/>
    <x v="0"/>
    <x v="0"/>
    <x v="89"/>
    <n v="0"/>
    <x v="3"/>
    <x v="0"/>
  </r>
  <r>
    <x v="2"/>
    <x v="41"/>
    <x v="0"/>
    <n v="0"/>
    <x v="0"/>
    <n v="0"/>
    <n v="0"/>
    <n v="0"/>
    <x v="0"/>
    <x v="0"/>
    <x v="89"/>
    <n v="0"/>
    <x v="5"/>
    <x v="0"/>
  </r>
  <r>
    <x v="2"/>
    <x v="42"/>
    <x v="469"/>
    <n v="2.48"/>
    <x v="1550"/>
    <n v="4.0599999999999996"/>
    <n v="3.96"/>
    <n v="8.02"/>
    <x v="1560"/>
    <x v="1503"/>
    <x v="89"/>
    <n v="56.000000004"/>
    <x v="2"/>
    <x v="1"/>
  </r>
  <r>
    <x v="2"/>
    <x v="43"/>
    <x v="799"/>
    <n v="4.17"/>
    <x v="1551"/>
    <n v="4.17"/>
    <n v="3.86"/>
    <n v="8.0299999999999994"/>
    <x v="1561"/>
    <x v="1504"/>
    <x v="89"/>
    <n v="95.000000004"/>
    <x v="3"/>
    <x v="1"/>
  </r>
  <r>
    <x v="2"/>
    <x v="44"/>
    <x v="0"/>
    <n v="0"/>
    <x v="0"/>
    <n v="0"/>
    <n v="0"/>
    <n v="0"/>
    <x v="0"/>
    <x v="0"/>
    <x v="89"/>
    <n v="0"/>
    <x v="3"/>
    <x v="0"/>
  </r>
  <r>
    <x v="2"/>
    <x v="46"/>
    <x v="0"/>
    <n v="0"/>
    <x v="0"/>
    <n v="0"/>
    <n v="0"/>
    <n v="0"/>
    <x v="0"/>
    <x v="0"/>
    <x v="89"/>
    <n v="0"/>
    <x v="4"/>
    <x v="0"/>
  </r>
  <r>
    <x v="2"/>
    <x v="47"/>
    <x v="92"/>
    <n v="3.07"/>
    <x v="1552"/>
    <n v="5.68"/>
    <n v="2.35"/>
    <n v="8.0299999999999994"/>
    <x v="1562"/>
    <x v="1505"/>
    <x v="89"/>
    <n v="69"/>
    <x v="5"/>
    <x v="1"/>
  </r>
  <r>
    <x v="2"/>
    <x v="48"/>
    <x v="0"/>
    <n v="0"/>
    <x v="0"/>
    <n v="0"/>
    <n v="0"/>
    <n v="0"/>
    <x v="0"/>
    <x v="0"/>
    <x v="89"/>
    <n v="0"/>
    <x v="6"/>
    <x v="0"/>
  </r>
  <r>
    <x v="2"/>
    <x v="49"/>
    <x v="876"/>
    <n v="4.87"/>
    <x v="1553"/>
    <n v="4.87"/>
    <n v="3.15"/>
    <n v="8.02"/>
    <x v="1563"/>
    <x v="1506"/>
    <x v="89"/>
    <n v="90.879999996000009"/>
    <x v="3"/>
    <x v="1"/>
  </r>
  <r>
    <x v="2"/>
    <x v="50"/>
    <x v="0"/>
    <n v="0"/>
    <x v="0"/>
    <n v="0"/>
    <n v="0"/>
    <n v="0"/>
    <x v="0"/>
    <x v="0"/>
    <x v="89"/>
    <n v="0"/>
    <x v="4"/>
    <x v="0"/>
  </r>
  <r>
    <x v="0"/>
    <x v="0"/>
    <x v="0"/>
    <n v="0"/>
    <x v="0"/>
    <n v="0"/>
    <n v="0"/>
    <n v="0"/>
    <x v="0"/>
    <x v="0"/>
    <x v="90"/>
    <n v="0"/>
    <x v="0"/>
    <x v="0"/>
  </r>
  <r>
    <x v="0"/>
    <x v="1"/>
    <x v="0"/>
    <n v="0"/>
    <x v="0"/>
    <n v="0"/>
    <n v="0"/>
    <n v="0"/>
    <x v="0"/>
    <x v="0"/>
    <x v="90"/>
    <n v="0"/>
    <x v="0"/>
    <x v="0"/>
  </r>
  <r>
    <x v="0"/>
    <x v="2"/>
    <x v="0"/>
    <n v="0"/>
    <x v="0"/>
    <n v="0"/>
    <n v="0"/>
    <n v="0"/>
    <x v="0"/>
    <x v="0"/>
    <x v="90"/>
    <n v="0"/>
    <x v="0"/>
    <x v="0"/>
  </r>
  <r>
    <x v="0"/>
    <x v="3"/>
    <x v="0"/>
    <n v="0"/>
    <x v="0"/>
    <n v="0"/>
    <n v="0"/>
    <n v="0"/>
    <x v="0"/>
    <x v="0"/>
    <x v="90"/>
    <n v="0"/>
    <x v="0"/>
    <x v="0"/>
  </r>
  <r>
    <x v="0"/>
    <x v="4"/>
    <x v="0"/>
    <n v="0"/>
    <x v="0"/>
    <n v="0"/>
    <n v="0"/>
    <n v="0"/>
    <x v="0"/>
    <x v="0"/>
    <x v="90"/>
    <n v="0"/>
    <x v="0"/>
    <x v="0"/>
  </r>
  <r>
    <x v="0"/>
    <x v="5"/>
    <x v="0"/>
    <n v="0"/>
    <x v="0"/>
    <n v="0"/>
    <n v="0"/>
    <n v="0"/>
    <x v="0"/>
    <x v="0"/>
    <x v="90"/>
    <n v="0"/>
    <x v="0"/>
    <x v="0"/>
  </r>
  <r>
    <x v="0"/>
    <x v="6"/>
    <x v="0"/>
    <n v="0"/>
    <x v="0"/>
    <n v="0"/>
    <n v="0"/>
    <n v="0"/>
    <x v="0"/>
    <x v="0"/>
    <x v="90"/>
    <n v="0"/>
    <x v="0"/>
    <x v="0"/>
  </r>
  <r>
    <x v="0"/>
    <x v="7"/>
    <x v="0"/>
    <n v="0"/>
    <x v="0"/>
    <n v="0"/>
    <n v="0"/>
    <n v="0"/>
    <x v="0"/>
    <x v="0"/>
    <x v="90"/>
    <n v="0"/>
    <x v="0"/>
    <x v="0"/>
  </r>
  <r>
    <x v="0"/>
    <x v="8"/>
    <x v="0"/>
    <n v="0"/>
    <x v="0"/>
    <n v="0"/>
    <n v="0"/>
    <n v="0"/>
    <x v="0"/>
    <x v="0"/>
    <x v="90"/>
    <n v="0"/>
    <x v="0"/>
    <x v="0"/>
  </r>
  <r>
    <x v="1"/>
    <x v="9"/>
    <x v="0"/>
    <n v="0"/>
    <x v="0"/>
    <n v="0"/>
    <n v="0"/>
    <n v="0"/>
    <x v="0"/>
    <x v="0"/>
    <x v="90"/>
    <n v="0"/>
    <x v="1"/>
    <x v="0"/>
  </r>
  <r>
    <x v="1"/>
    <x v="10"/>
    <x v="0"/>
    <n v="0"/>
    <x v="0"/>
    <n v="0"/>
    <n v="0"/>
    <n v="0"/>
    <x v="0"/>
    <x v="0"/>
    <x v="90"/>
    <n v="0"/>
    <x v="1"/>
    <x v="0"/>
  </r>
  <r>
    <x v="1"/>
    <x v="11"/>
    <x v="0"/>
    <n v="0"/>
    <x v="0"/>
    <n v="0"/>
    <n v="0"/>
    <n v="0"/>
    <x v="0"/>
    <x v="0"/>
    <x v="90"/>
    <n v="0"/>
    <x v="1"/>
    <x v="0"/>
  </r>
  <r>
    <x v="1"/>
    <x v="12"/>
    <x v="0"/>
    <n v="0"/>
    <x v="0"/>
    <n v="0"/>
    <n v="0"/>
    <n v="0"/>
    <x v="0"/>
    <x v="0"/>
    <x v="90"/>
    <n v="0"/>
    <x v="1"/>
    <x v="0"/>
  </r>
  <r>
    <x v="1"/>
    <x v="13"/>
    <x v="0"/>
    <n v="0"/>
    <x v="0"/>
    <n v="0"/>
    <n v="0"/>
    <n v="0"/>
    <x v="0"/>
    <x v="0"/>
    <x v="90"/>
    <n v="0"/>
    <x v="1"/>
    <x v="0"/>
  </r>
  <r>
    <x v="2"/>
    <x v="14"/>
    <x v="0"/>
    <n v="0"/>
    <x v="0"/>
    <n v="0"/>
    <n v="0"/>
    <n v="0"/>
    <x v="0"/>
    <x v="0"/>
    <x v="90"/>
    <n v="0"/>
    <x v="2"/>
    <x v="0"/>
  </r>
  <r>
    <x v="2"/>
    <x v="15"/>
    <x v="0"/>
    <n v="0"/>
    <x v="0"/>
    <n v="0"/>
    <n v="0"/>
    <n v="0"/>
    <x v="0"/>
    <x v="0"/>
    <x v="90"/>
    <n v="0"/>
    <x v="3"/>
    <x v="0"/>
  </r>
  <r>
    <x v="2"/>
    <x v="16"/>
    <x v="0"/>
    <n v="0"/>
    <x v="0"/>
    <n v="0"/>
    <n v="0"/>
    <n v="0"/>
    <x v="0"/>
    <x v="0"/>
    <x v="90"/>
    <n v="0"/>
    <x v="4"/>
    <x v="0"/>
  </r>
  <r>
    <x v="2"/>
    <x v="17"/>
    <x v="0"/>
    <n v="0"/>
    <x v="0"/>
    <n v="0"/>
    <n v="0"/>
    <n v="0"/>
    <x v="0"/>
    <x v="0"/>
    <x v="90"/>
    <n v="0"/>
    <x v="3"/>
    <x v="0"/>
  </r>
  <r>
    <x v="2"/>
    <x v="18"/>
    <x v="0"/>
    <n v="0"/>
    <x v="0"/>
    <n v="0"/>
    <n v="0"/>
    <n v="0"/>
    <x v="0"/>
    <x v="0"/>
    <x v="90"/>
    <n v="0"/>
    <x v="3"/>
    <x v="0"/>
  </r>
  <r>
    <x v="2"/>
    <x v="19"/>
    <x v="0"/>
    <n v="0"/>
    <x v="0"/>
    <n v="0"/>
    <n v="0"/>
    <n v="0"/>
    <x v="0"/>
    <x v="0"/>
    <x v="90"/>
    <n v="0"/>
    <x v="2"/>
    <x v="0"/>
  </r>
  <r>
    <x v="2"/>
    <x v="20"/>
    <x v="0"/>
    <n v="0"/>
    <x v="0"/>
    <n v="0"/>
    <n v="0"/>
    <n v="0"/>
    <x v="0"/>
    <x v="0"/>
    <x v="90"/>
    <n v="0"/>
    <x v="5"/>
    <x v="0"/>
  </r>
  <r>
    <x v="2"/>
    <x v="21"/>
    <x v="0"/>
    <n v="0"/>
    <x v="0"/>
    <n v="0"/>
    <n v="0"/>
    <n v="0"/>
    <x v="0"/>
    <x v="0"/>
    <x v="90"/>
    <n v="0"/>
    <x v="2"/>
    <x v="0"/>
  </r>
  <r>
    <x v="2"/>
    <x v="22"/>
    <x v="0"/>
    <n v="0"/>
    <x v="0"/>
    <n v="0"/>
    <n v="0"/>
    <n v="0"/>
    <x v="0"/>
    <x v="0"/>
    <x v="90"/>
    <n v="0"/>
    <x v="4"/>
    <x v="0"/>
  </r>
  <r>
    <x v="2"/>
    <x v="23"/>
    <x v="0"/>
    <n v="0"/>
    <x v="0"/>
    <n v="0"/>
    <n v="0"/>
    <n v="0"/>
    <x v="0"/>
    <x v="0"/>
    <x v="90"/>
    <n v="0"/>
    <x v="3"/>
    <x v="0"/>
  </r>
  <r>
    <x v="2"/>
    <x v="24"/>
    <x v="0"/>
    <n v="0"/>
    <x v="0"/>
    <n v="0"/>
    <n v="0"/>
    <n v="0"/>
    <x v="0"/>
    <x v="0"/>
    <x v="90"/>
    <n v="0"/>
    <x v="5"/>
    <x v="0"/>
  </r>
  <r>
    <x v="2"/>
    <x v="25"/>
    <x v="0"/>
    <n v="0"/>
    <x v="0"/>
    <n v="0"/>
    <n v="0"/>
    <n v="0"/>
    <x v="0"/>
    <x v="0"/>
    <x v="90"/>
    <n v="0"/>
    <x v="2"/>
    <x v="0"/>
  </r>
  <r>
    <x v="2"/>
    <x v="26"/>
    <x v="0"/>
    <n v="0"/>
    <x v="0"/>
    <n v="0"/>
    <n v="0"/>
    <n v="0"/>
    <x v="0"/>
    <x v="0"/>
    <x v="90"/>
    <n v="0"/>
    <x v="3"/>
    <x v="0"/>
  </r>
  <r>
    <x v="2"/>
    <x v="27"/>
    <x v="0"/>
    <n v="0"/>
    <x v="0"/>
    <n v="0"/>
    <n v="0"/>
    <n v="0"/>
    <x v="0"/>
    <x v="0"/>
    <x v="90"/>
    <n v="0"/>
    <x v="5"/>
    <x v="0"/>
  </r>
  <r>
    <x v="2"/>
    <x v="29"/>
    <x v="0"/>
    <n v="0"/>
    <x v="0"/>
    <n v="0"/>
    <n v="0"/>
    <n v="0"/>
    <x v="0"/>
    <x v="0"/>
    <x v="90"/>
    <n v="0"/>
    <x v="5"/>
    <x v="0"/>
  </r>
  <r>
    <x v="2"/>
    <x v="30"/>
    <x v="0"/>
    <n v="0"/>
    <x v="0"/>
    <n v="0"/>
    <n v="0"/>
    <n v="0"/>
    <x v="0"/>
    <x v="0"/>
    <x v="90"/>
    <n v="0"/>
    <x v="5"/>
    <x v="0"/>
  </r>
  <r>
    <x v="2"/>
    <x v="31"/>
    <x v="0"/>
    <n v="0"/>
    <x v="0"/>
    <n v="0"/>
    <n v="0"/>
    <n v="0"/>
    <x v="0"/>
    <x v="0"/>
    <x v="90"/>
    <n v="0"/>
    <x v="2"/>
    <x v="0"/>
  </r>
  <r>
    <x v="2"/>
    <x v="32"/>
    <x v="0"/>
    <n v="0"/>
    <x v="0"/>
    <n v="0"/>
    <n v="0"/>
    <n v="0"/>
    <x v="0"/>
    <x v="0"/>
    <x v="90"/>
    <n v="0"/>
    <x v="3"/>
    <x v="0"/>
  </r>
  <r>
    <x v="2"/>
    <x v="33"/>
    <x v="0"/>
    <n v="0"/>
    <x v="0"/>
    <n v="0"/>
    <n v="0"/>
    <n v="0"/>
    <x v="0"/>
    <x v="0"/>
    <x v="90"/>
    <n v="0"/>
    <x v="3"/>
    <x v="0"/>
  </r>
  <r>
    <x v="2"/>
    <x v="34"/>
    <x v="0"/>
    <n v="0"/>
    <x v="0"/>
    <n v="0"/>
    <n v="0"/>
    <n v="0"/>
    <x v="0"/>
    <x v="0"/>
    <x v="90"/>
    <n v="0"/>
    <x v="4"/>
    <x v="0"/>
  </r>
  <r>
    <x v="2"/>
    <x v="35"/>
    <x v="0"/>
    <n v="0"/>
    <x v="0"/>
    <n v="0"/>
    <n v="0"/>
    <n v="0"/>
    <x v="0"/>
    <x v="0"/>
    <x v="90"/>
    <n v="0"/>
    <x v="2"/>
    <x v="0"/>
  </r>
  <r>
    <x v="2"/>
    <x v="36"/>
    <x v="0"/>
    <n v="0"/>
    <x v="0"/>
    <n v="0"/>
    <n v="0"/>
    <n v="0"/>
    <x v="0"/>
    <x v="0"/>
    <x v="90"/>
    <n v="0"/>
    <x v="4"/>
    <x v="0"/>
  </r>
  <r>
    <x v="2"/>
    <x v="37"/>
    <x v="0"/>
    <n v="0"/>
    <x v="0"/>
    <n v="0"/>
    <n v="0"/>
    <n v="0"/>
    <x v="0"/>
    <x v="0"/>
    <x v="90"/>
    <n v="0"/>
    <x v="4"/>
    <x v="0"/>
  </r>
  <r>
    <x v="2"/>
    <x v="38"/>
    <x v="0"/>
    <n v="0"/>
    <x v="0"/>
    <n v="0"/>
    <n v="0"/>
    <n v="0"/>
    <x v="0"/>
    <x v="0"/>
    <x v="90"/>
    <n v="0"/>
    <x v="2"/>
    <x v="0"/>
  </r>
  <r>
    <x v="2"/>
    <x v="39"/>
    <x v="0"/>
    <n v="0"/>
    <x v="0"/>
    <n v="0"/>
    <n v="0"/>
    <n v="0"/>
    <x v="0"/>
    <x v="0"/>
    <x v="90"/>
    <n v="0"/>
    <x v="2"/>
    <x v="0"/>
  </r>
  <r>
    <x v="2"/>
    <x v="40"/>
    <x v="0"/>
    <n v="0"/>
    <x v="0"/>
    <n v="0"/>
    <n v="0"/>
    <n v="0"/>
    <x v="0"/>
    <x v="0"/>
    <x v="90"/>
    <n v="0"/>
    <x v="3"/>
    <x v="0"/>
  </r>
  <r>
    <x v="2"/>
    <x v="41"/>
    <x v="0"/>
    <n v="0"/>
    <x v="0"/>
    <n v="0"/>
    <n v="0"/>
    <n v="0"/>
    <x v="0"/>
    <x v="0"/>
    <x v="90"/>
    <n v="0"/>
    <x v="5"/>
    <x v="0"/>
  </r>
  <r>
    <x v="2"/>
    <x v="42"/>
    <x v="0"/>
    <n v="0"/>
    <x v="0"/>
    <n v="0"/>
    <n v="0"/>
    <n v="0"/>
    <x v="0"/>
    <x v="0"/>
    <x v="90"/>
    <n v="0"/>
    <x v="2"/>
    <x v="0"/>
  </r>
  <r>
    <x v="2"/>
    <x v="43"/>
    <x v="0"/>
    <n v="0"/>
    <x v="0"/>
    <n v="0"/>
    <n v="0"/>
    <n v="0"/>
    <x v="0"/>
    <x v="0"/>
    <x v="90"/>
    <n v="0"/>
    <x v="3"/>
    <x v="0"/>
  </r>
  <r>
    <x v="2"/>
    <x v="44"/>
    <x v="0"/>
    <n v="0"/>
    <x v="0"/>
    <n v="0"/>
    <n v="0"/>
    <n v="0"/>
    <x v="0"/>
    <x v="0"/>
    <x v="90"/>
    <n v="0"/>
    <x v="3"/>
    <x v="0"/>
  </r>
  <r>
    <x v="2"/>
    <x v="45"/>
    <x v="0"/>
    <n v="0"/>
    <x v="0"/>
    <n v="0"/>
    <n v="0"/>
    <n v="0"/>
    <x v="0"/>
    <x v="0"/>
    <x v="90"/>
    <n v="0"/>
    <x v="4"/>
    <x v="0"/>
  </r>
  <r>
    <x v="2"/>
    <x v="46"/>
    <x v="0"/>
    <n v="0"/>
    <x v="0"/>
    <n v="0"/>
    <n v="0"/>
    <n v="0"/>
    <x v="0"/>
    <x v="0"/>
    <x v="90"/>
    <n v="0"/>
    <x v="4"/>
    <x v="0"/>
  </r>
  <r>
    <x v="2"/>
    <x v="47"/>
    <x v="0"/>
    <n v="0"/>
    <x v="0"/>
    <n v="0"/>
    <n v="0"/>
    <n v="0"/>
    <x v="0"/>
    <x v="0"/>
    <x v="90"/>
    <n v="0"/>
    <x v="5"/>
    <x v="0"/>
  </r>
  <r>
    <x v="2"/>
    <x v="48"/>
    <x v="0"/>
    <n v="0"/>
    <x v="0"/>
    <n v="0"/>
    <n v="0"/>
    <n v="0"/>
    <x v="0"/>
    <x v="0"/>
    <x v="90"/>
    <n v="0"/>
    <x v="6"/>
    <x v="0"/>
  </r>
  <r>
    <x v="2"/>
    <x v="49"/>
    <x v="0"/>
    <n v="0"/>
    <x v="0"/>
    <n v="0"/>
    <n v="0"/>
    <n v="0"/>
    <x v="0"/>
    <x v="0"/>
    <x v="90"/>
    <n v="0"/>
    <x v="3"/>
    <x v="0"/>
  </r>
  <r>
    <x v="2"/>
    <x v="50"/>
    <x v="0"/>
    <n v="0"/>
    <x v="0"/>
    <n v="0"/>
    <n v="0"/>
    <n v="0"/>
    <x v="0"/>
    <x v="0"/>
    <x v="90"/>
    <n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065E4-AAAB-4E12-AA36-5DC8CED0A633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showHeaders="0" outline="1" outlineData="1" multipleFieldFilters="0">
  <location ref="A3:J53" firstHeaderRow="0" firstDataRow="1" firstDataCol="1" rowPageCount="1" colPageCount="1"/>
  <pivotFields count="16">
    <pivotField showAll="0"/>
    <pivotField axis="axisRow" showAll="0">
      <items count="52">
        <item x="6"/>
        <item x="4"/>
        <item x="8"/>
        <item x="0"/>
        <item x="3"/>
        <item x="2"/>
        <item x="1"/>
        <item x="7"/>
        <item x="5"/>
        <item x="10"/>
        <item x="11"/>
        <item x="9"/>
        <item x="13"/>
        <item x="12"/>
        <item x="17"/>
        <item x="18"/>
        <item x="23"/>
        <item x="27"/>
        <item x="43"/>
        <item x="14"/>
        <item x="15"/>
        <item x="20"/>
        <item x="34"/>
        <item x="40"/>
        <item x="47"/>
        <item x="49"/>
        <item x="38"/>
        <item x="44"/>
        <item x="45"/>
        <item x="32"/>
        <item x="50"/>
        <item x="37"/>
        <item x="16"/>
        <item x="22"/>
        <item x="26"/>
        <item x="33"/>
        <item x="42"/>
        <item x="30"/>
        <item x="36"/>
        <item x="41"/>
        <item x="31"/>
        <item x="46"/>
        <item x="39"/>
        <item x="29"/>
        <item x="24"/>
        <item x="35"/>
        <item x="25"/>
        <item x="19"/>
        <item x="21"/>
        <item x="48"/>
        <item x="28"/>
        <item t="default"/>
      </items>
    </pivotField>
    <pivotField dataField="1" showAll="0"/>
    <pivotField dataField="1" showAll="0"/>
    <pivotField dataField="1" numFmtId="10" showAll="0"/>
    <pivotField dataField="1" showAll="0"/>
    <pivotField dataField="1" showAll="0"/>
    <pivotField dataField="1" showAll="0"/>
    <pivotField dataField="1" numFmtId="10" showAll="0"/>
    <pivotField dataField="1"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showAll="0"/>
    <pivotField showAll="0"/>
    <pivotField axis="axisPage" showAll="0">
      <items count="3"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3" item="1" hier="-1"/>
  </pageFields>
  <dataFields count="9">
    <dataField name="加總 - 售出工時" fld="2" baseField="0" baseItem="0"/>
    <dataField name="平均值 - FRU" fld="11" subtotal="average" baseField="1" baseItem="0"/>
    <dataField name="平均值 - 利用率" fld="9" subtotal="average" baseField="1" baseItem="0"/>
    <dataField name="平均值 - 生產率" fld="8" subtotal="average" baseField="1" baseItem="0"/>
    <dataField name="加總 - 上班時間" fld="7" baseField="0" baseItem="0"/>
    <dataField name="加總 - 怠工時間" fld="6" baseField="0" baseItem="0"/>
    <dataField name="加總 - 維修時間" fld="5" baseField="0" baseItem="0"/>
    <dataField name="平均值 - 效率" fld="4" subtotal="average" baseField="1" baseItem="0"/>
    <dataField name="加總 - 所花費時間" fld="3" baseField="0" baseItem="0"/>
  </dataFields>
  <conditionalFormats count="9"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7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8"/>
            </reference>
            <reference field="1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C7F5D-95AD-41F4-8B77-7CC7F25E5943}" name="樞紐分析表22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8" indent="0" outline="1" outlineData="1" multipleFieldFilters="0" chartFormat="7">
  <location ref="V1:X9" firstHeaderRow="0" firstDataRow="1" firstDataCol="1"/>
  <pivotFields count="16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0" showAll="0"/>
    <pivotField showAll="0"/>
    <pivotField dataField="1" showAll="0"/>
    <pivotField dataField="1" showAll="0"/>
    <pivotField numFmtId="10" showAll="0"/>
    <pivotField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axis="axisRow" showAll="0">
      <items count="8">
        <item x="2"/>
        <item x="5"/>
        <item x="4"/>
        <item x="3"/>
        <item x="6"/>
        <item x="1"/>
        <item x="0"/>
        <item t="default"/>
      </items>
    </pivotField>
    <pivotField showAll="0"/>
    <pivotField showAll="0" defaultSubtotal="0"/>
    <pivotField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怠工時間" fld="6" baseField="0" baseItem="0"/>
    <dataField name="加總 - 上班時間" fld="7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B703F-A8B9-48A1-AC7A-FBF12A98B3C7}" name="樞紐分析表21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8" indent="0" outline="1" outlineData="1" multipleFieldFilters="0" chartFormat="5">
  <location ref="S3:T7" firstHeaderRow="1" firstDataRow="1" firstDataCol="1" rowPageCount="1" colPageCount="1"/>
  <pivotFields count="16"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numFmtId="10" showAll="0"/>
    <pivotField dataField="1"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>
      <items count="8">
        <item x="2"/>
        <item x="5"/>
        <item x="4"/>
        <item x="3"/>
        <item x="6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1" hier="-1"/>
  </pageFields>
  <dataFields count="1">
    <dataField name="平均值 - 利用率" fld="9" subtotal="average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A0E77-665A-42F6-A75E-9C763E6209CA}" name="樞紐分析表16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8" indent="0" outline="1" outlineData="1" multipleFieldFilters="0">
  <location ref="A3:C53" firstHeaderRow="0" firstDataRow="1" firstDataCol="1" rowPageCount="1" colPageCount="1"/>
  <pivotFields count="16">
    <pivotField showAll="0">
      <items count="4">
        <item x="2"/>
        <item x="1"/>
        <item x="0"/>
        <item t="default"/>
      </items>
    </pivotField>
    <pivotField axis="axisRow" showAll="0">
      <items count="52">
        <item x="6"/>
        <item x="4"/>
        <item x="8"/>
        <item x="0"/>
        <item x="3"/>
        <item x="2"/>
        <item x="1"/>
        <item x="7"/>
        <item x="5"/>
        <item x="10"/>
        <item x="11"/>
        <item x="9"/>
        <item x="13"/>
        <item x="12"/>
        <item x="17"/>
        <item x="18"/>
        <item x="23"/>
        <item x="27"/>
        <item x="43"/>
        <item x="14"/>
        <item x="15"/>
        <item x="20"/>
        <item x="34"/>
        <item x="40"/>
        <item x="47"/>
        <item x="49"/>
        <item x="38"/>
        <item x="44"/>
        <item x="45"/>
        <item x="32"/>
        <item x="50"/>
        <item x="37"/>
        <item x="16"/>
        <item x="22"/>
        <item x="26"/>
        <item x="33"/>
        <item x="42"/>
        <item x="30"/>
        <item x="36"/>
        <item x="41"/>
        <item x="31"/>
        <item x="46"/>
        <item x="39"/>
        <item x="29"/>
        <item x="24"/>
        <item x="35"/>
        <item x="25"/>
        <item x="19"/>
        <item x="21"/>
        <item x="48"/>
        <item x="28"/>
        <item t="default"/>
      </items>
    </pivotField>
    <pivotField dataField="1" showAll="0">
      <items count="878">
        <item x="0"/>
        <item x="491"/>
        <item x="9"/>
        <item x="127"/>
        <item x="250"/>
        <item x="393"/>
        <item x="494"/>
        <item x="607"/>
        <item x="124"/>
        <item x="789"/>
        <item x="661"/>
        <item x="8"/>
        <item x="794"/>
        <item x="38"/>
        <item x="603"/>
        <item x="764"/>
        <item x="7"/>
        <item x="707"/>
        <item x="659"/>
        <item x="135"/>
        <item x="307"/>
        <item x="872"/>
        <item x="226"/>
        <item x="737"/>
        <item x="463"/>
        <item x="45"/>
        <item x="710"/>
        <item x="625"/>
        <item x="206"/>
        <item x="559"/>
        <item x="118"/>
        <item x="201"/>
        <item x="758"/>
        <item x="645"/>
        <item x="13"/>
        <item x="795"/>
        <item x="213"/>
        <item x="334"/>
        <item x="386"/>
        <item x="6"/>
        <item x="176"/>
        <item x="849"/>
        <item x="62"/>
        <item x="193"/>
        <item x="11"/>
        <item x="472"/>
        <item x="369"/>
        <item x="68"/>
        <item x="364"/>
        <item x="744"/>
        <item x="636"/>
        <item x="269"/>
        <item x="199"/>
        <item x="345"/>
        <item x="147"/>
        <item x="80"/>
        <item x="809"/>
        <item x="352"/>
        <item x="82"/>
        <item x="4"/>
        <item x="104"/>
        <item x="858"/>
        <item x="762"/>
        <item x="125"/>
        <item x="579"/>
        <item x="129"/>
        <item x="381"/>
        <item x="720"/>
        <item x="360"/>
        <item x="853"/>
        <item x="434"/>
        <item x="783"/>
        <item x="212"/>
        <item x="368"/>
        <item x="378"/>
        <item x="178"/>
        <item x="587"/>
        <item x="2"/>
        <item x="89"/>
        <item x="181"/>
        <item x="86"/>
        <item x="489"/>
        <item x="300"/>
        <item x="228"/>
        <item x="65"/>
        <item x="107"/>
        <item x="239"/>
        <item x="122"/>
        <item x="317"/>
        <item x="544"/>
        <item x="541"/>
        <item x="79"/>
        <item x="628"/>
        <item x="187"/>
        <item x="155"/>
        <item x="598"/>
        <item x="590"/>
        <item x="521"/>
        <item x="776"/>
        <item x="341"/>
        <item x="761"/>
        <item x="671"/>
        <item x="3"/>
        <item x="843"/>
        <item x="496"/>
        <item x="653"/>
        <item x="286"/>
        <item x="804"/>
        <item x="459"/>
        <item x="5"/>
        <item x="335"/>
        <item x="865"/>
        <item x="801"/>
        <item x="679"/>
        <item x="830"/>
        <item x="161"/>
        <item x="635"/>
        <item x="133"/>
        <item x="596"/>
        <item x="731"/>
        <item x="576"/>
        <item x="815"/>
        <item x="705"/>
        <item x="732"/>
        <item x="169"/>
        <item x="698"/>
        <item x="279"/>
        <item x="696"/>
        <item x="21"/>
        <item x="651"/>
        <item x="56"/>
        <item x="44"/>
        <item x="600"/>
        <item x="668"/>
        <item x="733"/>
        <item x="138"/>
        <item x="305"/>
        <item x="701"/>
        <item x="272"/>
        <item x="132"/>
        <item x="322"/>
        <item x="622"/>
        <item x="63"/>
        <item x="788"/>
        <item x="353"/>
        <item x="1"/>
        <item x="29"/>
        <item x="175"/>
        <item x="513"/>
        <item x="214"/>
        <item x="811"/>
        <item x="480"/>
        <item x="33"/>
        <item x="473"/>
        <item x="627"/>
        <item x="619"/>
        <item x="807"/>
        <item x="347"/>
        <item x="597"/>
        <item x="123"/>
        <item x="374"/>
        <item x="302"/>
        <item x="844"/>
        <item x="702"/>
        <item x="59"/>
        <item x="75"/>
        <item x="152"/>
        <item x="349"/>
        <item x="232"/>
        <item x="53"/>
        <item x="235"/>
        <item x="448"/>
        <item x="131"/>
        <item x="297"/>
        <item x="767"/>
        <item x="103"/>
        <item x="52"/>
        <item x="552"/>
        <item x="332"/>
        <item x="456"/>
        <item x="498"/>
        <item x="288"/>
        <item x="454"/>
        <item x="536"/>
        <item x="614"/>
        <item x="839"/>
        <item x="301"/>
        <item x="188"/>
        <item x="121"/>
        <item x="609"/>
        <item x="570"/>
        <item x="735"/>
        <item x="548"/>
        <item x="772"/>
        <item x="554"/>
        <item x="24"/>
        <item x="612"/>
        <item x="593"/>
        <item x="30"/>
        <item x="230"/>
        <item x="583"/>
        <item x="47"/>
        <item x="331"/>
        <item x="330"/>
        <item x="106"/>
        <item x="158"/>
        <item x="532"/>
        <item x="270"/>
        <item x="470"/>
        <item x="243"/>
        <item x="739"/>
        <item x="46"/>
        <item x="395"/>
        <item x="866"/>
        <item x="258"/>
        <item x="153"/>
        <item x="140"/>
        <item x="712"/>
        <item x="582"/>
        <item x="551"/>
        <item x="202"/>
        <item x="409"/>
        <item x="12"/>
        <item x="823"/>
        <item x="555"/>
        <item x="351"/>
        <item x="41"/>
        <item x="26"/>
        <item x="372"/>
        <item x="560"/>
        <item x="556"/>
        <item x="460"/>
        <item x="648"/>
        <item x="867"/>
        <item x="829"/>
        <item x="387"/>
        <item x="22"/>
        <item x="388"/>
        <item x="185"/>
        <item x="666"/>
        <item x="514"/>
        <item x="481"/>
        <item x="34"/>
        <item x="289"/>
        <item x="249"/>
        <item x="516"/>
        <item x="385"/>
        <item x="447"/>
        <item x="189"/>
        <item x="241"/>
        <item x="565"/>
        <item x="165"/>
        <item x="380"/>
        <item x="204"/>
        <item x="126"/>
        <item x="685"/>
        <item x="800"/>
        <item x="180"/>
        <item x="805"/>
        <item x="562"/>
        <item x="311"/>
        <item x="766"/>
        <item x="220"/>
        <item x="411"/>
        <item x="768"/>
        <item x="108"/>
        <item x="237"/>
        <item x="375"/>
        <item x="647"/>
        <item x="721"/>
        <item x="32"/>
        <item x="503"/>
        <item x="196"/>
        <item x="344"/>
        <item x="93"/>
        <item x="430"/>
        <item x="487"/>
        <item x="708"/>
        <item x="396"/>
        <item x="802"/>
        <item x="751"/>
        <item x="58"/>
        <item x="240"/>
        <item x="227"/>
        <item x="15"/>
        <item x="450"/>
        <item x="495"/>
        <item x="264"/>
        <item x="508"/>
        <item x="276"/>
        <item x="581"/>
        <item x="399"/>
        <item x="105"/>
        <item x="77"/>
        <item x="497"/>
        <item x="602"/>
        <item x="313"/>
        <item x="186"/>
        <item x="682"/>
        <item x="684"/>
        <item x="790"/>
        <item x="873"/>
        <item x="146"/>
        <item x="486"/>
        <item x="568"/>
        <item x="191"/>
        <item x="419"/>
        <item x="190"/>
        <item x="318"/>
        <item x="119"/>
        <item x="365"/>
        <item x="832"/>
        <item x="828"/>
        <item x="675"/>
        <item x="219"/>
        <item x="184"/>
        <item x="195"/>
        <item x="687"/>
        <item x="435"/>
        <item x="782"/>
        <item x="421"/>
        <item x="260"/>
        <item x="573"/>
        <item x="218"/>
        <item x="624"/>
        <item x="700"/>
        <item x="87"/>
        <item x="655"/>
        <item x="100"/>
        <item x="376"/>
        <item x="229"/>
        <item x="346"/>
        <item x="714"/>
        <item x="94"/>
        <item x="177"/>
        <item x="423"/>
        <item x="150"/>
        <item x="342"/>
        <item x="557"/>
        <item x="784"/>
        <item x="856"/>
        <item x="654"/>
        <item x="445"/>
        <item x="329"/>
        <item x="571"/>
        <item x="143"/>
        <item x="403"/>
        <item x="76"/>
        <item x="793"/>
        <item x="48"/>
        <item x="401"/>
        <item x="678"/>
        <item x="690"/>
        <item x="585"/>
        <item x="633"/>
        <item x="840"/>
        <item x="319"/>
        <item x="70"/>
        <item x="285"/>
        <item x="769"/>
        <item x="284"/>
        <item x="680"/>
        <item x="154"/>
        <item x="561"/>
        <item x="74"/>
        <item x="663"/>
        <item x="779"/>
        <item x="522"/>
        <item x="452"/>
        <item x="113"/>
        <item x="527"/>
        <item x="605"/>
        <item x="283"/>
        <item x="727"/>
        <item x="99"/>
        <item x="469"/>
        <item x="642"/>
        <item x="245"/>
        <item x="543"/>
        <item x="292"/>
        <item x="717"/>
        <item x="84"/>
        <item x="328"/>
        <item x="18"/>
        <item x="215"/>
        <item x="355"/>
        <item x="681"/>
        <item x="525"/>
        <item x="657"/>
        <item x="282"/>
        <item x="875"/>
        <item x="826"/>
        <item x="149"/>
        <item x="429"/>
        <item x="73"/>
        <item x="197"/>
        <item x="217"/>
        <item x="471"/>
        <item x="530"/>
        <item x="857"/>
        <item x="333"/>
        <item x="433"/>
        <item x="785"/>
        <item x="667"/>
        <item x="16"/>
        <item x="755"/>
        <item x="859"/>
        <item x="575"/>
        <item x="78"/>
        <item x="303"/>
        <item x="736"/>
        <item x="709"/>
        <item x="650"/>
        <item x="294"/>
        <item x="818"/>
        <item x="847"/>
        <item x="816"/>
        <item x="545"/>
        <item x="468"/>
        <item x="813"/>
        <item x="61"/>
        <item x="499"/>
        <item x="255"/>
        <item x="321"/>
        <item x="846"/>
        <item x="703"/>
        <item x="686"/>
        <item x="506"/>
        <item x="827"/>
        <item x="845"/>
        <item x="110"/>
        <item x="273"/>
        <item x="323"/>
        <item x="604"/>
        <item x="91"/>
        <item x="172"/>
        <item x="54"/>
        <item x="517"/>
        <item x="630"/>
        <item x="831"/>
        <item x="754"/>
        <item x="688"/>
        <item x="446"/>
        <item x="863"/>
        <item x="28"/>
        <item x="306"/>
        <item x="412"/>
        <item x="512"/>
        <item x="564"/>
        <item x="173"/>
        <item x="384"/>
        <item x="660"/>
        <item x="174"/>
        <item x="558"/>
        <item x="69"/>
        <item x="656"/>
        <item x="92"/>
        <item x="643"/>
        <item x="97"/>
        <item x="422"/>
        <item x="458"/>
        <item x="362"/>
        <item x="842"/>
        <item x="157"/>
        <item x="408"/>
        <item x="621"/>
        <item x="340"/>
        <item x="60"/>
        <item x="724"/>
        <item x="618"/>
        <item x="142"/>
        <item x="546"/>
        <item x="164"/>
        <item x="327"/>
        <item x="492"/>
        <item x="781"/>
        <item x="404"/>
        <item x="507"/>
        <item x="504"/>
        <item x="639"/>
        <item x="361"/>
        <item x="693"/>
        <item x="159"/>
        <item x="390"/>
        <item x="36"/>
        <item x="616"/>
        <item x="278"/>
        <item x="101"/>
        <item x="786"/>
        <item x="224"/>
        <item x="296"/>
        <item x="860"/>
        <item x="96"/>
        <item x="638"/>
        <item x="792"/>
        <item x="738"/>
        <item x="466"/>
        <item x="281"/>
        <item x="139"/>
        <item x="211"/>
        <item x="416"/>
        <item x="287"/>
        <item x="586"/>
        <item x="444"/>
        <item x="162"/>
        <item x="617"/>
        <item x="406"/>
        <item x="820"/>
        <item x="713"/>
        <item x="825"/>
        <item x="722"/>
        <item x="183"/>
        <item x="528"/>
        <item x="502"/>
        <item x="414"/>
        <item x="198"/>
        <item x="584"/>
        <item x="168"/>
        <item x="418"/>
        <item x="275"/>
        <item x="324"/>
        <item x="43"/>
        <item x="222"/>
        <item x="711"/>
        <item x="266"/>
        <item x="166"/>
        <item x="112"/>
        <item x="787"/>
        <item x="151"/>
        <item x="83"/>
        <item x="402"/>
        <item x="691"/>
        <item x="756"/>
        <item x="156"/>
        <item x="42"/>
        <item x="326"/>
        <item x="98"/>
        <item x="580"/>
        <item x="752"/>
        <item x="674"/>
        <item x="426"/>
        <item x="274"/>
        <item x="594"/>
        <item x="796"/>
        <item x="808"/>
        <item x="634"/>
        <item x="817"/>
        <item x="449"/>
        <item x="95"/>
        <item x="442"/>
        <item x="871"/>
        <item x="533"/>
        <item x="689"/>
        <item x="244"/>
        <item x="350"/>
        <item x="547"/>
        <item x="747"/>
        <item x="141"/>
        <item x="692"/>
        <item x="432"/>
        <item x="810"/>
        <item x="428"/>
        <item x="248"/>
        <item x="646"/>
        <item x="770"/>
        <item x="67"/>
        <item x="453"/>
        <item x="120"/>
        <item x="644"/>
        <item x="539"/>
        <item x="718"/>
        <item x="538"/>
        <item x="716"/>
        <item x="876"/>
        <item x="57"/>
        <item x="291"/>
        <item x="392"/>
        <item x="379"/>
        <item x="549"/>
        <item x="591"/>
        <item x="606"/>
        <item x="394"/>
        <item x="167"/>
        <item x="370"/>
        <item x="231"/>
        <item x="613"/>
        <item x="572"/>
        <item x="835"/>
        <item x="505"/>
        <item x="398"/>
        <item x="253"/>
        <item x="812"/>
        <item x="441"/>
        <item x="81"/>
        <item x="740"/>
        <item x="111"/>
        <item x="799"/>
        <item x="309"/>
        <item x="553"/>
        <item x="574"/>
        <item x="519"/>
        <item x="55"/>
        <item x="588"/>
        <item x="339"/>
        <item x="537"/>
        <item x="170"/>
        <item x="455"/>
        <item x="501"/>
        <item x="750"/>
        <item x="267"/>
        <item x="706"/>
        <item x="268"/>
        <item x="631"/>
        <item x="256"/>
        <item x="589"/>
        <item x="595"/>
        <item x="19"/>
        <item x="194"/>
        <item x="128"/>
        <item x="216"/>
        <item x="567"/>
        <item x="50"/>
        <item x="320"/>
        <item x="484"/>
        <item x="629"/>
        <item x="338"/>
        <item x="852"/>
        <item x="563"/>
        <item x="290"/>
        <item x="405"/>
        <item x="461"/>
        <item x="797"/>
        <item x="425"/>
        <item x="35"/>
        <item x="431"/>
        <item x="407"/>
        <item x="233"/>
        <item x="114"/>
        <item x="509"/>
        <item x="39"/>
        <item x="314"/>
        <item x="223"/>
        <item x="836"/>
        <item x="715"/>
        <item x="510"/>
        <item x="417"/>
        <item x="27"/>
        <item x="25"/>
        <item x="207"/>
        <item x="524"/>
        <item x="424"/>
        <item x="439"/>
        <item x="348"/>
        <item x="520"/>
        <item x="814"/>
        <item x="608"/>
        <item x="851"/>
        <item x="760"/>
        <item x="778"/>
        <item x="664"/>
        <item x="254"/>
        <item x="474"/>
        <item x="20"/>
        <item x="308"/>
        <item x="695"/>
        <item x="623"/>
        <item x="259"/>
        <item x="749"/>
        <item x="493"/>
        <item x="137"/>
        <item x="694"/>
        <item x="465"/>
        <item x="637"/>
        <item x="518"/>
        <item x="415"/>
        <item x="373"/>
        <item x="824"/>
        <item x="192"/>
        <item x="669"/>
        <item x="17"/>
        <item x="511"/>
        <item x="102"/>
        <item x="280"/>
        <item x="265"/>
        <item x="310"/>
        <item x="748"/>
        <item x="462"/>
        <item x="438"/>
        <item x="14"/>
        <item x="850"/>
        <item x="354"/>
        <item x="457"/>
        <item x="869"/>
        <item x="436"/>
        <item x="90"/>
        <item x="391"/>
        <item x="488"/>
        <item x="145"/>
        <item x="316"/>
        <item x="10"/>
        <item x="759"/>
        <item x="337"/>
        <item x="723"/>
        <item x="874"/>
        <item x="534"/>
        <item x="641"/>
        <item x="658"/>
        <item x="670"/>
        <item x="753"/>
        <item x="861"/>
        <item x="242"/>
        <item x="377"/>
        <item x="366"/>
        <item x="203"/>
        <item x="261"/>
        <item x="500"/>
        <item x="822"/>
        <item x="115"/>
        <item x="476"/>
        <item x="833"/>
        <item x="262"/>
        <item x="427"/>
        <item x="312"/>
        <item x="632"/>
        <item x="251"/>
        <item x="601"/>
        <item x="535"/>
        <item x="592"/>
        <item x="798"/>
        <item x="599"/>
        <item x="620"/>
        <item x="400"/>
        <item x="699"/>
        <item x="640"/>
        <item x="51"/>
        <item x="774"/>
        <item x="205"/>
        <item x="277"/>
        <item x="209"/>
        <item x="729"/>
        <item x="293"/>
        <item x="742"/>
        <item x="531"/>
        <item x="746"/>
        <item x="475"/>
        <item x="780"/>
        <item x="672"/>
        <item x="160"/>
        <item x="443"/>
        <item x="357"/>
        <item x="295"/>
        <item x="837"/>
        <item x="626"/>
        <item x="413"/>
        <item x="529"/>
        <item x="31"/>
        <item x="148"/>
        <item x="757"/>
        <item x="299"/>
        <item x="673"/>
        <item x="208"/>
        <item x="477"/>
        <item x="819"/>
        <item x="117"/>
        <item x="821"/>
        <item x="734"/>
        <item x="437"/>
        <item x="515"/>
        <item x="550"/>
        <item x="478"/>
        <item x="116"/>
        <item x="200"/>
        <item x="420"/>
        <item x="479"/>
        <item x="773"/>
        <item x="179"/>
        <item x="130"/>
        <item x="363"/>
        <item x="683"/>
        <item x="526"/>
        <item x="252"/>
        <item x="615"/>
        <item x="371"/>
        <item x="676"/>
        <item x="726"/>
        <item x="775"/>
        <item x="578"/>
        <item x="467"/>
        <item x="221"/>
        <item x="37"/>
        <item x="662"/>
        <item x="383"/>
        <item x="763"/>
        <item x="719"/>
        <item x="485"/>
        <item x="343"/>
        <item x="745"/>
        <item x="848"/>
        <item x="72"/>
        <item x="841"/>
        <item x="771"/>
        <item x="566"/>
        <item x="136"/>
        <item x="440"/>
        <item x="410"/>
        <item x="236"/>
        <item x="834"/>
        <item x="862"/>
        <item x="234"/>
        <item x="238"/>
        <item x="40"/>
        <item x="325"/>
        <item x="66"/>
        <item x="483"/>
        <item x="464"/>
        <item x="356"/>
        <item x="777"/>
        <item x="397"/>
        <item x="854"/>
        <item x="367"/>
        <item x="540"/>
        <item x="359"/>
        <item x="247"/>
        <item x="451"/>
        <item x="806"/>
        <item x="389"/>
        <item x="336"/>
        <item x="134"/>
        <item x="870"/>
        <item x="64"/>
        <item x="697"/>
        <item x="569"/>
        <item x="765"/>
        <item x="725"/>
        <item x="677"/>
        <item x="649"/>
        <item x="542"/>
        <item x="652"/>
        <item x="23"/>
        <item x="704"/>
        <item x="382"/>
        <item x="298"/>
        <item x="257"/>
        <item x="577"/>
        <item x="163"/>
        <item x="868"/>
        <item x="730"/>
        <item x="791"/>
        <item x="182"/>
        <item x="610"/>
        <item x="85"/>
        <item x="490"/>
        <item x="611"/>
        <item x="855"/>
        <item x="109"/>
        <item x="482"/>
        <item x="728"/>
        <item x="304"/>
        <item x="271"/>
        <item x="315"/>
        <item x="144"/>
        <item x="743"/>
        <item x="741"/>
        <item x="665"/>
        <item x="358"/>
        <item x="263"/>
        <item x="838"/>
        <item x="171"/>
        <item x="523"/>
        <item x="88"/>
        <item x="49"/>
        <item x="225"/>
        <item x="71"/>
        <item x="246"/>
        <item x="864"/>
        <item x="803"/>
        <item x="210"/>
        <item t="default"/>
      </items>
    </pivotField>
    <pivotField showAll="0"/>
    <pivotField numFmtId="10" showAll="0"/>
    <pivotField showAll="0"/>
    <pivotField showAll="0"/>
    <pivotField showAll="0"/>
    <pivotField numFmtId="10" showAll="0"/>
    <pivotField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>
      <items count="8">
        <item x="2"/>
        <item x="5"/>
        <item x="4"/>
        <item x="3"/>
        <item x="6"/>
        <item x="1"/>
        <item x="0"/>
        <item t="default"/>
      </items>
    </pivotField>
    <pivotField axis="axisPage" dataField="1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pageFields count="1">
    <pageField fld="13" item="1" hier="-1"/>
  </pageFields>
  <dataFields count="2">
    <dataField name="計數 - 上班與否" fld="13" subtotal="count" baseField="0" baseItem="0"/>
    <dataField name="加總 - 售出工時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C931D-D5A9-42FF-8694-ADA1B8CE152A}" name="樞紐分析表19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8" indent="0" outline="1" outlineData="1" multipleFieldFilters="0">
  <location ref="M3:N10" firstHeaderRow="1" firstDataRow="1" firstDataCol="1" rowPageCount="1" colPageCount="1"/>
  <pivotFields count="16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numFmtId="10" showAll="0"/>
    <pivotField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showAll="0"/>
    <pivotField axis="axisRow" showAll="0">
      <items count="8">
        <item x="2"/>
        <item x="5"/>
        <item x="4"/>
        <item x="3"/>
        <item x="6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pageFields count="1">
    <pageField fld="13" item="1" hier="-1"/>
  </pageFields>
  <dataFields count="1">
    <dataField name="平均值 - FRU" fld="11" subtotal="average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20905-CA37-45CD-9BF9-BF48DA56285D}" name="樞紐分析表18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J3:K53" firstHeaderRow="1" firstDataRow="1" firstDataCol="1" rowPageCount="1" colPageCount="1"/>
  <pivotFields count="16">
    <pivotField showAll="0">
      <items count="4">
        <item x="2"/>
        <item x="1"/>
        <item x="0"/>
        <item t="default"/>
      </items>
    </pivotField>
    <pivotField axis="axisRow" showAll="0">
      <items count="52">
        <item x="6"/>
        <item x="4"/>
        <item x="8"/>
        <item x="0"/>
        <item x="3"/>
        <item x="2"/>
        <item x="1"/>
        <item x="7"/>
        <item x="5"/>
        <item x="10"/>
        <item x="11"/>
        <item x="9"/>
        <item x="13"/>
        <item x="12"/>
        <item x="17"/>
        <item x="18"/>
        <item x="23"/>
        <item x="27"/>
        <item x="43"/>
        <item x="14"/>
        <item x="15"/>
        <item x="20"/>
        <item x="34"/>
        <item x="40"/>
        <item x="47"/>
        <item x="49"/>
        <item x="38"/>
        <item x="44"/>
        <item x="45"/>
        <item x="32"/>
        <item x="50"/>
        <item x="37"/>
        <item x="16"/>
        <item x="22"/>
        <item x="26"/>
        <item x="33"/>
        <item x="42"/>
        <item x="30"/>
        <item x="36"/>
        <item x="41"/>
        <item x="31"/>
        <item x="46"/>
        <item x="39"/>
        <item x="29"/>
        <item x="24"/>
        <item x="35"/>
        <item x="25"/>
        <item x="19"/>
        <item x="21"/>
        <item x="48"/>
        <item x="28"/>
        <item t="default"/>
      </items>
    </pivotField>
    <pivotField showAll="0"/>
    <pivotField showAll="0"/>
    <pivotField dataField="1" numFmtId="10" showAll="0"/>
    <pivotField showAll="0"/>
    <pivotField showAll="0"/>
    <pivotField showAll="0"/>
    <pivotField numFmtId="10" showAll="0"/>
    <pivotField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>
      <items count="8">
        <item x="2"/>
        <item x="5"/>
        <item x="4"/>
        <item x="3"/>
        <item x="6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pageFields count="1">
    <pageField fld="13" item="1" hier="-1"/>
  </pageFields>
  <dataFields count="1">
    <dataField name="平均值 - 效率" fld="4" subtotal="average" baseField="1" baseItem="1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D8EF7-20A0-4C83-9A59-9D5C40B560CE}" name="樞紐分析表20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8" indent="0" outline="1" outlineData="1" multipleFieldFilters="0" chartFormat="5">
  <location ref="P3:Q76" firstHeaderRow="1" firstDataRow="1" firstDataCol="1" rowPageCount="1" colPageCount="1"/>
  <pivotFields count="16"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numFmtId="10" showAll="0"/>
    <pivotField showAll="0"/>
    <pivotField showAll="0"/>
    <pivotField showAll="0"/>
    <pivotField numFmtId="10" showAll="0"/>
    <pivotField numFmtId="10" showAll="0"/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>
      <items count="8">
        <item x="2"/>
        <item x="5"/>
        <item x="4"/>
        <item x="3"/>
        <item x="6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4"/>
  </rowFields>
  <rowItems count="73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1">
    <pageField fld="13" item="1" hier="-1"/>
  </pageFields>
  <dataFields count="1">
    <dataField name="加總 - 售出工時" fld="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09AC0-198D-41F7-9182-18B404E311BE}" name="樞紐分析表17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8" indent="0" outline="1" outlineData="1" multipleFieldFilters="0" chartFormat="4">
  <location ref="E3:H10" firstHeaderRow="0" firstDataRow="1" firstDataCol="1" rowPageCount="1" colPageCount="1"/>
  <pivotFields count="16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10" showAll="0">
      <items count="1555">
        <item x="0"/>
        <item x="152"/>
        <item x="377"/>
        <item x="566"/>
        <item x="157"/>
        <item x="1125"/>
        <item x="10"/>
        <item x="575"/>
        <item x="1100"/>
        <item x="11"/>
        <item x="1098"/>
        <item x="156"/>
        <item x="562"/>
        <item x="941"/>
        <item x="1222"/>
        <item x="1309"/>
        <item x="1153"/>
        <item x="153"/>
        <item x="464"/>
        <item x="592"/>
        <item x="779"/>
        <item x="316"/>
        <item x="1251"/>
        <item x="296"/>
        <item x="299"/>
        <item x="40"/>
        <item x="1194"/>
        <item x="387"/>
        <item x="783"/>
        <item x="1152"/>
        <item x="994"/>
        <item x="627"/>
        <item x="535"/>
        <item x="630"/>
        <item x="820"/>
        <item x="875"/>
        <item x="425"/>
        <item x="1226"/>
        <item x="205"/>
        <item x="972"/>
        <item x="481"/>
        <item x="1170"/>
        <item x="1030"/>
        <item x="722"/>
        <item x="653"/>
        <item x="1425"/>
        <item x="8"/>
        <item x="747"/>
        <item x="1317"/>
        <item x="416"/>
        <item x="831"/>
        <item x="580"/>
        <item x="1494"/>
        <item x="1508"/>
        <item x="1506"/>
        <item x="277"/>
        <item x="1507"/>
        <item x="1267"/>
        <item x="274"/>
        <item x="1460"/>
        <item x="1348"/>
        <item x="1519"/>
        <item x="1497"/>
        <item x="881"/>
        <item x="1097"/>
        <item x="166"/>
        <item x="720"/>
        <item x="1203"/>
        <item x="312"/>
        <item x="1205"/>
        <item x="937"/>
        <item x="140"/>
        <item x="1453"/>
        <item x="1444"/>
        <item x="507"/>
        <item x="1521"/>
        <item x="912"/>
        <item x="529"/>
        <item x="983"/>
        <item x="269"/>
        <item x="389"/>
        <item x="676"/>
        <item x="211"/>
        <item x="338"/>
        <item x="657"/>
        <item x="465"/>
        <item x="1266"/>
        <item x="451"/>
        <item x="1469"/>
        <item x="1161"/>
        <item x="143"/>
        <item x="1479"/>
        <item x="1121"/>
        <item x="421"/>
        <item x="71"/>
        <item x="1338"/>
        <item x="1259"/>
        <item x="775"/>
        <item x="825"/>
        <item x="597"/>
        <item x="989"/>
        <item x="1048"/>
        <item x="988"/>
        <item x="15"/>
        <item x="394"/>
        <item x="1182"/>
        <item x="1477"/>
        <item x="1115"/>
        <item x="551"/>
        <item x="1156"/>
        <item x="1181"/>
        <item x="1322"/>
        <item x="326"/>
        <item x="1474"/>
        <item x="354"/>
        <item x="569"/>
        <item x="499"/>
        <item x="346"/>
        <item x="1449"/>
        <item x="13"/>
        <item x="1204"/>
        <item x="301"/>
        <item x="297"/>
        <item x="1395"/>
        <item x="534"/>
        <item x="1068"/>
        <item x="567"/>
        <item x="295"/>
        <item x="800"/>
        <item x="723"/>
        <item x="174"/>
        <item x="1541"/>
        <item x="1216"/>
        <item x="1238"/>
        <item x="344"/>
        <item x="954"/>
        <item x="1480"/>
        <item x="1371"/>
        <item x="1522"/>
        <item x="928"/>
        <item x="151"/>
        <item x="1212"/>
        <item x="886"/>
        <item x="461"/>
        <item x="419"/>
        <item x="1230"/>
        <item x="1189"/>
        <item x="1524"/>
        <item x="1451"/>
        <item x="1447"/>
        <item x="190"/>
        <item x="997"/>
        <item x="570"/>
        <item x="259"/>
        <item x="981"/>
        <item x="276"/>
        <item x="1400"/>
        <item x="370"/>
        <item x="102"/>
        <item x="302"/>
        <item x="79"/>
        <item x="1015"/>
        <item x="544"/>
        <item x="94"/>
        <item x="126"/>
        <item x="951"/>
        <item x="298"/>
        <item x="846"/>
        <item x="124"/>
        <item x="372"/>
        <item x="1256"/>
        <item x="1223"/>
        <item x="1067"/>
        <item x="280"/>
        <item x="361"/>
        <item x="887"/>
        <item x="6"/>
        <item x="1403"/>
        <item x="375"/>
        <item x="459"/>
        <item x="397"/>
        <item x="478"/>
        <item x="1308"/>
        <item x="245"/>
        <item x="1017"/>
        <item x="476"/>
        <item x="418"/>
        <item x="1160"/>
        <item x="642"/>
        <item x="108"/>
        <item x="602"/>
        <item x="1066"/>
        <item x="1024"/>
        <item x="1440"/>
        <item x="674"/>
        <item x="1366"/>
        <item x="1306"/>
        <item x="1001"/>
        <item x="64"/>
        <item x="337"/>
        <item x="1409"/>
        <item x="324"/>
        <item x="801"/>
        <item x="1295"/>
        <item x="233"/>
        <item x="23"/>
        <item x="178"/>
        <item x="1434"/>
        <item x="1399"/>
        <item x="242"/>
        <item x="228"/>
        <item x="705"/>
        <item x="93"/>
        <item x="1410"/>
        <item x="112"/>
        <item x="50"/>
        <item x="1301"/>
        <item x="1065"/>
        <item x="278"/>
        <item x="334"/>
        <item x="595"/>
        <item x="593"/>
        <item x="484"/>
        <item x="89"/>
        <item x="1454"/>
        <item x="17"/>
        <item x="1269"/>
        <item x="1233"/>
        <item x="34"/>
        <item x="1331"/>
        <item x="85"/>
        <item x="230"/>
        <item x="407"/>
        <item x="788"/>
        <item x="463"/>
        <item x="1108"/>
        <item x="154"/>
        <item x="293"/>
        <item x="471"/>
        <item x="677"/>
        <item x="457"/>
        <item x="1089"/>
        <item x="1346"/>
        <item x="443"/>
        <item x="1021"/>
        <item x="1071"/>
        <item x="305"/>
        <item x="839"/>
        <item x="200"/>
        <item x="1500"/>
        <item x="55"/>
        <item x="125"/>
        <item x="216"/>
        <item x="1358"/>
        <item x="111"/>
        <item x="248"/>
        <item x="1260"/>
        <item x="508"/>
        <item x="63"/>
        <item x="223"/>
        <item x="905"/>
        <item x="270"/>
        <item x="1418"/>
        <item x="561"/>
        <item x="1022"/>
        <item x="1278"/>
        <item x="1334"/>
        <item x="876"/>
        <item x="908"/>
        <item x="721"/>
        <item x="171"/>
        <item x="821"/>
        <item x="1390"/>
        <item x="1092"/>
        <item x="1372"/>
        <item x="1441"/>
        <item x="527"/>
        <item x="88"/>
        <item x="1408"/>
        <item x="857"/>
        <item x="650"/>
        <item x="285"/>
        <item x="1442"/>
        <item x="614"/>
        <item x="159"/>
        <item x="867"/>
        <item x="35"/>
        <item x="557"/>
        <item x="380"/>
        <item x="145"/>
        <item x="456"/>
        <item x="1318"/>
        <item x="1184"/>
        <item x="904"/>
        <item x="1339"/>
        <item x="678"/>
        <item x="1119"/>
        <item x="537"/>
        <item x="1046"/>
        <item x="352"/>
        <item x="1025"/>
        <item x="1378"/>
        <item x="1525"/>
        <item x="1412"/>
        <item x="871"/>
        <item x="283"/>
        <item x="532"/>
        <item x="444"/>
        <item x="182"/>
        <item x="525"/>
        <item x="1470"/>
        <item x="830"/>
        <item x="322"/>
        <item x="1533"/>
        <item x="1342"/>
        <item x="1083"/>
        <item x="363"/>
        <item x="1389"/>
        <item x="149"/>
        <item x="1369"/>
        <item x="90"/>
        <item x="1080"/>
        <item x="536"/>
        <item x="1084"/>
        <item x="519"/>
        <item x="701"/>
        <item x="408"/>
        <item x="581"/>
        <item x="130"/>
        <item x="1099"/>
        <item x="413"/>
        <item x="709"/>
        <item x="822"/>
        <item x="792"/>
        <item x="613"/>
        <item x="1085"/>
        <item x="1133"/>
        <item x="554"/>
        <item x="1528"/>
        <item x="1502"/>
        <item x="72"/>
        <item x="610"/>
        <item x="1018"/>
        <item x="281"/>
        <item x="264"/>
        <item x="371"/>
        <item x="979"/>
        <item x="366"/>
        <item x="435"/>
        <item x="504"/>
        <item x="1398"/>
        <item x="300"/>
        <item x="914"/>
        <item x="238"/>
        <item x="386"/>
        <item x="633"/>
        <item x="249"/>
        <item x="1199"/>
        <item x="442"/>
        <item x="583"/>
        <item x="353"/>
        <item x="873"/>
        <item x="356"/>
        <item x="842"/>
        <item x="1195"/>
        <item x="1520"/>
        <item x="213"/>
        <item x="942"/>
        <item x="1288"/>
        <item x="4"/>
        <item x="696"/>
        <item x="196"/>
        <item x="198"/>
        <item x="957"/>
        <item x="635"/>
        <item x="49"/>
        <item x="1154"/>
        <item x="1458"/>
        <item x="309"/>
        <item x="1101"/>
        <item x="771"/>
        <item x="910"/>
        <item x="1391"/>
        <item x="304"/>
        <item x="1382"/>
        <item x="1486"/>
        <item x="956"/>
        <item x="1011"/>
        <item x="539"/>
        <item x="1148"/>
        <item x="431"/>
        <item x="1315"/>
        <item x="1114"/>
        <item x="927"/>
        <item x="660"/>
        <item x="1294"/>
        <item x="43"/>
        <item x="882"/>
        <item x="1070"/>
        <item x="48"/>
        <item x="240"/>
        <item x="531"/>
        <item x="1244"/>
        <item x="1393"/>
        <item x="987"/>
        <item x="441"/>
        <item x="715"/>
        <item x="921"/>
        <item x="526"/>
        <item x="553"/>
        <item x="641"/>
        <item x="518"/>
        <item x="290"/>
        <item x="439"/>
        <item x="1157"/>
        <item x="391"/>
        <item x="2"/>
        <item x="1489"/>
        <item x="1146"/>
        <item x="36"/>
        <item x="514"/>
        <item x="523"/>
        <item x="1546"/>
        <item x="608"/>
        <item x="1357"/>
        <item x="207"/>
        <item x="1145"/>
        <item x="232"/>
        <item x="453"/>
        <item x="847"/>
        <item x="1078"/>
        <item x="1016"/>
        <item x="505"/>
        <item x="574"/>
        <item x="1012"/>
        <item x="1250"/>
        <item x="181"/>
        <item x="487"/>
        <item x="588"/>
        <item x="1504"/>
        <item x="343"/>
        <item x="1332"/>
        <item x="798"/>
        <item x="620"/>
        <item x="1517"/>
        <item x="1079"/>
        <item x="132"/>
        <item x="894"/>
        <item x="1344"/>
        <item x="1131"/>
        <item x="136"/>
        <item x="900"/>
        <item x="731"/>
        <item x="680"/>
        <item x="24"/>
        <item x="936"/>
        <item x="814"/>
        <item x="92"/>
        <item x="826"/>
        <item x="31"/>
        <item x="995"/>
        <item x="837"/>
        <item x="317"/>
        <item x="1210"/>
        <item x="430"/>
        <item x="1345"/>
        <item x="736"/>
        <item x="869"/>
        <item x="14"/>
        <item x="742"/>
        <item x="1258"/>
        <item x="949"/>
        <item x="751"/>
        <item x="784"/>
        <item x="911"/>
        <item x="590"/>
        <item x="103"/>
        <item x="80"/>
        <item x="185"/>
        <item x="1211"/>
        <item x="268"/>
        <item x="528"/>
        <item x="118"/>
        <item x="1240"/>
        <item x="716"/>
        <item x="817"/>
        <item x="150"/>
        <item x="690"/>
        <item x="194"/>
        <item x="862"/>
        <item x="364"/>
        <item x="1427"/>
        <item x="1218"/>
        <item x="438"/>
        <item x="1476"/>
        <item x="1423"/>
        <item x="1126"/>
        <item x="772"/>
        <item x="38"/>
        <item x="929"/>
        <item x="349"/>
        <item x="373"/>
        <item x="545"/>
        <item x="669"/>
        <item x="173"/>
        <item x="119"/>
        <item x="1201"/>
        <item x="257"/>
        <item x="796"/>
        <item x="470"/>
        <item x="327"/>
        <item x="437"/>
        <item x="990"/>
        <item x="1379"/>
        <item x="1171"/>
        <item x="319"/>
        <item x="1336"/>
        <item x="1004"/>
        <item x="861"/>
        <item x="1175"/>
        <item x="1274"/>
        <item x="1155"/>
        <item x="890"/>
        <item x="587"/>
        <item x="1448"/>
        <item x="467"/>
        <item x="598"/>
        <item x="516"/>
        <item x="355"/>
        <item x="121"/>
        <item x="1325"/>
        <item x="436"/>
        <item x="1042"/>
        <item x="1516"/>
        <item x="1465"/>
        <item x="381"/>
        <item x="852"/>
        <item x="1438"/>
        <item x="87"/>
        <item x="1385"/>
        <item x="1314"/>
        <item x="548"/>
        <item x="1355"/>
        <item x="202"/>
        <item x="967"/>
        <item x="99"/>
        <item x="781"/>
        <item x="107"/>
        <item x="1384"/>
        <item x="428"/>
        <item x="45"/>
        <item x="787"/>
        <item x="606"/>
        <item x="1035"/>
        <item x="170"/>
        <item x="1187"/>
        <item x="195"/>
        <item x="1236"/>
        <item x="795"/>
        <item x="511"/>
        <item x="292"/>
        <item x="991"/>
        <item x="571"/>
        <item x="710"/>
        <item x="410"/>
        <item x="426"/>
        <item x="1044"/>
        <item x="1074"/>
        <item x="1305"/>
        <item x="624"/>
        <item x="250"/>
        <item x="1038"/>
        <item x="965"/>
        <item x="769"/>
        <item x="853"/>
        <item x="365"/>
        <item x="105"/>
        <item x="594"/>
        <item x="445"/>
        <item x="797"/>
        <item x="172"/>
        <item x="745"/>
        <item x="1037"/>
        <item x="1140"/>
        <item x="218"/>
        <item x="1265"/>
        <item x="86"/>
        <item x="1139"/>
        <item x="307"/>
        <item x="591"/>
        <item x="963"/>
        <item x="1178"/>
        <item x="793"/>
        <item x="320"/>
        <item x="204"/>
        <item x="806"/>
        <item x="267"/>
        <item x="1351"/>
        <item x="176"/>
        <item x="891"/>
        <item x="239"/>
        <item x="909"/>
        <item x="1130"/>
        <item x="128"/>
        <item x="395"/>
        <item x="1183"/>
        <item x="462"/>
        <item x="1397"/>
        <item x="577"/>
        <item x="1103"/>
        <item x="59"/>
        <item x="1086"/>
        <item x="813"/>
        <item x="208"/>
        <item x="376"/>
        <item x="52"/>
        <item x="656"/>
        <item x="255"/>
        <item x="740"/>
        <item x="1376"/>
        <item x="599"/>
        <item x="1445"/>
        <item x="335"/>
        <item x="1544"/>
        <item x="447"/>
        <item x="1252"/>
        <item x="851"/>
        <item x="1452"/>
        <item x="1353"/>
        <item x="612"/>
        <item x="855"/>
        <item x="224"/>
        <item x="1102"/>
        <item x="743"/>
        <item x="637"/>
        <item x="907"/>
        <item x="640"/>
        <item x="133"/>
        <item x="1511"/>
        <item x="1526"/>
        <item x="241"/>
        <item x="393"/>
        <item x="41"/>
        <item x="810"/>
        <item x="1302"/>
        <item x="1340"/>
        <item x="495"/>
        <item x="502"/>
        <item x="808"/>
        <item x="901"/>
        <item x="752"/>
        <item x="960"/>
        <item x="647"/>
        <item x="501"/>
        <item x="1484"/>
        <item x="1360"/>
        <item x="500"/>
        <item x="256"/>
        <item x="946"/>
        <item x="604"/>
        <item x="26"/>
        <item x="883"/>
        <item x="1505"/>
        <item x="1356"/>
        <item x="294"/>
        <item x="1392"/>
        <item x="342"/>
        <item x="129"/>
        <item x="550"/>
        <item x="903"/>
        <item x="1134"/>
        <item x="350"/>
        <item x="1208"/>
        <item x="110"/>
        <item x="177"/>
        <item x="212"/>
        <item x="496"/>
        <item x="1043"/>
        <item x="675"/>
        <item x="1312"/>
        <item x="579"/>
        <item x="961"/>
        <item x="966"/>
        <item x="201"/>
        <item x="32"/>
        <item x="1180"/>
        <item x="3"/>
        <item x="738"/>
        <item x="1402"/>
        <item x="117"/>
        <item x="503"/>
        <item x="1243"/>
        <item x="362"/>
        <item x="700"/>
        <item x="687"/>
        <item x="1202"/>
        <item x="28"/>
        <item x="584"/>
        <item x="1268"/>
        <item x="1055"/>
        <item x="845"/>
        <item x="491"/>
        <item x="1124"/>
        <item x="492"/>
        <item x="719"/>
        <item x="333"/>
        <item x="935"/>
        <item x="1495"/>
        <item x="930"/>
        <item x="116"/>
        <item x="115"/>
        <item x="888"/>
        <item x="65"/>
        <item x="969"/>
        <item x="804"/>
        <item x="506"/>
        <item x="1247"/>
        <item x="206"/>
        <item x="475"/>
        <item x="1014"/>
        <item x="144"/>
        <item x="897"/>
        <item x="756"/>
        <item x="964"/>
        <item x="944"/>
        <item x="948"/>
        <item x="1542"/>
        <item x="1045"/>
        <item x="127"/>
        <item x="231"/>
        <item x="134"/>
        <item x="308"/>
        <item x="1503"/>
        <item x="1151"/>
        <item x="1487"/>
        <item x="673"/>
        <item x="62"/>
        <item x="1029"/>
        <item x="273"/>
        <item x="1446"/>
        <item x="403"/>
        <item x="1135"/>
        <item x="1297"/>
        <item x="980"/>
        <item x="1350"/>
        <item x="858"/>
        <item x="5"/>
        <item x="1475"/>
        <item x="1359"/>
        <item x="1374"/>
        <item x="1543"/>
        <item x="863"/>
        <item x="427"/>
        <item x="1061"/>
        <item x="236"/>
        <item x="609"/>
        <item x="369"/>
        <item x="586"/>
        <item x="777"/>
        <item x="1482"/>
        <item x="663"/>
        <item x="1287"/>
        <item x="1002"/>
        <item x="1207"/>
        <item x="1435"/>
        <item x="1327"/>
        <item x="1481"/>
        <item x="1261"/>
        <item x="60"/>
        <item x="186"/>
        <item x="51"/>
        <item x="323"/>
        <item x="576"/>
        <item x="252"/>
        <item x="167"/>
        <item x="220"/>
        <item x="1006"/>
        <item x="219"/>
        <item x="1142"/>
        <item x="1010"/>
        <item x="78"/>
        <item x="1326"/>
        <item x="667"/>
        <item x="485"/>
        <item x="1206"/>
        <item x="383"/>
        <item x="628"/>
        <item x="1141"/>
        <item x="556"/>
        <item x="1193"/>
        <item x="411"/>
        <item x="659"/>
        <item x="46"/>
        <item x="1158"/>
        <item x="1296"/>
        <item x="67"/>
        <item x="412"/>
        <item x="1478"/>
        <item x="1548"/>
        <item x="75"/>
        <item x="672"/>
        <item x="760"/>
        <item x="210"/>
        <item x="498"/>
        <item x="1058"/>
        <item x="848"/>
        <item x="1221"/>
        <item x="773"/>
        <item x="1549"/>
        <item x="434"/>
        <item x="1059"/>
        <item x="191"/>
        <item x="1166"/>
        <item x="374"/>
        <item x="702"/>
        <item x="725"/>
        <item x="724"/>
        <item x="47"/>
        <item x="1110"/>
        <item x="1093"/>
        <item x="1073"/>
        <item x="805"/>
        <item x="1147"/>
        <item x="450"/>
        <item x="959"/>
        <item x="263"/>
        <item x="1483"/>
        <item x="7"/>
        <item x="661"/>
        <item x="483"/>
        <item x="188"/>
        <item x="493"/>
        <item x="345"/>
        <item x="733"/>
        <item x="1411"/>
        <item x="1225"/>
        <item x="563"/>
        <item x="895"/>
        <item x="1457"/>
        <item x="1064"/>
        <item x="836"/>
        <item x="976"/>
        <item x="1095"/>
        <item x="1179"/>
        <item x="215"/>
        <item x="1245"/>
        <item x="18"/>
        <item x="865"/>
        <item x="629"/>
        <item x="392"/>
        <item x="473"/>
        <item x="1271"/>
        <item x="98"/>
        <item x="164"/>
        <item x="1463"/>
        <item x="315"/>
        <item x="1415"/>
        <item x="288"/>
        <item x="291"/>
        <item x="807"/>
        <item x="838"/>
        <item x="601"/>
        <item x="469"/>
        <item x="1239"/>
        <item x="1105"/>
        <item x="1174"/>
        <item x="1455"/>
        <item x="422"/>
        <item x="1041"/>
        <item x="163"/>
        <item x="1281"/>
        <item x="971"/>
        <item x="148"/>
        <item x="803"/>
        <item x="1416"/>
        <item x="314"/>
        <item x="605"/>
        <item x="695"/>
        <item x="390"/>
        <item x="1054"/>
        <item x="452"/>
        <item x="120"/>
        <item x="968"/>
        <item x="1284"/>
        <item x="1150"/>
        <item x="217"/>
        <item x="925"/>
        <item x="1450"/>
        <item x="898"/>
        <item x="1127"/>
        <item x="1220"/>
        <item x="30"/>
        <item x="1167"/>
        <item x="1047"/>
        <item x="1113"/>
        <item x="400"/>
        <item x="1192"/>
        <item x="654"/>
        <item x="440"/>
        <item x="254"/>
        <item x="1198"/>
        <item x="1492"/>
        <item x="786"/>
        <item x="357"/>
        <item x="1197"/>
        <item x="540"/>
        <item x="1419"/>
        <item x="97"/>
        <item x="284"/>
        <item x="850"/>
        <item x="303"/>
        <item x="920"/>
        <item x="658"/>
        <item x="893"/>
        <item x="1426"/>
        <item x="244"/>
        <item x="924"/>
        <item x="931"/>
        <item x="524"/>
        <item x="892"/>
        <item x="945"/>
        <item x="785"/>
        <item x="1388"/>
        <item x="1335"/>
        <item x="1255"/>
        <item x="423"/>
        <item x="137"/>
        <item x="789"/>
        <item x="348"/>
        <item x="704"/>
        <item x="683"/>
        <item x="902"/>
        <item x="1320"/>
        <item x="286"/>
        <item x="1513"/>
        <item x="486"/>
        <item x="617"/>
        <item x="1235"/>
        <item x="1368"/>
        <item x="449"/>
        <item x="940"/>
        <item x="27"/>
        <item x="448"/>
        <item x="664"/>
        <item x="670"/>
        <item x="1200"/>
        <item x="868"/>
        <item x="402"/>
        <item x="686"/>
        <item x="382"/>
        <item x="1163"/>
        <item x="474"/>
        <item x="1176"/>
        <item x="54"/>
        <item x="746"/>
        <item x="984"/>
        <item x="1430"/>
        <item x="1088"/>
        <item x="860"/>
        <item x="874"/>
        <item x="1028"/>
        <item x="1063"/>
        <item x="261"/>
        <item x="648"/>
        <item x="913"/>
        <item x="359"/>
        <item x="1138"/>
        <item x="1227"/>
        <item x="1493"/>
        <item x="209"/>
        <item x="490"/>
        <item x="488"/>
        <item x="96"/>
        <item x="235"/>
        <item x="652"/>
        <item x="809"/>
        <item x="271"/>
        <item x="703"/>
        <item x="1165"/>
        <item x="358"/>
        <item x="472"/>
        <item x="1473"/>
        <item x="947"/>
        <item x="692"/>
        <item x="977"/>
        <item x="899"/>
        <item x="20"/>
        <item x="1172"/>
        <item x="668"/>
        <item x="1394"/>
        <item x="1050"/>
        <item x="138"/>
        <item x="1049"/>
        <item x="77"/>
        <item x="310"/>
        <item x="671"/>
        <item x="1036"/>
        <item x="872"/>
        <item x="237"/>
        <item x="1094"/>
        <item x="818"/>
        <item x="332"/>
        <item x="815"/>
        <item x="1008"/>
        <item x="1311"/>
        <item x="1290"/>
        <item x="943"/>
        <item x="1118"/>
        <item x="578"/>
        <item x="1319"/>
        <item x="744"/>
        <item x="626"/>
        <item x="189"/>
        <item x="1117"/>
        <item x="1033"/>
        <item x="812"/>
        <item x="1381"/>
        <item x="306"/>
        <item x="615"/>
        <item x="84"/>
        <item x="187"/>
        <item x="347"/>
        <item x="1539"/>
        <item x="1162"/>
        <item x="1531"/>
        <item x="1422"/>
        <item x="479"/>
        <item x="856"/>
        <item x="520"/>
        <item x="114"/>
        <item x="955"/>
        <item x="1032"/>
        <item x="321"/>
        <item x="996"/>
        <item x="666"/>
        <item x="339"/>
        <item x="568"/>
        <item x="106"/>
        <item x="1413"/>
        <item x="522"/>
        <item x="1387"/>
        <item x="726"/>
        <item x="707"/>
        <item x="1177"/>
        <item x="1104"/>
        <item x="260"/>
        <item x="229"/>
        <item x="414"/>
        <item x="243"/>
        <item x="877"/>
        <item x="1034"/>
        <item x="1545"/>
        <item x="1432"/>
        <item x="44"/>
        <item x="1"/>
        <item x="1057"/>
        <item x="1532"/>
        <item x="859"/>
        <item x="513"/>
        <item x="693"/>
        <item x="1293"/>
        <item x="497"/>
        <item x="183"/>
        <item x="768"/>
        <item x="1219"/>
        <item x="1279"/>
        <item x="646"/>
        <item x="1467"/>
        <item x="1283"/>
        <item x="1277"/>
        <item x="1232"/>
        <item x="1231"/>
        <item x="689"/>
        <item x="542"/>
        <item x="399"/>
        <item x="415"/>
        <item x="515"/>
        <item x="618"/>
        <item x="622"/>
        <item x="782"/>
        <item x="1136"/>
        <item x="706"/>
        <item x="1298"/>
        <item x="489"/>
        <item x="973"/>
        <item x="1490"/>
        <item x="1537"/>
        <item x="1007"/>
        <item x="385"/>
        <item x="1106"/>
        <item x="262"/>
        <item x="1276"/>
        <item x="313"/>
        <item x="184"/>
        <item x="1286"/>
        <item x="1116"/>
        <item x="109"/>
        <item x="547"/>
        <item x="1330"/>
        <item x="165"/>
        <item x="1087"/>
        <item x="1421"/>
        <item x="634"/>
        <item x="340"/>
        <item x="970"/>
        <item x="1436"/>
        <item x="649"/>
        <item x="651"/>
        <item x="1333"/>
        <item x="992"/>
        <item x="986"/>
        <item x="1229"/>
        <item x="70"/>
        <item x="765"/>
        <item x="1303"/>
        <item x="56"/>
        <item x="735"/>
        <item x="101"/>
        <item x="1443"/>
        <item x="774"/>
        <item x="113"/>
        <item x="533"/>
        <item x="564"/>
        <item x="1280"/>
        <item x="22"/>
        <item x="823"/>
        <item x="330"/>
        <item x="279"/>
        <item x="510"/>
        <item x="265"/>
        <item x="844"/>
        <item x="1313"/>
        <item x="711"/>
        <item x="158"/>
        <item x="1428"/>
        <item x="552"/>
        <item x="885"/>
        <item x="638"/>
        <item x="247"/>
        <item x="1285"/>
        <item x="549"/>
        <item x="446"/>
        <item x="1529"/>
        <item x="1082"/>
        <item x="1291"/>
        <item x="466"/>
        <item x="759"/>
        <item x="135"/>
        <item x="761"/>
        <item x="1241"/>
        <item x="12"/>
        <item x="76"/>
        <item x="974"/>
        <item x="739"/>
        <item x="1254"/>
        <item x="1003"/>
        <item x="123"/>
        <item x="19"/>
        <item x="854"/>
        <item x="1062"/>
        <item x="384"/>
        <item x="1375"/>
        <item x="455"/>
        <item x="543"/>
        <item x="1262"/>
        <item x="730"/>
        <item x="727"/>
        <item x="829"/>
        <item x="975"/>
        <item x="517"/>
        <item x="147"/>
        <item x="639"/>
        <item x="160"/>
        <item x="66"/>
        <item x="91"/>
        <item x="155"/>
        <item x="811"/>
        <item x="757"/>
        <item x="1553"/>
        <item x="203"/>
        <item x="713"/>
        <item x="1186"/>
        <item x="1215"/>
        <item x="21"/>
        <item x="565"/>
        <item x="142"/>
        <item x="1031"/>
        <item x="1405"/>
        <item x="180"/>
        <item x="1005"/>
        <item x="841"/>
        <item x="39"/>
        <item x="1491"/>
        <item x="555"/>
        <item x="482"/>
        <item x="755"/>
        <item x="718"/>
        <item x="141"/>
        <item x="1249"/>
        <item x="1053"/>
        <item x="1090"/>
        <item x="1373"/>
        <item x="621"/>
        <item x="1439"/>
        <item x="1128"/>
        <item x="1129"/>
        <item x="1056"/>
        <item x="1213"/>
        <item x="978"/>
        <item x="878"/>
        <item x="1270"/>
        <item x="1026"/>
        <item x="816"/>
        <item x="57"/>
        <item x="728"/>
        <item x="1214"/>
        <item x="16"/>
        <item x="750"/>
        <item x="734"/>
        <item x="1051"/>
        <item x="1307"/>
        <item x="681"/>
        <item x="95"/>
        <item x="1530"/>
        <item x="665"/>
        <item x="1538"/>
        <item x="933"/>
        <item x="122"/>
        <item x="644"/>
        <item x="1328"/>
        <item x="458"/>
        <item x="934"/>
        <item x="573"/>
        <item x="1362"/>
        <item x="1273"/>
        <item x="146"/>
        <item x="916"/>
        <item x="682"/>
        <item x="1289"/>
        <item x="993"/>
        <item x="790"/>
        <item x="558"/>
        <item x="1424"/>
        <item x="538"/>
        <item x="1013"/>
        <item x="918"/>
        <item x="258"/>
        <item x="589"/>
        <item x="1190"/>
        <item x="1417"/>
        <item x="420"/>
        <item x="162"/>
        <item x="799"/>
        <item x="1456"/>
        <item x="396"/>
        <item x="600"/>
        <item x="512"/>
        <item x="1075"/>
        <item x="1514"/>
        <item x="1304"/>
        <item x="175"/>
        <item x="1196"/>
        <item x="802"/>
        <item x="74"/>
        <item x="541"/>
        <item x="560"/>
        <item x="311"/>
        <item x="409"/>
        <item x="1217"/>
        <item x="1257"/>
        <item x="923"/>
        <item x="1039"/>
        <item x="1107"/>
        <item x="433"/>
        <item x="1323"/>
        <item x="732"/>
        <item x="834"/>
        <item x="741"/>
        <item x="1437"/>
        <item x="1120"/>
        <item x="1429"/>
        <item x="835"/>
        <item x="889"/>
        <item x="632"/>
        <item x="139"/>
        <item x="1234"/>
        <item x="1164"/>
        <item x="999"/>
        <item x="401"/>
        <item x="685"/>
        <item x="767"/>
        <item x="1472"/>
        <item x="1499"/>
        <item x="37"/>
        <item x="1169"/>
        <item x="770"/>
        <item x="645"/>
        <item x="679"/>
        <item x="619"/>
        <item x="226"/>
        <item x="272"/>
        <item x="694"/>
        <item x="833"/>
        <item x="1263"/>
        <item x="753"/>
        <item x="1019"/>
        <item x="607"/>
        <item x="880"/>
        <item x="429"/>
        <item x="843"/>
        <item x="100"/>
        <item x="737"/>
        <item x="636"/>
        <item x="1228"/>
        <item x="962"/>
        <item x="585"/>
        <item x="68"/>
        <item x="780"/>
        <item x="572"/>
        <item x="69"/>
        <item x="824"/>
        <item x="1370"/>
        <item x="161"/>
        <item x="611"/>
        <item x="1510"/>
        <item x="266"/>
        <item x="1361"/>
        <item x="1300"/>
        <item x="917"/>
        <item x="1496"/>
        <item x="791"/>
        <item x="596"/>
        <item x="1111"/>
        <item x="1224"/>
        <item x="691"/>
        <item x="1341"/>
        <item x="199"/>
        <item x="83"/>
        <item x="1069"/>
        <item x="1464"/>
        <item x="1299"/>
        <item x="404"/>
        <item x="1377"/>
        <item x="325"/>
        <item x="360"/>
        <item x="879"/>
        <item x="1552"/>
        <item x="794"/>
        <item x="1329"/>
        <item x="282"/>
        <item x="1547"/>
        <item x="1550"/>
        <item x="559"/>
        <item x="1380"/>
        <item x="1551"/>
        <item x="1365"/>
        <item x="1248"/>
        <item x="460"/>
        <item x="1310"/>
        <item x="1433"/>
        <item x="776"/>
        <item x="509"/>
        <item x="828"/>
        <item x="378"/>
        <item x="1324"/>
        <item x="368"/>
        <item x="1515"/>
        <item x="227"/>
        <item x="379"/>
        <item x="1292"/>
        <item x="1535"/>
        <item x="1337"/>
        <item x="1404"/>
        <item x="341"/>
        <item x="712"/>
        <item x="225"/>
        <item x="287"/>
        <item x="754"/>
        <item x="1534"/>
        <item x="623"/>
        <item x="1406"/>
        <item x="1352"/>
        <item x="1407"/>
        <item x="454"/>
        <item x="1367"/>
        <item x="919"/>
        <item x="819"/>
        <item x="197"/>
        <item x="922"/>
        <item x="1096"/>
        <item x="1060"/>
        <item x="1246"/>
        <item x="406"/>
        <item x="1168"/>
        <item x="896"/>
        <item x="331"/>
        <item x="1077"/>
        <item x="388"/>
        <item x="631"/>
        <item x="1122"/>
        <item x="1137"/>
        <item x="688"/>
        <item x="1132"/>
        <item x="351"/>
        <item x="953"/>
        <item x="1462"/>
        <item x="1091"/>
        <item x="1347"/>
        <item x="477"/>
        <item x="1431"/>
        <item x="1540"/>
        <item x="1459"/>
        <item x="1123"/>
        <item x="398"/>
        <item x="546"/>
        <item x="1242"/>
        <item x="169"/>
        <item x="405"/>
        <item x="655"/>
        <item x="1173"/>
        <item x="1498"/>
        <item x="1112"/>
        <item x="61"/>
        <item x="758"/>
        <item x="684"/>
        <item x="179"/>
        <item x="662"/>
        <item x="729"/>
        <item x="1009"/>
        <item x="251"/>
        <item x="1488"/>
        <item x="1020"/>
        <item x="832"/>
        <item x="367"/>
        <item x="1027"/>
        <item x="1512"/>
        <item x="932"/>
        <item x="33"/>
        <item x="1349"/>
        <item x="625"/>
        <item x="1420"/>
        <item x="864"/>
        <item x="1209"/>
        <item x="939"/>
        <item x="530"/>
        <item x="432"/>
        <item x="221"/>
        <item x="1143"/>
        <item x="131"/>
        <item x="1466"/>
        <item x="1191"/>
        <item x="717"/>
        <item x="1023"/>
        <item x="1364"/>
        <item x="193"/>
        <item x="42"/>
        <item x="1471"/>
        <item x="714"/>
        <item x="866"/>
        <item x="766"/>
        <item x="762"/>
        <item x="168"/>
        <item x="1468"/>
        <item x="1383"/>
        <item x="1052"/>
        <item x="1527"/>
        <item x="253"/>
        <item x="616"/>
        <item x="697"/>
        <item x="480"/>
        <item x="998"/>
        <item x="1000"/>
        <item x="749"/>
        <item x="1144"/>
        <item x="1363"/>
        <item x="1188"/>
        <item x="952"/>
        <item x="1159"/>
        <item x="521"/>
        <item x="1272"/>
        <item x="950"/>
        <item x="906"/>
        <item x="1185"/>
        <item x="1275"/>
        <item x="1282"/>
        <item x="827"/>
        <item x="1321"/>
        <item x="1485"/>
        <item x="982"/>
        <item x="1237"/>
        <item x="778"/>
        <item x="82"/>
        <item x="1518"/>
        <item x="468"/>
        <item x="708"/>
        <item x="1414"/>
        <item x="1072"/>
        <item x="763"/>
        <item x="926"/>
        <item x="73"/>
        <item x="29"/>
        <item x="840"/>
        <item x="985"/>
        <item x="424"/>
        <item x="938"/>
        <item x="643"/>
        <item x="329"/>
        <item x="1253"/>
        <item x="53"/>
        <item x="318"/>
        <item x="234"/>
        <item x="494"/>
        <item x="289"/>
        <item x="884"/>
        <item x="1264"/>
        <item x="1076"/>
        <item x="764"/>
        <item x="582"/>
        <item x="849"/>
        <item x="1386"/>
        <item x="275"/>
        <item x="1501"/>
        <item x="58"/>
        <item x="104"/>
        <item x="25"/>
        <item x="1040"/>
        <item x="336"/>
        <item x="9"/>
        <item x="915"/>
        <item x="1396"/>
        <item x="1149"/>
        <item x="699"/>
        <item x="1354"/>
        <item x="1401"/>
        <item x="81"/>
        <item x="1509"/>
        <item x="1081"/>
        <item x="870"/>
        <item x="417"/>
        <item x="1536"/>
        <item x="222"/>
        <item x="246"/>
        <item x="214"/>
        <item x="1523"/>
        <item x="1316"/>
        <item x="328"/>
        <item x="603"/>
        <item x="748"/>
        <item x="1343"/>
        <item x="698"/>
        <item x="958"/>
        <item x="1461"/>
        <item x="192"/>
        <item x="1109"/>
        <item t="default"/>
      </items>
    </pivotField>
    <pivotField showAll="0"/>
    <pivotField showAll="0"/>
    <pivotField showAll="0"/>
    <pivotField dataField="1" numFmtId="10" showAll="0">
      <items count="1565">
        <item x="0"/>
        <item x="579"/>
        <item x="268"/>
        <item x="496"/>
        <item x="1307"/>
        <item x="749"/>
        <item x="40"/>
        <item x="1195"/>
        <item x="366"/>
        <item x="92"/>
        <item x="1011"/>
        <item x="444"/>
        <item x="926"/>
        <item x="878"/>
        <item x="337"/>
        <item x="981"/>
        <item x="541"/>
        <item x="1359"/>
        <item x="475"/>
        <item x="1091"/>
        <item x="844"/>
        <item x="1041"/>
        <item x="957"/>
        <item x="1209"/>
        <item x="1207"/>
        <item x="1016"/>
        <item x="500"/>
        <item x="1208"/>
        <item x="1539"/>
        <item x="338"/>
        <item x="1261"/>
        <item x="246"/>
        <item x="340"/>
        <item x="1255"/>
        <item x="1287"/>
        <item x="492"/>
        <item x="1385"/>
        <item x="271"/>
        <item x="780"/>
        <item x="6"/>
        <item x="243"/>
        <item x="1"/>
        <item x="629"/>
        <item x="1213"/>
        <item x="592"/>
        <item x="447"/>
        <item x="3"/>
        <item x="4"/>
        <item x="1360"/>
        <item x="545"/>
        <item x="342"/>
        <item x="605"/>
        <item x="1035"/>
        <item x="450"/>
        <item x="743"/>
        <item x="435"/>
        <item x="870"/>
        <item x="871"/>
        <item x="407"/>
        <item x="585"/>
        <item x="308"/>
        <item x="228"/>
        <item x="363"/>
        <item x="430"/>
        <item x="922"/>
        <item x="204"/>
        <item x="536"/>
        <item x="443"/>
        <item x="445"/>
        <item x="382"/>
        <item x="118"/>
        <item x="779"/>
        <item x="686"/>
        <item x="539"/>
        <item x="655"/>
        <item x="1240"/>
        <item x="1038"/>
        <item x="1301"/>
        <item x="1267"/>
        <item x="555"/>
        <item x="742"/>
        <item x="741"/>
        <item x="1105"/>
        <item x="633"/>
        <item x="39"/>
        <item x="1086"/>
        <item x="1215"/>
        <item x="1102"/>
        <item x="772"/>
        <item x="764"/>
        <item x="264"/>
        <item x="1390"/>
        <item x="83"/>
        <item x="117"/>
        <item x="1111"/>
        <item x="778"/>
        <item x="147"/>
        <item x="207"/>
        <item x="951"/>
        <item x="428"/>
        <item x="744"/>
        <item x="161"/>
        <item x="290"/>
        <item x="160"/>
        <item x="159"/>
        <item x="1032"/>
        <item x="1112"/>
        <item x="1031"/>
        <item x="1528"/>
        <item x="465"/>
        <item x="471"/>
        <item x="1553"/>
        <item x="1241"/>
        <item x="712"/>
        <item x="548"/>
        <item x="1370"/>
        <item x="820"/>
        <item x="996"/>
        <item x="868"/>
        <item x="1356"/>
        <item x="738"/>
        <item x="383"/>
        <item x="857"/>
        <item x="1068"/>
        <item x="5"/>
        <item x="1543"/>
        <item x="2"/>
        <item x="740"/>
        <item x="775"/>
        <item x="896"/>
        <item x="869"/>
        <item x="418"/>
        <item x="121"/>
        <item x="776"/>
        <item x="210"/>
        <item x="650"/>
        <item x="1330"/>
        <item x="71"/>
        <item x="1247"/>
        <item x="1529"/>
        <item x="1363"/>
        <item x="399"/>
        <item x="1228"/>
        <item x="1558"/>
        <item x="1232"/>
        <item x="994"/>
        <item x="1557"/>
        <item x="897"/>
        <item x="974"/>
        <item x="1345"/>
        <item x="719"/>
        <item x="1292"/>
        <item x="1554"/>
        <item x="102"/>
        <item x="989"/>
        <item x="777"/>
        <item x="571"/>
        <item x="1434"/>
        <item x="1436"/>
        <item x="1196"/>
        <item x="782"/>
        <item x="1455"/>
        <item x="84"/>
        <item x="770"/>
        <item x="359"/>
        <item x="85"/>
        <item x="356"/>
        <item x="15"/>
        <item x="533"/>
        <item x="804"/>
        <item x="1109"/>
        <item x="1009"/>
        <item x="718"/>
        <item x="231"/>
        <item x="1366"/>
        <item x="1324"/>
        <item x="133"/>
        <item x="1234"/>
        <item x="48"/>
        <item x="509"/>
        <item x="1365"/>
        <item x="1358"/>
        <item x="1174"/>
        <item x="781"/>
        <item x="38"/>
        <item x="700"/>
        <item x="1260"/>
        <item x="1399"/>
        <item x="489"/>
        <item x="287"/>
        <item x="1552"/>
        <item x="403"/>
        <item x="199"/>
        <item x="95"/>
        <item x="198"/>
        <item x="544"/>
        <item x="185"/>
        <item x="1507"/>
        <item x="563"/>
        <item x="1349"/>
        <item x="1560"/>
        <item x="1331"/>
        <item x="146"/>
        <item x="1339"/>
        <item x="295"/>
        <item x="254"/>
        <item x="484"/>
        <item x="1555"/>
        <item x="1556"/>
        <item x="1003"/>
        <item x="164"/>
        <item x="1224"/>
        <item x="1225"/>
        <item x="1561"/>
        <item x="1047"/>
        <item x="491"/>
        <item x="540"/>
        <item x="622"/>
        <item x="1114"/>
        <item x="1347"/>
        <item x="527"/>
        <item x="769"/>
        <item x="1229"/>
        <item x="594"/>
        <item x="787"/>
        <item x="1220"/>
        <item x="126"/>
        <item x="171"/>
        <item x="21"/>
        <item x="1352"/>
        <item x="841"/>
        <item x="47"/>
        <item x="289"/>
        <item x="1233"/>
        <item x="1337"/>
        <item x="145"/>
        <item x="1107"/>
        <item x="693"/>
        <item x="558"/>
        <item x="522"/>
        <item x="1550"/>
        <item x="1076"/>
        <item x="425"/>
        <item x="294"/>
        <item x="470"/>
        <item x="132"/>
        <item x="1227"/>
        <item x="538"/>
        <item x="179"/>
        <item x="324"/>
        <item x="1000"/>
        <item x="773"/>
        <item x="811"/>
        <item x="1559"/>
        <item x="434"/>
        <item x="1483"/>
        <item x="1419"/>
        <item x="564"/>
        <item x="1069"/>
        <item x="1008"/>
        <item x="1266"/>
        <item x="1433"/>
        <item x="1404"/>
        <item x="1194"/>
        <item x="458"/>
        <item x="1545"/>
        <item x="11"/>
        <item x="1103"/>
        <item x="637"/>
        <item x="1106"/>
        <item x="755"/>
        <item x="978"/>
        <item x="336"/>
        <item x="127"/>
        <item x="50"/>
        <item x="350"/>
        <item x="845"/>
        <item x="1351"/>
        <item x="694"/>
        <item x="774"/>
        <item x="692"/>
        <item x="115"/>
        <item x="1029"/>
        <item x="88"/>
        <item x="351"/>
        <item x="291"/>
        <item x="288"/>
        <item x="142"/>
        <item x="19"/>
        <item x="375"/>
        <item x="143"/>
        <item x="690"/>
        <item x="1161"/>
        <item x="768"/>
        <item x="1362"/>
        <item x="1226"/>
        <item x="1201"/>
        <item x="1354"/>
        <item x="1357"/>
        <item x="318"/>
        <item x="882"/>
        <item x="1361"/>
        <item x="799"/>
        <item x="984"/>
        <item x="873"/>
        <item x="802"/>
        <item x="731"/>
        <item x="140"/>
        <item x="1563"/>
        <item x="1350"/>
        <item x="1322"/>
        <item x="1348"/>
        <item x="1006"/>
        <item x="652"/>
        <item x="35"/>
        <item x="651"/>
        <item x="1062"/>
        <item x="1346"/>
        <item x="1251"/>
        <item x="293"/>
        <item x="864"/>
        <item x="1308"/>
        <item x="149"/>
        <item x="1448"/>
        <item x="1087"/>
        <item x="1110"/>
        <item x="1122"/>
        <item x="469"/>
        <item x="898"/>
        <item x="29"/>
        <item x="980"/>
        <item x="1121"/>
        <item x="249"/>
        <item x="417"/>
        <item x="184"/>
        <item x="534"/>
        <item x="796"/>
        <item x="853"/>
        <item x="733"/>
        <item x="1151"/>
        <item x="1542"/>
        <item x="1355"/>
        <item x="411"/>
        <item x="717"/>
        <item x="822"/>
        <item x="1375"/>
        <item x="715"/>
        <item x="311"/>
        <item x="1311"/>
        <item x="1336"/>
        <item x="1126"/>
        <item x="1332"/>
        <item x="761"/>
        <item x="803"/>
        <item x="760"/>
        <item x="1489"/>
        <item x="856"/>
        <item x="1178"/>
        <item x="1007"/>
        <item x="1159"/>
        <item x="267"/>
        <item x="711"/>
        <item x="1005"/>
        <item x="362"/>
        <item x="1051"/>
        <item x="1257"/>
        <item x="144"/>
        <item x="705"/>
        <item x="653"/>
        <item x="909"/>
        <item x="1237"/>
        <item x="678"/>
        <item x="1450"/>
        <item x="175"/>
        <item x="438"/>
        <item x="437"/>
        <item x="1166"/>
        <item x="323"/>
        <item x="1113"/>
        <item x="1063"/>
        <item x="883"/>
        <item x="123"/>
        <item x="923"/>
        <item x="292"/>
        <item x="949"/>
        <item x="1236"/>
        <item x="1297"/>
        <item x="141"/>
        <item x="103"/>
        <item x="982"/>
        <item x="317"/>
        <item x="486"/>
        <item x="414"/>
        <item x="409"/>
        <item x="859"/>
        <item x="1088"/>
        <item x="223"/>
        <item x="91"/>
        <item x="999"/>
        <item x="542"/>
        <item x="1081"/>
        <item x="998"/>
        <item x="1036"/>
        <item x="795"/>
        <item x="1320"/>
        <item x="560"/>
        <item x="327"/>
        <item x="789"/>
        <item x="310"/>
        <item x="549"/>
        <item x="432"/>
        <item x="455"/>
        <item x="1246"/>
        <item x="392"/>
        <item x="1250"/>
        <item x="874"/>
        <item x="1378"/>
        <item x="307"/>
        <item x="814"/>
        <item x="1440"/>
        <item x="410"/>
        <item x="1444"/>
        <item x="405"/>
        <item x="794"/>
        <item x="312"/>
        <item x="519"/>
        <item x="997"/>
        <item x="628"/>
        <item x="255"/>
        <item x="783"/>
        <item x="1023"/>
        <item x="1377"/>
        <item x="966"/>
        <item x="520"/>
        <item x="1097"/>
        <item x="1135"/>
        <item x="603"/>
        <item x="702"/>
        <item x="352"/>
        <item x="602"/>
        <item x="660"/>
        <item x="840"/>
        <item x="220"/>
        <item x="1199"/>
        <item x="788"/>
        <item x="1551"/>
        <item x="1239"/>
        <item x="886"/>
        <item x="855"/>
        <item x="591"/>
        <item x="1442"/>
        <item x="1422"/>
        <item x="704"/>
        <item x="1427"/>
        <item x="583"/>
        <item x="427"/>
        <item x="708"/>
        <item x="1441"/>
        <item x="1158"/>
        <item x="554"/>
        <item x="283"/>
        <item x="460"/>
        <item x="1471"/>
        <item x="1235"/>
        <item x="285"/>
        <item x="1562"/>
        <item x="572"/>
        <item x="1022"/>
        <item x="1500"/>
        <item x="888"/>
        <item x="451"/>
        <item x="850"/>
        <item x="326"/>
        <item x="270"/>
        <item x="988"/>
        <item x="402"/>
        <item x="482"/>
        <item x="284"/>
        <item x="1108"/>
        <item x="31"/>
        <item x="1468"/>
        <item x="1396"/>
        <item x="13"/>
        <item x="299"/>
        <item x="1064"/>
        <item x="723"/>
        <item x="1242"/>
        <item x="1050"/>
        <item x="1104"/>
        <item x="765"/>
        <item x="827"/>
        <item x="314"/>
        <item x="851"/>
        <item x="575"/>
        <item x="376"/>
        <item x="1065"/>
        <item x="275"/>
        <item x="1238"/>
        <item x="1353"/>
        <item x="1060"/>
        <item x="306"/>
        <item x="907"/>
        <item x="1055"/>
        <item x="557"/>
        <item x="43"/>
        <item x="759"/>
        <item x="408"/>
        <item x="641"/>
        <item x="983"/>
        <item x="101"/>
        <item x="305"/>
        <item x="753"/>
        <item x="589"/>
        <item x="695"/>
        <item x="218"/>
        <item x="698"/>
        <item x="1446"/>
        <item x="842"/>
        <item x="699"/>
        <item x="30"/>
        <item x="272"/>
        <item x="750"/>
        <item x="1231"/>
        <item x="424"/>
        <item x="1202"/>
        <item x="46"/>
        <item x="771"/>
        <item x="666"/>
        <item x="273"/>
        <item x="722"/>
        <item x="25"/>
        <item x="196"/>
        <item x="1123"/>
        <item x="433"/>
        <item x="70"/>
        <item x="965"/>
        <item x="706"/>
        <item x="791"/>
        <item x="1426"/>
        <item x="260"/>
        <item x="1222"/>
        <item x="1328"/>
        <item x="33"/>
        <item x="636"/>
        <item x="474"/>
        <item x="400"/>
        <item x="1461"/>
        <item x="689"/>
        <item x="214"/>
        <item x="296"/>
        <item x="1002"/>
        <item x="504"/>
        <item x="1054"/>
        <item x="649"/>
        <item x="1119"/>
        <item x="1321"/>
        <item x="1344"/>
        <item x="212"/>
        <item x="1443"/>
        <item x="1544"/>
        <item x="928"/>
        <item x="381"/>
        <item x="680"/>
        <item x="1279"/>
        <item x="1148"/>
        <item x="908"/>
        <item x="1518"/>
        <item x="394"/>
        <item x="265"/>
        <item x="395"/>
        <item x="135"/>
        <item x="413"/>
        <item x="514"/>
        <item x="931"/>
        <item x="580"/>
        <item x="1451"/>
        <item x="1458"/>
        <item x="1057"/>
        <item x="1013"/>
        <item x="713"/>
        <item x="1325"/>
        <item x="1001"/>
        <item x="1049"/>
        <item x="570"/>
        <item x="943"/>
        <item x="1004"/>
        <item x="1180"/>
        <item x="1457"/>
        <item x="1513"/>
        <item x="885"/>
        <item x="1454"/>
        <item x="1449"/>
        <item x="1037"/>
        <item x="262"/>
        <item x="446"/>
        <item x="515"/>
        <item x="1453"/>
        <item x="939"/>
        <item x="1445"/>
        <item x="259"/>
        <item x="1373"/>
        <item x="756"/>
        <item x="236"/>
        <item x="1447"/>
        <item x="1026"/>
        <item x="860"/>
        <item x="1386"/>
        <item x="665"/>
        <item x="962"/>
        <item x="56"/>
        <item x="1413"/>
        <item x="1120"/>
        <item x="1381"/>
        <item x="1028"/>
        <item x="1541"/>
        <item x="662"/>
        <item x="995"/>
        <item x="302"/>
        <item x="12"/>
        <item x="165"/>
        <item x="1230"/>
        <item x="442"/>
        <item x="251"/>
        <item x="709"/>
        <item x="1479"/>
        <item x="422"/>
        <item x="1326"/>
        <item x="227"/>
        <item x="1101"/>
        <item x="1327"/>
        <item x="784"/>
        <item x="1535"/>
        <item x="676"/>
        <item x="1342"/>
        <item x="1472"/>
        <item x="985"/>
        <item x="485"/>
        <item x="517"/>
        <item x="1156"/>
        <item x="276"/>
        <item x="824"/>
        <item x="1218"/>
        <item x="28"/>
        <item x="829"/>
        <item x="1256"/>
        <item x="157"/>
        <item x="1221"/>
        <item x="1096"/>
        <item x="1464"/>
        <item x="1548"/>
        <item x="1276"/>
        <item x="1193"/>
        <item x="1369"/>
        <item x="679"/>
        <item x="828"/>
        <item x="139"/>
        <item x="153"/>
        <item x="1263"/>
        <item x="1155"/>
        <item x="266"/>
        <item x="658"/>
        <item x="623"/>
        <item x="1092"/>
        <item x="1248"/>
        <item x="1039"/>
        <item x="767"/>
        <item x="1160"/>
        <item x="483"/>
        <item x="574"/>
        <item x="60"/>
        <item x="601"/>
        <item x="420"/>
        <item x="1452"/>
        <item x="683"/>
        <item x="459"/>
        <item x="124"/>
        <item x="468"/>
        <item x="812"/>
        <item x="1275"/>
        <item x="419"/>
        <item x="426"/>
        <item x="518"/>
        <item x="1338"/>
        <item x="1283"/>
        <item x="1129"/>
        <item x="813"/>
        <item x="656"/>
        <item x="843"/>
        <item x="1150"/>
        <item x="1430"/>
        <item x="1025"/>
        <item x="1314"/>
        <item x="1136"/>
        <item x="202"/>
        <item x="1343"/>
        <item x="950"/>
        <item x="754"/>
        <item x="63"/>
        <item x="280"/>
        <item x="322"/>
        <item x="1341"/>
        <item x="1537"/>
        <item x="839"/>
        <item x="546"/>
        <item x="817"/>
        <item x="834"/>
        <item x="1078"/>
        <item x="654"/>
        <item x="429"/>
        <item x="114"/>
        <item x="27"/>
        <item x="1167"/>
        <item x="818"/>
        <item x="1437"/>
        <item x="497"/>
        <item x="607"/>
        <item x="1015"/>
        <item x="1264"/>
        <item x="1043"/>
        <item x="81"/>
        <item x="990"/>
        <item x="975"/>
        <item x="473"/>
        <item x="963"/>
        <item x="703"/>
        <item x="137"/>
        <item x="727"/>
        <item x="148"/>
        <item x="503"/>
        <item x="1185"/>
        <item x="902"/>
        <item x="891"/>
        <item x="734"/>
        <item x="1508"/>
        <item x="1480"/>
        <item x="852"/>
        <item x="247"/>
        <item x="116"/>
        <item x="862"/>
        <item x="915"/>
        <item x="203"/>
        <item x="393"/>
        <item x="640"/>
        <item x="600"/>
        <item x="1512"/>
        <item x="553"/>
        <item x="97"/>
        <item x="1398"/>
        <item x="1477"/>
        <item x="537"/>
        <item x="758"/>
        <item x="724"/>
        <item x="562"/>
        <item x="1171"/>
        <item x="757"/>
        <item x="701"/>
        <item x="576"/>
        <item x="219"/>
        <item x="631"/>
        <item x="1517"/>
        <item x="730"/>
        <item x="1418"/>
        <item x="1147"/>
        <item x="972"/>
        <item x="969"/>
        <item x="1024"/>
        <item x="659"/>
        <item x="1393"/>
        <item x="911"/>
        <item x="478"/>
        <item x="1492"/>
        <item x="970"/>
        <item x="10"/>
        <item x="14"/>
        <item x="1388"/>
        <item x="237"/>
        <item x="1157"/>
        <item x="250"/>
        <item x="582"/>
        <item x="1130"/>
        <item x="1058"/>
        <item x="34"/>
        <item x="1183"/>
        <item x="1059"/>
        <item x="119"/>
        <item x="913"/>
        <item x="1259"/>
        <item x="45"/>
        <item x="559"/>
        <item x="1205"/>
        <item x="1469"/>
        <item x="837"/>
        <item x="166"/>
        <item x="1149"/>
        <item x="1012"/>
        <item x="1534"/>
        <item x="821"/>
        <item x="691"/>
        <item x="848"/>
        <item x="36"/>
        <item x="973"/>
        <item x="889"/>
        <item x="936"/>
        <item x="858"/>
        <item x="935"/>
        <item x="876"/>
        <item x="321"/>
        <item x="847"/>
        <item x="1340"/>
        <item x="341"/>
        <item x="664"/>
        <item x="1216"/>
        <item x="172"/>
        <item x="1021"/>
        <item x="258"/>
        <item x="1140"/>
        <item x="1288"/>
        <item x="1172"/>
        <item x="1435"/>
        <item x="406"/>
        <item x="846"/>
        <item x="752"/>
        <item x="1333"/>
        <item x="277"/>
        <item x="910"/>
        <item x="423"/>
        <item x="316"/>
        <item x="581"/>
        <item x="1010"/>
        <item x="404"/>
        <item x="1515"/>
        <item x="1486"/>
        <item x="547"/>
        <item x="786"/>
        <item x="616"/>
        <item x="959"/>
        <item x="480"/>
        <item x="1540"/>
        <item x="1075"/>
        <item x="838"/>
        <item x="66"/>
        <item x="1478"/>
        <item x="1547"/>
        <item x="833"/>
        <item x="1073"/>
        <item x="688"/>
        <item x="65"/>
        <item x="55"/>
        <item x="725"/>
        <item x="61"/>
        <item x="364"/>
        <item x="1295"/>
        <item x="1182"/>
        <item x="1138"/>
        <item x="903"/>
        <item x="245"/>
        <item x="456"/>
        <item x="1212"/>
        <item x="806"/>
        <item x="792"/>
        <item x="1498"/>
        <item x="1379"/>
        <item x="1066"/>
        <item x="1296"/>
        <item x="1315"/>
        <item x="614"/>
        <item x="835"/>
        <item x="1372"/>
        <item x="1019"/>
        <item x="1546"/>
        <item x="274"/>
        <item x="684"/>
        <item x="361"/>
        <item x="929"/>
        <item x="242"/>
        <item x="20"/>
        <item x="1093"/>
        <item x="22"/>
        <item x="584"/>
        <item x="1549"/>
        <item x="286"/>
        <item x="490"/>
        <item x="642"/>
        <item x="241"/>
        <item x="256"/>
        <item x="303"/>
        <item x="1278"/>
        <item x="1291"/>
        <item x="942"/>
        <item x="798"/>
        <item x="1154"/>
        <item x="987"/>
        <item x="1188"/>
        <item x="1146"/>
        <item x="1141"/>
        <item x="1143"/>
        <item x="462"/>
        <item x="1206"/>
        <item x="875"/>
        <item x="805"/>
        <item x="17"/>
        <item x="113"/>
        <item x="904"/>
        <item x="370"/>
        <item x="416"/>
        <item x="158"/>
        <item x="1280"/>
        <item x="16"/>
        <item x="68"/>
        <item x="1475"/>
        <item x="587"/>
        <item x="309"/>
        <item x="863"/>
        <item x="867"/>
        <item x="1217"/>
        <item x="1253"/>
        <item x="1409"/>
        <item x="1392"/>
        <item x="421"/>
        <item x="590"/>
        <item x="766"/>
        <item x="1293"/>
        <item x="225"/>
        <item x="578"/>
        <item x="1254"/>
        <item x="657"/>
        <item x="431"/>
        <item x="367"/>
        <item x="330"/>
        <item x="1192"/>
        <item x="892"/>
        <item x="1316"/>
        <item x="1033"/>
        <item x="535"/>
        <item x="785"/>
        <item x="1061"/>
        <item x="1173"/>
        <item x="238"/>
        <item x="1271"/>
        <item x="1214"/>
        <item x="467"/>
        <item x="532"/>
        <item x="728"/>
        <item x="1456"/>
        <item x="397"/>
        <item x="1017"/>
        <item x="1133"/>
        <item x="197"/>
        <item x="710"/>
        <item x="319"/>
        <item x="682"/>
        <item x="568"/>
        <item x="487"/>
        <item x="669"/>
        <item x="1299"/>
        <item x="78"/>
        <item x="120"/>
        <item x="566"/>
        <item x="1503"/>
        <item x="737"/>
        <item x="854"/>
        <item x="1176"/>
        <item x="169"/>
        <item x="80"/>
        <item x="281"/>
        <item x="189"/>
        <item x="567"/>
        <item x="565"/>
        <item x="808"/>
        <item x="577"/>
        <item x="569"/>
        <item x="49"/>
        <item x="1272"/>
        <item x="825"/>
        <item x="331"/>
        <item x="879"/>
        <item x="173"/>
        <item x="1139"/>
        <item x="810"/>
        <item x="452"/>
        <item x="588"/>
        <item x="1431"/>
        <item x="248"/>
        <item x="1127"/>
        <item x="334"/>
        <item x="206"/>
        <item x="826"/>
        <item x="1282"/>
        <item x="530"/>
        <item x="162"/>
        <item x="1175"/>
        <item x="1152"/>
        <item x="59"/>
        <item x="278"/>
        <item x="1465"/>
        <item x="1501"/>
        <item x="881"/>
        <item x="687"/>
        <item x="1425"/>
        <item x="945"/>
        <item x="201"/>
        <item x="448"/>
        <item x="952"/>
        <item x="663"/>
        <item x="525"/>
        <item x="1317"/>
        <item x="269"/>
        <item x="130"/>
        <item x="1125"/>
        <item x="948"/>
        <item x="1124"/>
        <item x="396"/>
        <item x="1313"/>
        <item x="670"/>
        <item x="677"/>
        <item x="64"/>
        <item x="672"/>
        <item x="401"/>
        <item x="75"/>
        <item x="947"/>
        <item x="373"/>
        <item x="1044"/>
        <item x="192"/>
        <item x="328"/>
        <item x="90"/>
        <item x="1459"/>
        <item x="1071"/>
        <item x="675"/>
        <item x="1394"/>
        <item x="233"/>
        <item x="183"/>
        <item x="377"/>
        <item x="449"/>
        <item x="644"/>
        <item x="648"/>
        <item x="815"/>
        <item x="937"/>
        <item x="1042"/>
        <item x="630"/>
        <item x="52"/>
        <item x="1516"/>
        <item x="506"/>
        <item x="620"/>
        <item x="1467"/>
        <item x="466"/>
        <item x="9"/>
        <item x="163"/>
        <item x="586"/>
        <item x="1495"/>
        <item x="1274"/>
        <item x="110"/>
        <item x="1252"/>
        <item x="1053"/>
        <item x="7"/>
        <item x="282"/>
        <item x="1521"/>
        <item x="1281"/>
        <item x="1407"/>
        <item x="661"/>
        <item x="634"/>
        <item x="668"/>
        <item x="1520"/>
        <item x="1300"/>
        <item x="453"/>
        <item x="1382"/>
        <item x="112"/>
        <item x="232"/>
        <item x="615"/>
        <item x="1402"/>
        <item x="387"/>
        <item x="1153"/>
        <item x="1335"/>
        <item x="1371"/>
        <item x="1484"/>
        <item x="1411"/>
        <item x="894"/>
        <item x="1170"/>
        <item x="1072"/>
        <item x="1364"/>
        <item x="89"/>
        <item x="51"/>
        <item x="510"/>
        <item x="74"/>
        <item x="1077"/>
        <item x="1034"/>
        <item x="69"/>
        <item x="1536"/>
        <item x="176"/>
        <item x="914"/>
        <item x="523"/>
        <item x="1428"/>
        <item x="353"/>
        <item x="1134"/>
        <item x="638"/>
        <item x="1389"/>
        <item x="880"/>
        <item x="1429"/>
        <item x="389"/>
        <item x="1309"/>
        <item x="24"/>
        <item x="62"/>
        <item x="927"/>
        <item x="109"/>
        <item x="1462"/>
        <item x="107"/>
        <item x="98"/>
        <item x="1401"/>
        <item x="895"/>
        <item x="1265"/>
        <item x="551"/>
        <item x="552"/>
        <item x="938"/>
        <item x="181"/>
        <item x="234"/>
        <item x="1184"/>
        <item x="304"/>
        <item x="436"/>
        <item x="617"/>
        <item x="439"/>
        <item x="476"/>
        <item x="639"/>
        <item x="343"/>
        <item x="790"/>
        <item x="441"/>
        <item x="125"/>
        <item x="1519"/>
        <item x="608"/>
        <item x="819"/>
        <item x="529"/>
        <item x="1438"/>
        <item x="1391"/>
        <item x="457"/>
        <item x="1482"/>
        <item x="1497"/>
        <item x="1509"/>
        <item x="1048"/>
        <item x="977"/>
        <item x="1128"/>
        <item x="884"/>
        <item x="1204"/>
        <item x="129"/>
        <item x="42"/>
        <item x="1367"/>
        <item x="1423"/>
        <item x="1027"/>
        <item x="991"/>
        <item x="253"/>
        <item x="1137"/>
        <item x="1186"/>
        <item x="1494"/>
        <item x="872"/>
        <item x="156"/>
        <item x="611"/>
        <item x="1410"/>
        <item x="1376"/>
        <item x="1070"/>
        <item x="816"/>
        <item x="593"/>
        <item x="531"/>
        <item x="933"/>
        <item x="1460"/>
        <item x="1303"/>
        <item x="346"/>
        <item x="131"/>
        <item x="877"/>
        <item x="1463"/>
        <item x="528"/>
        <item x="498"/>
        <item x="1439"/>
        <item x="627"/>
        <item x="507"/>
        <item x="595"/>
        <item x="82"/>
        <item x="626"/>
        <item x="1090"/>
        <item x="1408"/>
        <item x="1018"/>
        <item x="967"/>
        <item x="632"/>
        <item x="374"/>
        <item x="900"/>
        <item x="1168"/>
        <item x="371"/>
        <item x="924"/>
        <item x="823"/>
        <item x="1080"/>
        <item x="348"/>
        <item x="1132"/>
        <item x="561"/>
        <item x="747"/>
        <item x="1380"/>
        <item x="8"/>
        <item x="1014"/>
        <item x="1420"/>
        <item x="751"/>
        <item x="729"/>
        <item x="215"/>
        <item x="556"/>
        <item x="849"/>
        <item x="1079"/>
        <item x="526"/>
        <item x="454"/>
        <item x="1493"/>
        <item x="1415"/>
        <item x="1131"/>
        <item x="635"/>
        <item x="315"/>
        <item x="1490"/>
        <item x="1530"/>
        <item x="235"/>
        <item x="685"/>
        <item x="1099"/>
        <item x="899"/>
        <item x="1306"/>
        <item x="301"/>
        <item x="32"/>
        <item x="53"/>
        <item x="477"/>
        <item x="597"/>
        <item x="1094"/>
        <item x="298"/>
        <item x="300"/>
        <item x="360"/>
        <item x="108"/>
        <item x="606"/>
        <item x="1197"/>
        <item x="524"/>
        <item x="297"/>
        <item x="1074"/>
        <item x="797"/>
        <item x="1285"/>
        <item x="188"/>
        <item x="86"/>
        <item x="372"/>
        <item x="111"/>
        <item x="18"/>
        <item x="1527"/>
        <item x="979"/>
        <item x="378"/>
        <item x="41"/>
        <item x="1084"/>
        <item x="1082"/>
        <item x="696"/>
        <item x="901"/>
        <item x="726"/>
        <item x="1040"/>
        <item x="1400"/>
        <item x="239"/>
        <item x="1262"/>
        <item x="349"/>
        <item x="1298"/>
        <item x="178"/>
        <item x="222"/>
        <item x="624"/>
        <item x="1532"/>
        <item x="1406"/>
        <item x="1499"/>
        <item x="1488"/>
        <item x="379"/>
        <item x="944"/>
        <item x="887"/>
        <item x="1210"/>
        <item x="1211"/>
        <item x="1145"/>
        <item x="1187"/>
        <item x="365"/>
        <item x="1056"/>
        <item x="1030"/>
        <item x="1273"/>
        <item x="122"/>
        <item x="177"/>
        <item x="1397"/>
        <item x="1526"/>
        <item x="1412"/>
        <item x="925"/>
        <item x="384"/>
        <item x="209"/>
        <item x="182"/>
        <item x="1405"/>
        <item x="257"/>
        <item x="613"/>
        <item x="941"/>
        <item x="187"/>
        <item x="96"/>
        <item x="1474"/>
        <item x="1403"/>
        <item x="138"/>
        <item x="180"/>
        <item x="502"/>
        <item x="920"/>
        <item x="958"/>
        <item x="912"/>
        <item x="87"/>
        <item x="369"/>
        <item x="385"/>
        <item x="1089"/>
        <item x="573"/>
        <item x="610"/>
        <item x="58"/>
        <item x="174"/>
        <item x="906"/>
        <item x="1203"/>
        <item x="1421"/>
        <item x="499"/>
        <item x="313"/>
        <item x="329"/>
        <item x="745"/>
        <item x="1277"/>
        <item x="930"/>
        <item x="152"/>
        <item x="1319"/>
        <item x="1491"/>
        <item x="1432"/>
        <item x="993"/>
        <item x="1181"/>
        <item x="200"/>
        <item x="106"/>
        <item x="992"/>
        <item x="1191"/>
        <item x="44"/>
        <item x="93"/>
        <item x="1270"/>
        <item x="391"/>
        <item x="230"/>
        <item x="1294"/>
        <item x="1368"/>
        <item x="1302"/>
        <item x="830"/>
        <item x="128"/>
        <item x="721"/>
        <item x="956"/>
        <item x="1179"/>
        <item x="221"/>
        <item x="1190"/>
        <item x="57"/>
        <item x="150"/>
        <item x="735"/>
        <item x="1052"/>
        <item x="1258"/>
        <item x="976"/>
        <item x="1312"/>
        <item x="861"/>
        <item x="1485"/>
        <item x="67"/>
        <item x="697"/>
        <item x="240"/>
        <item x="604"/>
        <item x="736"/>
        <item x="155"/>
        <item x="866"/>
        <item x="73"/>
        <item x="54"/>
        <item x="488"/>
        <item x="986"/>
        <item x="226"/>
        <item x="1219"/>
        <item x="347"/>
        <item x="831"/>
        <item x="229"/>
        <item x="511"/>
        <item x="890"/>
        <item x="596"/>
        <item x="865"/>
        <item x="390"/>
        <item x="1085"/>
        <item x="1533"/>
        <item x="339"/>
        <item x="494"/>
        <item x="1045"/>
        <item x="325"/>
        <item x="1506"/>
        <item x="1395"/>
        <item x="211"/>
        <item x="732"/>
        <item x="1473"/>
        <item x="481"/>
        <item x="134"/>
        <item x="1165"/>
        <item x="217"/>
        <item x="195"/>
        <item x="543"/>
        <item x="801"/>
        <item x="746"/>
        <item x="720"/>
        <item x="955"/>
        <item x="513"/>
        <item x="388"/>
        <item x="168"/>
        <item x="344"/>
        <item x="398"/>
        <item x="1118"/>
        <item x="1387"/>
        <item x="762"/>
        <item x="252"/>
        <item x="37"/>
        <item x="1067"/>
        <item x="1200"/>
        <item x="357"/>
        <item x="940"/>
        <item x="186"/>
        <item x="1466"/>
        <item x="1514"/>
        <item x="1510"/>
        <item x="1424"/>
        <item x="619"/>
        <item x="953"/>
        <item x="968"/>
        <item x="832"/>
        <item x="1289"/>
        <item x="105"/>
        <item x="1374"/>
        <item x="714"/>
        <item x="355"/>
        <item x="354"/>
        <item x="332"/>
        <item x="320"/>
        <item x="99"/>
        <item x="386"/>
        <item x="1417"/>
        <item x="279"/>
        <item x="800"/>
        <item x="368"/>
        <item x="918"/>
        <item x="100"/>
        <item x="1318"/>
        <item x="495"/>
        <item x="358"/>
        <item x="739"/>
        <item x="609"/>
        <item x="625"/>
        <item x="505"/>
        <item x="464"/>
        <item x="1083"/>
        <item x="1117"/>
        <item x="1481"/>
        <item x="621"/>
        <item x="1476"/>
        <item x="905"/>
        <item x="1290"/>
        <item x="1522"/>
        <item x="643"/>
        <item x="380"/>
        <item x="77"/>
        <item x="1115"/>
        <item x="793"/>
        <item x="1098"/>
        <item x="263"/>
        <item x="612"/>
        <item x="763"/>
        <item x="79"/>
        <item x="76"/>
        <item x="1470"/>
        <item x="1116"/>
        <item x="932"/>
        <item x="964"/>
        <item x="1198"/>
        <item x="674"/>
        <item x="512"/>
        <item x="345"/>
        <item x="1046"/>
        <item x="104"/>
        <item x="167"/>
        <item x="521"/>
        <item x="1538"/>
        <item x="333"/>
        <item x="716"/>
        <item x="224"/>
        <item x="809"/>
        <item x="836"/>
        <item x="1249"/>
        <item x="190"/>
        <item x="748"/>
        <item x="681"/>
        <item x="335"/>
        <item x="191"/>
        <item x="194"/>
        <item x="599"/>
        <item x="1310"/>
        <item x="1414"/>
        <item x="244"/>
        <item x="807"/>
        <item x="415"/>
        <item x="916"/>
        <item x="961"/>
        <item x="598"/>
        <item x="893"/>
        <item x="440"/>
        <item x="946"/>
        <item x="647"/>
        <item x="1496"/>
        <item x="23"/>
        <item x="26"/>
        <item x="1416"/>
        <item x="193"/>
        <item x="1383"/>
        <item x="72"/>
        <item x="645"/>
        <item x="646"/>
        <item x="1142"/>
        <item x="136"/>
        <item x="463"/>
        <item x="493"/>
        <item x="667"/>
        <item x="151"/>
        <item x="154"/>
        <item x="1095"/>
        <item x="1531"/>
        <item x="954"/>
        <item x="1487"/>
        <item x="1177"/>
        <item x="216"/>
        <item x="1144"/>
        <item x="472"/>
        <item x="1284"/>
        <item x="707"/>
        <item x="1524"/>
        <item x="1505"/>
        <item x="1334"/>
        <item x="671"/>
        <item x="1243"/>
        <item x="1169"/>
        <item x="1502"/>
        <item x="960"/>
        <item x="1525"/>
        <item x="461"/>
        <item x="1189"/>
        <item x="261"/>
        <item x="673"/>
        <item x="516"/>
        <item x="1020"/>
        <item x="1268"/>
        <item x="1244"/>
        <item x="94"/>
        <item x="1323"/>
        <item x="479"/>
        <item x="1511"/>
        <item x="550"/>
        <item x="501"/>
        <item x="1163"/>
        <item x="1304"/>
        <item x="213"/>
        <item x="508"/>
        <item x="1245"/>
        <item x="1223"/>
        <item x="1384"/>
        <item x="1305"/>
        <item x="1269"/>
        <item x="917"/>
        <item x="1162"/>
        <item x="1523"/>
        <item x="205"/>
        <item x="971"/>
        <item x="170"/>
        <item x="1164"/>
        <item x="208"/>
        <item x="1100"/>
        <item x="921"/>
        <item x="618"/>
        <item x="1504"/>
        <item x="1286"/>
        <item x="919"/>
        <item x="934"/>
        <item x="412"/>
        <item x="1329"/>
        <item t="default"/>
      </items>
    </pivotField>
    <pivotField dataField="1" numFmtId="10" showAll="0">
      <items count="1508">
        <item x="0"/>
        <item x="782"/>
        <item x="10"/>
        <item x="158"/>
        <item x="378"/>
        <item x="1113"/>
        <item x="603"/>
        <item x="786"/>
        <item x="153"/>
        <item x="1333"/>
        <item x="1233"/>
        <item x="1428"/>
        <item x="40"/>
        <item x="1091"/>
        <item x="9"/>
        <item x="31"/>
        <item x="1021"/>
        <item x="1342"/>
        <item x="983"/>
        <item x="1178"/>
        <item x="1285"/>
        <item x="8"/>
        <item x="1089"/>
        <item x="1088"/>
        <item x="1195"/>
        <item x="561"/>
        <item x="1466"/>
        <item x="470"/>
        <item x="544"/>
        <item x="724"/>
        <item x="994"/>
        <item x="572"/>
        <item x="388"/>
        <item x="170"/>
        <item x="49"/>
        <item x="318"/>
        <item x="282"/>
        <item x="1059"/>
        <item x="1057"/>
        <item x="533"/>
        <item x="1015"/>
        <item x="755"/>
        <item x="776"/>
        <item x="1245"/>
        <item x="940"/>
        <item x="273"/>
        <item x="193"/>
        <item x="1307"/>
        <item x="888"/>
        <item x="875"/>
        <item x="1194"/>
        <item x="773"/>
        <item x="709"/>
        <item x="717"/>
        <item x="1336"/>
        <item x="1184"/>
        <item x="463"/>
        <item x="114"/>
        <item x="1403"/>
        <item x="1070"/>
        <item x="1180"/>
        <item x="790"/>
        <item x="908"/>
        <item x="803"/>
        <item x="915"/>
        <item x="14"/>
        <item x="1157"/>
        <item x="509"/>
        <item x="276"/>
        <item x="72"/>
        <item x="912"/>
        <item x="1296"/>
        <item x="1278"/>
        <item x="199"/>
        <item x="1350"/>
        <item x="1346"/>
        <item x="268"/>
        <item x="56"/>
        <item x="504"/>
        <item x="297"/>
        <item x="12"/>
        <item x="340"/>
        <item x="589"/>
        <item x="591"/>
        <item x="532"/>
        <item x="79"/>
        <item x="6"/>
        <item x="142"/>
        <item x="557"/>
        <item x="223"/>
        <item x="333"/>
        <item x="416"/>
        <item x="274"/>
        <item x="184"/>
        <item x="1069"/>
        <item x="1370"/>
        <item x="258"/>
        <item x="1097"/>
        <item x="198"/>
        <item x="1284"/>
        <item x="452"/>
        <item x="745"/>
        <item x="744"/>
        <item x="765"/>
        <item x="156"/>
        <item x="134"/>
        <item x="350"/>
        <item x="1084"/>
        <item x="449"/>
        <item x="982"/>
        <item x="1422"/>
        <item x="97"/>
        <item x="514"/>
        <item x="1311"/>
        <item x="154"/>
        <item x="577"/>
        <item x="1256"/>
        <item x="817"/>
        <item x="1043"/>
        <item x="1282"/>
        <item x="833"/>
        <item x="1036"/>
        <item x="1210"/>
        <item x="965"/>
        <item x="521"/>
        <item x="1186"/>
        <item x="418"/>
        <item x="1037"/>
        <item x="1227"/>
        <item x="739"/>
        <item x="1139"/>
        <item x="1138"/>
        <item x="1141"/>
        <item x="94"/>
        <item x="1206"/>
        <item x="267"/>
        <item x="1302"/>
        <item x="829"/>
        <item x="275"/>
        <item x="1040"/>
        <item x="1041"/>
        <item x="346"/>
        <item x="1379"/>
        <item x="868"/>
        <item x="1189"/>
        <item x="1429"/>
        <item x="4"/>
        <item x="206"/>
        <item x="924"/>
        <item x="1109"/>
        <item x="641"/>
        <item x="164"/>
        <item x="98"/>
        <item x="365"/>
        <item x="366"/>
        <item x="148"/>
        <item x="920"/>
        <item x="1060"/>
        <item x="1246"/>
        <item x="450"/>
        <item x="955"/>
        <item x="584"/>
        <item x="723"/>
        <item x="500"/>
        <item x="1315"/>
        <item x="839"/>
        <item x="1148"/>
        <item x="337"/>
        <item x="160"/>
        <item x="128"/>
        <item x="1174"/>
        <item x="295"/>
        <item x="162"/>
        <item x="1149"/>
        <item x="547"/>
        <item x="728"/>
        <item x="952"/>
        <item x="707"/>
        <item x="315"/>
        <item x="76"/>
        <item x="919"/>
        <item x="1092"/>
        <item x="882"/>
        <item x="279"/>
        <item x="654"/>
        <item x="292"/>
        <item x="1337"/>
        <item x="876"/>
        <item x="571"/>
        <item x="673"/>
        <item x="674"/>
        <item x="226"/>
        <item x="1319"/>
        <item x="580"/>
        <item x="2"/>
        <item x="1304"/>
        <item x="296"/>
        <item x="874"/>
        <item x="553"/>
        <item x="1440"/>
        <item x="1487"/>
        <item x="639"/>
        <item x="969"/>
        <item x="1343"/>
        <item x="585"/>
        <item x="699"/>
        <item x="1221"/>
        <item x="1074"/>
        <item x="768"/>
        <item x="460"/>
        <item x="792"/>
        <item x="979"/>
        <item x="1281"/>
        <item x="425"/>
        <item x="300"/>
        <item x="103"/>
        <item x="670"/>
        <item x="496"/>
        <item x="499"/>
        <item x="913"/>
        <item x="482"/>
        <item x="106"/>
        <item x="324"/>
        <item x="1072"/>
        <item x="848"/>
        <item x="626"/>
        <item x="987"/>
        <item x="233"/>
        <item x="529"/>
        <item x="326"/>
        <item x="131"/>
        <item x="354"/>
        <item x="505"/>
        <item x="1441"/>
        <item x="332"/>
        <item x="390"/>
        <item x="1028"/>
        <item x="376"/>
        <item x="151"/>
        <item x="1393"/>
        <item x="1392"/>
        <item x="1395"/>
        <item x="1071"/>
        <item x="311"/>
        <item x="779"/>
        <item x="48"/>
        <item x="168"/>
        <item x="1018"/>
        <item x="777"/>
        <item x="237"/>
        <item x="192"/>
        <item x="93"/>
        <item x="1166"/>
        <item x="540"/>
        <item x="1358"/>
        <item x="823"/>
        <item x="1135"/>
        <item x="3"/>
        <item x="325"/>
        <item x="1107"/>
        <item x="480"/>
        <item x="515"/>
        <item x="809"/>
        <item x="1418"/>
        <item x="706"/>
        <item x="824"/>
        <item x="246"/>
        <item x="594"/>
        <item x="574"/>
        <item x="976"/>
        <item x="1067"/>
        <item x="1387"/>
        <item x="389"/>
        <item x="1413"/>
        <item x="485"/>
        <item x="5"/>
        <item x="7"/>
        <item x="228"/>
        <item x="22"/>
        <item x="650"/>
        <item x="581"/>
        <item x="526"/>
        <item x="525"/>
        <item x="534"/>
        <item x="1124"/>
        <item x="1338"/>
        <item x="933"/>
        <item x="202"/>
        <item x="1367"/>
        <item x="719"/>
        <item x="559"/>
        <item x="1327"/>
        <item x="1280"/>
        <item x="778"/>
        <item x="1359"/>
        <item x="795"/>
        <item x="1042"/>
        <item x="1326"/>
        <item x="371"/>
        <item x="443"/>
        <item x="1147"/>
        <item x="1446"/>
        <item x="269"/>
        <item x="1236"/>
        <item x="212"/>
        <item x="468"/>
        <item x="1291"/>
        <item x="1238"/>
        <item x="437"/>
        <item x="1362"/>
        <item x="1390"/>
        <item x="945"/>
        <item x="1499"/>
        <item x="977"/>
        <item x="431"/>
        <item x="546"/>
        <item x="152"/>
        <item x="165"/>
        <item x="1409"/>
        <item x="229"/>
        <item x="64"/>
        <item x="1162"/>
        <item x="89"/>
        <item x="30"/>
        <item x="757"/>
        <item x="1420"/>
        <item x="1239"/>
        <item x="972"/>
        <item x="1196"/>
        <item x="167"/>
        <item x="173"/>
        <item x="760"/>
        <item x="174"/>
        <item x="51"/>
        <item x="1017"/>
        <item x="1445"/>
        <item x="382"/>
        <item x="1103"/>
        <item x="1478"/>
        <item x="310"/>
        <item x="421"/>
        <item x="127"/>
        <item x="877"/>
        <item x="841"/>
        <item x="712"/>
        <item x="1009"/>
        <item x="1"/>
        <item x="1187"/>
        <item x="189"/>
        <item x="1411"/>
        <item x="597"/>
        <item x="338"/>
        <item x="262"/>
        <item x="859"/>
        <item x="825"/>
        <item x="73"/>
        <item x="887"/>
        <item x="1423"/>
        <item x="631"/>
        <item x="927"/>
        <item x="608"/>
        <item x="602"/>
        <item x="45"/>
        <item x="1087"/>
        <item x="85"/>
        <item x="488"/>
        <item x="595"/>
        <item x="715"/>
        <item x="653"/>
        <item x="1011"/>
        <item x="1010"/>
        <item x="243"/>
        <item x="827"/>
        <item x="222"/>
        <item x="1012"/>
        <item x="63"/>
        <item x="1038"/>
        <item x="298"/>
        <item x="328"/>
        <item x="747"/>
        <item x="1385"/>
        <item x="35"/>
        <item x="400"/>
        <item x="1005"/>
        <item x="1188"/>
        <item x="665"/>
        <item x="733"/>
        <item x="1449"/>
        <item x="1220"/>
        <item x="569"/>
        <item x="531"/>
        <item x="705"/>
        <item x="1179"/>
        <item x="1376"/>
        <item x="564"/>
        <item x="566"/>
        <item x="219"/>
        <item x="1321"/>
        <item x="50"/>
        <item x="751"/>
        <item x="196"/>
        <item x="87"/>
        <item x="1226"/>
        <item x="1354"/>
        <item x="68"/>
        <item x="456"/>
        <item x="605"/>
        <item x="1169"/>
        <item x="1216"/>
        <item x="464"/>
        <item x="1349"/>
        <item x="528"/>
        <item x="458"/>
        <item x="635"/>
        <item x="334"/>
        <item x="59"/>
        <item x="1488"/>
        <item x="238"/>
        <item x="863"/>
        <item x="702"/>
        <item x="71"/>
        <item x="701"/>
        <item x="442"/>
        <item x="261"/>
        <item x="217"/>
        <item x="693"/>
        <item x="224"/>
        <item x="1273"/>
        <item x="242"/>
        <item x="942"/>
        <item x="991"/>
        <item x="126"/>
        <item x="1026"/>
        <item x="23"/>
        <item x="1006"/>
        <item x="58"/>
        <item x="1232"/>
        <item x="1272"/>
        <item x="43"/>
        <item x="1377"/>
        <item x="375"/>
        <item x="501"/>
        <item x="1167"/>
        <item x="801"/>
        <item x="461"/>
        <item x="1297"/>
        <item x="1436"/>
        <item x="872"/>
        <item x="343"/>
        <item x="441"/>
        <item x="828"/>
        <item x="899"/>
        <item x="1051"/>
        <item x="1375"/>
        <item x="998"/>
        <item x="523"/>
        <item x="1190"/>
        <item x="394"/>
        <item x="150"/>
        <item x="905"/>
        <item x="155"/>
        <item x="932"/>
        <item x="1497"/>
        <item x="1353"/>
        <item x="1243"/>
        <item x="75"/>
        <item x="1121"/>
        <item x="949"/>
        <item x="864"/>
        <item x="462"/>
        <item x="1312"/>
        <item x="549"/>
        <item x="1029"/>
        <item x="996"/>
        <item x="671"/>
        <item x="277"/>
        <item x="789"/>
        <item x="25"/>
        <item x="895"/>
        <item x="1158"/>
        <item x="240"/>
        <item x="344"/>
        <item x="32"/>
        <item x="921"/>
        <item x="1079"/>
        <item x="329"/>
        <item x="294"/>
        <item x="1143"/>
        <item x="1443"/>
        <item x="936"/>
        <item x="1163"/>
        <item x="130"/>
        <item x="397"/>
        <item x="963"/>
        <item x="960"/>
        <item x="247"/>
        <item x="407"/>
        <item x="498"/>
        <item x="362"/>
        <item x="419"/>
        <item x="1082"/>
        <item x="567"/>
        <item x="474"/>
        <item x="1248"/>
        <item x="741"/>
        <item x="1168"/>
        <item x="1200"/>
        <item x="891"/>
        <item x="886"/>
        <item x="508"/>
        <item x="606"/>
        <item x="413"/>
        <item x="1480"/>
        <item x="761"/>
        <item x="1058"/>
        <item x="883"/>
        <item x="301"/>
        <item x="780"/>
        <item x="176"/>
        <item x="1360"/>
        <item x="623"/>
        <item x="565"/>
        <item x="718"/>
        <item x="13"/>
        <item x="958"/>
        <item x="816"/>
        <item x="1117"/>
        <item x="55"/>
        <item x="387"/>
        <item x="95"/>
        <item x="898"/>
        <item x="1404"/>
        <item x="1207"/>
        <item x="61"/>
        <item x="1482"/>
        <item x="750"/>
        <item x="475"/>
        <item x="562"/>
        <item x="901"/>
        <item x="27"/>
        <item x="593"/>
        <item x="110"/>
        <item x="146"/>
        <item x="1329"/>
        <item x="349"/>
        <item x="746"/>
        <item x="253"/>
        <item x="374"/>
        <item x="903"/>
        <item x="590"/>
        <item x="284"/>
        <item x="633"/>
        <item x="1416"/>
        <item x="762"/>
        <item x="910"/>
        <item x="692"/>
        <item x="207"/>
        <item x="847"/>
        <item x="966"/>
        <item x="373"/>
        <item x="1126"/>
        <item x="502"/>
        <item x="522"/>
        <item x="36"/>
        <item x="316"/>
        <item x="904"/>
        <item x="588"/>
        <item x="250"/>
        <item x="381"/>
        <item x="1417"/>
        <item x="415"/>
        <item x="336"/>
        <item x="290"/>
        <item x="576"/>
        <item x="360"/>
        <item x="804"/>
        <item x="231"/>
        <item x="477"/>
        <item x="1366"/>
        <item x="771"/>
        <item x="832"/>
        <item x="280"/>
        <item x="615"/>
        <item x="412"/>
        <item x="364"/>
        <item x="711"/>
        <item x="657"/>
        <item x="869"/>
        <item x="1287"/>
        <item x="583"/>
        <item x="307"/>
        <item x="854"/>
        <item x="914"/>
        <item x="666"/>
        <item x="414"/>
        <item x="289"/>
        <item x="677"/>
        <item x="1369"/>
        <item x="568"/>
        <item x="132"/>
        <item x="1288"/>
        <item x="625"/>
        <item x="1340"/>
        <item x="1292"/>
        <item x="234"/>
        <item x="1062"/>
        <item x="1322"/>
        <item x="1334"/>
        <item x="187"/>
        <item x="800"/>
        <item x="1144"/>
        <item x="1020"/>
        <item x="34"/>
        <item x="752"/>
        <item x="1463"/>
        <item x="810"/>
        <item x="112"/>
        <item x="244"/>
        <item x="1075"/>
        <item x="867"/>
        <item x="180"/>
        <item x="1299"/>
        <item x="1030"/>
        <item x="263"/>
        <item x="88"/>
        <item x="519"/>
        <item x="729"/>
        <item x="214"/>
        <item x="352"/>
        <item x="774"/>
        <item x="911"/>
        <item x="1014"/>
        <item x="113"/>
        <item x="66"/>
        <item x="1266"/>
        <item x="342"/>
        <item x="787"/>
        <item x="1101"/>
        <item x="359"/>
        <item x="599"/>
        <item x="764"/>
        <item x="435"/>
        <item x="798"/>
        <item x="143"/>
        <item x="1407"/>
        <item x="399"/>
        <item x="1094"/>
        <item x="1414"/>
        <item x="408"/>
        <item x="1479"/>
        <item x="695"/>
        <item x="321"/>
        <item x="815"/>
        <item x="1213"/>
        <item x="428"/>
        <item x="1225"/>
        <item x="554"/>
        <item x="16"/>
        <item x="1136"/>
        <item x="47"/>
        <item x="1170"/>
        <item x="129"/>
        <item x="644"/>
        <item x="1364"/>
        <item x="852"/>
        <item x="322"/>
        <item x="1054"/>
        <item x="610"/>
        <item x="90"/>
        <item x="1259"/>
        <item x="689"/>
        <item x="1317"/>
        <item x="91"/>
        <item x="256"/>
        <item x="840"/>
        <item x="857"/>
        <item x="520"/>
        <item x="957"/>
        <item x="925"/>
        <item x="1309"/>
        <item x="743"/>
        <item x="138"/>
        <item x="255"/>
        <item x="1465"/>
        <item x="272"/>
        <item x="791"/>
        <item x="959"/>
        <item x="1496"/>
        <item x="954"/>
        <item x="1114"/>
        <item x="367"/>
        <item x="1130"/>
        <item x="1133"/>
        <item x="183"/>
        <item x="1421"/>
        <item x="19"/>
        <item x="251"/>
        <item x="672"/>
        <item x="1426"/>
        <item x="225"/>
        <item x="537"/>
        <item x="1501"/>
        <item x="1493"/>
        <item x="687"/>
        <item x="1432"/>
        <item x="796"/>
        <item x="260"/>
        <item x="440"/>
        <item x="291"/>
        <item x="592"/>
        <item x="1161"/>
        <item x="675"/>
        <item x="401"/>
        <item x="483"/>
        <item x="201"/>
        <item x="304"/>
        <item x="1255"/>
        <item x="1316"/>
        <item x="372"/>
        <item x="248"/>
        <item x="451"/>
        <item x="287"/>
        <item x="84"/>
        <item x="356"/>
        <item x="1448"/>
        <item x="355"/>
        <item x="664"/>
        <item x="1383"/>
        <item x="541"/>
        <item x="1078"/>
        <item x="330"/>
        <item x="1165"/>
        <item x="1192"/>
        <item x="17"/>
        <item x="306"/>
        <item x="1444"/>
        <item x="844"/>
        <item x="647"/>
        <item x="1090"/>
        <item x="121"/>
        <item x="1305"/>
        <item x="1085"/>
        <item x="216"/>
        <item x="52"/>
        <item x="1076"/>
        <item x="524"/>
        <item x="1003"/>
        <item x="455"/>
        <item x="395"/>
        <item x="1073"/>
        <item x="208"/>
        <item x="1410"/>
        <item x="889"/>
        <item x="1469"/>
        <item x="614"/>
        <item x="934"/>
        <item x="1483"/>
        <item x="628"/>
        <item x="104"/>
        <item x="713"/>
        <item x="497"/>
        <item x="358"/>
        <item x="348"/>
        <item x="1122"/>
        <item x="1140"/>
        <item x="617"/>
        <item x="820"/>
        <item x="656"/>
        <item x="190"/>
        <item x="1467"/>
        <item x="1341"/>
        <item x="552"/>
        <item x="81"/>
        <item x="436"/>
        <item x="1459"/>
        <item x="218"/>
        <item x="651"/>
        <item x="191"/>
        <item x="1293"/>
        <item x="613"/>
        <item x="86"/>
        <item x="962"/>
        <item x="1034"/>
        <item x="484"/>
        <item x="1447"/>
        <item x="353"/>
        <item x="393"/>
        <item x="822"/>
        <item x="438"/>
        <item x="1118"/>
        <item x="1408"/>
        <item x="850"/>
        <item x="1127"/>
        <item x="704"/>
        <item x="186"/>
        <item x="357"/>
        <item x="434"/>
        <item x="799"/>
        <item x="1237"/>
        <item x="697"/>
        <item x="855"/>
        <item x="788"/>
        <item x="1468"/>
        <item x="740"/>
        <item x="1442"/>
        <item x="928"/>
        <item x="578"/>
        <item x="1365"/>
        <item x="1503"/>
        <item x="1314"/>
        <item x="197"/>
        <item x="550"/>
        <item x="120"/>
        <item x="1202"/>
        <item x="78"/>
        <item x="649"/>
        <item x="447"/>
        <item x="985"/>
        <item x="1373"/>
        <item x="70"/>
        <item x="100"/>
        <item x="935"/>
        <item x="446"/>
        <item x="377"/>
        <item x="1275"/>
        <item x="1240"/>
        <item x="511"/>
        <item x="249"/>
        <item x="749"/>
        <item x="587"/>
        <item x="122"/>
        <item x="1064"/>
        <item x="536"/>
        <item x="797"/>
        <item x="252"/>
        <item x="454"/>
        <item x="1159"/>
        <item x="299"/>
        <item x="1197"/>
        <item x="1502"/>
        <item x="1228"/>
        <item x="495"/>
        <item x="314"/>
        <item x="1401"/>
        <item x="319"/>
        <item x="423"/>
        <item x="930"/>
        <item x="469"/>
        <item x="518"/>
        <item x="303"/>
        <item x="111"/>
        <item x="1254"/>
        <item x="320"/>
        <item x="663"/>
        <item x="124"/>
        <item x="612"/>
        <item x="1324"/>
        <item x="1438"/>
        <item x="145"/>
        <item x="265"/>
        <item x="1172"/>
        <item x="1102"/>
        <item x="906"/>
        <item x="1123"/>
        <item x="1454"/>
        <item x="1119"/>
        <item x="1476"/>
        <item x="813"/>
        <item x="116"/>
        <item x="742"/>
        <item x="92"/>
        <item x="772"/>
        <item x="690"/>
        <item x="1080"/>
        <item x="944"/>
        <item x="503"/>
        <item x="1323"/>
        <item x="1450"/>
        <item x="254"/>
        <item x="403"/>
        <item x="1183"/>
        <item x="465"/>
        <item x="209"/>
        <item x="1047"/>
        <item x="109"/>
        <item x="1498"/>
        <item x="1244"/>
        <item x="830"/>
        <item x="802"/>
        <item x="849"/>
        <item x="327"/>
        <item x="539"/>
        <item x="1048"/>
        <item x="1391"/>
        <item x="737"/>
        <item x="426"/>
        <item x="769"/>
        <item x="44"/>
        <item x="892"/>
        <item x="1396"/>
        <item x="422"/>
        <item x="1388"/>
        <item x="1223"/>
        <item x="1128"/>
        <item x="46"/>
        <item x="1171"/>
        <item x="135"/>
        <item x="108"/>
        <item x="179"/>
        <item x="188"/>
        <item x="1313"/>
        <item x="851"/>
        <item x="312"/>
        <item x="947"/>
        <item x="1115"/>
        <item x="487"/>
        <item x="984"/>
        <item x="391"/>
        <item x="1455"/>
        <item x="691"/>
        <item x="1271"/>
        <item x="917"/>
        <item x="1134"/>
        <item x="907"/>
        <item x="1022"/>
        <item x="1381"/>
        <item x="1419"/>
        <item x="1355"/>
        <item x="489"/>
        <item x="232"/>
        <item x="1361"/>
        <item x="1142"/>
        <item x="1265"/>
        <item x="1412"/>
        <item x="60"/>
        <item x="1023"/>
        <item x="159"/>
        <item x="627"/>
        <item x="645"/>
        <item x="1055"/>
        <item x="29"/>
        <item x="973"/>
        <item x="41"/>
        <item x="220"/>
        <item x="80"/>
        <item x="239"/>
        <item x="221"/>
        <item x="1276"/>
        <item x="516"/>
        <item x="178"/>
        <item x="575"/>
        <item x="323"/>
        <item x="964"/>
        <item x="1505"/>
        <item x="118"/>
        <item x="871"/>
        <item x="205"/>
        <item x="210"/>
        <item x="646"/>
        <item x="195"/>
        <item x="1112"/>
        <item x="266"/>
        <item x="1235"/>
        <item x="1222"/>
        <item x="1065"/>
        <item x="622"/>
        <item x="1203"/>
        <item x="149"/>
        <item x="946"/>
        <item x="1061"/>
        <item x="1008"/>
        <item x="69"/>
        <item x="1218"/>
        <item x="136"/>
        <item x="1004"/>
        <item x="96"/>
        <item x="241"/>
        <item x="1077"/>
        <item x="1357"/>
        <item x="988"/>
        <item x="345"/>
        <item x="430"/>
        <item x="1425"/>
        <item x="716"/>
        <item x="491"/>
        <item x="433"/>
        <item x="853"/>
        <item x="811"/>
        <item x="618"/>
        <item x="648"/>
        <item x="309"/>
        <item x="814"/>
        <item x="1154"/>
        <item x="956"/>
        <item x="38"/>
        <item x="548"/>
        <item x="1031"/>
        <item x="1033"/>
        <item x="640"/>
        <item x="893"/>
        <item x="494"/>
        <item x="1000"/>
        <item x="1046"/>
        <item x="472"/>
        <item x="1397"/>
        <item x="1198"/>
        <item x="175"/>
        <item x="123"/>
        <item x="643"/>
        <item x="1247"/>
        <item x="688"/>
        <item x="1339"/>
        <item x="598"/>
        <item x="410"/>
        <item x="967"/>
        <item x="880"/>
        <item x="466"/>
        <item x="439"/>
        <item x="558"/>
        <item x="117"/>
        <item x="731"/>
        <item x="1439"/>
        <item x="137"/>
        <item x="203"/>
        <item x="634"/>
        <item x="427"/>
        <item x="890"/>
        <item x="1002"/>
        <item x="513"/>
        <item x="620"/>
        <item x="1191"/>
        <item x="730"/>
        <item x="807"/>
        <item x="213"/>
        <item x="784"/>
        <item x="735"/>
        <item x="444"/>
        <item x="1473"/>
        <item x="236"/>
        <item x="404"/>
        <item x="20"/>
        <item x="1211"/>
        <item x="1406"/>
        <item x="1290"/>
        <item x="172"/>
        <item x="211"/>
        <item x="1399"/>
        <item x="1096"/>
        <item x="909"/>
        <item x="1035"/>
        <item x="638"/>
        <item x="1125"/>
        <item x="293"/>
        <item x="630"/>
        <item x="264"/>
        <item x="1185"/>
        <item x="794"/>
        <item x="918"/>
        <item x="490"/>
        <item x="335"/>
        <item x="866"/>
        <item x="194"/>
        <item x="99"/>
        <item x="929"/>
        <item x="916"/>
        <item x="860"/>
        <item x="961"/>
        <item x="1325"/>
        <item x="1470"/>
        <item x="698"/>
        <item x="1434"/>
        <item x="1145"/>
        <item x="405"/>
        <item x="1153"/>
        <item x="1494"/>
        <item x="493"/>
        <item x="1267"/>
        <item x="259"/>
        <item x="139"/>
        <item x="1347"/>
        <item x="119"/>
        <item x="1209"/>
        <item x="732"/>
        <item x="616"/>
        <item x="684"/>
        <item x="834"/>
        <item x="1344"/>
        <item x="147"/>
        <item x="660"/>
        <item x="535"/>
        <item x="953"/>
        <item x="1378"/>
        <item x="363"/>
        <item x="870"/>
        <item x="1056"/>
        <item x="938"/>
        <item x="115"/>
        <item x="1495"/>
        <item x="1137"/>
        <item x="1453"/>
        <item x="1151"/>
        <item x="1150"/>
        <item x="694"/>
        <item x="1260"/>
        <item x="26"/>
        <item x="177"/>
        <item x="658"/>
        <item x="1394"/>
        <item x="1039"/>
        <item x="1294"/>
        <item x="1382"/>
        <item x="1380"/>
        <item x="1268"/>
        <item x="555"/>
        <item x="1431"/>
        <item x="668"/>
        <item x="662"/>
        <item x="837"/>
        <item x="894"/>
        <item x="1217"/>
        <item x="370"/>
        <item x="1201"/>
        <item x="432"/>
        <item x="161"/>
        <item x="1176"/>
        <item x="245"/>
        <item x="703"/>
        <item x="385"/>
        <item x="1492"/>
        <item x="1328"/>
        <item x="878"/>
        <item x="970"/>
        <item x="604"/>
        <item x="445"/>
        <item x="65"/>
        <item x="861"/>
        <item x="1506"/>
        <item x="862"/>
        <item x="144"/>
        <item x="1001"/>
        <item x="530"/>
        <item x="831"/>
        <item x="609"/>
        <item x="573"/>
        <item x="997"/>
        <item x="1098"/>
        <item x="683"/>
        <item x="1129"/>
        <item x="727"/>
        <item x="836"/>
        <item x="659"/>
        <item x="601"/>
        <item x="1415"/>
        <item x="896"/>
        <item x="1249"/>
        <item x="812"/>
        <item x="1095"/>
        <item x="821"/>
        <item x="885"/>
        <item x="166"/>
        <item x="981"/>
        <item x="383"/>
        <item x="339"/>
        <item x="943"/>
        <item x="411"/>
        <item x="1052"/>
        <item x="1504"/>
        <item x="62"/>
        <item x="1386"/>
        <item x="1345"/>
        <item x="1262"/>
        <item x="1274"/>
        <item x="818"/>
        <item x="902"/>
        <item x="1177"/>
        <item x="1481"/>
        <item x="939"/>
        <item x="1300"/>
        <item x="808"/>
        <item x="67"/>
        <item x="1330"/>
        <item x="1452"/>
        <item x="974"/>
        <item x="1264"/>
        <item x="725"/>
        <item x="512"/>
        <item x="392"/>
        <item x="1027"/>
        <item x="417"/>
        <item x="873"/>
        <item x="900"/>
        <item x="879"/>
        <item x="708"/>
        <item x="278"/>
        <item x="1083"/>
        <item x="838"/>
        <item x="1471"/>
        <item x="710"/>
        <item x="975"/>
        <item x="968"/>
        <item x="402"/>
        <item x="682"/>
        <item x="302"/>
        <item x="1331"/>
        <item x="1024"/>
        <item x="748"/>
        <item x="543"/>
        <item x="1352"/>
        <item x="331"/>
        <item x="923"/>
        <item x="140"/>
        <item x="1485"/>
        <item x="843"/>
        <item x="1348"/>
        <item x="384"/>
        <item x="1019"/>
        <item x="941"/>
        <item x="1458"/>
        <item x="667"/>
        <item x="793"/>
        <item x="720"/>
        <item x="619"/>
        <item x="721"/>
        <item x="486"/>
        <item x="37"/>
        <item x="1214"/>
        <item x="510"/>
        <item x="1205"/>
        <item x="1384"/>
        <item x="1474"/>
        <item x="621"/>
        <item x="669"/>
        <item x="980"/>
        <item x="283"/>
        <item x="700"/>
        <item x="227"/>
        <item x="54"/>
        <item x="1250"/>
        <item x="551"/>
        <item x="11"/>
        <item x="819"/>
        <item x="313"/>
        <item x="478"/>
        <item x="846"/>
        <item x="453"/>
        <item x="767"/>
        <item x="661"/>
        <item x="28"/>
        <item x="636"/>
        <item x="448"/>
        <item x="738"/>
        <item x="185"/>
        <item x="1241"/>
        <item x="655"/>
        <item x="806"/>
        <item x="775"/>
        <item x="1204"/>
        <item x="270"/>
        <item x="527"/>
        <item x="563"/>
        <item x="1277"/>
        <item x="42"/>
        <item x="1308"/>
        <item x="1456"/>
        <item x="1303"/>
        <item x="1457"/>
        <item x="271"/>
        <item x="986"/>
        <item x="1208"/>
        <item x="865"/>
        <item x="1044"/>
        <item x="1318"/>
        <item x="57"/>
        <item x="1389"/>
        <item x="305"/>
        <item x="1212"/>
        <item x="398"/>
        <item x="39"/>
        <item x="1427"/>
        <item x="1132"/>
        <item x="826"/>
        <item x="1182"/>
        <item x="1231"/>
        <item x="1306"/>
        <item x="835"/>
        <item x="471"/>
        <item x="285"/>
        <item x="1263"/>
        <item x="424"/>
        <item x="1181"/>
        <item x="1405"/>
        <item x="805"/>
        <item x="990"/>
        <item x="1013"/>
        <item x="1156"/>
        <item x="18"/>
        <item x="21"/>
        <item x="77"/>
        <item x="632"/>
        <item x="722"/>
        <item x="1155"/>
        <item x="1105"/>
        <item x="1486"/>
        <item x="102"/>
        <item x="989"/>
        <item x="125"/>
        <item x="1104"/>
        <item x="1053"/>
        <item x="1261"/>
        <item x="680"/>
        <item x="858"/>
        <item x="734"/>
        <item x="679"/>
        <item x="182"/>
        <item x="473"/>
        <item x="1301"/>
        <item x="676"/>
        <item x="600"/>
        <item x="308"/>
        <item x="15"/>
        <item x="926"/>
        <item x="200"/>
        <item x="1215"/>
        <item x="481"/>
        <item x="1472"/>
        <item x="714"/>
        <item x="637"/>
        <item x="107"/>
        <item x="230"/>
        <item x="1269"/>
        <item x="361"/>
        <item x="1279"/>
        <item x="1298"/>
        <item x="1500"/>
        <item x="951"/>
        <item x="507"/>
        <item x="545"/>
        <item x="1106"/>
        <item x="1270"/>
        <item x="380"/>
        <item x="570"/>
        <item x="1310"/>
        <item x="1050"/>
        <item x="582"/>
        <item x="1430"/>
        <item x="1086"/>
        <item x="1066"/>
        <item x="736"/>
        <item x="754"/>
        <item x="785"/>
        <item x="379"/>
        <item x="686"/>
        <item x="1257"/>
        <item x="347"/>
        <item x="409"/>
        <item x="386"/>
        <item x="1229"/>
        <item x="141"/>
        <item x="517"/>
        <item x="476"/>
        <item x="1320"/>
        <item x="971"/>
        <item x="1424"/>
        <item x="538"/>
        <item x="1464"/>
        <item x="1372"/>
        <item x="611"/>
        <item x="995"/>
        <item x="169"/>
        <item x="950"/>
        <item x="1049"/>
        <item x="1081"/>
        <item x="1462"/>
        <item x="24"/>
        <item x="1025"/>
        <item x="1356"/>
        <item x="1007"/>
        <item x="560"/>
        <item x="429"/>
        <item x="1175"/>
        <item x="1093"/>
        <item x="1283"/>
        <item x="1437"/>
        <item x="351"/>
        <item x="257"/>
        <item x="1164"/>
        <item x="286"/>
        <item x="1252"/>
        <item x="1199"/>
        <item x="1289"/>
        <item x="1258"/>
        <item x="1332"/>
        <item x="74"/>
        <item x="459"/>
        <item x="845"/>
        <item x="1400"/>
        <item x="1068"/>
        <item x="937"/>
        <item x="1146"/>
        <item x="33"/>
        <item x="457"/>
        <item x="1108"/>
        <item x="1433"/>
        <item x="1016"/>
        <item x="629"/>
        <item x="1460"/>
        <item x="281"/>
        <item x="756"/>
        <item x="163"/>
        <item x="856"/>
        <item x="1224"/>
        <item x="1111"/>
        <item x="753"/>
        <item x="1398"/>
        <item x="1242"/>
        <item x="978"/>
        <item x="1402"/>
        <item x="157"/>
        <item x="678"/>
        <item x="556"/>
        <item x="685"/>
        <item x="783"/>
        <item x="1152"/>
        <item x="758"/>
        <item x="759"/>
        <item x="1160"/>
        <item x="897"/>
        <item x="341"/>
        <item x="642"/>
        <item x="1110"/>
        <item x="1116"/>
        <item x="204"/>
        <item x="396"/>
        <item x="999"/>
        <item x="1131"/>
        <item x="884"/>
        <item x="420"/>
        <item x="1100"/>
        <item x="101"/>
        <item x="1295"/>
        <item x="586"/>
        <item x="1371"/>
        <item x="770"/>
        <item x="1286"/>
        <item x="83"/>
        <item x="1451"/>
        <item x="171"/>
        <item x="596"/>
        <item x="1351"/>
        <item x="948"/>
        <item x="1489"/>
        <item x="1368"/>
        <item x="624"/>
        <item x="766"/>
        <item x="922"/>
        <item x="681"/>
        <item x="506"/>
        <item x="1475"/>
        <item x="607"/>
        <item x="993"/>
        <item x="1099"/>
        <item x="133"/>
        <item x="492"/>
        <item x="1230"/>
        <item x="726"/>
        <item x="881"/>
        <item x="369"/>
        <item x="1032"/>
        <item x="652"/>
        <item x="696"/>
        <item x="1234"/>
        <item x="317"/>
        <item x="1374"/>
        <item x="1335"/>
        <item x="1253"/>
        <item x="1491"/>
        <item x="931"/>
        <item x="1490"/>
        <item x="1063"/>
        <item x="1219"/>
        <item x="1120"/>
        <item x="82"/>
        <item x="235"/>
        <item x="1461"/>
        <item x="542"/>
        <item x="1193"/>
        <item x="579"/>
        <item x="1045"/>
        <item x="842"/>
        <item x="1173"/>
        <item x="406"/>
        <item x="181"/>
        <item x="1484"/>
        <item x="479"/>
        <item x="1435"/>
        <item x="368"/>
        <item x="992"/>
        <item x="288"/>
        <item x="467"/>
        <item x="1251"/>
        <item x="1363"/>
        <item x="763"/>
        <item x="105"/>
        <item x="781"/>
        <item x="53"/>
        <item x="1477"/>
        <item x="215"/>
        <item t="default"/>
      </items>
    </pivotField>
    <pivotField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axis="axisRow" showAll="0">
      <items count="8">
        <item x="2"/>
        <item x="5"/>
        <item x="4"/>
        <item x="3"/>
        <item x="6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3" item="1" hier="-1"/>
  </pageFields>
  <dataFields count="3">
    <dataField name="平均值 - 生產率" fld="8" subtotal="average" baseField="0" baseItem="0"/>
    <dataField name="平均值 - 利用率" fld="9" subtotal="average" baseField="0" baseItem="0"/>
    <dataField name="平均值 - 效率" fld="4" subtotal="average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0C39AEA4-D5C0-435A-978F-7A429E23BEEF}" autoFormatId="16" applyNumberFormats="0" applyBorderFormats="0" applyFontFormats="0" applyPatternFormats="0" applyAlignmentFormats="0" applyWidthHeightFormats="0">
  <queryTableRefresh nextId="20" unboundColumnsRight="3">
    <queryTableFields count="14">
      <queryTableField id="2" name="部門別" tableColumnId="2"/>
      <queryTableField id="3" name="人員代號" tableColumnId="3"/>
      <queryTableField id="4" name="售出工時" tableColumnId="4"/>
      <queryTableField id="5" name="所花費時間" tableColumnId="5"/>
      <queryTableField id="6" name="效率" tableColumnId="6"/>
      <queryTableField id="7" name="維修時間" tableColumnId="7"/>
      <queryTableField id="8" name="怠工時間" tableColumnId="8"/>
      <queryTableField id="9" name="上班時間" tableColumnId="9"/>
      <queryTableField id="10" name="效率_1" tableColumnId="10"/>
      <queryTableField id="11" name="利用率" tableColumnId="11"/>
      <queryTableField id="13" name="數據日期_2" tableColumnId="13"/>
      <queryTableField id="14" dataBound="0" tableColumnId="14"/>
      <queryTableField id="15" dataBound="0" tableColumnId="1"/>
      <queryTableField id="19" dataBound="0" tableColumnId="12"/>
    </queryTableFields>
    <queryTableDeletedFields count="2">
      <deletedField name="數據日期"/>
      <deletedField name="Source.Name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月__數據日期_2" xr10:uid="{2229D64F-23E5-41C2-AD27-5692025128C2}" sourceName="月 (數據日期_2)">
  <pivotTables>
    <pivotTable tabId="11" name="樞紐分析表20"/>
    <pivotTable tabId="11" name="樞紐分析表16"/>
    <pivotTable tabId="11" name="樞紐分析表17"/>
    <pivotTable tabId="11" name="樞紐分析表19"/>
    <pivotTable tabId="11" name="樞紐分析表21"/>
    <pivotTable tabId="11" name="樞紐分析表22"/>
  </pivotTables>
  <data>
    <tabular pivotCacheId="727646698">
      <items count="14">
        <i x="1" s="1"/>
        <i x="2" s="1"/>
        <i x="3" s="1"/>
        <i x="0" nd="1"/>
        <i x="13" nd="1"/>
        <i x="10" nd="1"/>
        <i x="11" nd="1"/>
        <i x="12" nd="1"/>
        <i x="4" nd="1"/>
        <i x="5" nd="1"/>
        <i x="6" nd="1"/>
        <i x="7" nd="1"/>
        <i x="8" nd="1"/>
        <i x="9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組別" xr10:uid="{27355C02-AC7F-4479-BDF3-D8E51B190949}" sourceName="組別">
  <pivotTables>
    <pivotTable tabId="11" name="樞紐分析表20"/>
    <pivotTable tabId="11" name="樞紐分析表16"/>
    <pivotTable tabId="11" name="樞紐分析表17"/>
    <pivotTable tabId="11" name="樞紐分析表18"/>
    <pivotTable tabId="11" name="樞紐分析表19"/>
    <pivotTable tabId="11" name="樞紐分析表21"/>
    <pivotTable tabId="11" name="樞紐分析表22"/>
  </pivotTables>
  <data>
    <tabular pivotCacheId="727646698">
      <items count="7">
        <i x="2" s="1"/>
        <i x="5" s="1"/>
        <i x="4" s="1"/>
        <i x="3" s="1"/>
        <i x="6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部門別" xr10:uid="{00A56771-4248-4B1E-822C-91B2D3CD64F1}" sourceName="部門別">
  <pivotTables>
    <pivotTable tabId="11" name="樞紐分析表20"/>
    <pivotTable tabId="11" name="樞紐分析表16"/>
    <pivotTable tabId="11" name="樞紐分析表17"/>
    <pivotTable tabId="11" name="樞紐分析表18"/>
    <pivotTable tabId="11" name="樞紐分析表19"/>
    <pivotTable tabId="11" name="樞紐分析表21"/>
    <pivotTable tabId="11" name="樞紐分析表22"/>
  </pivotTables>
  <data>
    <tabular pivotCacheId="727646698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月 (數據日期_2)" xr10:uid="{596ADD91-C2ED-49AC-A00A-8924E917BCF5}" cache="Slicer_月__數據日期_2" caption="月 (數據日期_2)" showCaption="0" rowHeight="225425"/>
  <slicer name="組別" xr10:uid="{B1BBA08A-68BC-4F19-980B-7522F3AA8430}" cache="Slicer_組別" caption="組別" showCaption="0" rowHeight="225425"/>
  <slicer name="部門別" xr10:uid="{745860C5-9405-452D-B28D-98BEA27ADA1B}" cache="Slicer_部門別" caption="部門別" showCaption="0" rowHeight="22542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9264-07E8-43C0-B664-81B63A89B448}" name="交易處理資料__3" displayName="交易處理資料__3" ref="A1:N3535" tableType="queryTable" totalsRowShown="0">
  <autoFilter ref="A1:N3535" xr:uid="{6D1D9264-07E8-43C0-B664-81B63A89B448}">
    <filterColumn colId="1">
      <filters>
        <filter val="AA002"/>
      </filters>
    </filterColumn>
  </autoFilter>
  <tableColumns count="14">
    <tableColumn id="2" xr3:uid="{4FEF8232-F2E7-465C-B016-60E1BAFA9DB8}" uniqueName="2" name="部門別" queryTableFieldId="2" dataDxfId="8"/>
    <tableColumn id="3" xr3:uid="{F6934320-03DB-403B-B56E-347A03197F31}" uniqueName="3" name="人員代號" queryTableFieldId="3" dataDxfId="7"/>
    <tableColumn id="4" xr3:uid="{859D00F6-CB37-4CC3-9E83-EC4A7532235C}" uniqueName="4" name="售出工時" queryTableFieldId="4"/>
    <tableColumn id="5" xr3:uid="{5DF90E2A-AA02-48EC-AD06-268929D40D77}" uniqueName="5" name="所花費時間" queryTableFieldId="5"/>
    <tableColumn id="6" xr3:uid="{0019413B-AE6B-4148-A607-71C3D8377F93}" uniqueName="6" name="效率" queryTableFieldId="6" dataDxfId="6"/>
    <tableColumn id="7" xr3:uid="{19E990DB-84FD-4585-A4ED-07399DC8AD2C}" uniqueName="7" name="維修時間" queryTableFieldId="7"/>
    <tableColumn id="8" xr3:uid="{E5B4ECFA-9F41-4218-B728-C84BE5117ED9}" uniqueName="8" name="怠工時間" queryTableFieldId="8"/>
    <tableColumn id="9" xr3:uid="{40F54952-91DE-4AA1-B4EA-7813A0BA5241}" uniqueName="9" name="上班時間" queryTableFieldId="9"/>
    <tableColumn id="10" xr3:uid="{D9552475-1115-47C4-AB06-E6BBF2D9C1DC}" uniqueName="10" name="生產率" queryTableFieldId="10" dataDxfId="5"/>
    <tableColumn id="11" xr3:uid="{7BE3E792-250F-400B-99A5-50B0E61C7471}" uniqueName="11" name="利用率" queryTableFieldId="11" dataDxfId="4"/>
    <tableColumn id="13" xr3:uid="{5A0645BA-0038-4F5C-B099-F21720FD626F}" uniqueName="13" name="數據日期_2" queryTableFieldId="13" dataDxfId="3"/>
    <tableColumn id="14" xr3:uid="{C5032115-E5C3-483A-8432-50EB45A9D433}" uniqueName="14" name="FRU" queryTableFieldId="14" dataDxfId="2">
      <calculatedColumnFormula xml:space="preserve"> (交易處理資料__3[[#This Row],[售出工時]] * 60) / 5</calculatedColumnFormula>
    </tableColumn>
    <tableColumn id="1" xr3:uid="{970F34D7-A54F-4954-98B6-CC0738F6AFC2}" uniqueName="1" name="組別" queryTableFieldId="15" dataDxfId="1">
      <calculatedColumnFormula>VLOOKUP(交易處理資料__3[[#This Row],[人員代號]],團隊分組!$B$1:$C$52,2,FALSE)</calculatedColumnFormula>
    </tableColumn>
    <tableColumn id="12" xr3:uid="{C006C42E-42FB-4D0C-8DA5-27169B02347D}" uniqueName="12" name="上班與否" queryTableFieldId="19" dataDxfId="0">
      <calculatedColumnFormula>IF(交易處理資料__3[[#This Row],[上班時間]]=0,"否","是")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綠色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"/>
  <sheetViews>
    <sheetView zoomScale="70" zoomScaleNormal="70" workbookViewId="0">
      <selection activeCell="C2" sqref="C2"/>
    </sheetView>
  </sheetViews>
  <sheetFormatPr defaultRowHeight="16.2"/>
  <cols>
    <col min="1" max="2" width="9" style="8"/>
    <col min="6" max="6" width="18.6640625" customWidth="1"/>
    <col min="7" max="7" width="18.77734375" customWidth="1"/>
    <col min="13" max="13" width="8.88671875" customWidth="1"/>
  </cols>
  <sheetData>
    <row r="1" spans="1:13">
      <c r="A1" s="8" t="s">
        <v>61</v>
      </c>
      <c r="B1" s="8" t="s">
        <v>62</v>
      </c>
    </row>
    <row r="2" spans="1:13">
      <c r="A2" s="11" t="s">
        <v>16</v>
      </c>
      <c r="B2" s="24" t="s">
        <v>37</v>
      </c>
      <c r="C2" s="8" t="s">
        <v>54</v>
      </c>
      <c r="D2" t="str">
        <f>VLOOKUP(熱圖!A4,'交易處理資料 '!B:O,14)</f>
        <v>噴漆部門</v>
      </c>
    </row>
    <row r="3" spans="1:13">
      <c r="A3" s="13" t="s">
        <v>16</v>
      </c>
      <c r="B3" s="24" t="s">
        <v>48</v>
      </c>
      <c r="C3" s="8" t="s">
        <v>54</v>
      </c>
      <c r="D3" t="str">
        <f>VLOOKUP(B3,'交易處理資料 '!B:O,14)</f>
        <v>引電部門</v>
      </c>
    </row>
    <row r="4" spans="1:13">
      <c r="A4" s="11" t="s">
        <v>16</v>
      </c>
      <c r="B4" s="24" t="s">
        <v>53</v>
      </c>
      <c r="C4" s="8" t="s">
        <v>54</v>
      </c>
      <c r="D4" t="str">
        <f>VLOOKUP(B4,'交易處理資料 '!B:O,14)</f>
        <v>引電部門</v>
      </c>
    </row>
    <row r="5" spans="1:13">
      <c r="A5" s="13" t="s">
        <v>16</v>
      </c>
      <c r="B5" s="24" t="s">
        <v>40</v>
      </c>
      <c r="C5" s="8" t="s">
        <v>54</v>
      </c>
      <c r="D5" t="str">
        <f>VLOOKUP(B5,'交易處理資料 '!B:O,14)</f>
        <v>引電部門</v>
      </c>
    </row>
    <row r="6" spans="1:13">
      <c r="A6" s="11" t="s">
        <v>16</v>
      </c>
      <c r="B6" s="24" t="s">
        <v>19</v>
      </c>
      <c r="C6" s="8" t="s">
        <v>54</v>
      </c>
      <c r="D6" t="str">
        <f>VLOOKUP(B6,'交易處理資料 '!B:O,14)</f>
        <v>引電部門</v>
      </c>
      <c r="K6" t="s">
        <v>79</v>
      </c>
      <c r="L6" t="s">
        <v>83</v>
      </c>
    </row>
    <row r="7" spans="1:13">
      <c r="A7" s="13" t="s">
        <v>16</v>
      </c>
      <c r="B7" s="24" t="s">
        <v>25</v>
      </c>
      <c r="C7" s="8" t="s">
        <v>54</v>
      </c>
      <c r="D7" t="str">
        <f>VLOOKUP(B7,'交易處理資料 '!B:O,14)</f>
        <v>引電部門</v>
      </c>
      <c r="J7" s="1"/>
      <c r="K7" s="26" t="s">
        <v>78</v>
      </c>
      <c r="L7" s="8" t="s">
        <v>80</v>
      </c>
    </row>
    <row r="8" spans="1:13">
      <c r="A8" s="11" t="s">
        <v>16</v>
      </c>
      <c r="B8" s="24" t="s">
        <v>39</v>
      </c>
      <c r="C8" s="8" t="s">
        <v>54</v>
      </c>
      <c r="D8" t="str">
        <f>VLOOKUP(B8,'交易處理資料 '!B:O,14)</f>
        <v>引電部門</v>
      </c>
      <c r="J8" s="2"/>
      <c r="K8" s="8" t="s">
        <v>55</v>
      </c>
      <c r="L8" s="8" t="s">
        <v>81</v>
      </c>
    </row>
    <row r="9" spans="1:13">
      <c r="A9" s="21" t="s">
        <v>16</v>
      </c>
      <c r="B9" s="25" t="s">
        <v>49</v>
      </c>
      <c r="C9" s="8" t="s">
        <v>54</v>
      </c>
      <c r="D9" t="str">
        <f>VLOOKUP(B9,'交易處理資料 '!B:O,14)</f>
        <v>引電部門</v>
      </c>
      <c r="J9" s="3"/>
      <c r="K9" s="8" t="s">
        <v>56</v>
      </c>
      <c r="L9" s="8" t="s">
        <v>82</v>
      </c>
    </row>
    <row r="10" spans="1:13">
      <c r="A10" s="11" t="s">
        <v>16</v>
      </c>
      <c r="B10" s="15" t="s">
        <v>20</v>
      </c>
      <c r="C10" s="8" t="s">
        <v>55</v>
      </c>
      <c r="D10" t="str">
        <f>VLOOKUP(B10,'交易處理資料 '!B:O,14)</f>
        <v>引電部門</v>
      </c>
      <c r="J10" s="4"/>
      <c r="K10" s="8" t="s">
        <v>57</v>
      </c>
      <c r="L10" s="8"/>
    </row>
    <row r="11" spans="1:13">
      <c r="A11" s="13" t="s">
        <v>16</v>
      </c>
      <c r="B11" s="15" t="s">
        <v>21</v>
      </c>
      <c r="C11" s="8" t="s">
        <v>55</v>
      </c>
      <c r="D11" t="str">
        <f>VLOOKUP(B11,'交易處理資料 '!B:O,14)</f>
        <v>引電部門</v>
      </c>
      <c r="J11" s="5"/>
      <c r="K11" s="8" t="s">
        <v>58</v>
      </c>
    </row>
    <row r="12" spans="1:13">
      <c r="A12" s="11" t="s">
        <v>16</v>
      </c>
      <c r="B12" s="15" t="s">
        <v>26</v>
      </c>
      <c r="C12" s="8" t="s">
        <v>55</v>
      </c>
      <c r="D12" t="str">
        <f>VLOOKUP(B12,'交易處理資料 '!B:O,14)</f>
        <v>引電部門</v>
      </c>
      <c r="J12" s="6"/>
      <c r="K12" s="35" t="s">
        <v>180</v>
      </c>
    </row>
    <row r="13" spans="1:13">
      <c r="A13" s="13" t="s">
        <v>16</v>
      </c>
      <c r="B13" s="15" t="s">
        <v>46</v>
      </c>
      <c r="C13" s="8" t="s">
        <v>55</v>
      </c>
      <c r="D13" t="str">
        <f>VLOOKUP(B13,'交易處理資料 '!B:O,14)</f>
        <v>引電部門</v>
      </c>
      <c r="J13" s="7"/>
      <c r="K13" s="8" t="s">
        <v>60</v>
      </c>
    </row>
    <row r="14" spans="1:13">
      <c r="A14" s="11" t="s">
        <v>16</v>
      </c>
      <c r="B14" s="15" t="s">
        <v>18</v>
      </c>
      <c r="C14" s="8" t="s">
        <v>55</v>
      </c>
      <c r="D14" t="str">
        <f>VLOOKUP(B14,'交易處理資料 '!B:O,14)</f>
        <v>引電部門</v>
      </c>
    </row>
    <row r="15" spans="1:13">
      <c r="A15" s="13" t="s">
        <v>16</v>
      </c>
      <c r="B15" s="15" t="s">
        <v>43</v>
      </c>
      <c r="C15" s="8" t="s">
        <v>55</v>
      </c>
      <c r="D15" t="str">
        <f>VLOOKUP(B15,'交易處理資料 '!B:O,14)</f>
        <v>引電部門</v>
      </c>
      <c r="M15" s="8"/>
    </row>
    <row r="16" spans="1:13">
      <c r="A16" s="11" t="s">
        <v>16</v>
      </c>
      <c r="B16" s="15" t="s">
        <v>52</v>
      </c>
      <c r="C16" s="8" t="s">
        <v>55</v>
      </c>
      <c r="D16" t="str">
        <f>VLOOKUP(B16,'交易處理資料 '!B:O,14)</f>
        <v>引電部門</v>
      </c>
    </row>
    <row r="17" spans="1:62">
      <c r="A17" s="13" t="s">
        <v>16</v>
      </c>
      <c r="B17" s="15" t="s">
        <v>47</v>
      </c>
      <c r="C17" s="8" t="s">
        <v>55</v>
      </c>
      <c r="D17" t="str">
        <f>VLOOKUP(B17,'交易處理資料 '!B:O,14)</f>
        <v>引電部門</v>
      </c>
    </row>
    <row r="18" spans="1:62">
      <c r="A18" s="11" t="s">
        <v>16</v>
      </c>
      <c r="B18" s="15" t="s">
        <v>35</v>
      </c>
      <c r="C18" s="8" t="s">
        <v>55</v>
      </c>
      <c r="D18" t="str">
        <f>VLOOKUP(B18,'交易處理資料 '!B:O,14)</f>
        <v>引電部門</v>
      </c>
    </row>
    <row r="19" spans="1:62">
      <c r="A19" s="13" t="s">
        <v>16</v>
      </c>
      <c r="B19" s="15" t="s">
        <v>29</v>
      </c>
      <c r="C19" s="8" t="s">
        <v>55</v>
      </c>
      <c r="D19" t="str">
        <f>VLOOKUP(B19,'交易處理資料 '!B:O,14)</f>
        <v>引電部門</v>
      </c>
    </row>
    <row r="20" spans="1:62">
      <c r="A20" s="16" t="s">
        <v>16</v>
      </c>
      <c r="B20" s="17" t="s">
        <v>36</v>
      </c>
      <c r="C20" s="8" t="s">
        <v>55</v>
      </c>
      <c r="D20" t="str">
        <f>VLOOKUP(B20,'交易處理資料 '!B:O,14)</f>
        <v>引電部門</v>
      </c>
      <c r="K20" t="s">
        <v>79</v>
      </c>
      <c r="L20" s="26" t="s">
        <v>78</v>
      </c>
      <c r="M20" s="8" t="s">
        <v>55</v>
      </c>
      <c r="N20" s="8" t="s">
        <v>56</v>
      </c>
      <c r="O20" s="8" t="s">
        <v>57</v>
      </c>
      <c r="P20" s="8" t="s">
        <v>58</v>
      </c>
      <c r="Q20" s="8" t="s">
        <v>59</v>
      </c>
      <c r="R20" s="8" t="s">
        <v>60</v>
      </c>
    </row>
    <row r="21" spans="1:62">
      <c r="A21" s="11" t="s">
        <v>16</v>
      </c>
      <c r="B21" s="20" t="s">
        <v>17</v>
      </c>
      <c r="C21" s="8" t="s">
        <v>56</v>
      </c>
      <c r="D21" t="str">
        <f>VLOOKUP(B21,'交易處理資料 '!B:O,14)</f>
        <v>引電部門</v>
      </c>
      <c r="K21" t="s">
        <v>83</v>
      </c>
      <c r="L21" s="8" t="s">
        <v>80</v>
      </c>
      <c r="M21" s="8" t="s">
        <v>81</v>
      </c>
      <c r="N21" s="8" t="s">
        <v>82</v>
      </c>
      <c r="O21" s="8"/>
    </row>
    <row r="22" spans="1:62">
      <c r="A22" s="13" t="s">
        <v>16</v>
      </c>
      <c r="B22" s="20" t="s">
        <v>41</v>
      </c>
      <c r="C22" s="8" t="s">
        <v>56</v>
      </c>
      <c r="D22" t="str">
        <f>VLOOKUP(B22,'交易處理資料 '!B:O,14)</f>
        <v>引電部門</v>
      </c>
      <c r="K22" t="s">
        <v>84</v>
      </c>
      <c r="L22" s="24" t="s">
        <v>37</v>
      </c>
      <c r="M22" s="24" t="s">
        <v>48</v>
      </c>
      <c r="N22" s="24" t="s">
        <v>53</v>
      </c>
      <c r="O22" s="24" t="s">
        <v>40</v>
      </c>
      <c r="P22" s="24" t="s">
        <v>19</v>
      </c>
      <c r="Q22" s="24" t="s">
        <v>25</v>
      </c>
      <c r="R22" s="24" t="s">
        <v>39</v>
      </c>
      <c r="S22" s="25" t="s">
        <v>49</v>
      </c>
      <c r="T22" s="15" t="s">
        <v>20</v>
      </c>
      <c r="U22" s="15" t="s">
        <v>21</v>
      </c>
      <c r="V22" s="15" t="s">
        <v>26</v>
      </c>
      <c r="W22" s="15" t="s">
        <v>46</v>
      </c>
      <c r="X22" s="15" t="s">
        <v>18</v>
      </c>
      <c r="Y22" s="15" t="s">
        <v>43</v>
      </c>
      <c r="Z22" s="15" t="s">
        <v>52</v>
      </c>
      <c r="AA22" s="15" t="s">
        <v>47</v>
      </c>
      <c r="AB22" s="15" t="s">
        <v>35</v>
      </c>
      <c r="AC22" s="15" t="s">
        <v>29</v>
      </c>
      <c r="AD22" s="17" t="s">
        <v>36</v>
      </c>
      <c r="AE22" s="20" t="s">
        <v>17</v>
      </c>
      <c r="AF22" s="20" t="s">
        <v>41</v>
      </c>
      <c r="AG22" s="20" t="s">
        <v>45</v>
      </c>
      <c r="AH22" s="20" t="s">
        <v>34</v>
      </c>
      <c r="AI22" s="20" t="s">
        <v>42</v>
      </c>
      <c r="AJ22" s="20" t="s">
        <v>38</v>
      </c>
      <c r="AK22" s="20" t="s">
        <v>28</v>
      </c>
      <c r="AL22" s="20" t="s">
        <v>22</v>
      </c>
      <c r="AM22" s="20" t="s">
        <v>24</v>
      </c>
      <c r="AN22" s="22" t="s">
        <v>31</v>
      </c>
      <c r="AO22" s="18" t="s">
        <v>30</v>
      </c>
      <c r="AP22" s="18" t="s">
        <v>23</v>
      </c>
      <c r="AQ22" s="18" t="s">
        <v>50</v>
      </c>
      <c r="AR22" s="18" t="s">
        <v>33</v>
      </c>
      <c r="AS22" s="18" t="s">
        <v>44</v>
      </c>
      <c r="AT22" s="18" t="s">
        <v>32</v>
      </c>
      <c r="AU22" s="19" t="s">
        <v>27</v>
      </c>
      <c r="AV22" s="14" t="s">
        <v>12</v>
      </c>
      <c r="AW22" s="14" t="s">
        <v>13</v>
      </c>
      <c r="AX22" s="14" t="s">
        <v>11</v>
      </c>
      <c r="AY22" s="14" t="s">
        <v>15</v>
      </c>
      <c r="AZ22" s="14" t="s">
        <v>14</v>
      </c>
      <c r="BA22" s="12" t="s">
        <v>7</v>
      </c>
      <c r="BB22" s="12" t="s">
        <v>5</v>
      </c>
      <c r="BC22" s="12" t="s">
        <v>9</v>
      </c>
      <c r="BD22" s="12" t="s">
        <v>1</v>
      </c>
      <c r="BE22" s="12" t="s">
        <v>4</v>
      </c>
      <c r="BF22" s="12" t="s">
        <v>3</v>
      </c>
      <c r="BG22" s="12" t="s">
        <v>2</v>
      </c>
      <c r="BH22" s="12" t="s">
        <v>8</v>
      </c>
      <c r="BI22" s="12" t="s">
        <v>6</v>
      </c>
      <c r="BJ22" s="23" t="s">
        <v>51</v>
      </c>
    </row>
    <row r="23" spans="1:62">
      <c r="A23" s="11" t="s">
        <v>16</v>
      </c>
      <c r="B23" s="20" t="s">
        <v>45</v>
      </c>
      <c r="C23" s="8" t="s">
        <v>56</v>
      </c>
      <c r="D23" t="str">
        <f>VLOOKUP(B23,'交易處理資料 '!B:O,14)</f>
        <v>引電部門</v>
      </c>
    </row>
    <row r="24" spans="1:62">
      <c r="A24" s="13" t="s">
        <v>16</v>
      </c>
      <c r="B24" s="20" t="s">
        <v>34</v>
      </c>
      <c r="C24" s="8" t="s">
        <v>56</v>
      </c>
      <c r="D24" t="str">
        <f>VLOOKUP(B24,'交易處理資料 '!B:O,14)</f>
        <v>引電部門</v>
      </c>
    </row>
    <row r="25" spans="1:62">
      <c r="A25" s="11" t="s">
        <v>16</v>
      </c>
      <c r="B25" s="20" t="s">
        <v>42</v>
      </c>
      <c r="C25" s="8" t="s">
        <v>56</v>
      </c>
      <c r="D25" t="str">
        <f>VLOOKUP(B25,'交易處理資料 '!B:O,14)</f>
        <v>引電部門</v>
      </c>
    </row>
    <row r="26" spans="1:62">
      <c r="A26" s="13" t="s">
        <v>16</v>
      </c>
      <c r="B26" s="20" t="s">
        <v>38</v>
      </c>
      <c r="C26" s="8" t="s">
        <v>56</v>
      </c>
      <c r="D26" t="str">
        <f>VLOOKUP(B26,'交易處理資料 '!B:O,14)</f>
        <v>引電部門</v>
      </c>
    </row>
    <row r="27" spans="1:62">
      <c r="A27" s="11" t="s">
        <v>16</v>
      </c>
      <c r="B27" s="20" t="s">
        <v>28</v>
      </c>
      <c r="C27" s="8" t="s">
        <v>56</v>
      </c>
      <c r="D27" t="str">
        <f>VLOOKUP(B27,'交易處理資料 '!B:O,14)</f>
        <v>引電部門</v>
      </c>
    </row>
    <row r="28" spans="1:62">
      <c r="A28" s="13" t="s">
        <v>16</v>
      </c>
      <c r="B28" s="20" t="s">
        <v>22</v>
      </c>
      <c r="C28" s="8" t="s">
        <v>56</v>
      </c>
      <c r="D28" t="str">
        <f>VLOOKUP(B28,'交易處理資料 '!B:O,14)</f>
        <v>引電部門</v>
      </c>
    </row>
    <row r="29" spans="1:62">
      <c r="A29" s="11" t="s">
        <v>16</v>
      </c>
      <c r="B29" s="20" t="s">
        <v>24</v>
      </c>
      <c r="C29" s="8" t="s">
        <v>56</v>
      </c>
      <c r="D29" t="str">
        <f>VLOOKUP(B29,'交易處理資料 '!B:O,14)</f>
        <v>引電部門</v>
      </c>
    </row>
    <row r="30" spans="1:62">
      <c r="A30" s="21" t="s">
        <v>16</v>
      </c>
      <c r="B30" s="22" t="s">
        <v>31</v>
      </c>
      <c r="C30" s="8" t="s">
        <v>56</v>
      </c>
      <c r="D30" t="str">
        <f>VLOOKUP(B30,'交易處理資料 '!B:O,14)</f>
        <v>引電部門</v>
      </c>
    </row>
    <row r="31" spans="1:62">
      <c r="A31" s="11" t="s">
        <v>16</v>
      </c>
      <c r="B31" s="18" t="s">
        <v>30</v>
      </c>
      <c r="C31" s="8" t="s">
        <v>57</v>
      </c>
      <c r="D31" t="str">
        <f>VLOOKUP(B31,'交易處理資料 '!B:O,14)</f>
        <v>引電部門</v>
      </c>
    </row>
    <row r="32" spans="1:62">
      <c r="A32" s="13" t="s">
        <v>16</v>
      </c>
      <c r="B32" s="18" t="s">
        <v>23</v>
      </c>
      <c r="C32" s="8" t="s">
        <v>57</v>
      </c>
      <c r="D32" t="str">
        <f>VLOOKUP(B32,'交易處理資料 '!B:O,14)</f>
        <v>引電部門</v>
      </c>
    </row>
    <row r="33" spans="1:4">
      <c r="A33" s="11" t="s">
        <v>16</v>
      </c>
      <c r="B33" s="18" t="s">
        <v>50</v>
      </c>
      <c r="C33" s="8" t="s">
        <v>57</v>
      </c>
      <c r="D33" t="str">
        <f>VLOOKUP(B33,'交易處理資料 '!B:O,14)</f>
        <v>引電部門</v>
      </c>
    </row>
    <row r="34" spans="1:4">
      <c r="A34" s="13" t="s">
        <v>16</v>
      </c>
      <c r="B34" s="18" t="s">
        <v>33</v>
      </c>
      <c r="C34" s="8" t="s">
        <v>57</v>
      </c>
      <c r="D34" t="str">
        <f>VLOOKUP(B34,'交易處理資料 '!B:O,14)</f>
        <v>引電部門</v>
      </c>
    </row>
    <row r="35" spans="1:4">
      <c r="A35" s="11" t="s">
        <v>16</v>
      </c>
      <c r="B35" s="18" t="s">
        <v>44</v>
      </c>
      <c r="C35" s="8" t="s">
        <v>57</v>
      </c>
      <c r="D35" t="str">
        <f>VLOOKUP(B35,'交易處理資料 '!B:O,14)</f>
        <v>引電部門</v>
      </c>
    </row>
    <row r="36" spans="1:4">
      <c r="A36" s="13" t="s">
        <v>16</v>
      </c>
      <c r="B36" s="18" t="s">
        <v>32</v>
      </c>
      <c r="C36" s="8" t="s">
        <v>57</v>
      </c>
      <c r="D36" t="str">
        <f>VLOOKUP(B36,'交易處理資料 '!B:O,14)</f>
        <v>引電部門</v>
      </c>
    </row>
    <row r="37" spans="1:4">
      <c r="A37" s="16" t="s">
        <v>16</v>
      </c>
      <c r="B37" s="19" t="s">
        <v>27</v>
      </c>
      <c r="C37" s="8" t="s">
        <v>57</v>
      </c>
      <c r="D37" t="str">
        <f>VLOOKUP(B37,'交易處理資料 '!B:O,14)</f>
        <v>引電部門</v>
      </c>
    </row>
    <row r="38" spans="1:4">
      <c r="A38" s="11" t="s">
        <v>10</v>
      </c>
      <c r="B38" s="14" t="s">
        <v>12</v>
      </c>
      <c r="C38" s="8" t="s">
        <v>58</v>
      </c>
      <c r="D38" t="str">
        <f>VLOOKUP(B38,'交易處理資料 '!B:O,14)</f>
        <v>板金部門</v>
      </c>
    </row>
    <row r="39" spans="1:4">
      <c r="A39" s="13" t="s">
        <v>10</v>
      </c>
      <c r="B39" s="14" t="s">
        <v>13</v>
      </c>
      <c r="C39" s="8" t="s">
        <v>58</v>
      </c>
      <c r="D39" t="str">
        <f>VLOOKUP(B39,'交易處理資料 '!B:O,14)</f>
        <v>板金部門</v>
      </c>
    </row>
    <row r="40" spans="1:4">
      <c r="A40" s="11" t="s">
        <v>10</v>
      </c>
      <c r="B40" s="14" t="s">
        <v>11</v>
      </c>
      <c r="C40" s="8" t="s">
        <v>58</v>
      </c>
      <c r="D40" t="str">
        <f>VLOOKUP(B40,'交易處理資料 '!B:O,14)</f>
        <v>板金部門</v>
      </c>
    </row>
    <row r="41" spans="1:4">
      <c r="A41" s="13" t="s">
        <v>10</v>
      </c>
      <c r="B41" s="14" t="s">
        <v>15</v>
      </c>
      <c r="C41" s="8" t="s">
        <v>58</v>
      </c>
      <c r="D41" t="str">
        <f>VLOOKUP(B41,'交易處理資料 '!B:O,14)</f>
        <v>板金部門</v>
      </c>
    </row>
    <row r="42" spans="1:4">
      <c r="A42" s="11" t="s">
        <v>10</v>
      </c>
      <c r="B42" s="14" t="s">
        <v>14</v>
      </c>
      <c r="C42" s="8" t="s">
        <v>58</v>
      </c>
      <c r="D42" t="str">
        <f>VLOOKUP(B42,'交易處理資料 '!B:O,14)</f>
        <v>板金部門</v>
      </c>
    </row>
    <row r="43" spans="1:4">
      <c r="A43" s="11" t="s">
        <v>0</v>
      </c>
      <c r="B43" s="12" t="s">
        <v>7</v>
      </c>
      <c r="C43" s="8" t="s">
        <v>59</v>
      </c>
      <c r="D43" t="str">
        <f>VLOOKUP(B43,'交易處理資料 '!B:O,14)</f>
        <v>噴漆部門</v>
      </c>
    </row>
    <row r="44" spans="1:4">
      <c r="A44" s="13" t="s">
        <v>0</v>
      </c>
      <c r="B44" s="12" t="s">
        <v>5</v>
      </c>
      <c r="C44" s="8" t="s">
        <v>59</v>
      </c>
      <c r="D44" t="str">
        <f>VLOOKUP(B44,'交易處理資料 '!B:O,14)</f>
        <v>噴漆部門</v>
      </c>
    </row>
    <row r="45" spans="1:4">
      <c r="A45" s="11" t="s">
        <v>0</v>
      </c>
      <c r="B45" s="12" t="s">
        <v>9</v>
      </c>
      <c r="C45" s="8" t="s">
        <v>59</v>
      </c>
      <c r="D45" t="str">
        <f>VLOOKUP(B45,'交易處理資料 '!B:O,14)</f>
        <v>噴漆部門</v>
      </c>
    </row>
    <row r="46" spans="1:4">
      <c r="A46" s="13" t="s">
        <v>0</v>
      </c>
      <c r="B46" s="12" t="s">
        <v>1</v>
      </c>
      <c r="C46" s="8" t="s">
        <v>59</v>
      </c>
      <c r="D46" t="str">
        <f>VLOOKUP(B46,'交易處理資料 '!B:O,14)</f>
        <v>噴漆部門</v>
      </c>
    </row>
    <row r="47" spans="1:4">
      <c r="A47" s="11" t="s">
        <v>0</v>
      </c>
      <c r="B47" s="12" t="s">
        <v>4</v>
      </c>
      <c r="C47" s="8" t="s">
        <v>59</v>
      </c>
      <c r="D47" t="str">
        <f>VLOOKUP(B47,'交易處理資料 '!B:O,14)</f>
        <v>噴漆部門</v>
      </c>
    </row>
    <row r="48" spans="1:4">
      <c r="A48" s="13" t="s">
        <v>0</v>
      </c>
      <c r="B48" s="12" t="s">
        <v>3</v>
      </c>
      <c r="C48" s="8" t="s">
        <v>59</v>
      </c>
      <c r="D48" t="str">
        <f>VLOOKUP(B48,'交易處理資料 '!B:O,14)</f>
        <v>噴漆部門</v>
      </c>
    </row>
    <row r="49" spans="1:4">
      <c r="A49" s="11" t="s">
        <v>0</v>
      </c>
      <c r="B49" s="12" t="s">
        <v>2</v>
      </c>
      <c r="C49" s="8" t="s">
        <v>59</v>
      </c>
      <c r="D49" t="str">
        <f>VLOOKUP(B49,'交易處理資料 '!B:O,14)</f>
        <v>噴漆部門</v>
      </c>
    </row>
    <row r="50" spans="1:4">
      <c r="A50" s="13" t="s">
        <v>0</v>
      </c>
      <c r="B50" s="12" t="s">
        <v>8</v>
      </c>
      <c r="C50" s="8" t="s">
        <v>59</v>
      </c>
      <c r="D50" t="str">
        <f>VLOOKUP(B50,'交易處理資料 '!B:O,14)</f>
        <v>噴漆部門</v>
      </c>
    </row>
    <row r="51" spans="1:4">
      <c r="A51" s="11" t="s">
        <v>0</v>
      </c>
      <c r="B51" s="12" t="s">
        <v>6</v>
      </c>
      <c r="C51" s="8" t="s">
        <v>59</v>
      </c>
      <c r="D51" t="str">
        <f>VLOOKUP(B51,'交易處理資料 '!B:O,14)</f>
        <v>噴漆部門</v>
      </c>
    </row>
    <row r="52" spans="1:4">
      <c r="A52" s="16" t="s">
        <v>77</v>
      </c>
      <c r="B52" s="23" t="s">
        <v>51</v>
      </c>
      <c r="C52" s="8" t="s">
        <v>60</v>
      </c>
      <c r="D52" t="str">
        <f>VLOOKUP(B52,'交易處理資料 '!B:O,14)</f>
        <v>引電部門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2C6D-11F5-4694-A5DB-A1E6CBFBD466}">
  <dimension ref="A1:R3535"/>
  <sheetViews>
    <sheetView zoomScale="85" zoomScaleNormal="85" workbookViewId="0">
      <selection activeCell="O1" sqref="O1:R1048576"/>
    </sheetView>
  </sheetViews>
  <sheetFormatPr defaultRowHeight="16.2"/>
  <cols>
    <col min="1" max="1" width="10.77734375" style="10" bestFit="1" customWidth="1"/>
    <col min="2" max="3" width="13.21875" bestFit="1" customWidth="1"/>
    <col min="4" max="4" width="15.77734375" bestFit="1" customWidth="1"/>
    <col min="5" max="5" width="12.77734375" style="27" bestFit="1" customWidth="1"/>
    <col min="6" max="8" width="13.21875" bestFit="1" customWidth="1"/>
    <col min="9" max="9" width="10.6640625" bestFit="1" customWidth="1"/>
    <col min="10" max="10" width="10.77734375" bestFit="1" customWidth="1"/>
    <col min="11" max="11" width="15.6640625" bestFit="1" customWidth="1"/>
    <col min="12" max="12" width="10.33203125" bestFit="1" customWidth="1"/>
    <col min="13" max="13" width="11.21875" customWidth="1"/>
    <col min="15" max="15" width="10.77734375" style="10" hidden="1" customWidth="1"/>
    <col min="16" max="16" width="12.77734375" style="27" hidden="1" customWidth="1"/>
    <col min="17" max="18" width="0" hidden="1" customWidth="1"/>
  </cols>
  <sheetData>
    <row r="1" spans="1:18">
      <c r="A1" s="10" t="s">
        <v>63</v>
      </c>
      <c r="B1" t="s">
        <v>64</v>
      </c>
      <c r="C1" t="s">
        <v>65</v>
      </c>
      <c r="D1" t="s">
        <v>66</v>
      </c>
      <c r="E1" s="28" t="s">
        <v>67</v>
      </c>
      <c r="F1" t="s">
        <v>68</v>
      </c>
      <c r="G1" t="s">
        <v>69</v>
      </c>
      <c r="H1" t="s">
        <v>70</v>
      </c>
      <c r="I1" t="s">
        <v>86</v>
      </c>
      <c r="J1" t="s">
        <v>71</v>
      </c>
      <c r="K1" t="s">
        <v>73</v>
      </c>
      <c r="L1" t="s">
        <v>72</v>
      </c>
      <c r="M1" t="s">
        <v>85</v>
      </c>
      <c r="N1" t="s">
        <v>87</v>
      </c>
      <c r="O1" s="10" t="s">
        <v>63</v>
      </c>
      <c r="P1" s="36" t="s">
        <v>67</v>
      </c>
      <c r="Q1" s="30" t="s">
        <v>71</v>
      </c>
      <c r="R1" s="30" t="s">
        <v>86</v>
      </c>
    </row>
    <row r="2" spans="1:18" hidden="1">
      <c r="A2" s="10" t="s">
        <v>74</v>
      </c>
      <c r="B2" t="s">
        <v>1</v>
      </c>
      <c r="C2">
        <v>0</v>
      </c>
      <c r="D2">
        <v>0</v>
      </c>
      <c r="E2" s="29">
        <v>0</v>
      </c>
      <c r="F2">
        <v>0</v>
      </c>
      <c r="G2">
        <v>0</v>
      </c>
      <c r="H2">
        <v>0</v>
      </c>
      <c r="I2" s="29">
        <v>0</v>
      </c>
      <c r="J2" s="29">
        <v>0</v>
      </c>
      <c r="K2" s="9">
        <v>45292</v>
      </c>
      <c r="L2">
        <f xml:space="preserve"> (交易處理資料__3[[#This Row],[售出工時]] * 60) / 5</f>
        <v>0</v>
      </c>
      <c r="M2" t="str">
        <f>VLOOKUP(交易處理資料__3[[#This Row],[人員代號]],團隊分組!$B$1:$C$52,2,FALSE)</f>
        <v>噴漆維修組</v>
      </c>
      <c r="N2" t="str">
        <f>IF(交易處理資料__3[[#This Row],[上班時間]]=0,"否","是")</f>
        <v>否</v>
      </c>
      <c r="O2" s="10" t="s">
        <v>74</v>
      </c>
      <c r="P2" s="37">
        <v>0</v>
      </c>
      <c r="Q2" s="37">
        <v>0</v>
      </c>
      <c r="R2" s="37">
        <v>0</v>
      </c>
    </row>
    <row r="3" spans="1:18" hidden="1">
      <c r="A3" s="10" t="s">
        <v>74</v>
      </c>
      <c r="B3" t="s">
        <v>2</v>
      </c>
      <c r="C3">
        <v>0</v>
      </c>
      <c r="D3">
        <v>0</v>
      </c>
      <c r="E3" s="29">
        <v>0</v>
      </c>
      <c r="F3">
        <v>0</v>
      </c>
      <c r="G3">
        <v>0</v>
      </c>
      <c r="H3">
        <v>0</v>
      </c>
      <c r="I3" s="29">
        <v>0</v>
      </c>
      <c r="J3" s="29">
        <v>0</v>
      </c>
      <c r="K3" s="9">
        <v>45292</v>
      </c>
      <c r="L3">
        <f xml:space="preserve"> (交易處理資料__3[[#This Row],[售出工時]] * 60) / 5</f>
        <v>0</v>
      </c>
      <c r="M3" t="str">
        <f>VLOOKUP(交易處理資料__3[[#This Row],[人員代號]],團隊分組!$B$1:$C$52,2,FALSE)</f>
        <v>噴漆維修組</v>
      </c>
      <c r="N3" t="str">
        <f>IF(交易處理資料__3[[#This Row],[上班時間]]=0,"否","是")</f>
        <v>否</v>
      </c>
      <c r="O3" s="10" t="s">
        <v>74</v>
      </c>
      <c r="P3" s="38">
        <v>0</v>
      </c>
      <c r="Q3" s="38">
        <v>0</v>
      </c>
      <c r="R3" s="38">
        <v>0</v>
      </c>
    </row>
    <row r="4" spans="1:18" hidden="1">
      <c r="A4" s="10" t="s">
        <v>74</v>
      </c>
      <c r="B4" t="s">
        <v>3</v>
      </c>
      <c r="C4">
        <v>0</v>
      </c>
      <c r="D4">
        <v>0</v>
      </c>
      <c r="E4" s="29">
        <v>0</v>
      </c>
      <c r="F4">
        <v>0</v>
      </c>
      <c r="G4">
        <v>0</v>
      </c>
      <c r="H4">
        <v>0</v>
      </c>
      <c r="I4" s="29">
        <v>0</v>
      </c>
      <c r="J4" s="29">
        <v>0</v>
      </c>
      <c r="K4" s="9">
        <v>45292</v>
      </c>
      <c r="L4">
        <f xml:space="preserve"> (交易處理資料__3[[#This Row],[售出工時]] * 60) / 5</f>
        <v>0</v>
      </c>
      <c r="M4" t="str">
        <f>VLOOKUP(交易處理資料__3[[#This Row],[人員代號]],團隊分組!$B$1:$C$52,2,FALSE)</f>
        <v>噴漆維修組</v>
      </c>
      <c r="N4" t="str">
        <f>IF(交易處理資料__3[[#This Row],[上班時間]]=0,"否","是")</f>
        <v>否</v>
      </c>
      <c r="O4" s="10" t="s">
        <v>74</v>
      </c>
      <c r="P4" s="37">
        <v>0</v>
      </c>
      <c r="Q4" s="37">
        <v>0</v>
      </c>
      <c r="R4" s="37">
        <v>0</v>
      </c>
    </row>
    <row r="5" spans="1:18" hidden="1">
      <c r="A5" s="10" t="s">
        <v>74</v>
      </c>
      <c r="B5" t="s">
        <v>4</v>
      </c>
      <c r="C5">
        <v>0</v>
      </c>
      <c r="D5">
        <v>0</v>
      </c>
      <c r="E5" s="29">
        <v>0</v>
      </c>
      <c r="F5">
        <v>0</v>
      </c>
      <c r="G5">
        <v>0</v>
      </c>
      <c r="H5">
        <v>0</v>
      </c>
      <c r="I5" s="29">
        <v>0</v>
      </c>
      <c r="J5" s="29">
        <v>0</v>
      </c>
      <c r="K5" s="9">
        <v>45292</v>
      </c>
      <c r="L5">
        <f xml:space="preserve"> (交易處理資料__3[[#This Row],[售出工時]] * 60) / 5</f>
        <v>0</v>
      </c>
      <c r="M5" t="str">
        <f>VLOOKUP(交易處理資料__3[[#This Row],[人員代號]],團隊分組!$B$1:$C$52,2,FALSE)</f>
        <v>噴漆維修組</v>
      </c>
      <c r="N5" t="str">
        <f>IF(交易處理資料__3[[#This Row],[上班時間]]=0,"否","是")</f>
        <v>否</v>
      </c>
      <c r="O5" s="10" t="s">
        <v>74</v>
      </c>
      <c r="P5" s="38">
        <v>0</v>
      </c>
      <c r="Q5" s="38">
        <v>0</v>
      </c>
      <c r="R5" s="38">
        <v>0</v>
      </c>
    </row>
    <row r="6" spans="1:18" hidden="1">
      <c r="A6" s="10" t="s">
        <v>74</v>
      </c>
      <c r="B6" t="s">
        <v>5</v>
      </c>
      <c r="C6">
        <v>0</v>
      </c>
      <c r="D6">
        <v>0</v>
      </c>
      <c r="E6" s="29">
        <v>0</v>
      </c>
      <c r="F6">
        <v>0</v>
      </c>
      <c r="G6">
        <v>0</v>
      </c>
      <c r="H6">
        <v>0</v>
      </c>
      <c r="I6" s="29">
        <v>0</v>
      </c>
      <c r="J6" s="29">
        <v>0</v>
      </c>
      <c r="K6" s="9">
        <v>45292</v>
      </c>
      <c r="L6">
        <f xml:space="preserve"> (交易處理資料__3[[#This Row],[售出工時]] * 60) / 5</f>
        <v>0</v>
      </c>
      <c r="M6" t="str">
        <f>VLOOKUP(交易處理資料__3[[#This Row],[人員代號]],團隊分組!$B$1:$C$52,2,FALSE)</f>
        <v>噴漆維修組</v>
      </c>
      <c r="N6" t="str">
        <f>IF(交易處理資料__3[[#This Row],[上班時間]]=0,"否","是")</f>
        <v>否</v>
      </c>
      <c r="O6" s="10" t="s">
        <v>74</v>
      </c>
      <c r="P6" s="37">
        <v>0</v>
      </c>
      <c r="Q6" s="37">
        <v>0</v>
      </c>
      <c r="R6" s="37">
        <v>0</v>
      </c>
    </row>
    <row r="7" spans="1:18" hidden="1">
      <c r="A7" s="10" t="s">
        <v>74</v>
      </c>
      <c r="B7" t="s">
        <v>6</v>
      </c>
      <c r="C7">
        <v>0</v>
      </c>
      <c r="D7">
        <v>0</v>
      </c>
      <c r="E7" s="29">
        <v>0</v>
      </c>
      <c r="F7">
        <v>0</v>
      </c>
      <c r="G7">
        <v>0</v>
      </c>
      <c r="H7">
        <v>0</v>
      </c>
      <c r="I7" s="29">
        <v>0</v>
      </c>
      <c r="J7" s="29">
        <v>0</v>
      </c>
      <c r="K7" s="9">
        <v>45292</v>
      </c>
      <c r="L7">
        <f xml:space="preserve"> (交易處理資料__3[[#This Row],[售出工時]] * 60) / 5</f>
        <v>0</v>
      </c>
      <c r="M7" t="str">
        <f>VLOOKUP(交易處理資料__3[[#This Row],[人員代號]],團隊分組!$B$1:$C$52,2,FALSE)</f>
        <v>噴漆維修組</v>
      </c>
      <c r="N7" t="str">
        <f>IF(交易處理資料__3[[#This Row],[上班時間]]=0,"否","是")</f>
        <v>否</v>
      </c>
      <c r="O7" s="10" t="s">
        <v>74</v>
      </c>
      <c r="P7" s="38">
        <v>0</v>
      </c>
      <c r="Q7" s="38">
        <v>0</v>
      </c>
      <c r="R7" s="38">
        <v>0</v>
      </c>
    </row>
    <row r="8" spans="1:18">
      <c r="A8" s="10" t="s">
        <v>74</v>
      </c>
      <c r="B8" t="s">
        <v>7</v>
      </c>
      <c r="C8">
        <v>0</v>
      </c>
      <c r="D8">
        <v>0</v>
      </c>
      <c r="E8" s="29">
        <v>0</v>
      </c>
      <c r="F8">
        <v>0</v>
      </c>
      <c r="G8">
        <v>0</v>
      </c>
      <c r="H8">
        <v>0</v>
      </c>
      <c r="I8" s="29">
        <v>0</v>
      </c>
      <c r="J8" s="29">
        <v>0</v>
      </c>
      <c r="K8" s="9">
        <v>45292</v>
      </c>
      <c r="L8">
        <f xml:space="preserve"> (交易處理資料__3[[#This Row],[售出工時]] * 60) / 5</f>
        <v>0</v>
      </c>
      <c r="M8" t="str">
        <f>VLOOKUP(交易處理資料__3[[#This Row],[人員代號]],團隊分組!$B$1:$C$52,2,FALSE)</f>
        <v>噴漆維修組</v>
      </c>
      <c r="N8" t="str">
        <f>IF(交易處理資料__3[[#This Row],[上班時間]]=0,"否","是")</f>
        <v>否</v>
      </c>
      <c r="O8" s="10" t="s">
        <v>74</v>
      </c>
      <c r="P8" s="37">
        <v>0</v>
      </c>
      <c r="Q8" s="37">
        <v>0</v>
      </c>
      <c r="R8" s="37">
        <v>0</v>
      </c>
    </row>
    <row r="9" spans="1:18" hidden="1">
      <c r="A9" s="10" t="s">
        <v>74</v>
      </c>
      <c r="B9" t="s">
        <v>8</v>
      </c>
      <c r="C9">
        <v>0</v>
      </c>
      <c r="D9">
        <v>0</v>
      </c>
      <c r="E9" s="29">
        <v>0</v>
      </c>
      <c r="F9">
        <v>0</v>
      </c>
      <c r="G9">
        <v>0</v>
      </c>
      <c r="H9">
        <v>0</v>
      </c>
      <c r="I9" s="29">
        <v>0</v>
      </c>
      <c r="J9" s="29">
        <v>0</v>
      </c>
      <c r="K9" s="9">
        <v>45292</v>
      </c>
      <c r="L9">
        <f xml:space="preserve"> (交易處理資料__3[[#This Row],[售出工時]] * 60) / 5</f>
        <v>0</v>
      </c>
      <c r="M9" t="str">
        <f>VLOOKUP(交易處理資料__3[[#This Row],[人員代號]],團隊分組!$B$1:$C$52,2,FALSE)</f>
        <v>噴漆維修組</v>
      </c>
      <c r="N9" t="str">
        <f>IF(交易處理資料__3[[#This Row],[上班時間]]=0,"否","是")</f>
        <v>否</v>
      </c>
      <c r="O9" s="10" t="s">
        <v>74</v>
      </c>
      <c r="P9" s="38">
        <v>0</v>
      </c>
      <c r="Q9" s="38">
        <v>0</v>
      </c>
      <c r="R9" s="38">
        <v>0</v>
      </c>
    </row>
    <row r="10" spans="1:18" hidden="1">
      <c r="A10" s="10" t="s">
        <v>74</v>
      </c>
      <c r="B10" t="s">
        <v>9</v>
      </c>
      <c r="C10">
        <v>0</v>
      </c>
      <c r="D10">
        <v>0</v>
      </c>
      <c r="E10" s="29">
        <v>0</v>
      </c>
      <c r="F10">
        <v>0</v>
      </c>
      <c r="G10">
        <v>0</v>
      </c>
      <c r="H10">
        <v>0</v>
      </c>
      <c r="I10" s="29">
        <v>0</v>
      </c>
      <c r="J10" s="29">
        <v>0</v>
      </c>
      <c r="K10" s="9">
        <v>45292</v>
      </c>
      <c r="L10">
        <f xml:space="preserve"> (交易處理資料__3[[#This Row],[售出工時]] * 60) / 5</f>
        <v>0</v>
      </c>
      <c r="M10" t="str">
        <f>VLOOKUP(交易處理資料__3[[#This Row],[人員代號]],團隊分組!$B$1:$C$52,2,FALSE)</f>
        <v>噴漆維修組</v>
      </c>
      <c r="N10" t="str">
        <f>IF(交易處理資料__3[[#This Row],[上班時間]]=0,"否","是")</f>
        <v>否</v>
      </c>
      <c r="O10" s="10" t="s">
        <v>74</v>
      </c>
      <c r="P10" s="37">
        <v>0</v>
      </c>
      <c r="Q10" s="37">
        <v>0</v>
      </c>
      <c r="R10" s="37">
        <v>0</v>
      </c>
    </row>
    <row r="11" spans="1:18" hidden="1">
      <c r="A11" t="s">
        <v>75</v>
      </c>
      <c r="B11" t="s">
        <v>11</v>
      </c>
      <c r="C11">
        <v>0</v>
      </c>
      <c r="D11">
        <v>0</v>
      </c>
      <c r="E11" s="29">
        <v>0</v>
      </c>
      <c r="F11">
        <v>0</v>
      </c>
      <c r="G11">
        <v>0</v>
      </c>
      <c r="H11">
        <v>0</v>
      </c>
      <c r="I11" s="29">
        <v>0</v>
      </c>
      <c r="J11" s="29">
        <v>0</v>
      </c>
      <c r="K11" s="9">
        <v>45292</v>
      </c>
      <c r="L11">
        <f xml:space="preserve"> (交易處理資料__3[[#This Row],[售出工時]] * 60) / 5</f>
        <v>0</v>
      </c>
      <c r="M11" t="str">
        <f>VLOOKUP(交易處理資料__3[[#This Row],[人員代號]],團隊分組!$B$1:$C$52,2,FALSE)</f>
        <v>鈑金維修組</v>
      </c>
      <c r="N11" t="str">
        <f>IF(交易處理資料__3[[#This Row],[上班時間]]=0,"否","是")</f>
        <v>否</v>
      </c>
      <c r="O11" t="s">
        <v>75</v>
      </c>
      <c r="P11" s="38">
        <v>0</v>
      </c>
      <c r="Q11" s="38">
        <v>0</v>
      </c>
      <c r="R11" s="38">
        <v>0</v>
      </c>
    </row>
    <row r="12" spans="1:18" hidden="1">
      <c r="A12" t="s">
        <v>75</v>
      </c>
      <c r="B12" t="s">
        <v>12</v>
      </c>
      <c r="C12">
        <v>0</v>
      </c>
      <c r="D12">
        <v>0</v>
      </c>
      <c r="E12" s="29">
        <v>0</v>
      </c>
      <c r="F12">
        <v>0</v>
      </c>
      <c r="G12">
        <v>0</v>
      </c>
      <c r="H12">
        <v>0</v>
      </c>
      <c r="I12" s="29">
        <v>0</v>
      </c>
      <c r="J12" s="29">
        <v>0</v>
      </c>
      <c r="K12" s="9">
        <v>45292</v>
      </c>
      <c r="L12">
        <f xml:space="preserve"> (交易處理資料__3[[#This Row],[售出工時]] * 60) / 5</f>
        <v>0</v>
      </c>
      <c r="M12" t="str">
        <f>VLOOKUP(交易處理資料__3[[#This Row],[人員代號]],團隊分組!$B$1:$C$52,2,FALSE)</f>
        <v>鈑金維修組</v>
      </c>
      <c r="N12" t="str">
        <f>IF(交易處理資料__3[[#This Row],[上班時間]]=0,"否","是")</f>
        <v>否</v>
      </c>
      <c r="O12" t="s">
        <v>75</v>
      </c>
      <c r="P12" s="37">
        <v>0</v>
      </c>
      <c r="Q12" s="37">
        <v>0</v>
      </c>
      <c r="R12" s="37">
        <v>0</v>
      </c>
    </row>
    <row r="13" spans="1:18" hidden="1">
      <c r="A13" t="s">
        <v>75</v>
      </c>
      <c r="B13" t="s">
        <v>13</v>
      </c>
      <c r="C13">
        <v>0</v>
      </c>
      <c r="D13">
        <v>0</v>
      </c>
      <c r="E13" s="29">
        <v>0</v>
      </c>
      <c r="F13">
        <v>0</v>
      </c>
      <c r="G13">
        <v>0</v>
      </c>
      <c r="H13">
        <v>0</v>
      </c>
      <c r="I13" s="29">
        <v>0</v>
      </c>
      <c r="J13" s="29">
        <v>0</v>
      </c>
      <c r="K13" s="9">
        <v>45292</v>
      </c>
      <c r="L13">
        <f xml:space="preserve"> (交易處理資料__3[[#This Row],[售出工時]] * 60) / 5</f>
        <v>0</v>
      </c>
      <c r="M13" t="str">
        <f>VLOOKUP(交易處理資料__3[[#This Row],[人員代號]],團隊分組!$B$1:$C$52,2,FALSE)</f>
        <v>鈑金維修組</v>
      </c>
      <c r="N13" t="str">
        <f>IF(交易處理資料__3[[#This Row],[上班時間]]=0,"否","是")</f>
        <v>否</v>
      </c>
      <c r="O13" t="s">
        <v>75</v>
      </c>
      <c r="P13" s="38">
        <v>0</v>
      </c>
      <c r="Q13" s="38">
        <v>0</v>
      </c>
      <c r="R13" s="38">
        <v>0</v>
      </c>
    </row>
    <row r="14" spans="1:18" hidden="1">
      <c r="A14" t="s">
        <v>75</v>
      </c>
      <c r="B14" t="s">
        <v>14</v>
      </c>
      <c r="C14">
        <v>0</v>
      </c>
      <c r="D14">
        <v>0</v>
      </c>
      <c r="E14" s="29">
        <v>0</v>
      </c>
      <c r="F14">
        <v>0</v>
      </c>
      <c r="G14">
        <v>0</v>
      </c>
      <c r="H14">
        <v>0</v>
      </c>
      <c r="I14" s="29">
        <v>0</v>
      </c>
      <c r="J14" s="29">
        <v>0</v>
      </c>
      <c r="K14" s="9">
        <v>45292</v>
      </c>
      <c r="L14">
        <f xml:space="preserve"> (交易處理資料__3[[#This Row],[售出工時]] * 60) / 5</f>
        <v>0</v>
      </c>
      <c r="M14" t="str">
        <f>VLOOKUP(交易處理資料__3[[#This Row],[人員代號]],團隊分組!$B$1:$C$52,2,FALSE)</f>
        <v>鈑金維修組</v>
      </c>
      <c r="N14" t="str">
        <f>IF(交易處理資料__3[[#This Row],[上班時間]]=0,"否","是")</f>
        <v>否</v>
      </c>
      <c r="O14" t="s">
        <v>75</v>
      </c>
      <c r="P14" s="37">
        <v>0</v>
      </c>
      <c r="Q14" s="37">
        <v>0</v>
      </c>
      <c r="R14" s="37">
        <v>0</v>
      </c>
    </row>
    <row r="15" spans="1:18" hidden="1">
      <c r="A15" t="s">
        <v>75</v>
      </c>
      <c r="B15" t="s">
        <v>15</v>
      </c>
      <c r="C15">
        <v>0</v>
      </c>
      <c r="D15">
        <v>0</v>
      </c>
      <c r="E15" s="29">
        <v>0</v>
      </c>
      <c r="F15">
        <v>0</v>
      </c>
      <c r="G15">
        <v>0</v>
      </c>
      <c r="H15">
        <v>0</v>
      </c>
      <c r="I15" s="29">
        <v>0</v>
      </c>
      <c r="J15" s="29">
        <v>0</v>
      </c>
      <c r="K15" s="9">
        <v>45292</v>
      </c>
      <c r="L15">
        <f xml:space="preserve"> (交易處理資料__3[[#This Row],[售出工時]] * 60) / 5</f>
        <v>0</v>
      </c>
      <c r="M15" t="str">
        <f>VLOOKUP(交易處理資料__3[[#This Row],[人員代號]],團隊分組!$B$1:$C$52,2,FALSE)</f>
        <v>鈑金維修組</v>
      </c>
      <c r="N15" t="str">
        <f>IF(交易處理資料__3[[#This Row],[上班時間]]=0,"否","是")</f>
        <v>否</v>
      </c>
      <c r="O15" t="s">
        <v>75</v>
      </c>
      <c r="P15" s="38">
        <v>0</v>
      </c>
      <c r="Q15" s="38">
        <v>0</v>
      </c>
      <c r="R15" s="38">
        <v>0</v>
      </c>
    </row>
    <row r="16" spans="1:18" hidden="1">
      <c r="A16" t="s">
        <v>76</v>
      </c>
      <c r="B16" t="s">
        <v>17</v>
      </c>
      <c r="C16">
        <v>0</v>
      </c>
      <c r="D16">
        <v>0</v>
      </c>
      <c r="E16" s="29">
        <v>0</v>
      </c>
      <c r="F16">
        <v>0</v>
      </c>
      <c r="G16">
        <v>0</v>
      </c>
      <c r="H16">
        <v>0</v>
      </c>
      <c r="I16" s="29">
        <v>0</v>
      </c>
      <c r="J16" s="29">
        <v>0</v>
      </c>
      <c r="K16" s="9">
        <v>45292</v>
      </c>
      <c r="L16">
        <f xml:space="preserve"> (交易處理資料__3[[#This Row],[售出工時]] * 60) / 5</f>
        <v>0</v>
      </c>
      <c r="M16" t="str">
        <f>VLOOKUP(交易處理資料__3[[#This Row],[人員代號]],團隊分組!$B$1:$C$52,2,FALSE)</f>
        <v>快速保養團隊A</v>
      </c>
      <c r="N16" t="str">
        <f>IF(交易處理資料__3[[#This Row],[上班時間]]=0,"否","是")</f>
        <v>否</v>
      </c>
      <c r="O16" t="s">
        <v>76</v>
      </c>
      <c r="P16" s="37">
        <v>0</v>
      </c>
      <c r="Q16" s="37">
        <v>0</v>
      </c>
      <c r="R16" s="37">
        <v>0</v>
      </c>
    </row>
    <row r="17" spans="1:18" hidden="1">
      <c r="A17" t="s">
        <v>76</v>
      </c>
      <c r="B17" t="s">
        <v>18</v>
      </c>
      <c r="C17">
        <v>0</v>
      </c>
      <c r="D17">
        <v>0</v>
      </c>
      <c r="E17" s="29">
        <v>0</v>
      </c>
      <c r="F17">
        <v>0</v>
      </c>
      <c r="G17">
        <v>0</v>
      </c>
      <c r="H17">
        <v>0</v>
      </c>
      <c r="I17" s="29">
        <v>0</v>
      </c>
      <c r="J17" s="29">
        <v>0</v>
      </c>
      <c r="K17" s="9">
        <v>45292</v>
      </c>
      <c r="L17">
        <f xml:space="preserve"> (交易處理資料__3[[#This Row],[售出工時]] * 60) / 5</f>
        <v>0</v>
      </c>
      <c r="M17" t="str">
        <f>VLOOKUP(交易處理資料__3[[#This Row],[人員代號]],團隊分組!$B$1:$C$52,2,FALSE)</f>
        <v>查修團隊B</v>
      </c>
      <c r="N17" t="str">
        <f>IF(交易處理資料__3[[#This Row],[上班時間]]=0,"否","是")</f>
        <v>否</v>
      </c>
      <c r="O17" t="s">
        <v>76</v>
      </c>
      <c r="P17" s="38">
        <v>0</v>
      </c>
      <c r="Q17" s="38">
        <v>0</v>
      </c>
      <c r="R17" s="38">
        <v>0</v>
      </c>
    </row>
    <row r="18" spans="1:18" hidden="1">
      <c r="A18" t="s">
        <v>76</v>
      </c>
      <c r="B18" t="s">
        <v>19</v>
      </c>
      <c r="C18">
        <v>1.99</v>
      </c>
      <c r="D18">
        <v>1.44</v>
      </c>
      <c r="E18" s="29">
        <v>1.3841999999999999</v>
      </c>
      <c r="F18">
        <v>1.89</v>
      </c>
      <c r="G18">
        <v>6.48</v>
      </c>
      <c r="H18">
        <v>8.3699999999999992</v>
      </c>
      <c r="I18" s="29">
        <v>0.22579999999999997</v>
      </c>
      <c r="J18" s="29">
        <v>0.2382</v>
      </c>
      <c r="K18" s="9">
        <v>45292</v>
      </c>
      <c r="L18">
        <f xml:space="preserve"> (交易處理資料__3[[#This Row],[售出工時]] * 60) / 5</f>
        <v>23.880000000000003</v>
      </c>
      <c r="M18" t="str">
        <f>VLOOKUP(交易處理資料__3[[#This Row],[人員代號]],團隊分組!$B$1:$C$52,2,FALSE)</f>
        <v>查修團隊A</v>
      </c>
      <c r="N18" t="str">
        <f>IF(交易處理資料__3[[#This Row],[上班時間]]=0,"否","是")</f>
        <v>是</v>
      </c>
      <c r="O18" t="s">
        <v>76</v>
      </c>
      <c r="P18" s="37">
        <v>1.3841999999999999</v>
      </c>
      <c r="Q18" s="37">
        <v>0.2382</v>
      </c>
      <c r="R18" s="37">
        <v>0.22579999999999997</v>
      </c>
    </row>
    <row r="19" spans="1:18" hidden="1">
      <c r="A19" t="s">
        <v>76</v>
      </c>
      <c r="B19" t="s">
        <v>20</v>
      </c>
      <c r="C19">
        <v>0</v>
      </c>
      <c r="D19">
        <v>0</v>
      </c>
      <c r="E19" s="29">
        <v>0</v>
      </c>
      <c r="F19">
        <v>0</v>
      </c>
      <c r="G19">
        <v>0</v>
      </c>
      <c r="H19">
        <v>0</v>
      </c>
      <c r="I19" s="29">
        <v>0</v>
      </c>
      <c r="J19" s="29">
        <v>0</v>
      </c>
      <c r="K19" s="9">
        <v>45292</v>
      </c>
      <c r="L19">
        <f xml:space="preserve"> (交易處理資料__3[[#This Row],[售出工時]] * 60) / 5</f>
        <v>0</v>
      </c>
      <c r="M19" t="str">
        <f>VLOOKUP(交易處理資料__3[[#This Row],[人員代號]],團隊分組!$B$1:$C$52,2,FALSE)</f>
        <v>查修團隊B</v>
      </c>
      <c r="N19" t="str">
        <f>IF(交易處理資料__3[[#This Row],[上班時間]]=0,"否","是")</f>
        <v>否</v>
      </c>
      <c r="O19" t="s">
        <v>76</v>
      </c>
      <c r="P19" s="38">
        <v>0</v>
      </c>
      <c r="Q19" s="38">
        <v>0</v>
      </c>
      <c r="R19" s="38">
        <v>0</v>
      </c>
    </row>
    <row r="20" spans="1:18" hidden="1">
      <c r="A20" t="s">
        <v>76</v>
      </c>
      <c r="B20" t="s">
        <v>21</v>
      </c>
      <c r="C20">
        <v>1.2</v>
      </c>
      <c r="D20">
        <v>1.7</v>
      </c>
      <c r="E20" s="29">
        <v>0.70779999999999998</v>
      </c>
      <c r="F20">
        <v>3.59</v>
      </c>
      <c r="G20">
        <v>4.75</v>
      </c>
      <c r="H20">
        <v>8.34</v>
      </c>
      <c r="I20" s="29">
        <v>0.43049999999999999</v>
      </c>
      <c r="J20" s="29">
        <v>0.14429999999999998</v>
      </c>
      <c r="K20" s="9">
        <v>45292</v>
      </c>
      <c r="L20">
        <f xml:space="preserve"> (交易處理資料__3[[#This Row],[售出工時]] * 60) / 5</f>
        <v>14.4</v>
      </c>
      <c r="M20" t="str">
        <f>VLOOKUP(交易處理資料__3[[#This Row],[人員代號]],團隊分組!$B$1:$C$52,2,FALSE)</f>
        <v>查修團隊B</v>
      </c>
      <c r="N20" t="str">
        <f>IF(交易處理資料__3[[#This Row],[上班時間]]=0,"否","是")</f>
        <v>是</v>
      </c>
      <c r="O20" t="s">
        <v>76</v>
      </c>
      <c r="P20" s="37">
        <v>0.70779999999999998</v>
      </c>
      <c r="Q20" s="37">
        <v>0.14429999999999998</v>
      </c>
      <c r="R20" s="37">
        <v>0.43049999999999999</v>
      </c>
    </row>
    <row r="21" spans="1:18" hidden="1">
      <c r="A21" t="s">
        <v>76</v>
      </c>
      <c r="B21" t="s">
        <v>22</v>
      </c>
      <c r="C21">
        <v>0</v>
      </c>
      <c r="D21">
        <v>0</v>
      </c>
      <c r="E21" s="29">
        <v>0</v>
      </c>
      <c r="F21">
        <v>0</v>
      </c>
      <c r="G21">
        <v>0</v>
      </c>
      <c r="H21">
        <v>0</v>
      </c>
      <c r="I21" s="29">
        <v>0</v>
      </c>
      <c r="J21" s="29">
        <v>0</v>
      </c>
      <c r="K21" s="9">
        <v>45292</v>
      </c>
      <c r="L21">
        <f xml:space="preserve"> (交易處理資料__3[[#This Row],[售出工時]] * 60) / 5</f>
        <v>0</v>
      </c>
      <c r="M21" t="str">
        <f>VLOOKUP(交易處理資料__3[[#This Row],[人員代號]],團隊分組!$B$1:$C$52,2,FALSE)</f>
        <v>快速保養團隊A</v>
      </c>
      <c r="N21" t="str">
        <f>IF(交易處理資料__3[[#This Row],[上班時間]]=0,"否","是")</f>
        <v>否</v>
      </c>
      <c r="O21" t="s">
        <v>76</v>
      </c>
      <c r="P21" s="38">
        <v>0</v>
      </c>
      <c r="Q21" s="38">
        <v>0</v>
      </c>
      <c r="R21" s="38">
        <v>0</v>
      </c>
    </row>
    <row r="22" spans="1:18" hidden="1">
      <c r="A22" t="s">
        <v>76</v>
      </c>
      <c r="B22" t="s">
        <v>23</v>
      </c>
      <c r="C22">
        <v>0</v>
      </c>
      <c r="D22">
        <v>0</v>
      </c>
      <c r="E22" s="29">
        <v>0</v>
      </c>
      <c r="F22">
        <v>0</v>
      </c>
      <c r="G22">
        <v>0</v>
      </c>
      <c r="H22">
        <v>0</v>
      </c>
      <c r="I22" s="29">
        <v>0</v>
      </c>
      <c r="J22" s="29">
        <v>0</v>
      </c>
      <c r="K22" s="9">
        <v>45292</v>
      </c>
      <c r="L22">
        <f xml:space="preserve"> (交易處理資料__3[[#This Row],[售出工時]] * 60) / 5</f>
        <v>0</v>
      </c>
      <c r="M22" t="str">
        <f>VLOOKUP(交易處理資料__3[[#This Row],[人員代號]],團隊分組!$B$1:$C$52,2,FALSE)</f>
        <v>快速保養團隊B</v>
      </c>
      <c r="N22" t="str">
        <f>IF(交易處理資料__3[[#This Row],[上班時間]]=0,"否","是")</f>
        <v>否</v>
      </c>
      <c r="O22" t="s">
        <v>76</v>
      </c>
      <c r="P22" s="37">
        <v>0</v>
      </c>
      <c r="Q22" s="37">
        <v>0</v>
      </c>
      <c r="R22" s="37">
        <v>0</v>
      </c>
    </row>
    <row r="23" spans="1:18" hidden="1">
      <c r="A23" t="s">
        <v>76</v>
      </c>
      <c r="B23" t="s">
        <v>24</v>
      </c>
      <c r="C23">
        <v>1.5</v>
      </c>
      <c r="D23">
        <v>1.55</v>
      </c>
      <c r="E23" s="29">
        <v>0.9677</v>
      </c>
      <c r="F23">
        <v>1.98</v>
      </c>
      <c r="G23">
        <v>6.38</v>
      </c>
      <c r="H23">
        <v>8.36</v>
      </c>
      <c r="I23" s="29">
        <v>0.23680000000000001</v>
      </c>
      <c r="J23" s="29">
        <v>0.1794</v>
      </c>
      <c r="K23" s="9">
        <v>45292</v>
      </c>
      <c r="L23">
        <f xml:space="preserve"> (交易處理資料__3[[#This Row],[售出工時]] * 60) / 5</f>
        <v>18</v>
      </c>
      <c r="M23" t="str">
        <f>VLOOKUP(交易處理資料__3[[#This Row],[人員代號]],團隊分組!$B$1:$C$52,2,FALSE)</f>
        <v>快速保養團隊A</v>
      </c>
      <c r="N23" t="str">
        <f>IF(交易處理資料__3[[#This Row],[上班時間]]=0,"否","是")</f>
        <v>是</v>
      </c>
      <c r="O23" t="s">
        <v>76</v>
      </c>
      <c r="P23" s="38">
        <v>0.9677</v>
      </c>
      <c r="Q23" s="38">
        <v>0.1794</v>
      </c>
      <c r="R23" s="38">
        <v>0.23680000000000001</v>
      </c>
    </row>
    <row r="24" spans="1:18" hidden="1">
      <c r="A24" t="s">
        <v>76</v>
      </c>
      <c r="B24" t="s">
        <v>25</v>
      </c>
      <c r="C24">
        <v>0</v>
      </c>
      <c r="D24">
        <v>0</v>
      </c>
      <c r="E24" s="29">
        <v>0</v>
      </c>
      <c r="F24">
        <v>0</v>
      </c>
      <c r="G24">
        <v>0</v>
      </c>
      <c r="H24">
        <v>0</v>
      </c>
      <c r="I24" s="29">
        <v>0</v>
      </c>
      <c r="J24" s="29">
        <v>0</v>
      </c>
      <c r="K24" s="9">
        <v>45292</v>
      </c>
      <c r="L24">
        <f xml:space="preserve"> (交易處理資料__3[[#This Row],[售出工時]] * 60) / 5</f>
        <v>0</v>
      </c>
      <c r="M24" t="str">
        <f>VLOOKUP(交易處理資料__3[[#This Row],[人員代號]],團隊分組!$B$1:$C$52,2,FALSE)</f>
        <v>查修團隊A</v>
      </c>
      <c r="N24" t="str">
        <f>IF(交易處理資料__3[[#This Row],[上班時間]]=0,"否","是")</f>
        <v>否</v>
      </c>
      <c r="O24" t="s">
        <v>76</v>
      </c>
      <c r="P24" s="37">
        <v>0</v>
      </c>
      <c r="Q24" s="37">
        <v>0</v>
      </c>
      <c r="R24" s="37">
        <v>0</v>
      </c>
    </row>
    <row r="25" spans="1:18" hidden="1">
      <c r="A25" t="s">
        <v>76</v>
      </c>
      <c r="B25" t="s">
        <v>26</v>
      </c>
      <c r="C25">
        <v>0</v>
      </c>
      <c r="D25">
        <v>0</v>
      </c>
      <c r="E25" s="29">
        <v>0</v>
      </c>
      <c r="F25">
        <v>0</v>
      </c>
      <c r="G25">
        <v>0</v>
      </c>
      <c r="H25">
        <v>0</v>
      </c>
      <c r="I25" s="29">
        <v>0</v>
      </c>
      <c r="J25" s="29">
        <v>0</v>
      </c>
      <c r="K25" s="9">
        <v>45292</v>
      </c>
      <c r="L25">
        <f xml:space="preserve"> (交易處理資料__3[[#This Row],[售出工時]] * 60) / 5</f>
        <v>0</v>
      </c>
      <c r="M25" t="str">
        <f>VLOOKUP(交易處理資料__3[[#This Row],[人員代號]],團隊分組!$B$1:$C$52,2,FALSE)</f>
        <v>查修團隊B</v>
      </c>
      <c r="N25" t="str">
        <f>IF(交易處理資料__3[[#This Row],[上班時間]]=0,"否","是")</f>
        <v>否</v>
      </c>
      <c r="O25" t="s">
        <v>76</v>
      </c>
      <c r="P25" s="38">
        <v>0</v>
      </c>
      <c r="Q25" s="38">
        <v>0</v>
      </c>
      <c r="R25" s="38">
        <v>0</v>
      </c>
    </row>
    <row r="26" spans="1:18" hidden="1">
      <c r="A26" t="s">
        <v>76</v>
      </c>
      <c r="B26" t="s">
        <v>27</v>
      </c>
      <c r="C26">
        <v>0</v>
      </c>
      <c r="D26">
        <v>0</v>
      </c>
      <c r="E26" s="29">
        <v>0</v>
      </c>
      <c r="F26">
        <v>0</v>
      </c>
      <c r="G26">
        <v>0</v>
      </c>
      <c r="H26">
        <v>0</v>
      </c>
      <c r="I26" s="29">
        <v>0</v>
      </c>
      <c r="J26" s="29">
        <v>0</v>
      </c>
      <c r="K26" s="9">
        <v>45292</v>
      </c>
      <c r="L26">
        <f xml:space="preserve"> (交易處理資料__3[[#This Row],[售出工時]] * 60) / 5</f>
        <v>0</v>
      </c>
      <c r="M26" t="str">
        <f>VLOOKUP(交易處理資料__3[[#This Row],[人員代號]],團隊分組!$B$1:$C$52,2,FALSE)</f>
        <v>快速保養團隊B</v>
      </c>
      <c r="N26" t="str">
        <f>IF(交易處理資料__3[[#This Row],[上班時間]]=0,"否","是")</f>
        <v>否</v>
      </c>
      <c r="O26" t="s">
        <v>76</v>
      </c>
      <c r="P26" s="37">
        <v>0</v>
      </c>
      <c r="Q26" s="37">
        <v>0</v>
      </c>
      <c r="R26" s="37">
        <v>0</v>
      </c>
    </row>
    <row r="27" spans="1:18" hidden="1">
      <c r="A27" t="s">
        <v>76</v>
      </c>
      <c r="B27" t="s">
        <v>28</v>
      </c>
      <c r="C27">
        <v>1</v>
      </c>
      <c r="D27">
        <v>1.53</v>
      </c>
      <c r="E27" s="29">
        <v>0.65349999999999997</v>
      </c>
      <c r="F27">
        <v>1.98</v>
      </c>
      <c r="G27">
        <v>6.37</v>
      </c>
      <c r="H27">
        <v>8.35</v>
      </c>
      <c r="I27" s="29">
        <v>0.23710000000000001</v>
      </c>
      <c r="J27" s="29">
        <v>0.1198</v>
      </c>
      <c r="K27" s="9">
        <v>45292</v>
      </c>
      <c r="L27">
        <f xml:space="preserve"> (交易處理資料__3[[#This Row],[售出工時]] * 60) / 5</f>
        <v>12</v>
      </c>
      <c r="M27" t="str">
        <f>VLOOKUP(交易處理資料__3[[#This Row],[人員代號]],團隊分組!$B$1:$C$52,2,FALSE)</f>
        <v>快速保養團隊A</v>
      </c>
      <c r="N27" t="str">
        <f>IF(交易處理資料__3[[#This Row],[上班時間]]=0,"否","是")</f>
        <v>是</v>
      </c>
      <c r="O27" t="s">
        <v>76</v>
      </c>
      <c r="P27" s="38">
        <v>0.65349999999999997</v>
      </c>
      <c r="Q27" s="38">
        <v>0.1198</v>
      </c>
      <c r="R27" s="38">
        <v>0.23710000000000001</v>
      </c>
    </row>
    <row r="28" spans="1:18" hidden="1">
      <c r="A28" t="s">
        <v>76</v>
      </c>
      <c r="B28" t="s">
        <v>29</v>
      </c>
      <c r="C28">
        <v>0</v>
      </c>
      <c r="D28">
        <v>0</v>
      </c>
      <c r="E28" s="29">
        <v>0</v>
      </c>
      <c r="F28">
        <v>0</v>
      </c>
      <c r="G28">
        <v>0</v>
      </c>
      <c r="H28">
        <v>0</v>
      </c>
      <c r="I28" s="29">
        <v>0</v>
      </c>
      <c r="J28" s="29">
        <v>0</v>
      </c>
      <c r="K28" s="9">
        <v>45292</v>
      </c>
      <c r="L28">
        <f xml:space="preserve"> (交易處理資料__3[[#This Row],[售出工時]] * 60) / 5</f>
        <v>0</v>
      </c>
      <c r="M28" t="str">
        <f>VLOOKUP(交易處理資料__3[[#This Row],[人員代號]],團隊分組!$B$1:$C$52,2,FALSE)</f>
        <v>查修團隊B</v>
      </c>
      <c r="N28" t="str">
        <f>IF(交易處理資料__3[[#This Row],[上班時間]]=0,"否","是")</f>
        <v>否</v>
      </c>
      <c r="O28" t="s">
        <v>76</v>
      </c>
      <c r="P28" s="37">
        <v>0</v>
      </c>
      <c r="Q28" s="37">
        <v>0</v>
      </c>
      <c r="R28" s="37">
        <v>0</v>
      </c>
    </row>
    <row r="29" spans="1:18" hidden="1">
      <c r="A29" t="s">
        <v>76</v>
      </c>
      <c r="B29" t="s">
        <v>30</v>
      </c>
      <c r="C29">
        <v>0</v>
      </c>
      <c r="D29">
        <v>0</v>
      </c>
      <c r="E29" s="29">
        <v>0</v>
      </c>
      <c r="F29">
        <v>0</v>
      </c>
      <c r="G29">
        <v>0</v>
      </c>
      <c r="H29">
        <v>0</v>
      </c>
      <c r="I29" s="29">
        <v>0</v>
      </c>
      <c r="J29" s="29">
        <v>0</v>
      </c>
      <c r="K29" s="9">
        <v>45292</v>
      </c>
      <c r="L29">
        <f xml:space="preserve"> (交易處理資料__3[[#This Row],[售出工時]] * 60) / 5</f>
        <v>0</v>
      </c>
      <c r="M29" t="str">
        <f>VLOOKUP(交易處理資料__3[[#This Row],[人員代號]],團隊分組!$B$1:$C$52,2,FALSE)</f>
        <v>快速保養團隊B</v>
      </c>
      <c r="N29" t="str">
        <f>IF(交易處理資料__3[[#This Row],[上班時間]]=0,"否","是")</f>
        <v>否</v>
      </c>
      <c r="O29" t="s">
        <v>76</v>
      </c>
      <c r="P29" s="38">
        <v>0</v>
      </c>
      <c r="Q29" s="38">
        <v>0</v>
      </c>
      <c r="R29" s="38">
        <v>0</v>
      </c>
    </row>
    <row r="30" spans="1:18" hidden="1">
      <c r="A30" t="s">
        <v>76</v>
      </c>
      <c r="B30" t="s">
        <v>31</v>
      </c>
      <c r="C30">
        <v>0</v>
      </c>
      <c r="D30">
        <v>0</v>
      </c>
      <c r="E30" s="29">
        <v>0</v>
      </c>
      <c r="F30">
        <v>0</v>
      </c>
      <c r="G30">
        <v>0</v>
      </c>
      <c r="H30">
        <v>0</v>
      </c>
      <c r="I30" s="29">
        <v>0</v>
      </c>
      <c r="J30" s="29">
        <v>0</v>
      </c>
      <c r="K30" s="9">
        <v>45292</v>
      </c>
      <c r="L30">
        <f xml:space="preserve"> (交易處理資料__3[[#This Row],[售出工時]] * 60) / 5</f>
        <v>0</v>
      </c>
      <c r="M30" t="str">
        <f>VLOOKUP(交易處理資料__3[[#This Row],[人員代號]],團隊分組!$B$1:$C$52,2,FALSE)</f>
        <v>快速保養團隊A</v>
      </c>
      <c r="N30" t="str">
        <f>IF(交易處理資料__3[[#This Row],[上班時間]]=0,"否","是")</f>
        <v>否</v>
      </c>
      <c r="O30" t="s">
        <v>76</v>
      </c>
      <c r="P30" s="37">
        <v>0</v>
      </c>
      <c r="Q30" s="37">
        <v>0</v>
      </c>
      <c r="R30" s="37">
        <v>0</v>
      </c>
    </row>
    <row r="31" spans="1:18" hidden="1">
      <c r="A31" t="s">
        <v>76</v>
      </c>
      <c r="B31" t="s">
        <v>32</v>
      </c>
      <c r="C31">
        <v>0</v>
      </c>
      <c r="D31">
        <v>0</v>
      </c>
      <c r="E31" s="29">
        <v>0</v>
      </c>
      <c r="F31">
        <v>0</v>
      </c>
      <c r="G31">
        <v>0</v>
      </c>
      <c r="H31">
        <v>0</v>
      </c>
      <c r="I31" s="29">
        <v>0</v>
      </c>
      <c r="J31" s="29">
        <v>0</v>
      </c>
      <c r="K31" s="9">
        <v>45292</v>
      </c>
      <c r="L31">
        <f xml:space="preserve"> (交易處理資料__3[[#This Row],[售出工時]] * 60) / 5</f>
        <v>0</v>
      </c>
      <c r="M31" t="str">
        <f>VLOOKUP(交易處理資料__3[[#This Row],[人員代號]],團隊分組!$B$1:$C$52,2,FALSE)</f>
        <v>快速保養團隊B</v>
      </c>
      <c r="N31" t="str">
        <f>IF(交易處理資料__3[[#This Row],[上班時間]]=0,"否","是")</f>
        <v>否</v>
      </c>
      <c r="O31" t="s">
        <v>76</v>
      </c>
      <c r="P31" s="38">
        <v>0</v>
      </c>
      <c r="Q31" s="38">
        <v>0</v>
      </c>
      <c r="R31" s="38">
        <v>0</v>
      </c>
    </row>
    <row r="32" spans="1:18" hidden="1">
      <c r="A32" t="s">
        <v>76</v>
      </c>
      <c r="B32" t="s">
        <v>33</v>
      </c>
      <c r="C32">
        <v>0</v>
      </c>
      <c r="D32">
        <v>0</v>
      </c>
      <c r="E32" s="29">
        <v>0</v>
      </c>
      <c r="F32">
        <v>0</v>
      </c>
      <c r="G32">
        <v>0</v>
      </c>
      <c r="H32">
        <v>0</v>
      </c>
      <c r="I32" s="29">
        <v>0</v>
      </c>
      <c r="J32" s="29">
        <v>0</v>
      </c>
      <c r="K32" s="9">
        <v>45292</v>
      </c>
      <c r="L32">
        <f xml:space="preserve"> (交易處理資料__3[[#This Row],[售出工時]] * 60) / 5</f>
        <v>0</v>
      </c>
      <c r="M32" t="str">
        <f>VLOOKUP(交易處理資料__3[[#This Row],[人員代號]],團隊分組!$B$1:$C$52,2,FALSE)</f>
        <v>快速保養團隊B</v>
      </c>
      <c r="N32" t="str">
        <f>IF(交易處理資料__3[[#This Row],[上班時間]]=0,"否","是")</f>
        <v>否</v>
      </c>
      <c r="O32" t="s">
        <v>76</v>
      </c>
      <c r="P32" s="37">
        <v>0</v>
      </c>
      <c r="Q32" s="37">
        <v>0</v>
      </c>
      <c r="R32" s="37">
        <v>0</v>
      </c>
    </row>
    <row r="33" spans="1:18" hidden="1">
      <c r="A33" t="s">
        <v>76</v>
      </c>
      <c r="B33" t="s">
        <v>34</v>
      </c>
      <c r="C33">
        <v>0</v>
      </c>
      <c r="D33">
        <v>0</v>
      </c>
      <c r="E33" s="29">
        <v>0</v>
      </c>
      <c r="F33">
        <v>0</v>
      </c>
      <c r="G33">
        <v>0</v>
      </c>
      <c r="H33">
        <v>0</v>
      </c>
      <c r="I33" s="29">
        <v>0</v>
      </c>
      <c r="J33" s="29">
        <v>0</v>
      </c>
      <c r="K33" s="9">
        <v>45292</v>
      </c>
      <c r="L33">
        <f xml:space="preserve"> (交易處理資料__3[[#This Row],[售出工時]] * 60) / 5</f>
        <v>0</v>
      </c>
      <c r="M33" t="str">
        <f>VLOOKUP(交易處理資料__3[[#This Row],[人員代號]],團隊分組!$B$1:$C$52,2,FALSE)</f>
        <v>快速保養團隊A</v>
      </c>
      <c r="N33" t="str">
        <f>IF(交易處理資料__3[[#This Row],[上班時間]]=0,"否","是")</f>
        <v>否</v>
      </c>
      <c r="O33" t="s">
        <v>76</v>
      </c>
      <c r="P33" s="38">
        <v>0</v>
      </c>
      <c r="Q33" s="38">
        <v>0</v>
      </c>
      <c r="R33" s="38">
        <v>0</v>
      </c>
    </row>
    <row r="34" spans="1:18" hidden="1">
      <c r="A34" t="s">
        <v>76</v>
      </c>
      <c r="B34" t="s">
        <v>35</v>
      </c>
      <c r="C34">
        <v>0</v>
      </c>
      <c r="D34">
        <v>0</v>
      </c>
      <c r="E34" s="29">
        <v>0</v>
      </c>
      <c r="F34">
        <v>0</v>
      </c>
      <c r="G34">
        <v>0</v>
      </c>
      <c r="H34">
        <v>0</v>
      </c>
      <c r="I34" s="29">
        <v>0</v>
      </c>
      <c r="J34" s="29">
        <v>0</v>
      </c>
      <c r="K34" s="9">
        <v>45292</v>
      </c>
      <c r="L34">
        <f xml:space="preserve"> (交易處理資料__3[[#This Row],[售出工時]] * 60) / 5</f>
        <v>0</v>
      </c>
      <c r="M34" t="str">
        <f>VLOOKUP(交易處理資料__3[[#This Row],[人員代號]],團隊分組!$B$1:$C$52,2,FALSE)</f>
        <v>查修團隊B</v>
      </c>
      <c r="N34" t="str">
        <f>IF(交易處理資料__3[[#This Row],[上班時間]]=0,"否","是")</f>
        <v>否</v>
      </c>
      <c r="O34" t="s">
        <v>76</v>
      </c>
      <c r="P34" s="37">
        <v>0</v>
      </c>
      <c r="Q34" s="37">
        <v>0</v>
      </c>
      <c r="R34" s="37">
        <v>0</v>
      </c>
    </row>
    <row r="35" spans="1:18" hidden="1">
      <c r="A35" t="s">
        <v>76</v>
      </c>
      <c r="B35" t="s">
        <v>36</v>
      </c>
      <c r="C35">
        <v>0</v>
      </c>
      <c r="D35">
        <v>0</v>
      </c>
      <c r="E35" s="29">
        <v>0</v>
      </c>
      <c r="F35">
        <v>0</v>
      </c>
      <c r="G35">
        <v>0</v>
      </c>
      <c r="H35">
        <v>0</v>
      </c>
      <c r="I35" s="29">
        <v>0</v>
      </c>
      <c r="J35" s="29">
        <v>0</v>
      </c>
      <c r="K35" s="9">
        <v>45292</v>
      </c>
      <c r="L35">
        <f xml:space="preserve"> (交易處理資料__3[[#This Row],[售出工時]] * 60) / 5</f>
        <v>0</v>
      </c>
      <c r="M35" t="str">
        <f>VLOOKUP(交易處理資料__3[[#This Row],[人員代號]],團隊分組!$B$1:$C$52,2,FALSE)</f>
        <v>查修團隊B</v>
      </c>
      <c r="N35" t="str">
        <f>IF(交易處理資料__3[[#This Row],[上班時間]]=0,"否","是")</f>
        <v>否</v>
      </c>
      <c r="O35" t="s">
        <v>76</v>
      </c>
      <c r="P35" s="38">
        <v>0</v>
      </c>
      <c r="Q35" s="38">
        <v>0</v>
      </c>
      <c r="R35" s="38">
        <v>0</v>
      </c>
    </row>
    <row r="36" spans="1:18" hidden="1">
      <c r="A36" t="s">
        <v>76</v>
      </c>
      <c r="B36" t="s">
        <v>37</v>
      </c>
      <c r="C36">
        <v>0</v>
      </c>
      <c r="D36">
        <v>0</v>
      </c>
      <c r="E36" s="29">
        <v>0</v>
      </c>
      <c r="F36">
        <v>0</v>
      </c>
      <c r="G36">
        <v>0</v>
      </c>
      <c r="H36">
        <v>0</v>
      </c>
      <c r="I36" s="29">
        <v>0</v>
      </c>
      <c r="J36" s="29">
        <v>0</v>
      </c>
      <c r="K36" s="9">
        <v>45292</v>
      </c>
      <c r="L36">
        <f xml:space="preserve"> (交易處理資料__3[[#This Row],[售出工時]] * 60) / 5</f>
        <v>0</v>
      </c>
      <c r="M36" t="str">
        <f>VLOOKUP(交易處理資料__3[[#This Row],[人員代號]],團隊分組!$B$1:$C$52,2,FALSE)</f>
        <v>查修團隊A</v>
      </c>
      <c r="N36" t="str">
        <f>IF(交易處理資料__3[[#This Row],[上班時間]]=0,"否","是")</f>
        <v>否</v>
      </c>
      <c r="O36" t="s">
        <v>76</v>
      </c>
      <c r="P36" s="37">
        <v>0</v>
      </c>
      <c r="Q36" s="37">
        <v>0</v>
      </c>
      <c r="R36" s="37">
        <v>0</v>
      </c>
    </row>
    <row r="37" spans="1:18" hidden="1">
      <c r="A37" t="s">
        <v>76</v>
      </c>
      <c r="B37" t="s">
        <v>38</v>
      </c>
      <c r="C37">
        <v>0</v>
      </c>
      <c r="D37">
        <v>0</v>
      </c>
      <c r="E37" s="29">
        <v>0</v>
      </c>
      <c r="F37">
        <v>0</v>
      </c>
      <c r="G37">
        <v>0</v>
      </c>
      <c r="H37">
        <v>0</v>
      </c>
      <c r="I37" s="29">
        <v>0</v>
      </c>
      <c r="J37" s="29">
        <v>0</v>
      </c>
      <c r="K37" s="9">
        <v>45292</v>
      </c>
      <c r="L37">
        <f xml:space="preserve"> (交易處理資料__3[[#This Row],[售出工時]] * 60) / 5</f>
        <v>0</v>
      </c>
      <c r="M37" t="str">
        <f>VLOOKUP(交易處理資料__3[[#This Row],[人員代號]],團隊分組!$B$1:$C$52,2,FALSE)</f>
        <v>快速保養團隊A</v>
      </c>
      <c r="N37" t="str">
        <f>IF(交易處理資料__3[[#This Row],[上班時間]]=0,"否","是")</f>
        <v>否</v>
      </c>
      <c r="O37" t="s">
        <v>76</v>
      </c>
      <c r="P37" s="38">
        <v>0</v>
      </c>
      <c r="Q37" s="38">
        <v>0</v>
      </c>
      <c r="R37" s="38">
        <v>0</v>
      </c>
    </row>
    <row r="38" spans="1:18" hidden="1">
      <c r="A38" t="s">
        <v>76</v>
      </c>
      <c r="B38" t="s">
        <v>39</v>
      </c>
      <c r="C38">
        <v>0</v>
      </c>
      <c r="D38">
        <v>0</v>
      </c>
      <c r="E38" s="29">
        <v>0</v>
      </c>
      <c r="F38">
        <v>0</v>
      </c>
      <c r="G38">
        <v>0</v>
      </c>
      <c r="H38">
        <v>0</v>
      </c>
      <c r="I38" s="29">
        <v>0</v>
      </c>
      <c r="J38" s="29">
        <v>0</v>
      </c>
      <c r="K38" s="9">
        <v>45292</v>
      </c>
      <c r="L38">
        <f xml:space="preserve"> (交易處理資料__3[[#This Row],[售出工時]] * 60) / 5</f>
        <v>0</v>
      </c>
      <c r="M38" t="str">
        <f>VLOOKUP(交易處理資料__3[[#This Row],[人員代號]],團隊分組!$B$1:$C$52,2,FALSE)</f>
        <v>查修團隊A</v>
      </c>
      <c r="N38" t="str">
        <f>IF(交易處理資料__3[[#This Row],[上班時間]]=0,"否","是")</f>
        <v>否</v>
      </c>
      <c r="O38" t="s">
        <v>76</v>
      </c>
      <c r="P38" s="37">
        <v>0</v>
      </c>
      <c r="Q38" s="37">
        <v>0</v>
      </c>
      <c r="R38" s="37">
        <v>0</v>
      </c>
    </row>
    <row r="39" spans="1:18" hidden="1">
      <c r="A39" t="s">
        <v>76</v>
      </c>
      <c r="B39" t="s">
        <v>40</v>
      </c>
      <c r="C39">
        <v>0</v>
      </c>
      <c r="D39">
        <v>0</v>
      </c>
      <c r="E39" s="29">
        <v>0</v>
      </c>
      <c r="F39">
        <v>0</v>
      </c>
      <c r="G39">
        <v>0</v>
      </c>
      <c r="H39">
        <v>0</v>
      </c>
      <c r="I39" s="29">
        <v>0</v>
      </c>
      <c r="J39" s="29">
        <v>0</v>
      </c>
      <c r="K39" s="9">
        <v>45292</v>
      </c>
      <c r="L39">
        <f xml:space="preserve"> (交易處理資料__3[[#This Row],[售出工時]] * 60) / 5</f>
        <v>0</v>
      </c>
      <c r="M39" t="str">
        <f>VLOOKUP(交易處理資料__3[[#This Row],[人員代號]],團隊分組!$B$1:$C$52,2,FALSE)</f>
        <v>查修團隊A</v>
      </c>
      <c r="N39" t="str">
        <f>IF(交易處理資料__3[[#This Row],[上班時間]]=0,"否","是")</f>
        <v>否</v>
      </c>
      <c r="O39" t="s">
        <v>76</v>
      </c>
      <c r="P39" s="38">
        <v>0</v>
      </c>
      <c r="Q39" s="38">
        <v>0</v>
      </c>
      <c r="R39" s="38">
        <v>0</v>
      </c>
    </row>
    <row r="40" spans="1:18" hidden="1">
      <c r="A40" t="s">
        <v>76</v>
      </c>
      <c r="B40" t="s">
        <v>41</v>
      </c>
      <c r="C40">
        <v>1.58</v>
      </c>
      <c r="D40">
        <v>1.53</v>
      </c>
      <c r="E40" s="29">
        <v>1.0347999999999999</v>
      </c>
      <c r="F40">
        <v>1.98</v>
      </c>
      <c r="G40">
        <v>6.37</v>
      </c>
      <c r="H40">
        <v>8.35</v>
      </c>
      <c r="I40" s="29">
        <v>0.23710000000000001</v>
      </c>
      <c r="J40" s="29">
        <v>0.18960000000000002</v>
      </c>
      <c r="K40" s="9">
        <v>45292</v>
      </c>
      <c r="L40">
        <f xml:space="preserve"> (交易處理資料__3[[#This Row],[售出工時]] * 60) / 5</f>
        <v>18.96</v>
      </c>
      <c r="M40" t="str">
        <f>VLOOKUP(交易處理資料__3[[#This Row],[人員代號]],團隊分組!$B$1:$C$52,2,FALSE)</f>
        <v>快速保養團隊A</v>
      </c>
      <c r="N40" t="str">
        <f>IF(交易處理資料__3[[#This Row],[上班時間]]=0,"否","是")</f>
        <v>是</v>
      </c>
      <c r="O40" t="s">
        <v>76</v>
      </c>
      <c r="P40" s="37">
        <v>1.0347999999999999</v>
      </c>
      <c r="Q40" s="37">
        <v>0.18960000000000002</v>
      </c>
      <c r="R40" s="37">
        <v>0.23710000000000001</v>
      </c>
    </row>
    <row r="41" spans="1:18" hidden="1">
      <c r="A41" t="s">
        <v>76</v>
      </c>
      <c r="B41" t="s">
        <v>42</v>
      </c>
      <c r="C41">
        <v>0</v>
      </c>
      <c r="D41">
        <v>0</v>
      </c>
      <c r="E41" s="29">
        <v>0</v>
      </c>
      <c r="F41">
        <v>0</v>
      </c>
      <c r="G41">
        <v>0</v>
      </c>
      <c r="H41">
        <v>0</v>
      </c>
      <c r="I41" s="29">
        <v>0</v>
      </c>
      <c r="J41" s="29">
        <v>0</v>
      </c>
      <c r="K41" s="9">
        <v>45292</v>
      </c>
      <c r="L41">
        <f xml:space="preserve"> (交易處理資料__3[[#This Row],[售出工時]] * 60) / 5</f>
        <v>0</v>
      </c>
      <c r="M41" t="str">
        <f>VLOOKUP(交易處理資料__3[[#This Row],[人員代號]],團隊分組!$B$1:$C$52,2,FALSE)</f>
        <v>快速保養團隊A</v>
      </c>
      <c r="N41" t="str">
        <f>IF(交易處理資料__3[[#This Row],[上班時間]]=0,"否","是")</f>
        <v>否</v>
      </c>
      <c r="O41" t="s">
        <v>76</v>
      </c>
      <c r="P41" s="38">
        <v>0</v>
      </c>
      <c r="Q41" s="38">
        <v>0</v>
      </c>
      <c r="R41" s="38">
        <v>0</v>
      </c>
    </row>
    <row r="42" spans="1:18" hidden="1">
      <c r="A42" t="s">
        <v>76</v>
      </c>
      <c r="B42" t="s">
        <v>43</v>
      </c>
      <c r="C42">
        <v>0</v>
      </c>
      <c r="D42">
        <v>0</v>
      </c>
      <c r="E42" s="29">
        <v>0</v>
      </c>
      <c r="F42">
        <v>0</v>
      </c>
      <c r="G42">
        <v>0</v>
      </c>
      <c r="H42">
        <v>0</v>
      </c>
      <c r="I42" s="29">
        <v>0</v>
      </c>
      <c r="J42" s="29">
        <v>0</v>
      </c>
      <c r="K42" s="9">
        <v>45292</v>
      </c>
      <c r="L42">
        <f xml:space="preserve"> (交易處理資料__3[[#This Row],[售出工時]] * 60) / 5</f>
        <v>0</v>
      </c>
      <c r="M42" t="str">
        <f>VLOOKUP(交易處理資料__3[[#This Row],[人員代號]],團隊分組!$B$1:$C$52,2,FALSE)</f>
        <v>查修團隊B</v>
      </c>
      <c r="N42" t="str">
        <f>IF(交易處理資料__3[[#This Row],[上班時間]]=0,"否","是")</f>
        <v>否</v>
      </c>
      <c r="O42" t="s">
        <v>76</v>
      </c>
      <c r="P42" s="37">
        <v>0</v>
      </c>
      <c r="Q42" s="37">
        <v>0</v>
      </c>
      <c r="R42" s="37">
        <v>0</v>
      </c>
    </row>
    <row r="43" spans="1:18" hidden="1">
      <c r="A43" t="s">
        <v>76</v>
      </c>
      <c r="B43" t="s">
        <v>44</v>
      </c>
      <c r="C43">
        <v>0</v>
      </c>
      <c r="D43">
        <v>0</v>
      </c>
      <c r="E43" s="29">
        <v>0</v>
      </c>
      <c r="F43">
        <v>0</v>
      </c>
      <c r="G43">
        <v>0</v>
      </c>
      <c r="H43">
        <v>0</v>
      </c>
      <c r="I43" s="29">
        <v>0</v>
      </c>
      <c r="J43" s="29">
        <v>0</v>
      </c>
      <c r="K43" s="9">
        <v>45292</v>
      </c>
      <c r="L43">
        <f xml:space="preserve"> (交易處理資料__3[[#This Row],[售出工時]] * 60) / 5</f>
        <v>0</v>
      </c>
      <c r="M43" t="str">
        <f>VLOOKUP(交易處理資料__3[[#This Row],[人員代號]],團隊分組!$B$1:$C$52,2,FALSE)</f>
        <v>快速保養團隊B</v>
      </c>
      <c r="N43" t="str">
        <f>IF(交易處理資料__3[[#This Row],[上班時間]]=0,"否","是")</f>
        <v>否</v>
      </c>
      <c r="O43" t="s">
        <v>76</v>
      </c>
      <c r="P43" s="38">
        <v>0</v>
      </c>
      <c r="Q43" s="38">
        <v>0</v>
      </c>
      <c r="R43" s="38">
        <v>0</v>
      </c>
    </row>
    <row r="44" spans="1:18" hidden="1">
      <c r="A44" t="s">
        <v>76</v>
      </c>
      <c r="B44" t="s">
        <v>45</v>
      </c>
      <c r="C44">
        <v>0</v>
      </c>
      <c r="D44">
        <v>0</v>
      </c>
      <c r="E44" s="29">
        <v>0</v>
      </c>
      <c r="F44">
        <v>0</v>
      </c>
      <c r="G44">
        <v>0</v>
      </c>
      <c r="H44">
        <v>0</v>
      </c>
      <c r="I44" s="29">
        <v>0</v>
      </c>
      <c r="J44" s="29">
        <v>0</v>
      </c>
      <c r="K44" s="9">
        <v>45292</v>
      </c>
      <c r="L44">
        <f xml:space="preserve"> (交易處理資料__3[[#This Row],[售出工時]] * 60) / 5</f>
        <v>0</v>
      </c>
      <c r="M44" t="str">
        <f>VLOOKUP(交易處理資料__3[[#This Row],[人員代號]],團隊分組!$B$1:$C$52,2,FALSE)</f>
        <v>快速保養團隊A</v>
      </c>
      <c r="N44" t="str">
        <f>IF(交易處理資料__3[[#This Row],[上班時間]]=0,"否","是")</f>
        <v>否</v>
      </c>
      <c r="O44" t="s">
        <v>76</v>
      </c>
      <c r="P44" s="37">
        <v>0</v>
      </c>
      <c r="Q44" s="37">
        <v>0</v>
      </c>
      <c r="R44" s="37">
        <v>0</v>
      </c>
    </row>
    <row r="45" spans="1:18" hidden="1">
      <c r="A45" t="s">
        <v>76</v>
      </c>
      <c r="B45" t="s">
        <v>46</v>
      </c>
      <c r="C45">
        <v>0</v>
      </c>
      <c r="D45">
        <v>0</v>
      </c>
      <c r="E45" s="29">
        <v>0</v>
      </c>
      <c r="F45">
        <v>0</v>
      </c>
      <c r="G45">
        <v>0</v>
      </c>
      <c r="H45">
        <v>0</v>
      </c>
      <c r="I45" s="29">
        <v>0</v>
      </c>
      <c r="J45" s="29">
        <v>0</v>
      </c>
      <c r="K45" s="9">
        <v>45292</v>
      </c>
      <c r="L45">
        <f xml:space="preserve"> (交易處理資料__3[[#This Row],[售出工時]] * 60) / 5</f>
        <v>0</v>
      </c>
      <c r="M45" t="str">
        <f>VLOOKUP(交易處理資料__3[[#This Row],[人員代號]],團隊分組!$B$1:$C$52,2,FALSE)</f>
        <v>查修團隊B</v>
      </c>
      <c r="N45" t="str">
        <f>IF(交易處理資料__3[[#This Row],[上班時間]]=0,"否","是")</f>
        <v>否</v>
      </c>
      <c r="O45" t="s">
        <v>76</v>
      </c>
      <c r="P45" s="38">
        <v>0</v>
      </c>
      <c r="Q45" s="38">
        <v>0</v>
      </c>
      <c r="R45" s="38">
        <v>0</v>
      </c>
    </row>
    <row r="46" spans="1:18" hidden="1">
      <c r="A46" t="s">
        <v>76</v>
      </c>
      <c r="B46" t="s">
        <v>47</v>
      </c>
      <c r="C46">
        <v>0.7</v>
      </c>
      <c r="D46">
        <v>1.68</v>
      </c>
      <c r="E46" s="29">
        <v>0.41859999999999997</v>
      </c>
      <c r="F46">
        <v>3.57</v>
      </c>
      <c r="G46">
        <v>4.7699999999999996</v>
      </c>
      <c r="H46">
        <v>8.34</v>
      </c>
      <c r="I46" s="29">
        <v>0.42810000000000004</v>
      </c>
      <c r="J46" s="29">
        <v>8.43E-2</v>
      </c>
      <c r="K46" s="9">
        <v>45292</v>
      </c>
      <c r="L46">
        <f xml:space="preserve"> (交易處理資料__3[[#This Row],[售出工時]] * 60) / 5</f>
        <v>8.4</v>
      </c>
      <c r="M46" t="str">
        <f>VLOOKUP(交易處理資料__3[[#This Row],[人員代號]],團隊分組!$B$1:$C$52,2,FALSE)</f>
        <v>查修團隊B</v>
      </c>
      <c r="N46" t="str">
        <f>IF(交易處理資料__3[[#This Row],[上班時間]]=0,"否","是")</f>
        <v>是</v>
      </c>
      <c r="O46" t="s">
        <v>76</v>
      </c>
      <c r="P46" s="37">
        <v>0.41859999999999997</v>
      </c>
      <c r="Q46" s="37">
        <v>8.43E-2</v>
      </c>
      <c r="R46" s="37">
        <v>0.42810000000000004</v>
      </c>
    </row>
    <row r="47" spans="1:18" hidden="1">
      <c r="A47" t="s">
        <v>76</v>
      </c>
      <c r="B47" t="s">
        <v>48</v>
      </c>
      <c r="C47">
        <v>0</v>
      </c>
      <c r="D47">
        <v>0</v>
      </c>
      <c r="E47" s="29">
        <v>0</v>
      </c>
      <c r="F47">
        <v>0</v>
      </c>
      <c r="G47">
        <v>0</v>
      </c>
      <c r="H47">
        <v>0</v>
      </c>
      <c r="I47" s="29">
        <v>0</v>
      </c>
      <c r="J47" s="29">
        <v>0</v>
      </c>
      <c r="K47" s="9">
        <v>45292</v>
      </c>
      <c r="L47">
        <f xml:space="preserve"> (交易處理資料__3[[#This Row],[售出工時]] * 60) / 5</f>
        <v>0</v>
      </c>
      <c r="M47" t="str">
        <f>VLOOKUP(交易處理資料__3[[#This Row],[人員代號]],團隊分組!$B$1:$C$52,2,FALSE)</f>
        <v>查修團隊A</v>
      </c>
      <c r="N47" t="str">
        <f>IF(交易處理資料__3[[#This Row],[上班時間]]=0,"否","是")</f>
        <v>否</v>
      </c>
      <c r="O47" t="s">
        <v>76</v>
      </c>
      <c r="P47" s="38">
        <v>0</v>
      </c>
      <c r="Q47" s="38">
        <v>0</v>
      </c>
      <c r="R47" s="38">
        <v>0</v>
      </c>
    </row>
    <row r="48" spans="1:18" hidden="1">
      <c r="A48" t="s">
        <v>76</v>
      </c>
      <c r="B48" t="s">
        <v>49</v>
      </c>
      <c r="C48">
        <v>1.58</v>
      </c>
      <c r="D48">
        <v>1.43</v>
      </c>
      <c r="E48" s="29">
        <v>1.1094999999999999</v>
      </c>
      <c r="F48">
        <v>1.86</v>
      </c>
      <c r="G48">
        <v>6.49</v>
      </c>
      <c r="H48">
        <v>8.35</v>
      </c>
      <c r="I48" s="29">
        <v>0.2228</v>
      </c>
      <c r="J48" s="29">
        <v>0.19</v>
      </c>
      <c r="K48" s="9">
        <v>45292</v>
      </c>
      <c r="L48">
        <f xml:space="preserve"> (交易處理資料__3[[#This Row],[售出工時]] * 60) / 5</f>
        <v>18.96</v>
      </c>
      <c r="M48" t="str">
        <f>VLOOKUP(交易處理資料__3[[#This Row],[人員代號]],團隊分組!$B$1:$C$52,2,FALSE)</f>
        <v>查修團隊A</v>
      </c>
      <c r="N48" t="str">
        <f>IF(交易處理資料__3[[#This Row],[上班時間]]=0,"否","是")</f>
        <v>是</v>
      </c>
      <c r="O48" t="s">
        <v>76</v>
      </c>
      <c r="P48" s="37">
        <v>1.1094999999999999</v>
      </c>
      <c r="Q48" s="37">
        <v>0.19</v>
      </c>
      <c r="R48" s="37">
        <v>0.2228</v>
      </c>
    </row>
    <row r="49" spans="1:18" hidden="1">
      <c r="A49" t="s">
        <v>76</v>
      </c>
      <c r="B49" t="s">
        <v>50</v>
      </c>
      <c r="C49">
        <v>0</v>
      </c>
      <c r="D49">
        <v>0</v>
      </c>
      <c r="E49" s="29">
        <v>0</v>
      </c>
      <c r="F49">
        <v>0</v>
      </c>
      <c r="G49">
        <v>0</v>
      </c>
      <c r="H49">
        <v>0</v>
      </c>
      <c r="I49" s="29">
        <v>0</v>
      </c>
      <c r="J49" s="29">
        <v>0</v>
      </c>
      <c r="K49" s="9">
        <v>45292</v>
      </c>
      <c r="L49">
        <f xml:space="preserve"> (交易處理資料__3[[#This Row],[售出工時]] * 60) / 5</f>
        <v>0</v>
      </c>
      <c r="M49" t="str">
        <f>VLOOKUP(交易處理資料__3[[#This Row],[人員代號]],團隊分組!$B$1:$C$52,2,FALSE)</f>
        <v>快速保養團隊B</v>
      </c>
      <c r="N49" t="str">
        <f>IF(交易處理資料__3[[#This Row],[上班時間]]=0,"否","是")</f>
        <v>否</v>
      </c>
      <c r="O49" t="s">
        <v>76</v>
      </c>
      <c r="P49" s="38">
        <v>0</v>
      </c>
      <c r="Q49" s="38">
        <v>0</v>
      </c>
      <c r="R49" s="38">
        <v>0</v>
      </c>
    </row>
    <row r="50" spans="1:18" hidden="1">
      <c r="A50" t="s">
        <v>76</v>
      </c>
      <c r="B50" t="s">
        <v>51</v>
      </c>
      <c r="C50">
        <v>0</v>
      </c>
      <c r="D50">
        <v>0</v>
      </c>
      <c r="E50" s="29">
        <v>0</v>
      </c>
      <c r="F50">
        <v>0</v>
      </c>
      <c r="G50">
        <v>0</v>
      </c>
      <c r="H50">
        <v>0</v>
      </c>
      <c r="I50" s="29">
        <v>0</v>
      </c>
      <c r="J50" s="29">
        <v>0</v>
      </c>
      <c r="K50" s="9">
        <v>45292</v>
      </c>
      <c r="L50">
        <f xml:space="preserve"> (交易處理資料__3[[#This Row],[售出工時]] * 60) / 5</f>
        <v>0</v>
      </c>
      <c r="M50" t="str">
        <f>VLOOKUP(交易處理資料__3[[#This Row],[人員代號]],團隊分組!$B$1:$C$52,2,FALSE)</f>
        <v>無效數據</v>
      </c>
      <c r="N50" t="str">
        <f>IF(交易處理資料__3[[#This Row],[上班時間]]=0,"否","是")</f>
        <v>否</v>
      </c>
      <c r="O50" t="s">
        <v>76</v>
      </c>
      <c r="P50" s="37">
        <v>0</v>
      </c>
      <c r="Q50" s="37">
        <v>0</v>
      </c>
      <c r="R50" s="37">
        <v>0</v>
      </c>
    </row>
    <row r="51" spans="1:18" hidden="1">
      <c r="A51" t="s">
        <v>76</v>
      </c>
      <c r="B51" t="s">
        <v>52</v>
      </c>
      <c r="C51">
        <v>0</v>
      </c>
      <c r="D51">
        <v>0</v>
      </c>
      <c r="E51" s="29">
        <v>0</v>
      </c>
      <c r="F51">
        <v>0</v>
      </c>
      <c r="G51">
        <v>0</v>
      </c>
      <c r="H51">
        <v>0</v>
      </c>
      <c r="I51" s="29">
        <v>0</v>
      </c>
      <c r="J51" s="29">
        <v>0</v>
      </c>
      <c r="K51" s="9">
        <v>45292</v>
      </c>
      <c r="L51">
        <f xml:space="preserve"> (交易處理資料__3[[#This Row],[售出工時]] * 60) / 5</f>
        <v>0</v>
      </c>
      <c r="M51" t="str">
        <f>VLOOKUP(交易處理資料__3[[#This Row],[人員代號]],團隊分組!$B$1:$C$52,2,FALSE)</f>
        <v>查修團隊B</v>
      </c>
      <c r="N51" t="str">
        <f>IF(交易處理資料__3[[#This Row],[上班時間]]=0,"否","是")</f>
        <v>否</v>
      </c>
      <c r="O51" t="s">
        <v>76</v>
      </c>
      <c r="P51" s="38">
        <v>0</v>
      </c>
      <c r="Q51" s="38">
        <v>0</v>
      </c>
      <c r="R51" s="38">
        <v>0</v>
      </c>
    </row>
    <row r="52" spans="1:18" hidden="1">
      <c r="A52" t="s">
        <v>76</v>
      </c>
      <c r="B52" t="s">
        <v>53</v>
      </c>
      <c r="C52">
        <v>0</v>
      </c>
      <c r="D52">
        <v>0</v>
      </c>
      <c r="E52" s="29">
        <v>0</v>
      </c>
      <c r="F52">
        <v>0</v>
      </c>
      <c r="G52">
        <v>0</v>
      </c>
      <c r="H52">
        <v>0</v>
      </c>
      <c r="I52" s="29">
        <v>0</v>
      </c>
      <c r="J52" s="29">
        <v>0</v>
      </c>
      <c r="K52" s="9">
        <v>45292</v>
      </c>
      <c r="L52">
        <f xml:space="preserve"> (交易處理資料__3[[#This Row],[售出工時]] * 60) / 5</f>
        <v>0</v>
      </c>
      <c r="M52" t="str">
        <f>VLOOKUP(交易處理資料__3[[#This Row],[人員代號]],團隊分組!$B$1:$C$52,2,FALSE)</f>
        <v>查修團隊A</v>
      </c>
      <c r="N52" t="str">
        <f>IF(交易處理資料__3[[#This Row],[上班時間]]=0,"否","是")</f>
        <v>否</v>
      </c>
      <c r="O52" t="s">
        <v>76</v>
      </c>
      <c r="P52" s="37">
        <v>0</v>
      </c>
      <c r="Q52" s="37">
        <v>0</v>
      </c>
      <c r="R52" s="37">
        <v>0</v>
      </c>
    </row>
    <row r="53" spans="1:18" hidden="1">
      <c r="A53" s="10" t="s">
        <v>74</v>
      </c>
      <c r="B53" t="s">
        <v>1</v>
      </c>
      <c r="C53">
        <v>0</v>
      </c>
      <c r="D53">
        <v>0</v>
      </c>
      <c r="E53" s="29">
        <v>0</v>
      </c>
      <c r="F53">
        <v>7.23</v>
      </c>
      <c r="G53">
        <v>0.85</v>
      </c>
      <c r="H53">
        <v>8.08</v>
      </c>
      <c r="I53" s="29">
        <v>0.89480000000000004</v>
      </c>
      <c r="J53" s="29">
        <v>0</v>
      </c>
      <c r="K53" s="9">
        <v>45293</v>
      </c>
      <c r="L53">
        <f xml:space="preserve"> (交易處理資料__3[[#This Row],[售出工時]] * 60) / 5</f>
        <v>0</v>
      </c>
      <c r="M53" t="str">
        <f>VLOOKUP(交易處理資料__3[[#This Row],[人員代號]],團隊分組!$B$1:$C$52,2,FALSE)</f>
        <v>噴漆維修組</v>
      </c>
      <c r="N53" t="str">
        <f>IF(交易處理資料__3[[#This Row],[上班時間]]=0,"否","是")</f>
        <v>是</v>
      </c>
      <c r="O53" s="10" t="s">
        <v>74</v>
      </c>
      <c r="P53" s="38">
        <v>0</v>
      </c>
      <c r="Q53" s="38">
        <v>0</v>
      </c>
      <c r="R53" s="38">
        <v>0.89480000000000004</v>
      </c>
    </row>
    <row r="54" spans="1:18" hidden="1">
      <c r="A54" s="10" t="s">
        <v>74</v>
      </c>
      <c r="B54" t="s">
        <v>2</v>
      </c>
      <c r="C54">
        <v>0</v>
      </c>
      <c r="D54">
        <v>0</v>
      </c>
      <c r="E54" s="29">
        <v>0</v>
      </c>
      <c r="F54">
        <v>7.35</v>
      </c>
      <c r="G54">
        <v>0.63</v>
      </c>
      <c r="H54">
        <v>7.98</v>
      </c>
      <c r="I54" s="29">
        <v>0.92110000000000003</v>
      </c>
      <c r="J54" s="29">
        <v>0</v>
      </c>
      <c r="K54" s="9">
        <v>45293</v>
      </c>
      <c r="L54">
        <f xml:space="preserve"> (交易處理資料__3[[#This Row],[售出工時]] * 60) / 5</f>
        <v>0</v>
      </c>
      <c r="M54" t="str">
        <f>VLOOKUP(交易處理資料__3[[#This Row],[人員代號]],團隊分組!$B$1:$C$52,2,FALSE)</f>
        <v>噴漆維修組</v>
      </c>
      <c r="N54" t="str">
        <f>IF(交易處理資料__3[[#This Row],[上班時間]]=0,"否","是")</f>
        <v>是</v>
      </c>
      <c r="O54" s="10" t="s">
        <v>74</v>
      </c>
      <c r="P54" s="37">
        <v>0</v>
      </c>
      <c r="Q54" s="37">
        <v>0</v>
      </c>
      <c r="R54" s="37">
        <v>0.92110000000000003</v>
      </c>
    </row>
    <row r="55" spans="1:18" hidden="1">
      <c r="A55" s="10" t="s">
        <v>74</v>
      </c>
      <c r="B55" t="s">
        <v>3</v>
      </c>
      <c r="C55">
        <v>0</v>
      </c>
      <c r="D55">
        <v>0</v>
      </c>
      <c r="E55" s="29">
        <v>0</v>
      </c>
      <c r="F55">
        <v>7.35</v>
      </c>
      <c r="G55">
        <v>0.63</v>
      </c>
      <c r="H55">
        <v>7.98</v>
      </c>
      <c r="I55" s="29">
        <v>0.92110000000000003</v>
      </c>
      <c r="J55" s="29">
        <v>0</v>
      </c>
      <c r="K55" s="9">
        <v>45293</v>
      </c>
      <c r="L55">
        <f xml:space="preserve"> (交易處理資料__3[[#This Row],[售出工時]] * 60) / 5</f>
        <v>0</v>
      </c>
      <c r="M55" t="str">
        <f>VLOOKUP(交易處理資料__3[[#This Row],[人員代號]],團隊分組!$B$1:$C$52,2,FALSE)</f>
        <v>噴漆維修組</v>
      </c>
      <c r="N55" t="str">
        <f>IF(交易處理資料__3[[#This Row],[上班時間]]=0,"否","是")</f>
        <v>是</v>
      </c>
      <c r="O55" s="10" t="s">
        <v>74</v>
      </c>
      <c r="P55" s="38">
        <v>0</v>
      </c>
      <c r="Q55" s="38">
        <v>0</v>
      </c>
      <c r="R55" s="38">
        <v>0.92110000000000003</v>
      </c>
    </row>
    <row r="56" spans="1:18" hidden="1">
      <c r="A56" s="10" t="s">
        <v>74</v>
      </c>
      <c r="B56" t="s">
        <v>4</v>
      </c>
      <c r="C56">
        <v>0</v>
      </c>
      <c r="D56">
        <v>0</v>
      </c>
      <c r="E56" s="29">
        <v>0</v>
      </c>
      <c r="F56">
        <v>7.2</v>
      </c>
      <c r="G56">
        <v>0.87</v>
      </c>
      <c r="H56">
        <v>8.07</v>
      </c>
      <c r="I56" s="29">
        <v>0.89219999999999999</v>
      </c>
      <c r="J56" s="29">
        <v>0</v>
      </c>
      <c r="K56" s="9">
        <v>45293</v>
      </c>
      <c r="L56">
        <f xml:space="preserve"> (交易處理資料__3[[#This Row],[售出工時]] * 60) / 5</f>
        <v>0</v>
      </c>
      <c r="M56" t="str">
        <f>VLOOKUP(交易處理資料__3[[#This Row],[人員代號]],團隊分組!$B$1:$C$52,2,FALSE)</f>
        <v>噴漆維修組</v>
      </c>
      <c r="N56" t="str">
        <f>IF(交易處理資料__3[[#This Row],[上班時間]]=0,"否","是")</f>
        <v>是</v>
      </c>
      <c r="O56" s="10" t="s">
        <v>74</v>
      </c>
      <c r="P56" s="37">
        <v>0</v>
      </c>
      <c r="Q56" s="37">
        <v>0</v>
      </c>
      <c r="R56" s="37">
        <v>0.89219999999999999</v>
      </c>
    </row>
    <row r="57" spans="1:18" hidden="1">
      <c r="A57" s="10" t="s">
        <v>74</v>
      </c>
      <c r="B57" t="s">
        <v>5</v>
      </c>
      <c r="C57">
        <v>0</v>
      </c>
      <c r="D57">
        <v>0</v>
      </c>
      <c r="E57" s="29">
        <v>0</v>
      </c>
      <c r="F57">
        <v>0</v>
      </c>
      <c r="G57">
        <v>0</v>
      </c>
      <c r="H57">
        <v>0</v>
      </c>
      <c r="I57" s="29">
        <v>0</v>
      </c>
      <c r="J57" s="29">
        <v>0</v>
      </c>
      <c r="K57" s="9">
        <v>45293</v>
      </c>
      <c r="L57">
        <f xml:space="preserve"> (交易處理資料__3[[#This Row],[售出工時]] * 60) / 5</f>
        <v>0</v>
      </c>
      <c r="M57" t="str">
        <f>VLOOKUP(交易處理資料__3[[#This Row],[人員代號]],團隊分組!$B$1:$C$52,2,FALSE)</f>
        <v>噴漆維修組</v>
      </c>
      <c r="N57" t="str">
        <f>IF(交易處理資料__3[[#This Row],[上班時間]]=0,"否","是")</f>
        <v>否</v>
      </c>
      <c r="O57" s="10" t="s">
        <v>74</v>
      </c>
      <c r="P57" s="38">
        <v>0</v>
      </c>
      <c r="Q57" s="38">
        <v>0</v>
      </c>
      <c r="R57" s="38">
        <v>0</v>
      </c>
    </row>
    <row r="58" spans="1:18" hidden="1">
      <c r="A58" s="10" t="s">
        <v>74</v>
      </c>
      <c r="B58" t="s">
        <v>6</v>
      </c>
      <c r="C58">
        <v>0</v>
      </c>
      <c r="D58">
        <v>0</v>
      </c>
      <c r="E58" s="29">
        <v>0</v>
      </c>
      <c r="F58">
        <v>7.35</v>
      </c>
      <c r="G58">
        <v>0.63</v>
      </c>
      <c r="H58">
        <v>7.98</v>
      </c>
      <c r="I58" s="29">
        <v>0.92110000000000003</v>
      </c>
      <c r="J58" s="29">
        <v>0</v>
      </c>
      <c r="K58" s="9">
        <v>45293</v>
      </c>
      <c r="L58">
        <f xml:space="preserve"> (交易處理資料__3[[#This Row],[售出工時]] * 60) / 5</f>
        <v>0</v>
      </c>
      <c r="M58" t="str">
        <f>VLOOKUP(交易處理資料__3[[#This Row],[人員代號]],團隊分組!$B$1:$C$52,2,FALSE)</f>
        <v>噴漆維修組</v>
      </c>
      <c r="N58" t="str">
        <f>IF(交易處理資料__3[[#This Row],[上班時間]]=0,"否","是")</f>
        <v>是</v>
      </c>
      <c r="O58" s="10" t="s">
        <v>74</v>
      </c>
      <c r="P58" s="37">
        <v>0</v>
      </c>
      <c r="Q58" s="37">
        <v>0</v>
      </c>
      <c r="R58" s="37">
        <v>0.92110000000000003</v>
      </c>
    </row>
    <row r="59" spans="1:18">
      <c r="A59" s="10" t="s">
        <v>74</v>
      </c>
      <c r="B59" t="s">
        <v>7</v>
      </c>
      <c r="C59">
        <v>0</v>
      </c>
      <c r="D59">
        <v>0</v>
      </c>
      <c r="E59" s="29">
        <v>0</v>
      </c>
      <c r="F59">
        <v>6.62</v>
      </c>
      <c r="G59">
        <v>1.4</v>
      </c>
      <c r="H59">
        <v>8.02</v>
      </c>
      <c r="I59" s="29">
        <v>0.82540000000000002</v>
      </c>
      <c r="J59" s="29">
        <v>0</v>
      </c>
      <c r="K59" s="9">
        <v>45293</v>
      </c>
      <c r="L59">
        <f xml:space="preserve"> (交易處理資料__3[[#This Row],[售出工時]] * 60) / 5</f>
        <v>0</v>
      </c>
      <c r="M59" t="str">
        <f>VLOOKUP(交易處理資料__3[[#This Row],[人員代號]],團隊分組!$B$1:$C$52,2,FALSE)</f>
        <v>噴漆維修組</v>
      </c>
      <c r="N59" t="str">
        <f>IF(交易處理資料__3[[#This Row],[上班時間]]=0,"否","是")</f>
        <v>是</v>
      </c>
      <c r="O59" s="10" t="s">
        <v>74</v>
      </c>
      <c r="P59" s="38">
        <v>0</v>
      </c>
      <c r="Q59" s="38">
        <v>0</v>
      </c>
      <c r="R59" s="38">
        <v>0.82540000000000002</v>
      </c>
    </row>
    <row r="60" spans="1:18" hidden="1">
      <c r="A60" s="10" t="s">
        <v>74</v>
      </c>
      <c r="B60" t="s">
        <v>8</v>
      </c>
      <c r="C60">
        <v>0</v>
      </c>
      <c r="D60">
        <v>0</v>
      </c>
      <c r="E60" s="29">
        <v>0</v>
      </c>
      <c r="F60">
        <v>0</v>
      </c>
      <c r="G60">
        <v>0</v>
      </c>
      <c r="H60">
        <v>0</v>
      </c>
      <c r="I60" s="29">
        <v>0</v>
      </c>
      <c r="J60" s="29">
        <v>0</v>
      </c>
      <c r="K60" s="9">
        <v>45293</v>
      </c>
      <c r="L60">
        <f xml:space="preserve"> (交易處理資料__3[[#This Row],[售出工時]] * 60) / 5</f>
        <v>0</v>
      </c>
      <c r="M60" t="str">
        <f>VLOOKUP(交易處理資料__3[[#This Row],[人員代號]],團隊分組!$B$1:$C$52,2,FALSE)</f>
        <v>噴漆維修組</v>
      </c>
      <c r="N60" t="str">
        <f>IF(交易處理資料__3[[#This Row],[上班時間]]=0,"否","是")</f>
        <v>否</v>
      </c>
      <c r="O60" s="10" t="s">
        <v>74</v>
      </c>
      <c r="P60" s="37">
        <v>0</v>
      </c>
      <c r="Q60" s="37">
        <v>0</v>
      </c>
      <c r="R60" s="37">
        <v>0</v>
      </c>
    </row>
    <row r="61" spans="1:18" hidden="1">
      <c r="A61" s="10" t="s">
        <v>74</v>
      </c>
      <c r="B61" t="s">
        <v>9</v>
      </c>
      <c r="C61">
        <v>0.25</v>
      </c>
      <c r="D61">
        <v>1.23</v>
      </c>
      <c r="E61" s="29">
        <v>0.20319999999999999</v>
      </c>
      <c r="F61">
        <v>4.5999999999999996</v>
      </c>
      <c r="G61">
        <v>3.48</v>
      </c>
      <c r="H61">
        <v>8.08</v>
      </c>
      <c r="I61" s="29">
        <v>0.56930000000000003</v>
      </c>
      <c r="J61" s="29">
        <v>3.0899999999999997E-2</v>
      </c>
      <c r="K61" s="9">
        <v>45293</v>
      </c>
      <c r="L61">
        <f xml:space="preserve"> (交易處理資料__3[[#This Row],[售出工時]] * 60) / 5</f>
        <v>3</v>
      </c>
      <c r="M61" t="str">
        <f>VLOOKUP(交易處理資料__3[[#This Row],[人員代號]],團隊分組!$B$1:$C$52,2,FALSE)</f>
        <v>噴漆維修組</v>
      </c>
      <c r="N61" t="str">
        <f>IF(交易處理資料__3[[#This Row],[上班時間]]=0,"否","是")</f>
        <v>是</v>
      </c>
      <c r="O61" s="10" t="s">
        <v>74</v>
      </c>
      <c r="P61" s="38">
        <v>0.20319999999999999</v>
      </c>
      <c r="Q61" s="38">
        <v>3.0899999999999997E-2</v>
      </c>
      <c r="R61" s="38">
        <v>0.56930000000000003</v>
      </c>
    </row>
    <row r="62" spans="1:18" hidden="1">
      <c r="A62" t="s">
        <v>75</v>
      </c>
      <c r="B62" t="s">
        <v>11</v>
      </c>
      <c r="C62">
        <v>0</v>
      </c>
      <c r="D62">
        <v>0</v>
      </c>
      <c r="E62" s="29">
        <v>0</v>
      </c>
      <c r="F62">
        <v>5.9</v>
      </c>
      <c r="G62">
        <v>1.76</v>
      </c>
      <c r="H62">
        <v>7.66</v>
      </c>
      <c r="I62" s="29">
        <v>0.7702</v>
      </c>
      <c r="J62" s="29">
        <v>0</v>
      </c>
      <c r="K62" s="9">
        <v>45293</v>
      </c>
      <c r="L62">
        <f xml:space="preserve"> (交易處理資料__3[[#This Row],[售出工時]] * 60) / 5</f>
        <v>0</v>
      </c>
      <c r="M62" t="str">
        <f>VLOOKUP(交易處理資料__3[[#This Row],[人員代號]],團隊分組!$B$1:$C$52,2,FALSE)</f>
        <v>鈑金維修組</v>
      </c>
      <c r="N62" t="str">
        <f>IF(交易處理資料__3[[#This Row],[上班時間]]=0,"否","是")</f>
        <v>是</v>
      </c>
      <c r="O62" t="s">
        <v>75</v>
      </c>
      <c r="P62" s="37">
        <v>0</v>
      </c>
      <c r="Q62" s="37">
        <v>0</v>
      </c>
      <c r="R62" s="37">
        <v>0.7702</v>
      </c>
    </row>
    <row r="63" spans="1:18" hidden="1">
      <c r="A63" t="s">
        <v>75</v>
      </c>
      <c r="B63" t="s">
        <v>12</v>
      </c>
      <c r="C63">
        <v>0.19</v>
      </c>
      <c r="D63">
        <v>0.06</v>
      </c>
      <c r="E63" s="29">
        <v>3.1666000000000003</v>
      </c>
      <c r="F63">
        <v>5.79</v>
      </c>
      <c r="G63">
        <v>2.3199999999999998</v>
      </c>
      <c r="H63">
        <v>8.11</v>
      </c>
      <c r="I63" s="29">
        <v>0.71389999999999998</v>
      </c>
      <c r="J63" s="29">
        <v>2.3399999999999997E-2</v>
      </c>
      <c r="K63" s="9">
        <v>45293</v>
      </c>
      <c r="L63">
        <f xml:space="preserve"> (交易處理資料__3[[#This Row],[售出工時]] * 60) / 5</f>
        <v>2.2800000000000002</v>
      </c>
      <c r="M63" t="str">
        <f>VLOOKUP(交易處理資料__3[[#This Row],[人員代號]],團隊分組!$B$1:$C$52,2,FALSE)</f>
        <v>鈑金維修組</v>
      </c>
      <c r="N63" t="str">
        <f>IF(交易處理資料__3[[#This Row],[上班時間]]=0,"否","是")</f>
        <v>是</v>
      </c>
      <c r="O63" t="s">
        <v>75</v>
      </c>
      <c r="P63" s="38">
        <v>3.1666000000000003</v>
      </c>
      <c r="Q63" s="38">
        <v>2.3399999999999997E-2</v>
      </c>
      <c r="R63" s="38">
        <v>0.71389999999999998</v>
      </c>
    </row>
    <row r="64" spans="1:18" hidden="1">
      <c r="A64" t="s">
        <v>75</v>
      </c>
      <c r="B64" t="s">
        <v>13</v>
      </c>
      <c r="C64">
        <v>0</v>
      </c>
      <c r="D64">
        <v>0</v>
      </c>
      <c r="E64" s="29">
        <v>0</v>
      </c>
      <c r="F64">
        <v>6.67</v>
      </c>
      <c r="G64">
        <v>1.41</v>
      </c>
      <c r="H64">
        <v>8.08</v>
      </c>
      <c r="I64" s="29">
        <v>0.82550000000000001</v>
      </c>
      <c r="J64" s="29">
        <v>0</v>
      </c>
      <c r="K64" s="9">
        <v>45293</v>
      </c>
      <c r="L64">
        <f xml:space="preserve"> (交易處理資料__3[[#This Row],[售出工時]] * 60) / 5</f>
        <v>0</v>
      </c>
      <c r="M64" t="str">
        <f>VLOOKUP(交易處理資料__3[[#This Row],[人員代號]],團隊分組!$B$1:$C$52,2,FALSE)</f>
        <v>鈑金維修組</v>
      </c>
      <c r="N64" t="str">
        <f>IF(交易處理資料__3[[#This Row],[上班時間]]=0,"否","是")</f>
        <v>是</v>
      </c>
      <c r="O64" t="s">
        <v>75</v>
      </c>
      <c r="P64" s="37">
        <v>0</v>
      </c>
      <c r="Q64" s="37">
        <v>0</v>
      </c>
      <c r="R64" s="37">
        <v>0.82550000000000001</v>
      </c>
    </row>
    <row r="65" spans="1:18" hidden="1">
      <c r="A65" t="s">
        <v>75</v>
      </c>
      <c r="B65" t="s">
        <v>14</v>
      </c>
      <c r="C65">
        <v>0.04</v>
      </c>
      <c r="D65">
        <v>0.47</v>
      </c>
      <c r="E65" s="29">
        <v>8.5099999999999995E-2</v>
      </c>
      <c r="F65">
        <v>3.84</v>
      </c>
      <c r="G65">
        <v>4.24</v>
      </c>
      <c r="H65">
        <v>8.08</v>
      </c>
      <c r="I65" s="29">
        <v>0.47520000000000001</v>
      </c>
      <c r="J65" s="29">
        <v>5.0000000000000001E-3</v>
      </c>
      <c r="K65" s="9">
        <v>45293</v>
      </c>
      <c r="L65">
        <f xml:space="preserve"> (交易處理資料__3[[#This Row],[售出工時]] * 60) / 5</f>
        <v>0.48</v>
      </c>
      <c r="M65" t="str">
        <f>VLOOKUP(交易處理資料__3[[#This Row],[人員代號]],團隊分組!$B$1:$C$52,2,FALSE)</f>
        <v>鈑金維修組</v>
      </c>
      <c r="N65" t="str">
        <f>IF(交易處理資料__3[[#This Row],[上班時間]]=0,"否","是")</f>
        <v>是</v>
      </c>
      <c r="O65" t="s">
        <v>75</v>
      </c>
      <c r="P65" s="38">
        <v>8.5099999999999995E-2</v>
      </c>
      <c r="Q65" s="38">
        <v>5.0000000000000001E-3</v>
      </c>
      <c r="R65" s="38">
        <v>0.47520000000000001</v>
      </c>
    </row>
    <row r="66" spans="1:18" hidden="1">
      <c r="A66" t="s">
        <v>75</v>
      </c>
      <c r="B66" t="s">
        <v>15</v>
      </c>
      <c r="C66">
        <v>0.04</v>
      </c>
      <c r="D66">
        <v>0.45</v>
      </c>
      <c r="E66" s="29">
        <v>8.8800000000000004E-2</v>
      </c>
      <c r="F66">
        <v>3.84</v>
      </c>
      <c r="G66">
        <v>4.24</v>
      </c>
      <c r="H66">
        <v>8.08</v>
      </c>
      <c r="I66" s="29">
        <v>0.47520000000000001</v>
      </c>
      <c r="J66" s="29">
        <v>5.0000000000000001E-3</v>
      </c>
      <c r="K66" s="9">
        <v>45293</v>
      </c>
      <c r="L66">
        <f xml:space="preserve"> (交易處理資料__3[[#This Row],[售出工時]] * 60) / 5</f>
        <v>0.48</v>
      </c>
      <c r="M66" t="str">
        <f>VLOOKUP(交易處理資料__3[[#This Row],[人員代號]],團隊分組!$B$1:$C$52,2,FALSE)</f>
        <v>鈑金維修組</v>
      </c>
      <c r="N66" t="str">
        <f>IF(交易處理資料__3[[#This Row],[上班時間]]=0,"否","是")</f>
        <v>是</v>
      </c>
      <c r="O66" t="s">
        <v>75</v>
      </c>
      <c r="P66" s="37">
        <v>8.8800000000000004E-2</v>
      </c>
      <c r="Q66" s="37">
        <v>5.0000000000000001E-3</v>
      </c>
      <c r="R66" s="37">
        <v>0.47520000000000001</v>
      </c>
    </row>
    <row r="67" spans="1:18" hidden="1">
      <c r="A67" t="s">
        <v>76</v>
      </c>
      <c r="B67" t="s">
        <v>17</v>
      </c>
      <c r="C67">
        <v>10.1</v>
      </c>
      <c r="D67">
        <v>6.7</v>
      </c>
      <c r="E67" s="29">
        <v>1.5084</v>
      </c>
      <c r="F67">
        <v>7.91</v>
      </c>
      <c r="G67">
        <v>1.28</v>
      </c>
      <c r="H67">
        <v>9.19</v>
      </c>
      <c r="I67" s="29">
        <v>0.86069999999999991</v>
      </c>
      <c r="J67" s="29">
        <v>1.0996999999999999</v>
      </c>
      <c r="K67" s="9">
        <v>45293</v>
      </c>
      <c r="L67">
        <f xml:space="preserve"> (交易處理資料__3[[#This Row],[售出工時]] * 60) / 5</f>
        <v>121.2</v>
      </c>
      <c r="M67" t="str">
        <f>VLOOKUP(交易處理資料__3[[#This Row],[人員代號]],團隊分組!$B$1:$C$52,2,FALSE)</f>
        <v>快速保養團隊A</v>
      </c>
      <c r="N67" t="str">
        <f>IF(交易處理資料__3[[#This Row],[上班時間]]=0,"否","是")</f>
        <v>是</v>
      </c>
      <c r="O67" t="s">
        <v>76</v>
      </c>
      <c r="P67" s="38">
        <v>1.5084</v>
      </c>
      <c r="Q67" s="38">
        <v>1.0996999999999999</v>
      </c>
      <c r="R67" s="38">
        <v>0.86069999999999991</v>
      </c>
    </row>
    <row r="68" spans="1:18" hidden="1">
      <c r="A68" t="s">
        <v>76</v>
      </c>
      <c r="B68" t="s">
        <v>18</v>
      </c>
      <c r="C68">
        <v>0.75</v>
      </c>
      <c r="D68">
        <v>2.1</v>
      </c>
      <c r="E68" s="29">
        <v>0.35710000000000003</v>
      </c>
      <c r="F68">
        <v>7.87</v>
      </c>
      <c r="G68">
        <v>1.29</v>
      </c>
      <c r="H68">
        <v>9.16</v>
      </c>
      <c r="I68" s="29">
        <v>0.85919999999999996</v>
      </c>
      <c r="J68" s="29">
        <v>8.1900000000000001E-2</v>
      </c>
      <c r="K68" s="9">
        <v>45293</v>
      </c>
      <c r="L68">
        <f xml:space="preserve"> (交易處理資料__3[[#This Row],[售出工時]] * 60) / 5</f>
        <v>9</v>
      </c>
      <c r="M68" t="str">
        <f>VLOOKUP(交易處理資料__3[[#This Row],[人員代號]],團隊分組!$B$1:$C$52,2,FALSE)</f>
        <v>查修團隊B</v>
      </c>
      <c r="N68" t="str">
        <f>IF(交易處理資料__3[[#This Row],[上班時間]]=0,"否","是")</f>
        <v>是</v>
      </c>
      <c r="O68" t="s">
        <v>76</v>
      </c>
      <c r="P68" s="37">
        <v>0.35710000000000003</v>
      </c>
      <c r="Q68" s="37">
        <v>8.1900000000000001E-2</v>
      </c>
      <c r="R68" s="37">
        <v>0.85919999999999996</v>
      </c>
    </row>
    <row r="69" spans="1:18" hidden="1">
      <c r="A69" t="s">
        <v>76</v>
      </c>
      <c r="B69" t="s">
        <v>19</v>
      </c>
      <c r="C69">
        <v>2.85</v>
      </c>
      <c r="D69">
        <v>3.77</v>
      </c>
      <c r="E69" s="29">
        <v>0.75769999999999993</v>
      </c>
      <c r="F69">
        <v>7.51</v>
      </c>
      <c r="G69">
        <v>0.56000000000000005</v>
      </c>
      <c r="H69">
        <v>8.07</v>
      </c>
      <c r="I69" s="29">
        <v>0.93059999999999998</v>
      </c>
      <c r="J69" s="29">
        <v>0.35399999999999998</v>
      </c>
      <c r="K69" s="9">
        <v>45293</v>
      </c>
      <c r="L69">
        <f xml:space="preserve"> (交易處理資料__3[[#This Row],[售出工時]] * 60) / 5</f>
        <v>34.200000000000003</v>
      </c>
      <c r="M69" t="str">
        <f>VLOOKUP(交易處理資料__3[[#This Row],[人員代號]],團隊分組!$B$1:$C$52,2,FALSE)</f>
        <v>查修團隊A</v>
      </c>
      <c r="N69" t="str">
        <f>IF(交易處理資料__3[[#This Row],[上班時間]]=0,"否","是")</f>
        <v>是</v>
      </c>
      <c r="O69" t="s">
        <v>76</v>
      </c>
      <c r="P69" s="38">
        <v>0.75769999999999993</v>
      </c>
      <c r="Q69" s="38">
        <v>0.35399999999999998</v>
      </c>
      <c r="R69" s="38">
        <v>0.93059999999999998</v>
      </c>
    </row>
    <row r="70" spans="1:18" hidden="1">
      <c r="A70" t="s">
        <v>76</v>
      </c>
      <c r="B70" t="s">
        <v>20</v>
      </c>
      <c r="C70">
        <v>0</v>
      </c>
      <c r="D70">
        <v>0</v>
      </c>
      <c r="E70" s="29">
        <v>0</v>
      </c>
      <c r="F70">
        <v>0</v>
      </c>
      <c r="G70">
        <v>9.64</v>
      </c>
      <c r="H70">
        <v>9.64</v>
      </c>
      <c r="I70" s="29">
        <v>0</v>
      </c>
      <c r="J70" s="29">
        <v>0</v>
      </c>
      <c r="K70" s="9">
        <v>45293</v>
      </c>
      <c r="L70">
        <f xml:space="preserve"> (交易處理資料__3[[#This Row],[售出工時]] * 60) / 5</f>
        <v>0</v>
      </c>
      <c r="M70" t="str">
        <f>VLOOKUP(交易處理資料__3[[#This Row],[人員代號]],團隊分組!$B$1:$C$52,2,FALSE)</f>
        <v>查修團隊B</v>
      </c>
      <c r="N70" t="str">
        <f>IF(交易處理資料__3[[#This Row],[上班時間]]=0,"否","是")</f>
        <v>是</v>
      </c>
      <c r="O70" t="s">
        <v>76</v>
      </c>
      <c r="P70" s="37">
        <v>0</v>
      </c>
      <c r="Q70" s="37">
        <v>0</v>
      </c>
      <c r="R70" s="37">
        <v>0</v>
      </c>
    </row>
    <row r="71" spans="1:18" hidden="1">
      <c r="A71" t="s">
        <v>76</v>
      </c>
      <c r="B71" t="s">
        <v>21</v>
      </c>
      <c r="C71">
        <v>0.63</v>
      </c>
      <c r="D71">
        <v>1.89</v>
      </c>
      <c r="E71" s="29">
        <v>0.33329999999999999</v>
      </c>
      <c r="F71">
        <v>5.28</v>
      </c>
      <c r="G71">
        <v>3.68</v>
      </c>
      <c r="H71">
        <v>8.9600000000000009</v>
      </c>
      <c r="I71" s="29">
        <v>0.58930000000000005</v>
      </c>
      <c r="J71" s="29">
        <v>7.0300000000000001E-2</v>
      </c>
      <c r="K71" s="9">
        <v>45293</v>
      </c>
      <c r="L71">
        <f xml:space="preserve"> (交易處理資料__3[[#This Row],[售出工時]] * 60) / 5</f>
        <v>7.56</v>
      </c>
      <c r="M71" t="str">
        <f>VLOOKUP(交易處理資料__3[[#This Row],[人員代號]],團隊分組!$B$1:$C$52,2,FALSE)</f>
        <v>查修團隊B</v>
      </c>
      <c r="N71" t="str">
        <f>IF(交易處理資料__3[[#This Row],[上班時間]]=0,"否","是")</f>
        <v>是</v>
      </c>
      <c r="O71" t="s">
        <v>76</v>
      </c>
      <c r="P71" s="38">
        <v>0.33329999999999999</v>
      </c>
      <c r="Q71" s="38">
        <v>7.0300000000000001E-2</v>
      </c>
      <c r="R71" s="38">
        <v>0.58930000000000005</v>
      </c>
    </row>
    <row r="72" spans="1:18" hidden="1">
      <c r="A72" t="s">
        <v>76</v>
      </c>
      <c r="B72" t="s">
        <v>22</v>
      </c>
      <c r="C72">
        <v>0</v>
      </c>
      <c r="D72">
        <v>0</v>
      </c>
      <c r="E72" s="29">
        <v>0</v>
      </c>
      <c r="F72">
        <v>0</v>
      </c>
      <c r="G72">
        <v>0</v>
      </c>
      <c r="H72">
        <v>0</v>
      </c>
      <c r="I72" s="29">
        <v>0</v>
      </c>
      <c r="J72" s="29">
        <v>0</v>
      </c>
      <c r="K72" s="9">
        <v>45293</v>
      </c>
      <c r="L72">
        <f xml:space="preserve"> (交易處理資料__3[[#This Row],[售出工時]] * 60) / 5</f>
        <v>0</v>
      </c>
      <c r="M72" t="str">
        <f>VLOOKUP(交易處理資料__3[[#This Row],[人員代號]],團隊分組!$B$1:$C$52,2,FALSE)</f>
        <v>快速保養團隊A</v>
      </c>
      <c r="N72" t="str">
        <f>IF(交易處理資料__3[[#This Row],[上班時間]]=0,"否","是")</f>
        <v>否</v>
      </c>
      <c r="O72" t="s">
        <v>76</v>
      </c>
      <c r="P72" s="37">
        <v>0</v>
      </c>
      <c r="Q72" s="37">
        <v>0</v>
      </c>
      <c r="R72" s="37">
        <v>0</v>
      </c>
    </row>
    <row r="73" spans="1:18" hidden="1">
      <c r="A73" t="s">
        <v>76</v>
      </c>
      <c r="B73" t="s">
        <v>24</v>
      </c>
      <c r="C73">
        <v>9.8699999999999992</v>
      </c>
      <c r="D73">
        <v>6.15</v>
      </c>
      <c r="E73" s="29">
        <v>1.6048</v>
      </c>
      <c r="F73">
        <v>6.74</v>
      </c>
      <c r="G73">
        <v>1.17</v>
      </c>
      <c r="H73">
        <v>7.91</v>
      </c>
      <c r="I73" s="29">
        <v>0.85209999999999997</v>
      </c>
      <c r="J73" s="29">
        <v>1.2478</v>
      </c>
      <c r="K73" s="9">
        <v>45293</v>
      </c>
      <c r="L73">
        <f xml:space="preserve"> (交易處理資料__3[[#This Row],[售出工時]] * 60) / 5</f>
        <v>118.43999999999998</v>
      </c>
      <c r="M73" t="str">
        <f>VLOOKUP(交易處理資料__3[[#This Row],[人員代號]],團隊分組!$B$1:$C$52,2,FALSE)</f>
        <v>快速保養團隊A</v>
      </c>
      <c r="N73" t="str">
        <f>IF(交易處理資料__3[[#This Row],[上班時間]]=0,"否","是")</f>
        <v>是</v>
      </c>
      <c r="O73" t="s">
        <v>76</v>
      </c>
      <c r="P73" s="38">
        <v>1.6048</v>
      </c>
      <c r="Q73" s="38">
        <v>1.2478</v>
      </c>
      <c r="R73" s="38">
        <v>0.85209999999999997</v>
      </c>
    </row>
    <row r="74" spans="1:18" hidden="1">
      <c r="A74" t="s">
        <v>76</v>
      </c>
      <c r="B74" t="s">
        <v>25</v>
      </c>
      <c r="C74">
        <v>3.58</v>
      </c>
      <c r="D74">
        <v>7.38</v>
      </c>
      <c r="E74" s="29">
        <v>0.48549999999999999</v>
      </c>
      <c r="F74">
        <v>4.21</v>
      </c>
      <c r="G74">
        <v>3.69</v>
      </c>
      <c r="H74">
        <v>7.9</v>
      </c>
      <c r="I74" s="29">
        <v>0.53290000000000004</v>
      </c>
      <c r="J74" s="29">
        <v>0.4536</v>
      </c>
      <c r="K74" s="9">
        <v>45293</v>
      </c>
      <c r="L74">
        <f xml:space="preserve"> (交易處理資料__3[[#This Row],[售出工時]] * 60) / 5</f>
        <v>42.96</v>
      </c>
      <c r="M74" t="str">
        <f>VLOOKUP(交易處理資料__3[[#This Row],[人員代號]],團隊分組!$B$1:$C$52,2,FALSE)</f>
        <v>查修團隊A</v>
      </c>
      <c r="N74" t="str">
        <f>IF(交易處理資料__3[[#This Row],[上班時間]]=0,"否","是")</f>
        <v>是</v>
      </c>
      <c r="O74" t="s">
        <v>76</v>
      </c>
      <c r="P74" s="37">
        <v>0.48549999999999999</v>
      </c>
      <c r="Q74" s="37">
        <v>0.4536</v>
      </c>
      <c r="R74" s="37">
        <v>0.53290000000000004</v>
      </c>
    </row>
    <row r="75" spans="1:18" hidden="1">
      <c r="A75" t="s">
        <v>76</v>
      </c>
      <c r="B75" t="s">
        <v>26</v>
      </c>
      <c r="C75">
        <v>0</v>
      </c>
      <c r="D75">
        <v>0</v>
      </c>
      <c r="E75" s="29">
        <v>0</v>
      </c>
      <c r="F75">
        <v>8.2100000000000009</v>
      </c>
      <c r="G75">
        <v>1.42</v>
      </c>
      <c r="H75">
        <v>9.6300000000000008</v>
      </c>
      <c r="I75" s="29">
        <v>0.85250000000000004</v>
      </c>
      <c r="J75" s="29">
        <v>0</v>
      </c>
      <c r="K75" s="9">
        <v>45293</v>
      </c>
      <c r="L75">
        <f xml:space="preserve"> (交易處理資料__3[[#This Row],[售出工時]] * 60) / 5</f>
        <v>0</v>
      </c>
      <c r="M75" t="str">
        <f>VLOOKUP(交易處理資料__3[[#This Row],[人員代號]],團隊分組!$B$1:$C$52,2,FALSE)</f>
        <v>查修團隊B</v>
      </c>
      <c r="N75" t="str">
        <f>IF(交易處理資料__3[[#This Row],[上班時間]]=0,"否","是")</f>
        <v>是</v>
      </c>
      <c r="O75" t="s">
        <v>76</v>
      </c>
      <c r="P75" s="38">
        <v>0</v>
      </c>
      <c r="Q75" s="38">
        <v>0</v>
      </c>
      <c r="R75" s="38">
        <v>0.85250000000000004</v>
      </c>
    </row>
    <row r="76" spans="1:18" hidden="1">
      <c r="A76" t="s">
        <v>76</v>
      </c>
      <c r="B76" t="s">
        <v>27</v>
      </c>
      <c r="C76">
        <v>5.1100000000000003</v>
      </c>
      <c r="D76">
        <v>4.53</v>
      </c>
      <c r="E76" s="29">
        <v>1.1279999999999999</v>
      </c>
      <c r="F76">
        <v>9.84</v>
      </c>
      <c r="G76">
        <v>0.2</v>
      </c>
      <c r="H76">
        <v>10.039999999999999</v>
      </c>
      <c r="I76" s="29">
        <v>0.98010000000000008</v>
      </c>
      <c r="J76" s="29">
        <v>0.50900000000000001</v>
      </c>
      <c r="K76" s="9">
        <v>45293</v>
      </c>
      <c r="L76">
        <f xml:space="preserve"> (交易處理資料__3[[#This Row],[售出工時]] * 60) / 5</f>
        <v>61.320000000000007</v>
      </c>
      <c r="M76" t="str">
        <f>VLOOKUP(交易處理資料__3[[#This Row],[人員代號]],團隊分組!$B$1:$C$52,2,FALSE)</f>
        <v>快速保養團隊B</v>
      </c>
      <c r="N76" t="str">
        <f>IF(交易處理資料__3[[#This Row],[上班時間]]=0,"否","是")</f>
        <v>是</v>
      </c>
      <c r="O76" t="s">
        <v>76</v>
      </c>
      <c r="P76" s="37">
        <v>1.1279999999999999</v>
      </c>
      <c r="Q76" s="37">
        <v>0.50900000000000001</v>
      </c>
      <c r="R76" s="37">
        <v>0.98010000000000008</v>
      </c>
    </row>
    <row r="77" spans="1:18" hidden="1">
      <c r="A77" t="s">
        <v>76</v>
      </c>
      <c r="B77" t="s">
        <v>28</v>
      </c>
      <c r="C77">
        <v>9.75</v>
      </c>
      <c r="D77">
        <v>6.41</v>
      </c>
      <c r="E77" s="29">
        <v>1.5209999999999999</v>
      </c>
      <c r="F77">
        <v>7.38</v>
      </c>
      <c r="G77">
        <v>0.79</v>
      </c>
      <c r="H77">
        <v>8.17</v>
      </c>
      <c r="I77" s="29">
        <v>0.90329999999999999</v>
      </c>
      <c r="J77" s="29">
        <v>1.1934</v>
      </c>
      <c r="K77" s="9">
        <v>45293</v>
      </c>
      <c r="L77">
        <f xml:space="preserve"> (交易處理資料__3[[#This Row],[售出工時]] * 60) / 5</f>
        <v>117</v>
      </c>
      <c r="M77" t="str">
        <f>VLOOKUP(交易處理資料__3[[#This Row],[人員代號]],團隊分組!$B$1:$C$52,2,FALSE)</f>
        <v>快速保養團隊A</v>
      </c>
      <c r="N77" t="str">
        <f>IF(交易處理資料__3[[#This Row],[上班時間]]=0,"否","是")</f>
        <v>是</v>
      </c>
      <c r="O77" t="s">
        <v>76</v>
      </c>
      <c r="P77" s="38">
        <v>1.5209999999999999</v>
      </c>
      <c r="Q77" s="38">
        <v>1.1934</v>
      </c>
      <c r="R77" s="38">
        <v>0.90329999999999999</v>
      </c>
    </row>
    <row r="78" spans="1:18" hidden="1">
      <c r="A78" t="s">
        <v>76</v>
      </c>
      <c r="B78" t="s">
        <v>29</v>
      </c>
      <c r="C78">
        <v>0</v>
      </c>
      <c r="D78">
        <v>0</v>
      </c>
      <c r="E78" s="29">
        <v>0</v>
      </c>
      <c r="F78">
        <v>6.64</v>
      </c>
      <c r="G78">
        <v>2.37</v>
      </c>
      <c r="H78">
        <v>9.01</v>
      </c>
      <c r="I78" s="29">
        <v>0.73699999999999999</v>
      </c>
      <c r="J78" s="29">
        <v>0</v>
      </c>
      <c r="K78" s="9">
        <v>45293</v>
      </c>
      <c r="L78">
        <f xml:space="preserve"> (交易處理資料__3[[#This Row],[售出工時]] * 60) / 5</f>
        <v>0</v>
      </c>
      <c r="M78" t="str">
        <f>VLOOKUP(交易處理資料__3[[#This Row],[人員代號]],團隊分組!$B$1:$C$52,2,FALSE)</f>
        <v>查修團隊B</v>
      </c>
      <c r="N78" t="str">
        <f>IF(交易處理資料__3[[#This Row],[上班時間]]=0,"否","是")</f>
        <v>是</v>
      </c>
      <c r="O78" t="s">
        <v>76</v>
      </c>
      <c r="P78" s="37">
        <v>0</v>
      </c>
      <c r="Q78" s="37">
        <v>0</v>
      </c>
      <c r="R78" s="37">
        <v>0.73699999999999999</v>
      </c>
    </row>
    <row r="79" spans="1:18" hidden="1">
      <c r="A79" t="s">
        <v>76</v>
      </c>
      <c r="B79" t="s">
        <v>30</v>
      </c>
      <c r="C79">
        <v>4.8499999999999996</v>
      </c>
      <c r="D79">
        <v>3.81</v>
      </c>
      <c r="E79" s="29">
        <v>1.2746999999999999</v>
      </c>
      <c r="F79">
        <v>9.8800000000000008</v>
      </c>
      <c r="G79">
        <v>0.2</v>
      </c>
      <c r="H79">
        <v>10.08</v>
      </c>
      <c r="I79" s="29">
        <v>0.98019999999999996</v>
      </c>
      <c r="J79" s="29">
        <v>0.48180000000000001</v>
      </c>
      <c r="K79" s="9">
        <v>45293</v>
      </c>
      <c r="L79">
        <f xml:space="preserve"> (交易處理資料__3[[#This Row],[售出工時]] * 60) / 5</f>
        <v>58.2</v>
      </c>
      <c r="M79" t="str">
        <f>VLOOKUP(交易處理資料__3[[#This Row],[人員代號]],團隊分組!$B$1:$C$52,2,FALSE)</f>
        <v>快速保養團隊B</v>
      </c>
      <c r="N79" t="str">
        <f>IF(交易處理資料__3[[#This Row],[上班時間]]=0,"否","是")</f>
        <v>是</v>
      </c>
      <c r="O79" t="s">
        <v>76</v>
      </c>
      <c r="P79" s="38">
        <v>1.2746999999999999</v>
      </c>
      <c r="Q79" s="38">
        <v>0.48180000000000001</v>
      </c>
      <c r="R79" s="38">
        <v>0.98019999999999996</v>
      </c>
    </row>
    <row r="80" spans="1:18" hidden="1">
      <c r="A80" t="s">
        <v>76</v>
      </c>
      <c r="B80" t="s">
        <v>31</v>
      </c>
      <c r="C80">
        <v>0</v>
      </c>
      <c r="D80">
        <v>0</v>
      </c>
      <c r="E80" s="29">
        <v>0</v>
      </c>
      <c r="F80">
        <v>0</v>
      </c>
      <c r="G80">
        <v>0</v>
      </c>
      <c r="H80">
        <v>0</v>
      </c>
      <c r="I80" s="29">
        <v>0</v>
      </c>
      <c r="J80" s="29">
        <v>0</v>
      </c>
      <c r="K80" s="9">
        <v>45293</v>
      </c>
      <c r="L80">
        <f xml:space="preserve"> (交易處理資料__3[[#This Row],[售出工時]] * 60) / 5</f>
        <v>0</v>
      </c>
      <c r="M80" t="str">
        <f>VLOOKUP(交易處理資料__3[[#This Row],[人員代號]],團隊分組!$B$1:$C$52,2,FALSE)</f>
        <v>快速保養團隊A</v>
      </c>
      <c r="N80" t="str">
        <f>IF(交易處理資料__3[[#This Row],[上班時間]]=0,"否","是")</f>
        <v>否</v>
      </c>
      <c r="O80" t="s">
        <v>76</v>
      </c>
      <c r="P80" s="37">
        <v>0</v>
      </c>
      <c r="Q80" s="37">
        <v>0</v>
      </c>
      <c r="R80" s="37">
        <v>0</v>
      </c>
    </row>
    <row r="81" spans="1:18" hidden="1">
      <c r="A81" t="s">
        <v>76</v>
      </c>
      <c r="B81" t="s">
        <v>32</v>
      </c>
      <c r="C81">
        <v>8.25</v>
      </c>
      <c r="D81">
        <v>5.28</v>
      </c>
      <c r="E81" s="29">
        <v>1.5625</v>
      </c>
      <c r="F81">
        <v>8.11</v>
      </c>
      <c r="G81">
        <v>1.98</v>
      </c>
      <c r="H81">
        <v>10.09</v>
      </c>
      <c r="I81" s="29">
        <v>0.80379999999999996</v>
      </c>
      <c r="J81" s="29">
        <v>0.8176000000000001</v>
      </c>
      <c r="K81" s="9">
        <v>45293</v>
      </c>
      <c r="L81">
        <f xml:space="preserve"> (交易處理資料__3[[#This Row],[售出工時]] * 60) / 5</f>
        <v>99</v>
      </c>
      <c r="M81" t="str">
        <f>VLOOKUP(交易處理資料__3[[#This Row],[人員代號]],團隊分組!$B$1:$C$52,2,FALSE)</f>
        <v>快速保養團隊B</v>
      </c>
      <c r="N81" t="str">
        <f>IF(交易處理資料__3[[#This Row],[上班時間]]=0,"否","是")</f>
        <v>是</v>
      </c>
      <c r="O81" t="s">
        <v>76</v>
      </c>
      <c r="P81" s="38">
        <v>1.5625</v>
      </c>
      <c r="Q81" s="38">
        <v>0.8176000000000001</v>
      </c>
      <c r="R81" s="38">
        <v>0.80379999999999996</v>
      </c>
    </row>
    <row r="82" spans="1:18" hidden="1">
      <c r="A82" t="s">
        <v>76</v>
      </c>
      <c r="B82" t="s">
        <v>33</v>
      </c>
      <c r="C82">
        <v>0</v>
      </c>
      <c r="D82">
        <v>0</v>
      </c>
      <c r="E82" s="29">
        <v>0</v>
      </c>
      <c r="F82">
        <v>0</v>
      </c>
      <c r="G82">
        <v>0</v>
      </c>
      <c r="H82">
        <v>0</v>
      </c>
      <c r="I82" s="29">
        <v>0</v>
      </c>
      <c r="J82" s="29">
        <v>0</v>
      </c>
      <c r="K82" s="9">
        <v>45293</v>
      </c>
      <c r="L82">
        <f xml:space="preserve"> (交易處理資料__3[[#This Row],[售出工時]] * 60) / 5</f>
        <v>0</v>
      </c>
      <c r="M82" t="str">
        <f>VLOOKUP(交易處理資料__3[[#This Row],[人員代號]],團隊分組!$B$1:$C$52,2,FALSE)</f>
        <v>快速保養團隊B</v>
      </c>
      <c r="N82" t="str">
        <f>IF(交易處理資料__3[[#This Row],[上班時間]]=0,"否","是")</f>
        <v>否</v>
      </c>
      <c r="O82" t="s">
        <v>76</v>
      </c>
      <c r="P82" s="37">
        <v>0</v>
      </c>
      <c r="Q82" s="37">
        <v>0</v>
      </c>
      <c r="R82" s="37">
        <v>0</v>
      </c>
    </row>
    <row r="83" spans="1:18" hidden="1">
      <c r="A83" t="s">
        <v>76</v>
      </c>
      <c r="B83" t="s">
        <v>34</v>
      </c>
      <c r="C83">
        <v>9.41</v>
      </c>
      <c r="D83">
        <v>6.36</v>
      </c>
      <c r="E83" s="29">
        <v>1.4805999999999999</v>
      </c>
      <c r="F83">
        <v>6.16</v>
      </c>
      <c r="G83">
        <v>1.73</v>
      </c>
      <c r="H83">
        <v>7.89</v>
      </c>
      <c r="I83" s="29">
        <v>0.78069999999999995</v>
      </c>
      <c r="J83" s="29">
        <v>1.1935</v>
      </c>
      <c r="K83" s="9">
        <v>45293</v>
      </c>
      <c r="L83">
        <f xml:space="preserve"> (交易處理資料__3[[#This Row],[售出工時]] * 60) / 5</f>
        <v>112.92</v>
      </c>
      <c r="M83" t="str">
        <f>VLOOKUP(交易處理資料__3[[#This Row],[人員代號]],團隊分組!$B$1:$C$52,2,FALSE)</f>
        <v>快速保養團隊A</v>
      </c>
      <c r="N83" t="str">
        <f>IF(交易處理資料__3[[#This Row],[上班時間]]=0,"否","是")</f>
        <v>是</v>
      </c>
      <c r="O83" t="s">
        <v>76</v>
      </c>
      <c r="P83" s="38">
        <v>1.4805999999999999</v>
      </c>
      <c r="Q83" s="38">
        <v>1.1935</v>
      </c>
      <c r="R83" s="38">
        <v>0.78069999999999995</v>
      </c>
    </row>
    <row r="84" spans="1:18" hidden="1">
      <c r="A84" t="s">
        <v>76</v>
      </c>
      <c r="B84" t="s">
        <v>35</v>
      </c>
      <c r="C84">
        <v>0</v>
      </c>
      <c r="D84">
        <v>0</v>
      </c>
      <c r="E84" s="29">
        <v>0</v>
      </c>
      <c r="F84">
        <v>6.54</v>
      </c>
      <c r="G84">
        <v>3.96</v>
      </c>
      <c r="H84">
        <v>10.5</v>
      </c>
      <c r="I84" s="29">
        <v>0.62290000000000001</v>
      </c>
      <c r="J84" s="29">
        <v>0</v>
      </c>
      <c r="K84" s="9">
        <v>45293</v>
      </c>
      <c r="L84">
        <f xml:space="preserve"> (交易處理資料__3[[#This Row],[售出工時]] * 60) / 5</f>
        <v>0</v>
      </c>
      <c r="M84" t="str">
        <f>VLOOKUP(交易處理資料__3[[#This Row],[人員代號]],團隊分組!$B$1:$C$52,2,FALSE)</f>
        <v>查修團隊B</v>
      </c>
      <c r="N84" t="str">
        <f>IF(交易處理資料__3[[#This Row],[上班時間]]=0,"否","是")</f>
        <v>是</v>
      </c>
      <c r="O84" t="s">
        <v>76</v>
      </c>
      <c r="P84" s="37">
        <v>0</v>
      </c>
      <c r="Q84" s="37">
        <v>0</v>
      </c>
      <c r="R84" s="37">
        <v>0.62290000000000001</v>
      </c>
    </row>
    <row r="85" spans="1:18" hidden="1">
      <c r="A85" t="s">
        <v>76</v>
      </c>
      <c r="B85" t="s">
        <v>36</v>
      </c>
      <c r="C85">
        <v>1.78</v>
      </c>
      <c r="D85">
        <v>3.9</v>
      </c>
      <c r="E85" s="29">
        <v>0.45640000000000003</v>
      </c>
      <c r="F85">
        <v>6.85</v>
      </c>
      <c r="G85">
        <v>2.4900000000000002</v>
      </c>
      <c r="H85">
        <v>9.34</v>
      </c>
      <c r="I85" s="29">
        <v>0.73340000000000005</v>
      </c>
      <c r="J85" s="29">
        <v>0.19059999999999999</v>
      </c>
      <c r="K85" s="9">
        <v>45293</v>
      </c>
      <c r="L85">
        <f xml:space="preserve"> (交易處理資料__3[[#This Row],[售出工時]] * 60) / 5</f>
        <v>21.36</v>
      </c>
      <c r="M85" t="str">
        <f>VLOOKUP(交易處理資料__3[[#This Row],[人員代號]],團隊分組!$B$1:$C$52,2,FALSE)</f>
        <v>查修團隊B</v>
      </c>
      <c r="N85" t="str">
        <f>IF(交易處理資料__3[[#This Row],[上班時間]]=0,"否","是")</f>
        <v>是</v>
      </c>
      <c r="O85" t="s">
        <v>76</v>
      </c>
      <c r="P85" s="38">
        <v>0.45640000000000003</v>
      </c>
      <c r="Q85" s="38">
        <v>0.19059999999999999</v>
      </c>
      <c r="R85" s="38">
        <v>0.73340000000000005</v>
      </c>
    </row>
    <row r="86" spans="1:18" hidden="1">
      <c r="A86" t="s">
        <v>76</v>
      </c>
      <c r="B86" t="s">
        <v>37</v>
      </c>
      <c r="C86">
        <v>3</v>
      </c>
      <c r="D86">
        <v>4.0199999999999996</v>
      </c>
      <c r="E86" s="29">
        <v>0.74620000000000009</v>
      </c>
      <c r="F86">
        <v>7.44</v>
      </c>
      <c r="G86">
        <v>3</v>
      </c>
      <c r="H86">
        <v>10.44</v>
      </c>
      <c r="I86" s="29">
        <v>0.71260000000000001</v>
      </c>
      <c r="J86" s="29">
        <v>0.28739999999999999</v>
      </c>
      <c r="K86" s="9">
        <v>45293</v>
      </c>
      <c r="L86">
        <f xml:space="preserve"> (交易處理資料__3[[#This Row],[售出工時]] * 60) / 5</f>
        <v>36</v>
      </c>
      <c r="M86" t="str">
        <f>VLOOKUP(交易處理資料__3[[#This Row],[人員代號]],團隊分組!$B$1:$C$52,2,FALSE)</f>
        <v>查修團隊A</v>
      </c>
      <c r="N86" t="str">
        <f>IF(交易處理資料__3[[#This Row],[上班時間]]=0,"否","是")</f>
        <v>是</v>
      </c>
      <c r="O86" t="s">
        <v>76</v>
      </c>
      <c r="P86" s="37">
        <v>0.74620000000000009</v>
      </c>
      <c r="Q86" s="37">
        <v>0.28739999999999999</v>
      </c>
      <c r="R86" s="37">
        <v>0.71260000000000001</v>
      </c>
    </row>
    <row r="87" spans="1:18" hidden="1">
      <c r="A87" t="s">
        <v>76</v>
      </c>
      <c r="B87" t="s">
        <v>38</v>
      </c>
      <c r="C87">
        <v>15.83</v>
      </c>
      <c r="D87">
        <v>5.09</v>
      </c>
      <c r="E87" s="29">
        <v>3.1105999999999998</v>
      </c>
      <c r="F87">
        <v>10.87</v>
      </c>
      <c r="G87">
        <v>0.86</v>
      </c>
      <c r="H87">
        <v>11.73</v>
      </c>
      <c r="I87" s="29">
        <v>0.92669999999999997</v>
      </c>
      <c r="J87" s="29">
        <v>1.3497999999999999</v>
      </c>
      <c r="K87" s="9">
        <v>45293</v>
      </c>
      <c r="L87">
        <f xml:space="preserve"> (交易處理資料__3[[#This Row],[售出工時]] * 60) / 5</f>
        <v>189.95999999999998</v>
      </c>
      <c r="M87" t="str">
        <f>VLOOKUP(交易處理資料__3[[#This Row],[人員代號]],團隊分組!$B$1:$C$52,2,FALSE)</f>
        <v>快速保養團隊A</v>
      </c>
      <c r="N87" t="str">
        <f>IF(交易處理資料__3[[#This Row],[上班時間]]=0,"否","是")</f>
        <v>是</v>
      </c>
      <c r="O87" t="s">
        <v>76</v>
      </c>
      <c r="P87" s="38">
        <v>3.1105999999999998</v>
      </c>
      <c r="Q87" s="38">
        <v>1.3497999999999999</v>
      </c>
      <c r="R87" s="38">
        <v>0.92669999999999997</v>
      </c>
    </row>
    <row r="88" spans="1:18" hidden="1">
      <c r="A88" t="s">
        <v>76</v>
      </c>
      <c r="B88" t="s">
        <v>39</v>
      </c>
      <c r="C88">
        <v>0</v>
      </c>
      <c r="D88">
        <v>0</v>
      </c>
      <c r="E88" s="29">
        <v>0</v>
      </c>
      <c r="F88">
        <v>0</v>
      </c>
      <c r="G88">
        <v>0</v>
      </c>
      <c r="H88">
        <v>0</v>
      </c>
      <c r="I88" s="29">
        <v>0</v>
      </c>
      <c r="J88" s="29">
        <v>0</v>
      </c>
      <c r="K88" s="9">
        <v>45293</v>
      </c>
      <c r="L88">
        <f xml:space="preserve"> (交易處理資料__3[[#This Row],[售出工時]] * 60) / 5</f>
        <v>0</v>
      </c>
      <c r="M88" t="str">
        <f>VLOOKUP(交易處理資料__3[[#This Row],[人員代號]],團隊分組!$B$1:$C$52,2,FALSE)</f>
        <v>查修團隊A</v>
      </c>
      <c r="N88" t="str">
        <f>IF(交易處理資料__3[[#This Row],[上班時間]]=0,"否","是")</f>
        <v>否</v>
      </c>
      <c r="O88" t="s">
        <v>76</v>
      </c>
      <c r="P88" s="37">
        <v>0</v>
      </c>
      <c r="Q88" s="37">
        <v>0</v>
      </c>
      <c r="R88" s="37">
        <v>0</v>
      </c>
    </row>
    <row r="89" spans="1:18" hidden="1">
      <c r="A89" t="s">
        <v>76</v>
      </c>
      <c r="B89" t="s">
        <v>40</v>
      </c>
      <c r="C89">
        <v>2.5</v>
      </c>
      <c r="D89">
        <v>2.64</v>
      </c>
      <c r="E89" s="29">
        <v>0.94689999999999996</v>
      </c>
      <c r="F89">
        <v>5.89</v>
      </c>
      <c r="G89">
        <v>2.0699999999999998</v>
      </c>
      <c r="H89">
        <v>7.96</v>
      </c>
      <c r="I89" s="29">
        <v>0.7399</v>
      </c>
      <c r="J89" s="29">
        <v>0.31409999999999999</v>
      </c>
      <c r="K89" s="9">
        <v>45293</v>
      </c>
      <c r="L89">
        <f xml:space="preserve"> (交易處理資料__3[[#This Row],[售出工時]] * 60) / 5</f>
        <v>30</v>
      </c>
      <c r="M89" t="str">
        <f>VLOOKUP(交易處理資料__3[[#This Row],[人員代號]],團隊分組!$B$1:$C$52,2,FALSE)</f>
        <v>查修團隊A</v>
      </c>
      <c r="N89" t="str">
        <f>IF(交易處理資料__3[[#This Row],[上班時間]]=0,"否","是")</f>
        <v>是</v>
      </c>
      <c r="O89" t="s">
        <v>76</v>
      </c>
      <c r="P89" s="38">
        <v>0.94689999999999996</v>
      </c>
      <c r="Q89" s="38">
        <v>0.31409999999999999</v>
      </c>
      <c r="R89" s="38">
        <v>0.7399</v>
      </c>
    </row>
    <row r="90" spans="1:18" hidden="1">
      <c r="A90" t="s">
        <v>76</v>
      </c>
      <c r="B90" t="s">
        <v>41</v>
      </c>
      <c r="C90">
        <v>9</v>
      </c>
      <c r="D90">
        <v>7.3</v>
      </c>
      <c r="E90" s="29">
        <v>1.2328000000000001</v>
      </c>
      <c r="F90">
        <v>8.25</v>
      </c>
      <c r="G90">
        <v>1.71</v>
      </c>
      <c r="H90">
        <v>9.9600000000000009</v>
      </c>
      <c r="I90" s="29">
        <v>0.82830000000000004</v>
      </c>
      <c r="J90" s="29">
        <v>0.90359999999999996</v>
      </c>
      <c r="K90" s="9">
        <v>45293</v>
      </c>
      <c r="L90">
        <f xml:space="preserve"> (交易處理資料__3[[#This Row],[售出工時]] * 60) / 5</f>
        <v>108</v>
      </c>
      <c r="M90" t="str">
        <f>VLOOKUP(交易處理資料__3[[#This Row],[人員代號]],團隊分組!$B$1:$C$52,2,FALSE)</f>
        <v>快速保養團隊A</v>
      </c>
      <c r="N90" t="str">
        <f>IF(交易處理資料__3[[#This Row],[上班時間]]=0,"否","是")</f>
        <v>是</v>
      </c>
      <c r="O90" t="s">
        <v>76</v>
      </c>
      <c r="P90" s="37">
        <v>1.2328000000000001</v>
      </c>
      <c r="Q90" s="37">
        <v>0.90359999999999996</v>
      </c>
      <c r="R90" s="37">
        <v>0.82830000000000004</v>
      </c>
    </row>
    <row r="91" spans="1:18" hidden="1">
      <c r="A91" t="s">
        <v>76</v>
      </c>
      <c r="B91" t="s">
        <v>42</v>
      </c>
      <c r="C91">
        <v>2.91</v>
      </c>
      <c r="D91">
        <v>2.98</v>
      </c>
      <c r="E91" s="29">
        <v>0.97870000000000001</v>
      </c>
      <c r="F91">
        <v>4.8600000000000003</v>
      </c>
      <c r="G91">
        <v>3.08</v>
      </c>
      <c r="H91">
        <v>7.94</v>
      </c>
      <c r="I91" s="29">
        <v>0.61209999999999998</v>
      </c>
      <c r="J91" s="29">
        <v>0.36729999999999996</v>
      </c>
      <c r="K91" s="9">
        <v>45293</v>
      </c>
      <c r="L91">
        <f xml:space="preserve"> (交易處理資料__3[[#This Row],[售出工時]] * 60) / 5</f>
        <v>34.92</v>
      </c>
      <c r="M91" t="str">
        <f>VLOOKUP(交易處理資料__3[[#This Row],[人員代號]],團隊分組!$B$1:$C$52,2,FALSE)</f>
        <v>快速保養團隊A</v>
      </c>
      <c r="N91" t="str">
        <f>IF(交易處理資料__3[[#This Row],[上班時間]]=0,"否","是")</f>
        <v>是</v>
      </c>
      <c r="O91" t="s">
        <v>76</v>
      </c>
      <c r="P91" s="38">
        <v>0.97870000000000001</v>
      </c>
      <c r="Q91" s="38">
        <v>0.36729999999999996</v>
      </c>
      <c r="R91" s="38">
        <v>0.61209999999999998</v>
      </c>
    </row>
    <row r="92" spans="1:18" hidden="1">
      <c r="A92" t="s">
        <v>76</v>
      </c>
      <c r="B92" t="s">
        <v>44</v>
      </c>
      <c r="C92">
        <v>8.99</v>
      </c>
      <c r="D92">
        <v>3.41</v>
      </c>
      <c r="E92" s="29">
        <v>2.6362999999999999</v>
      </c>
      <c r="F92">
        <v>6.74</v>
      </c>
      <c r="G92">
        <v>1.34</v>
      </c>
      <c r="H92">
        <v>8.08</v>
      </c>
      <c r="I92" s="29">
        <v>0.83420000000000005</v>
      </c>
      <c r="J92" s="29">
        <v>1.1126</v>
      </c>
      <c r="K92" s="9">
        <v>45293</v>
      </c>
      <c r="L92">
        <f xml:space="preserve"> (交易處理資料__3[[#This Row],[售出工時]] * 60) / 5</f>
        <v>107.88</v>
      </c>
      <c r="M92" t="str">
        <f>VLOOKUP(交易處理資料__3[[#This Row],[人員代號]],團隊分組!$B$1:$C$52,2,FALSE)</f>
        <v>快速保養團隊B</v>
      </c>
      <c r="N92" t="str">
        <f>IF(交易處理資料__3[[#This Row],[上班時間]]=0,"否","是")</f>
        <v>是</v>
      </c>
      <c r="O92" t="s">
        <v>76</v>
      </c>
      <c r="P92" s="37">
        <v>2.6362999999999999</v>
      </c>
      <c r="Q92" s="37">
        <v>1.1126</v>
      </c>
      <c r="R92" s="37">
        <v>0.83420000000000005</v>
      </c>
    </row>
    <row r="93" spans="1:18" hidden="1">
      <c r="A93" t="s">
        <v>76</v>
      </c>
      <c r="B93" t="s">
        <v>45</v>
      </c>
      <c r="C93">
        <v>5.58</v>
      </c>
      <c r="D93">
        <v>4.75</v>
      </c>
      <c r="E93" s="29">
        <v>1.1754</v>
      </c>
      <c r="F93">
        <v>7.6</v>
      </c>
      <c r="G93">
        <v>0.3</v>
      </c>
      <c r="H93">
        <v>7.9</v>
      </c>
      <c r="I93" s="29">
        <v>0.96200000000000008</v>
      </c>
      <c r="J93" s="29">
        <v>0.70680000000000009</v>
      </c>
      <c r="K93" s="9">
        <v>45293</v>
      </c>
      <c r="L93">
        <f xml:space="preserve"> (交易處理資料__3[[#This Row],[售出工時]] * 60) / 5</f>
        <v>66.960000000000008</v>
      </c>
      <c r="M93" t="str">
        <f>VLOOKUP(交易處理資料__3[[#This Row],[人員代號]],團隊分組!$B$1:$C$52,2,FALSE)</f>
        <v>快速保養團隊A</v>
      </c>
      <c r="N93" t="str">
        <f>IF(交易處理資料__3[[#This Row],[上班時間]]=0,"否","是")</f>
        <v>是</v>
      </c>
      <c r="O93" t="s">
        <v>76</v>
      </c>
      <c r="P93" s="38">
        <v>1.1754</v>
      </c>
      <c r="Q93" s="38">
        <v>0.70680000000000009</v>
      </c>
      <c r="R93" s="38">
        <v>0.96200000000000008</v>
      </c>
    </row>
    <row r="94" spans="1:18" hidden="1">
      <c r="A94" t="s">
        <v>76</v>
      </c>
      <c r="B94" t="s">
        <v>46</v>
      </c>
      <c r="C94">
        <v>0</v>
      </c>
      <c r="D94">
        <v>0</v>
      </c>
      <c r="E94" s="29">
        <v>0</v>
      </c>
      <c r="F94">
        <v>4.43</v>
      </c>
      <c r="G94">
        <v>4.55</v>
      </c>
      <c r="H94">
        <v>8.98</v>
      </c>
      <c r="I94" s="29">
        <v>0.49329999999999996</v>
      </c>
      <c r="J94" s="29">
        <v>0</v>
      </c>
      <c r="K94" s="9">
        <v>45293</v>
      </c>
      <c r="L94">
        <f xml:space="preserve"> (交易處理資料__3[[#This Row],[售出工時]] * 60) / 5</f>
        <v>0</v>
      </c>
      <c r="M94" t="str">
        <f>VLOOKUP(交易處理資料__3[[#This Row],[人員代號]],團隊分組!$B$1:$C$52,2,FALSE)</f>
        <v>查修團隊B</v>
      </c>
      <c r="N94" t="str">
        <f>IF(交易處理資料__3[[#This Row],[上班時間]]=0,"否","是")</f>
        <v>是</v>
      </c>
      <c r="O94" t="s">
        <v>76</v>
      </c>
      <c r="P94" s="37">
        <v>0</v>
      </c>
      <c r="Q94" s="37">
        <v>0</v>
      </c>
      <c r="R94" s="37">
        <v>0.49329999999999996</v>
      </c>
    </row>
    <row r="95" spans="1:18" hidden="1">
      <c r="A95" t="s">
        <v>76</v>
      </c>
      <c r="B95" t="s">
        <v>47</v>
      </c>
      <c r="C95">
        <v>2</v>
      </c>
      <c r="D95">
        <v>2.67</v>
      </c>
      <c r="E95" s="29">
        <v>0.74900000000000011</v>
      </c>
      <c r="F95">
        <v>3.36</v>
      </c>
      <c r="G95">
        <v>5.61</v>
      </c>
      <c r="H95">
        <v>8.9700000000000006</v>
      </c>
      <c r="I95" s="29">
        <v>0.37459999999999999</v>
      </c>
      <c r="J95" s="29">
        <v>0.223</v>
      </c>
      <c r="K95" s="9">
        <v>45293</v>
      </c>
      <c r="L95">
        <f xml:space="preserve"> (交易處理資料__3[[#This Row],[售出工時]] * 60) / 5</f>
        <v>24</v>
      </c>
      <c r="M95" t="str">
        <f>VLOOKUP(交易處理資料__3[[#This Row],[人員代號]],團隊分組!$B$1:$C$52,2,FALSE)</f>
        <v>查修團隊B</v>
      </c>
      <c r="N95" t="str">
        <f>IF(交易處理資料__3[[#This Row],[上班時間]]=0,"否","是")</f>
        <v>是</v>
      </c>
      <c r="O95" t="s">
        <v>76</v>
      </c>
      <c r="P95" s="38">
        <v>0.74900000000000011</v>
      </c>
      <c r="Q95" s="38">
        <v>0.223</v>
      </c>
      <c r="R95" s="38">
        <v>0.37459999999999999</v>
      </c>
    </row>
    <row r="96" spans="1:18" hidden="1">
      <c r="A96" t="s">
        <v>76</v>
      </c>
      <c r="B96" t="s">
        <v>48</v>
      </c>
      <c r="C96">
        <v>0.19</v>
      </c>
      <c r="D96">
        <v>0.06</v>
      </c>
      <c r="E96" s="29">
        <v>3.1666000000000003</v>
      </c>
      <c r="F96">
        <v>0.71</v>
      </c>
      <c r="G96">
        <v>7.23</v>
      </c>
      <c r="H96">
        <v>7.94</v>
      </c>
      <c r="I96" s="29">
        <v>8.9399999999999993E-2</v>
      </c>
      <c r="J96" s="29">
        <v>2.3900000000000001E-2</v>
      </c>
      <c r="K96" s="9">
        <v>45293</v>
      </c>
      <c r="L96">
        <f xml:space="preserve"> (交易處理資料__3[[#This Row],[售出工時]] * 60) / 5</f>
        <v>2.2800000000000002</v>
      </c>
      <c r="M96" t="str">
        <f>VLOOKUP(交易處理資料__3[[#This Row],[人員代號]],團隊分組!$B$1:$C$52,2,FALSE)</f>
        <v>查修團隊A</v>
      </c>
      <c r="N96" t="str">
        <f>IF(交易處理資料__3[[#This Row],[上班時間]]=0,"否","是")</f>
        <v>是</v>
      </c>
      <c r="O96" t="s">
        <v>76</v>
      </c>
      <c r="P96" s="37">
        <v>3.1666000000000003</v>
      </c>
      <c r="Q96" s="37">
        <v>2.3900000000000001E-2</v>
      </c>
      <c r="R96" s="37">
        <v>8.9399999999999993E-2</v>
      </c>
    </row>
    <row r="97" spans="1:18" hidden="1">
      <c r="A97" t="s">
        <v>76</v>
      </c>
      <c r="B97" t="s">
        <v>49</v>
      </c>
      <c r="C97">
        <v>2.5499999999999998</v>
      </c>
      <c r="D97">
        <v>2.64</v>
      </c>
      <c r="E97" s="29">
        <v>0.96709999999999996</v>
      </c>
      <c r="F97">
        <v>7.49</v>
      </c>
      <c r="G97">
        <v>0.55000000000000004</v>
      </c>
      <c r="H97">
        <v>8.0399999999999991</v>
      </c>
      <c r="I97" s="29">
        <v>0.93159999999999998</v>
      </c>
      <c r="J97" s="29">
        <v>0.31759999999999999</v>
      </c>
      <c r="K97" s="9">
        <v>45293</v>
      </c>
      <c r="L97">
        <f xml:space="preserve"> (交易處理資料__3[[#This Row],[售出工時]] * 60) / 5</f>
        <v>30.6</v>
      </c>
      <c r="M97" t="str">
        <f>VLOOKUP(交易處理資料__3[[#This Row],[人員代號]],團隊分組!$B$1:$C$52,2,FALSE)</f>
        <v>查修團隊A</v>
      </c>
      <c r="N97" t="str">
        <f>IF(交易處理資料__3[[#This Row],[上班時間]]=0,"否","是")</f>
        <v>是</v>
      </c>
      <c r="O97" t="s">
        <v>76</v>
      </c>
      <c r="P97" s="38">
        <v>0.96709999999999996</v>
      </c>
      <c r="Q97" s="38">
        <v>0.31759999999999999</v>
      </c>
      <c r="R97" s="38">
        <v>0.93159999999999998</v>
      </c>
    </row>
    <row r="98" spans="1:18" hidden="1">
      <c r="A98" t="s">
        <v>76</v>
      </c>
      <c r="B98" t="s">
        <v>50</v>
      </c>
      <c r="C98">
        <v>11.56</v>
      </c>
      <c r="D98">
        <v>5.3</v>
      </c>
      <c r="E98" s="29">
        <v>2.1811000000000003</v>
      </c>
      <c r="F98">
        <v>7.38</v>
      </c>
      <c r="G98">
        <v>0.71</v>
      </c>
      <c r="H98">
        <v>8.09</v>
      </c>
      <c r="I98" s="29">
        <v>0.91220000000000001</v>
      </c>
      <c r="J98" s="29">
        <v>1.4288999999999998</v>
      </c>
      <c r="K98" s="9">
        <v>45293</v>
      </c>
      <c r="L98">
        <f xml:space="preserve"> (交易處理資料__3[[#This Row],[售出工時]] * 60) / 5</f>
        <v>138.72</v>
      </c>
      <c r="M98" t="str">
        <f>VLOOKUP(交易處理資料__3[[#This Row],[人員代號]],團隊分組!$B$1:$C$52,2,FALSE)</f>
        <v>快速保養團隊B</v>
      </c>
      <c r="N98" t="str">
        <f>IF(交易處理資料__3[[#This Row],[上班時間]]=0,"否","是")</f>
        <v>是</v>
      </c>
      <c r="O98" t="s">
        <v>76</v>
      </c>
      <c r="P98" s="37">
        <v>2.1811000000000003</v>
      </c>
      <c r="Q98" s="37">
        <v>1.4288999999999998</v>
      </c>
      <c r="R98" s="37">
        <v>0.91220000000000001</v>
      </c>
    </row>
    <row r="99" spans="1:18" hidden="1">
      <c r="A99" t="s">
        <v>76</v>
      </c>
      <c r="B99" t="s">
        <v>51</v>
      </c>
      <c r="C99">
        <v>0</v>
      </c>
      <c r="D99">
        <v>0</v>
      </c>
      <c r="E99" s="29">
        <v>0</v>
      </c>
      <c r="F99">
        <v>0</v>
      </c>
      <c r="G99">
        <v>0</v>
      </c>
      <c r="H99">
        <v>0</v>
      </c>
      <c r="I99" s="29">
        <v>0</v>
      </c>
      <c r="J99" s="29">
        <v>0</v>
      </c>
      <c r="K99" s="9">
        <v>45293</v>
      </c>
      <c r="L99">
        <f xml:space="preserve"> (交易處理資料__3[[#This Row],[售出工時]] * 60) / 5</f>
        <v>0</v>
      </c>
      <c r="M99" t="str">
        <f>VLOOKUP(交易處理資料__3[[#This Row],[人員代號]],團隊分組!$B$1:$C$52,2,FALSE)</f>
        <v>無效數據</v>
      </c>
      <c r="N99" t="str">
        <f>IF(交易處理資料__3[[#This Row],[上班時間]]=0,"否","是")</f>
        <v>否</v>
      </c>
      <c r="O99" t="s">
        <v>76</v>
      </c>
      <c r="P99" s="38">
        <v>0</v>
      </c>
      <c r="Q99" s="38">
        <v>0</v>
      </c>
      <c r="R99" s="38">
        <v>0</v>
      </c>
    </row>
    <row r="100" spans="1:18" hidden="1">
      <c r="A100" t="s">
        <v>76</v>
      </c>
      <c r="B100" t="s">
        <v>52</v>
      </c>
      <c r="C100">
        <v>0</v>
      </c>
      <c r="D100">
        <v>0</v>
      </c>
      <c r="E100" s="29">
        <v>0</v>
      </c>
      <c r="F100">
        <v>6.53</v>
      </c>
      <c r="G100">
        <v>2.4500000000000002</v>
      </c>
      <c r="H100">
        <v>8.98</v>
      </c>
      <c r="I100" s="29">
        <v>0.72719999999999996</v>
      </c>
      <c r="J100" s="29">
        <v>0</v>
      </c>
      <c r="K100" s="9">
        <v>45293</v>
      </c>
      <c r="L100">
        <f xml:space="preserve"> (交易處理資料__3[[#This Row],[售出工時]] * 60) / 5</f>
        <v>0</v>
      </c>
      <c r="M100" t="str">
        <f>VLOOKUP(交易處理資料__3[[#This Row],[人員代號]],團隊分組!$B$1:$C$52,2,FALSE)</f>
        <v>查修團隊B</v>
      </c>
      <c r="N100" t="str">
        <f>IF(交易處理資料__3[[#This Row],[上班時間]]=0,"否","是")</f>
        <v>是</v>
      </c>
      <c r="O100" t="s">
        <v>76</v>
      </c>
      <c r="P100" s="37">
        <v>0</v>
      </c>
      <c r="Q100" s="37">
        <v>0</v>
      </c>
      <c r="R100" s="37">
        <v>0.72719999999999996</v>
      </c>
    </row>
    <row r="101" spans="1:18" hidden="1">
      <c r="A101" s="10" t="s">
        <v>74</v>
      </c>
      <c r="B101" t="s">
        <v>1</v>
      </c>
      <c r="C101">
        <v>3.35</v>
      </c>
      <c r="D101">
        <v>6.84</v>
      </c>
      <c r="E101" s="29">
        <v>0.48969999999999997</v>
      </c>
      <c r="F101">
        <v>7.6</v>
      </c>
      <c r="G101">
        <v>0.43</v>
      </c>
      <c r="H101">
        <v>8.0299999999999994</v>
      </c>
      <c r="I101" s="29">
        <v>0.94650000000000001</v>
      </c>
      <c r="J101" s="29">
        <v>0.41720000000000002</v>
      </c>
      <c r="K101" s="9">
        <v>45294</v>
      </c>
      <c r="L101">
        <f xml:space="preserve"> (交易處理資料__3[[#This Row],[售出工時]] * 60) / 5</f>
        <v>40.200000000000003</v>
      </c>
      <c r="M101" t="str">
        <f>VLOOKUP(交易處理資料__3[[#This Row],[人員代號]],團隊分組!$B$1:$C$52,2,FALSE)</f>
        <v>噴漆維修組</v>
      </c>
      <c r="N101" t="str">
        <f>IF(交易處理資料__3[[#This Row],[上班時間]]=0,"否","是")</f>
        <v>是</v>
      </c>
      <c r="O101" s="10" t="s">
        <v>74</v>
      </c>
      <c r="P101" s="38">
        <v>0.48969999999999997</v>
      </c>
      <c r="Q101" s="38">
        <v>0.41720000000000002</v>
      </c>
      <c r="R101" s="38">
        <v>0.94650000000000001</v>
      </c>
    </row>
    <row r="102" spans="1:18" hidden="1">
      <c r="A102" s="10" t="s">
        <v>74</v>
      </c>
      <c r="B102" t="s">
        <v>4</v>
      </c>
      <c r="C102">
        <v>2.08</v>
      </c>
      <c r="D102">
        <v>3.75</v>
      </c>
      <c r="E102" s="29">
        <v>0.55459999999999998</v>
      </c>
      <c r="F102">
        <v>7.6</v>
      </c>
      <c r="G102">
        <v>0.43</v>
      </c>
      <c r="H102">
        <v>8.0299999999999994</v>
      </c>
      <c r="I102" s="29">
        <v>0.94650000000000001</v>
      </c>
      <c r="J102" s="29">
        <v>0.25900000000000001</v>
      </c>
      <c r="K102" s="9">
        <v>45294</v>
      </c>
      <c r="L102">
        <f xml:space="preserve"> (交易處理資料__3[[#This Row],[售出工時]] * 60) / 5</f>
        <v>24.96</v>
      </c>
      <c r="M102" t="str">
        <f>VLOOKUP(交易處理資料__3[[#This Row],[人員代號]],團隊分組!$B$1:$C$52,2,FALSE)</f>
        <v>噴漆維修組</v>
      </c>
      <c r="N102" t="str">
        <f>IF(交易處理資料__3[[#This Row],[上班時間]]=0,"否","是")</f>
        <v>是</v>
      </c>
      <c r="O102" s="10" t="s">
        <v>74</v>
      </c>
      <c r="P102" s="37">
        <v>0.55459999999999998</v>
      </c>
      <c r="Q102" s="37">
        <v>0.25900000000000001</v>
      </c>
      <c r="R102" s="37">
        <v>0.94650000000000001</v>
      </c>
    </row>
    <row r="103" spans="1:18" hidden="1">
      <c r="A103" s="10" t="s">
        <v>74</v>
      </c>
      <c r="B103" t="s">
        <v>8</v>
      </c>
      <c r="C103">
        <v>0</v>
      </c>
      <c r="D103">
        <v>0</v>
      </c>
      <c r="E103" s="29">
        <v>0</v>
      </c>
      <c r="F103">
        <v>0</v>
      </c>
      <c r="G103">
        <v>0</v>
      </c>
      <c r="H103">
        <v>0</v>
      </c>
      <c r="I103" s="29">
        <v>0</v>
      </c>
      <c r="J103" s="29">
        <v>0</v>
      </c>
      <c r="K103" s="9">
        <v>45294</v>
      </c>
      <c r="L103">
        <f xml:space="preserve"> (交易處理資料__3[[#This Row],[售出工時]] * 60) / 5</f>
        <v>0</v>
      </c>
      <c r="M103" t="str">
        <f>VLOOKUP(交易處理資料__3[[#This Row],[人員代號]],團隊分組!$B$1:$C$52,2,FALSE)</f>
        <v>噴漆維修組</v>
      </c>
      <c r="N103" t="str">
        <f>IF(交易處理資料__3[[#This Row],[上班時間]]=0,"否","是")</f>
        <v>否</v>
      </c>
      <c r="O103" s="10" t="s">
        <v>74</v>
      </c>
      <c r="P103" s="38">
        <v>0</v>
      </c>
      <c r="Q103" s="38">
        <v>0</v>
      </c>
      <c r="R103" s="38">
        <v>0</v>
      </c>
    </row>
    <row r="104" spans="1:18" hidden="1">
      <c r="A104" s="10" t="s">
        <v>74</v>
      </c>
      <c r="B104" t="s">
        <v>9</v>
      </c>
      <c r="C104">
        <v>3.08</v>
      </c>
      <c r="D104">
        <v>4.3499999999999996</v>
      </c>
      <c r="E104" s="29">
        <v>0.70879999999999999</v>
      </c>
      <c r="F104">
        <v>6.67</v>
      </c>
      <c r="G104">
        <v>1.37</v>
      </c>
      <c r="H104">
        <v>8.0399999999999991</v>
      </c>
      <c r="I104" s="29">
        <v>0.82959999999999989</v>
      </c>
      <c r="J104" s="29">
        <v>0.38350000000000001</v>
      </c>
      <c r="K104" s="9">
        <v>45294</v>
      </c>
      <c r="L104">
        <f xml:space="preserve"> (交易處理資料__3[[#This Row],[售出工時]] * 60) / 5</f>
        <v>36.96</v>
      </c>
      <c r="M104" t="str">
        <f>VLOOKUP(交易處理資料__3[[#This Row],[人員代號]],團隊分組!$B$1:$C$52,2,FALSE)</f>
        <v>噴漆維修組</v>
      </c>
      <c r="N104" t="str">
        <f>IF(交易處理資料__3[[#This Row],[上班時間]]=0,"否","是")</f>
        <v>是</v>
      </c>
      <c r="O104" s="10" t="s">
        <v>74</v>
      </c>
      <c r="P104" s="37">
        <v>0.70879999999999999</v>
      </c>
      <c r="Q104" s="37">
        <v>0.38350000000000001</v>
      </c>
      <c r="R104" s="37">
        <v>0.82959999999999989</v>
      </c>
    </row>
    <row r="105" spans="1:18" hidden="1">
      <c r="A105" t="s">
        <v>75</v>
      </c>
      <c r="B105" t="s">
        <v>11</v>
      </c>
      <c r="C105">
        <v>0</v>
      </c>
      <c r="D105">
        <v>0</v>
      </c>
      <c r="E105" s="29">
        <v>0</v>
      </c>
      <c r="F105">
        <v>5.93</v>
      </c>
      <c r="G105">
        <v>2.13</v>
      </c>
      <c r="H105">
        <v>8.06</v>
      </c>
      <c r="I105" s="29">
        <v>0.73569999999999991</v>
      </c>
      <c r="J105" s="29">
        <v>0</v>
      </c>
      <c r="K105" s="9">
        <v>45294</v>
      </c>
      <c r="L105">
        <f xml:space="preserve"> (交易處理資料__3[[#This Row],[售出工時]] * 60) / 5</f>
        <v>0</v>
      </c>
      <c r="M105" t="str">
        <f>VLOOKUP(交易處理資料__3[[#This Row],[人員代號]],團隊分組!$B$1:$C$52,2,FALSE)</f>
        <v>鈑金維修組</v>
      </c>
      <c r="N105" t="str">
        <f>IF(交易處理資料__3[[#This Row],[上班時間]]=0,"否","是")</f>
        <v>是</v>
      </c>
      <c r="O105" t="s">
        <v>75</v>
      </c>
      <c r="P105" s="38">
        <v>0</v>
      </c>
      <c r="Q105" s="38">
        <v>0</v>
      </c>
      <c r="R105" s="38">
        <v>0.73569999999999991</v>
      </c>
    </row>
    <row r="106" spans="1:18" hidden="1">
      <c r="A106" t="s">
        <v>75</v>
      </c>
      <c r="B106" t="s">
        <v>13</v>
      </c>
      <c r="C106">
        <v>8.64</v>
      </c>
      <c r="D106">
        <v>4.96</v>
      </c>
      <c r="E106" s="29">
        <v>1.7419</v>
      </c>
      <c r="F106">
        <v>4.32</v>
      </c>
      <c r="G106">
        <v>3.76</v>
      </c>
      <c r="H106">
        <v>8.08</v>
      </c>
      <c r="I106" s="29">
        <v>0.53469999999999995</v>
      </c>
      <c r="J106" s="29">
        <v>1.0693000000000001</v>
      </c>
      <c r="K106" s="9">
        <v>45294</v>
      </c>
      <c r="L106">
        <f xml:space="preserve"> (交易處理資料__3[[#This Row],[售出工時]] * 60) / 5</f>
        <v>103.68000000000002</v>
      </c>
      <c r="M106" t="str">
        <f>VLOOKUP(交易處理資料__3[[#This Row],[人員代號]],團隊分組!$B$1:$C$52,2,FALSE)</f>
        <v>鈑金維修組</v>
      </c>
      <c r="N106" t="str">
        <f>IF(交易處理資料__3[[#This Row],[上班時間]]=0,"否","是")</f>
        <v>是</v>
      </c>
      <c r="O106" t="s">
        <v>75</v>
      </c>
      <c r="P106" s="37">
        <v>1.7419</v>
      </c>
      <c r="Q106" s="37">
        <v>1.0693000000000001</v>
      </c>
      <c r="R106" s="37">
        <v>0.53469999999999995</v>
      </c>
    </row>
    <row r="107" spans="1:18" hidden="1">
      <c r="A107" t="s">
        <v>75</v>
      </c>
      <c r="B107" t="s">
        <v>15</v>
      </c>
      <c r="C107">
        <v>6.18</v>
      </c>
      <c r="D107">
        <v>7.77</v>
      </c>
      <c r="E107" s="29">
        <v>0.79530000000000001</v>
      </c>
      <c r="F107">
        <v>3.96</v>
      </c>
      <c r="G107">
        <v>4.13</v>
      </c>
      <c r="H107">
        <v>8.09</v>
      </c>
      <c r="I107" s="29">
        <v>0.48950000000000005</v>
      </c>
      <c r="J107" s="29">
        <v>0.76390000000000002</v>
      </c>
      <c r="K107" s="9">
        <v>45294</v>
      </c>
      <c r="L107">
        <f xml:space="preserve"> (交易處理資料__3[[#This Row],[售出工時]] * 60) / 5</f>
        <v>74.16</v>
      </c>
      <c r="M107" t="str">
        <f>VLOOKUP(交易處理資料__3[[#This Row],[人員代號]],團隊分組!$B$1:$C$52,2,FALSE)</f>
        <v>鈑金維修組</v>
      </c>
      <c r="N107" t="str">
        <f>IF(交易處理資料__3[[#This Row],[上班時間]]=0,"否","是")</f>
        <v>是</v>
      </c>
      <c r="O107" t="s">
        <v>75</v>
      </c>
      <c r="P107" s="38">
        <v>0.79530000000000001</v>
      </c>
      <c r="Q107" s="38">
        <v>0.76390000000000002</v>
      </c>
      <c r="R107" s="38">
        <v>0.48950000000000005</v>
      </c>
    </row>
    <row r="108" spans="1:18" hidden="1">
      <c r="A108" t="s">
        <v>76</v>
      </c>
      <c r="B108" t="s">
        <v>17</v>
      </c>
      <c r="C108">
        <v>12.91</v>
      </c>
      <c r="D108">
        <v>8.24</v>
      </c>
      <c r="E108" s="29">
        <v>1.5674999999999999</v>
      </c>
      <c r="F108">
        <v>9.77</v>
      </c>
      <c r="G108">
        <v>1.37</v>
      </c>
      <c r="H108">
        <v>11.14</v>
      </c>
      <c r="I108" s="29">
        <v>0.877</v>
      </c>
      <c r="J108" s="29">
        <v>1.1595</v>
      </c>
      <c r="K108" s="9">
        <v>45294</v>
      </c>
      <c r="L108">
        <f xml:space="preserve"> (交易處理資料__3[[#This Row],[售出工時]] * 60) / 5</f>
        <v>154.92000000000002</v>
      </c>
      <c r="M108" t="str">
        <f>VLOOKUP(交易處理資料__3[[#This Row],[人員代號]],團隊分組!$B$1:$C$52,2,FALSE)</f>
        <v>快速保養團隊A</v>
      </c>
      <c r="N108" t="str">
        <f>IF(交易處理資料__3[[#This Row],[上班時間]]=0,"否","是")</f>
        <v>是</v>
      </c>
      <c r="O108" t="s">
        <v>76</v>
      </c>
      <c r="P108" s="37">
        <v>1.5674999999999999</v>
      </c>
      <c r="Q108" s="37">
        <v>1.1595</v>
      </c>
      <c r="R108" s="37">
        <v>0.877</v>
      </c>
    </row>
    <row r="109" spans="1:18" hidden="1">
      <c r="A109" t="s">
        <v>76</v>
      </c>
      <c r="B109" t="s">
        <v>20</v>
      </c>
      <c r="C109">
        <v>0.21</v>
      </c>
      <c r="D109">
        <v>1.42</v>
      </c>
      <c r="E109" s="29">
        <v>0.14779999999999999</v>
      </c>
      <c r="F109">
        <v>5.58</v>
      </c>
      <c r="G109">
        <v>4.08</v>
      </c>
      <c r="H109">
        <v>9.66</v>
      </c>
      <c r="I109" s="29">
        <v>0.5776</v>
      </c>
      <c r="J109" s="29">
        <v>2.1700000000000001E-2</v>
      </c>
      <c r="K109" s="9">
        <v>45294</v>
      </c>
      <c r="L109">
        <f xml:space="preserve"> (交易處理資料__3[[#This Row],[售出工時]] * 60) / 5</f>
        <v>2.52</v>
      </c>
      <c r="M109" t="str">
        <f>VLOOKUP(交易處理資料__3[[#This Row],[人員代號]],團隊分組!$B$1:$C$52,2,FALSE)</f>
        <v>查修團隊B</v>
      </c>
      <c r="N109" t="str">
        <f>IF(交易處理資料__3[[#This Row],[上班時間]]=0,"否","是")</f>
        <v>是</v>
      </c>
      <c r="O109" t="s">
        <v>76</v>
      </c>
      <c r="P109" s="38">
        <v>0.14779999999999999</v>
      </c>
      <c r="Q109" s="38">
        <v>2.1700000000000001E-2</v>
      </c>
      <c r="R109" s="38">
        <v>0.5776</v>
      </c>
    </row>
    <row r="110" spans="1:18" hidden="1">
      <c r="A110" t="s">
        <v>76</v>
      </c>
      <c r="B110" t="s">
        <v>22</v>
      </c>
      <c r="C110">
        <v>0</v>
      </c>
      <c r="D110">
        <v>0</v>
      </c>
      <c r="E110" s="29">
        <v>0</v>
      </c>
      <c r="F110">
        <v>0</v>
      </c>
      <c r="G110">
        <v>0</v>
      </c>
      <c r="H110">
        <v>0</v>
      </c>
      <c r="I110" s="29">
        <v>0</v>
      </c>
      <c r="J110" s="29">
        <v>0</v>
      </c>
      <c r="K110" s="9">
        <v>45294</v>
      </c>
      <c r="L110">
        <f xml:space="preserve"> (交易處理資料__3[[#This Row],[售出工時]] * 60) / 5</f>
        <v>0</v>
      </c>
      <c r="M110" t="str">
        <f>VLOOKUP(交易處理資料__3[[#This Row],[人員代號]],團隊分組!$B$1:$C$52,2,FALSE)</f>
        <v>快速保養團隊A</v>
      </c>
      <c r="N110" t="str">
        <f>IF(交易處理資料__3[[#This Row],[上班時間]]=0,"否","是")</f>
        <v>否</v>
      </c>
      <c r="O110" t="s">
        <v>76</v>
      </c>
      <c r="P110" s="37">
        <v>0</v>
      </c>
      <c r="Q110" s="37">
        <v>0</v>
      </c>
      <c r="R110" s="37">
        <v>0</v>
      </c>
    </row>
    <row r="111" spans="1:18" hidden="1">
      <c r="A111" t="s">
        <v>76</v>
      </c>
      <c r="B111" t="s">
        <v>23</v>
      </c>
      <c r="C111">
        <v>8.8699999999999992</v>
      </c>
      <c r="D111">
        <v>9.6</v>
      </c>
      <c r="E111" s="29">
        <v>0.92430000000000012</v>
      </c>
      <c r="F111">
        <v>11.27</v>
      </c>
      <c r="G111">
        <v>1.25</v>
      </c>
      <c r="H111">
        <v>12.52</v>
      </c>
      <c r="I111" s="29">
        <v>0.9002</v>
      </c>
      <c r="J111" s="29">
        <v>0.7087</v>
      </c>
      <c r="K111" s="9">
        <v>45294</v>
      </c>
      <c r="L111">
        <f xml:space="preserve"> (交易處理資料__3[[#This Row],[售出工時]] * 60) / 5</f>
        <v>106.43999999999998</v>
      </c>
      <c r="M111" t="str">
        <f>VLOOKUP(交易處理資料__3[[#This Row],[人員代號]],團隊分組!$B$1:$C$52,2,FALSE)</f>
        <v>快速保養團隊B</v>
      </c>
      <c r="N111" t="str">
        <f>IF(交易處理資料__3[[#This Row],[上班時間]]=0,"否","是")</f>
        <v>是</v>
      </c>
      <c r="O111" t="s">
        <v>76</v>
      </c>
      <c r="P111" s="38">
        <v>0.92430000000000012</v>
      </c>
      <c r="Q111" s="38">
        <v>0.7087</v>
      </c>
      <c r="R111" s="38">
        <v>0.9002</v>
      </c>
    </row>
    <row r="112" spans="1:18" hidden="1">
      <c r="A112" t="s">
        <v>76</v>
      </c>
      <c r="B112" t="s">
        <v>24</v>
      </c>
      <c r="C112">
        <v>13.75</v>
      </c>
      <c r="D112">
        <v>6.06</v>
      </c>
      <c r="E112" s="29">
        <v>2.2688999999999999</v>
      </c>
      <c r="F112">
        <v>10.75</v>
      </c>
      <c r="G112">
        <v>1.31</v>
      </c>
      <c r="H112">
        <v>12.06</v>
      </c>
      <c r="I112" s="29">
        <v>0.89139999999999997</v>
      </c>
      <c r="J112" s="29">
        <v>1.1401000000000001</v>
      </c>
      <c r="K112" s="9">
        <v>45294</v>
      </c>
      <c r="L112">
        <f xml:space="preserve"> (交易處理資料__3[[#This Row],[售出工時]] * 60) / 5</f>
        <v>165</v>
      </c>
      <c r="M112" t="str">
        <f>VLOOKUP(交易處理資料__3[[#This Row],[人員代號]],團隊分組!$B$1:$C$52,2,FALSE)</f>
        <v>快速保養團隊A</v>
      </c>
      <c r="N112" t="str">
        <f>IF(交易處理資料__3[[#This Row],[上班時間]]=0,"否","是")</f>
        <v>是</v>
      </c>
      <c r="O112" t="s">
        <v>76</v>
      </c>
      <c r="P112" s="37">
        <v>2.2688999999999999</v>
      </c>
      <c r="Q112" s="37">
        <v>1.1401000000000001</v>
      </c>
      <c r="R112" s="37">
        <v>0.89139999999999997</v>
      </c>
    </row>
    <row r="113" spans="1:18" hidden="1">
      <c r="A113" t="s">
        <v>76</v>
      </c>
      <c r="B113" t="s">
        <v>26</v>
      </c>
      <c r="C113">
        <v>0</v>
      </c>
      <c r="D113">
        <v>0</v>
      </c>
      <c r="E113" s="29">
        <v>0</v>
      </c>
      <c r="F113">
        <v>9.3699999999999992</v>
      </c>
      <c r="G113">
        <v>0.74</v>
      </c>
      <c r="H113">
        <v>10.11</v>
      </c>
      <c r="I113" s="29">
        <v>0.92680000000000007</v>
      </c>
      <c r="J113" s="29">
        <v>0</v>
      </c>
      <c r="K113" s="9">
        <v>45294</v>
      </c>
      <c r="L113">
        <f xml:space="preserve"> (交易處理資料__3[[#This Row],[售出工時]] * 60) / 5</f>
        <v>0</v>
      </c>
      <c r="M113" t="str">
        <f>VLOOKUP(交易處理資料__3[[#This Row],[人員代號]],團隊分組!$B$1:$C$52,2,FALSE)</f>
        <v>查修團隊B</v>
      </c>
      <c r="N113" t="str">
        <f>IF(交易處理資料__3[[#This Row],[上班時間]]=0,"否","是")</f>
        <v>是</v>
      </c>
      <c r="O113" t="s">
        <v>76</v>
      </c>
      <c r="P113" s="38">
        <v>0</v>
      </c>
      <c r="Q113" s="38">
        <v>0</v>
      </c>
      <c r="R113" s="38">
        <v>0.92680000000000007</v>
      </c>
    </row>
    <row r="114" spans="1:18" hidden="1">
      <c r="A114" t="s">
        <v>76</v>
      </c>
      <c r="B114" t="s">
        <v>27</v>
      </c>
      <c r="C114">
        <v>2.9</v>
      </c>
      <c r="D114">
        <v>4.2300000000000004</v>
      </c>
      <c r="E114" s="29">
        <v>0.68629999999999991</v>
      </c>
      <c r="F114">
        <v>9.57</v>
      </c>
      <c r="G114">
        <v>0.47</v>
      </c>
      <c r="H114">
        <v>10.039999999999999</v>
      </c>
      <c r="I114" s="29">
        <v>0.95319999999999994</v>
      </c>
      <c r="J114" s="29">
        <v>0.28920000000000001</v>
      </c>
      <c r="K114" s="9">
        <v>45294</v>
      </c>
      <c r="L114">
        <f xml:space="preserve"> (交易處理資料__3[[#This Row],[售出工時]] * 60) / 5</f>
        <v>34.799999999999997</v>
      </c>
      <c r="M114" t="str">
        <f>VLOOKUP(交易處理資料__3[[#This Row],[人員代號]],團隊分組!$B$1:$C$52,2,FALSE)</f>
        <v>快速保養團隊B</v>
      </c>
      <c r="N114" t="str">
        <f>IF(交易處理資料__3[[#This Row],[上班時間]]=0,"否","是")</f>
        <v>是</v>
      </c>
      <c r="O114" t="s">
        <v>76</v>
      </c>
      <c r="P114" s="37">
        <v>0.68629999999999991</v>
      </c>
      <c r="Q114" s="37">
        <v>0.28920000000000001</v>
      </c>
      <c r="R114" s="37">
        <v>0.95319999999999994</v>
      </c>
    </row>
    <row r="115" spans="1:18" hidden="1">
      <c r="A115" t="s">
        <v>76</v>
      </c>
      <c r="B115" t="s">
        <v>28</v>
      </c>
      <c r="C115">
        <v>6.91</v>
      </c>
      <c r="D115">
        <v>5</v>
      </c>
      <c r="E115" s="29">
        <v>1.3833000000000002</v>
      </c>
      <c r="F115">
        <v>8.81</v>
      </c>
      <c r="G115">
        <v>1.62</v>
      </c>
      <c r="H115">
        <v>10.43</v>
      </c>
      <c r="I115" s="29">
        <v>0.84470000000000001</v>
      </c>
      <c r="J115" s="29">
        <v>0.6631999999999999</v>
      </c>
      <c r="K115" s="9">
        <v>45294</v>
      </c>
      <c r="L115">
        <f xml:space="preserve"> (交易處理資料__3[[#This Row],[售出工時]] * 60) / 5</f>
        <v>82.92</v>
      </c>
      <c r="M115" t="str">
        <f>VLOOKUP(交易處理資料__3[[#This Row],[人員代號]],團隊分組!$B$1:$C$52,2,FALSE)</f>
        <v>快速保養團隊A</v>
      </c>
      <c r="N115" t="str">
        <f>IF(交易處理資料__3[[#This Row],[上班時間]]=0,"否","是")</f>
        <v>是</v>
      </c>
      <c r="O115" t="s">
        <v>76</v>
      </c>
      <c r="P115" s="38">
        <v>1.3833000000000002</v>
      </c>
      <c r="Q115" s="38">
        <v>0.6631999999999999</v>
      </c>
      <c r="R115" s="38">
        <v>0.84470000000000001</v>
      </c>
    </row>
    <row r="116" spans="1:18" hidden="1">
      <c r="A116" t="s">
        <v>76</v>
      </c>
      <c r="B116" t="s">
        <v>29</v>
      </c>
      <c r="C116">
        <v>2</v>
      </c>
      <c r="D116">
        <v>2.4</v>
      </c>
      <c r="E116" s="29">
        <v>0.83329999999999993</v>
      </c>
      <c r="F116">
        <v>6.21</v>
      </c>
      <c r="G116">
        <v>1.89</v>
      </c>
      <c r="H116">
        <v>8.1</v>
      </c>
      <c r="I116" s="29">
        <v>0.76670000000000005</v>
      </c>
      <c r="J116" s="29">
        <v>0.24690000000000001</v>
      </c>
      <c r="K116" s="9">
        <v>45294</v>
      </c>
      <c r="L116">
        <f xml:space="preserve"> (交易處理資料__3[[#This Row],[售出工時]] * 60) / 5</f>
        <v>24</v>
      </c>
      <c r="M116" t="str">
        <f>VLOOKUP(交易處理資料__3[[#This Row],[人員代號]],團隊分組!$B$1:$C$52,2,FALSE)</f>
        <v>查修團隊B</v>
      </c>
      <c r="N116" t="str">
        <f>IF(交易處理資料__3[[#This Row],[上班時間]]=0,"否","是")</f>
        <v>是</v>
      </c>
      <c r="O116" t="s">
        <v>76</v>
      </c>
      <c r="P116" s="37">
        <v>0.83329999999999993</v>
      </c>
      <c r="Q116" s="37">
        <v>0.24690000000000001</v>
      </c>
      <c r="R116" s="37">
        <v>0.76670000000000005</v>
      </c>
    </row>
    <row r="117" spans="1:18" hidden="1">
      <c r="A117" t="s">
        <v>76</v>
      </c>
      <c r="B117" t="s">
        <v>30</v>
      </c>
      <c r="C117">
        <v>6.73</v>
      </c>
      <c r="D117">
        <v>6.23</v>
      </c>
      <c r="E117" s="29">
        <v>1.0802</v>
      </c>
      <c r="F117">
        <v>9.59</v>
      </c>
      <c r="G117">
        <v>0.5</v>
      </c>
      <c r="H117">
        <v>10.09</v>
      </c>
      <c r="I117" s="29">
        <v>0.95040000000000002</v>
      </c>
      <c r="J117" s="29">
        <v>0.66700000000000004</v>
      </c>
      <c r="K117" s="9">
        <v>45294</v>
      </c>
      <c r="L117">
        <f xml:space="preserve"> (交易處理資料__3[[#This Row],[售出工時]] * 60) / 5</f>
        <v>80.760000000000005</v>
      </c>
      <c r="M117" t="str">
        <f>VLOOKUP(交易處理資料__3[[#This Row],[人員代號]],團隊分組!$B$1:$C$52,2,FALSE)</f>
        <v>快速保養團隊B</v>
      </c>
      <c r="N117" t="str">
        <f>IF(交易處理資料__3[[#This Row],[上班時間]]=0,"否","是")</f>
        <v>是</v>
      </c>
      <c r="O117" t="s">
        <v>76</v>
      </c>
      <c r="P117" s="38">
        <v>1.0802</v>
      </c>
      <c r="Q117" s="38">
        <v>0.66700000000000004</v>
      </c>
      <c r="R117" s="38">
        <v>0.95040000000000002</v>
      </c>
    </row>
    <row r="118" spans="1:18" hidden="1">
      <c r="A118" t="s">
        <v>76</v>
      </c>
      <c r="B118" t="s">
        <v>31</v>
      </c>
      <c r="C118">
        <v>0</v>
      </c>
      <c r="D118">
        <v>0</v>
      </c>
      <c r="E118" s="29">
        <v>0</v>
      </c>
      <c r="F118">
        <v>0</v>
      </c>
      <c r="G118">
        <v>0</v>
      </c>
      <c r="H118">
        <v>0</v>
      </c>
      <c r="I118" s="29">
        <v>0</v>
      </c>
      <c r="J118" s="29">
        <v>0</v>
      </c>
      <c r="K118" s="9">
        <v>45294</v>
      </c>
      <c r="L118">
        <f xml:space="preserve"> (交易處理資料__3[[#This Row],[售出工時]] * 60) / 5</f>
        <v>0</v>
      </c>
      <c r="M118" t="str">
        <f>VLOOKUP(交易處理資料__3[[#This Row],[人員代號]],團隊分組!$B$1:$C$52,2,FALSE)</f>
        <v>快速保養團隊A</v>
      </c>
      <c r="N118" t="str">
        <f>IF(交易處理資料__3[[#This Row],[上班時間]]=0,"否","是")</f>
        <v>否</v>
      </c>
      <c r="O118" t="s">
        <v>76</v>
      </c>
      <c r="P118" s="37">
        <v>0</v>
      </c>
      <c r="Q118" s="37">
        <v>0</v>
      </c>
      <c r="R118" s="37">
        <v>0</v>
      </c>
    </row>
    <row r="119" spans="1:18" hidden="1">
      <c r="A119" t="s">
        <v>76</v>
      </c>
      <c r="B119" t="s">
        <v>32</v>
      </c>
      <c r="C119">
        <v>6.18</v>
      </c>
      <c r="D119">
        <v>5.61</v>
      </c>
      <c r="E119" s="29">
        <v>1.1027</v>
      </c>
      <c r="F119">
        <v>12.76</v>
      </c>
      <c r="G119">
        <v>0.78</v>
      </c>
      <c r="H119">
        <v>13.54</v>
      </c>
      <c r="I119" s="29">
        <v>0.9423999999999999</v>
      </c>
      <c r="J119" s="29">
        <v>0.45689999999999997</v>
      </c>
      <c r="K119" s="9">
        <v>45294</v>
      </c>
      <c r="L119">
        <f xml:space="preserve"> (交易處理資料__3[[#This Row],[售出工時]] * 60) / 5</f>
        <v>74.16</v>
      </c>
      <c r="M119" t="str">
        <f>VLOOKUP(交易處理資料__3[[#This Row],[人員代號]],團隊分組!$B$1:$C$52,2,FALSE)</f>
        <v>快速保養團隊B</v>
      </c>
      <c r="N119" t="str">
        <f>IF(交易處理資料__3[[#This Row],[上班時間]]=0,"否","是")</f>
        <v>是</v>
      </c>
      <c r="O119" t="s">
        <v>76</v>
      </c>
      <c r="P119" s="38">
        <v>1.1027</v>
      </c>
      <c r="Q119" s="38">
        <v>0.45689999999999997</v>
      </c>
      <c r="R119" s="38">
        <v>0.9423999999999999</v>
      </c>
    </row>
    <row r="120" spans="1:18" hidden="1">
      <c r="A120" t="s">
        <v>76</v>
      </c>
      <c r="B120" t="s">
        <v>33</v>
      </c>
      <c r="C120">
        <v>0</v>
      </c>
      <c r="D120">
        <v>0</v>
      </c>
      <c r="E120" s="29">
        <v>0</v>
      </c>
      <c r="F120">
        <v>0</v>
      </c>
      <c r="G120">
        <v>0</v>
      </c>
      <c r="H120">
        <v>0</v>
      </c>
      <c r="I120" s="29">
        <v>0</v>
      </c>
      <c r="J120" s="29">
        <v>0</v>
      </c>
      <c r="K120" s="9">
        <v>45294</v>
      </c>
      <c r="L120">
        <f xml:space="preserve"> (交易處理資料__3[[#This Row],[售出工時]] * 60) / 5</f>
        <v>0</v>
      </c>
      <c r="M120" t="str">
        <f>VLOOKUP(交易處理資料__3[[#This Row],[人員代號]],團隊分組!$B$1:$C$52,2,FALSE)</f>
        <v>快速保養團隊B</v>
      </c>
      <c r="N120" t="str">
        <f>IF(交易處理資料__3[[#This Row],[上班時間]]=0,"否","是")</f>
        <v>否</v>
      </c>
      <c r="O120" t="s">
        <v>76</v>
      </c>
      <c r="P120" s="37">
        <v>0</v>
      </c>
      <c r="Q120" s="37">
        <v>0</v>
      </c>
      <c r="R120" s="37">
        <v>0</v>
      </c>
    </row>
    <row r="121" spans="1:18" hidden="1">
      <c r="A121" t="s">
        <v>76</v>
      </c>
      <c r="B121" t="s">
        <v>34</v>
      </c>
      <c r="C121">
        <v>1.83</v>
      </c>
      <c r="D121">
        <v>2.67</v>
      </c>
      <c r="E121" s="29">
        <v>0.68659999999999999</v>
      </c>
      <c r="F121">
        <v>9.67</v>
      </c>
      <c r="G121">
        <v>1.31</v>
      </c>
      <c r="H121">
        <v>10.98</v>
      </c>
      <c r="I121" s="29">
        <v>0.88069999999999993</v>
      </c>
      <c r="J121" s="29">
        <v>0.16699999999999998</v>
      </c>
      <c r="K121" s="9">
        <v>45294</v>
      </c>
      <c r="L121">
        <f xml:space="preserve"> (交易處理資料__3[[#This Row],[售出工時]] * 60) / 5</f>
        <v>21.96</v>
      </c>
      <c r="M121" t="str">
        <f>VLOOKUP(交易處理資料__3[[#This Row],[人員代號]],團隊分組!$B$1:$C$52,2,FALSE)</f>
        <v>快速保養團隊A</v>
      </c>
      <c r="N121" t="str">
        <f>IF(交易處理資料__3[[#This Row],[上班時間]]=0,"否","是")</f>
        <v>是</v>
      </c>
      <c r="O121" t="s">
        <v>76</v>
      </c>
      <c r="P121" s="38">
        <v>0.68659999999999999</v>
      </c>
      <c r="Q121" s="38">
        <v>0.16699999999999998</v>
      </c>
      <c r="R121" s="38">
        <v>0.88069999999999993</v>
      </c>
    </row>
    <row r="122" spans="1:18" hidden="1">
      <c r="A122" t="s">
        <v>76</v>
      </c>
      <c r="B122" t="s">
        <v>35</v>
      </c>
      <c r="C122">
        <v>0.5</v>
      </c>
      <c r="D122">
        <v>0.76</v>
      </c>
      <c r="E122" s="29">
        <v>0.65780000000000005</v>
      </c>
      <c r="F122">
        <v>7.74</v>
      </c>
      <c r="G122">
        <v>2.0299999999999998</v>
      </c>
      <c r="H122">
        <v>9.77</v>
      </c>
      <c r="I122" s="29">
        <v>0.79220000000000002</v>
      </c>
      <c r="J122" s="29">
        <v>5.1200000000000002E-2</v>
      </c>
      <c r="K122" s="9">
        <v>45294</v>
      </c>
      <c r="L122">
        <f xml:space="preserve"> (交易處理資料__3[[#This Row],[售出工時]] * 60) / 5</f>
        <v>6</v>
      </c>
      <c r="M122" t="str">
        <f>VLOOKUP(交易處理資料__3[[#This Row],[人員代號]],團隊分組!$B$1:$C$52,2,FALSE)</f>
        <v>查修團隊B</v>
      </c>
      <c r="N122" t="str">
        <f>IF(交易處理資料__3[[#This Row],[上班時間]]=0,"否","是")</f>
        <v>是</v>
      </c>
      <c r="O122" t="s">
        <v>76</v>
      </c>
      <c r="P122" s="37">
        <v>0.65780000000000005</v>
      </c>
      <c r="Q122" s="37">
        <v>5.1200000000000002E-2</v>
      </c>
      <c r="R122" s="37">
        <v>0.79220000000000002</v>
      </c>
    </row>
    <row r="123" spans="1:18" hidden="1">
      <c r="A123" t="s">
        <v>76</v>
      </c>
      <c r="B123" t="s">
        <v>36</v>
      </c>
      <c r="C123">
        <v>2.72</v>
      </c>
      <c r="D123">
        <v>5.81</v>
      </c>
      <c r="E123" s="29">
        <v>0.46810000000000002</v>
      </c>
      <c r="F123">
        <v>8.5399999999999991</v>
      </c>
      <c r="G123">
        <v>1.56</v>
      </c>
      <c r="H123">
        <v>10.1</v>
      </c>
      <c r="I123" s="29">
        <v>0.84549999999999992</v>
      </c>
      <c r="J123" s="29">
        <v>0.26929999999999998</v>
      </c>
      <c r="K123" s="9">
        <v>45294</v>
      </c>
      <c r="L123">
        <f xml:space="preserve"> (交易處理資料__3[[#This Row],[售出工時]] * 60) / 5</f>
        <v>32.64</v>
      </c>
      <c r="M123" t="str">
        <f>VLOOKUP(交易處理資料__3[[#This Row],[人員代號]],團隊分組!$B$1:$C$52,2,FALSE)</f>
        <v>查修團隊B</v>
      </c>
      <c r="N123" t="str">
        <f>IF(交易處理資料__3[[#This Row],[上班時間]]=0,"否","是")</f>
        <v>是</v>
      </c>
      <c r="O123" t="s">
        <v>76</v>
      </c>
      <c r="P123" s="38">
        <v>0.46810000000000002</v>
      </c>
      <c r="Q123" s="38">
        <v>0.26929999999999998</v>
      </c>
      <c r="R123" s="38">
        <v>0.84549999999999992</v>
      </c>
    </row>
    <row r="124" spans="1:18" hidden="1">
      <c r="A124" t="s">
        <v>76</v>
      </c>
      <c r="B124" t="s">
        <v>37</v>
      </c>
      <c r="C124">
        <v>2.58</v>
      </c>
      <c r="D124">
        <v>2.4500000000000002</v>
      </c>
      <c r="E124" s="29">
        <v>1.0544</v>
      </c>
      <c r="F124">
        <v>10.130000000000001</v>
      </c>
      <c r="G124">
        <v>1.08</v>
      </c>
      <c r="H124">
        <v>11.21</v>
      </c>
      <c r="I124" s="29">
        <v>0.90370000000000006</v>
      </c>
      <c r="J124" s="29">
        <v>0.23039999999999999</v>
      </c>
      <c r="K124" s="9">
        <v>45294</v>
      </c>
      <c r="L124">
        <f xml:space="preserve"> (交易處理資料__3[[#This Row],[售出工時]] * 60) / 5</f>
        <v>30.96</v>
      </c>
      <c r="M124" t="str">
        <f>VLOOKUP(交易處理資料__3[[#This Row],[人員代號]],團隊分組!$B$1:$C$52,2,FALSE)</f>
        <v>查修團隊A</v>
      </c>
      <c r="N124" t="str">
        <f>IF(交易處理資料__3[[#This Row],[上班時間]]=0,"否","是")</f>
        <v>是</v>
      </c>
      <c r="O124" t="s">
        <v>76</v>
      </c>
      <c r="P124" s="37">
        <v>1.0544</v>
      </c>
      <c r="Q124" s="37">
        <v>0.23039999999999999</v>
      </c>
      <c r="R124" s="37">
        <v>0.90370000000000006</v>
      </c>
    </row>
    <row r="125" spans="1:18" hidden="1">
      <c r="A125" t="s">
        <v>76</v>
      </c>
      <c r="B125" t="s">
        <v>39</v>
      </c>
      <c r="C125">
        <v>0</v>
      </c>
      <c r="D125">
        <v>0</v>
      </c>
      <c r="E125" s="29">
        <v>0</v>
      </c>
      <c r="F125">
        <v>0</v>
      </c>
      <c r="G125">
        <v>0</v>
      </c>
      <c r="H125">
        <v>0</v>
      </c>
      <c r="I125" s="29">
        <v>0</v>
      </c>
      <c r="J125" s="29">
        <v>0</v>
      </c>
      <c r="K125" s="9">
        <v>45294</v>
      </c>
      <c r="L125">
        <f xml:space="preserve"> (交易處理資料__3[[#This Row],[售出工時]] * 60) / 5</f>
        <v>0</v>
      </c>
      <c r="M125" t="str">
        <f>VLOOKUP(交易處理資料__3[[#This Row],[人員代號]],團隊分組!$B$1:$C$52,2,FALSE)</f>
        <v>查修團隊A</v>
      </c>
      <c r="N125" t="str">
        <f>IF(交易處理資料__3[[#This Row],[上班時間]]=0,"否","是")</f>
        <v>否</v>
      </c>
      <c r="O125" t="s">
        <v>76</v>
      </c>
      <c r="P125" s="38">
        <v>0</v>
      </c>
      <c r="Q125" s="38">
        <v>0</v>
      </c>
      <c r="R125" s="38">
        <v>0</v>
      </c>
    </row>
    <row r="126" spans="1:18" hidden="1">
      <c r="A126" t="s">
        <v>76</v>
      </c>
      <c r="B126" t="s">
        <v>40</v>
      </c>
      <c r="C126">
        <v>4.33</v>
      </c>
      <c r="D126">
        <v>4.8600000000000003</v>
      </c>
      <c r="E126" s="29">
        <v>0.89159999999999995</v>
      </c>
      <c r="F126">
        <v>6.7</v>
      </c>
      <c r="G126">
        <v>1.7</v>
      </c>
      <c r="H126">
        <v>8.4</v>
      </c>
      <c r="I126" s="29">
        <v>0.79760000000000009</v>
      </c>
      <c r="J126" s="29">
        <v>0.51590000000000003</v>
      </c>
      <c r="K126" s="9">
        <v>45294</v>
      </c>
      <c r="L126">
        <f xml:space="preserve"> (交易處理資料__3[[#This Row],[售出工時]] * 60) / 5</f>
        <v>51.96</v>
      </c>
      <c r="M126" t="str">
        <f>VLOOKUP(交易處理資料__3[[#This Row],[人員代號]],團隊分組!$B$1:$C$52,2,FALSE)</f>
        <v>查修團隊A</v>
      </c>
      <c r="N126" t="str">
        <f>IF(交易處理資料__3[[#This Row],[上班時間]]=0,"否","是")</f>
        <v>是</v>
      </c>
      <c r="O126" t="s">
        <v>76</v>
      </c>
      <c r="P126" s="37">
        <v>0.89159999999999995</v>
      </c>
      <c r="Q126" s="37">
        <v>0.51590000000000003</v>
      </c>
      <c r="R126" s="37">
        <v>0.79760000000000009</v>
      </c>
    </row>
    <row r="127" spans="1:18" hidden="1">
      <c r="A127" t="s">
        <v>76</v>
      </c>
      <c r="B127" t="s">
        <v>41</v>
      </c>
      <c r="C127">
        <v>22.08</v>
      </c>
      <c r="D127">
        <v>7.99</v>
      </c>
      <c r="E127" s="29">
        <v>2.7642000000000002</v>
      </c>
      <c r="F127">
        <v>8.08</v>
      </c>
      <c r="G127">
        <v>1.04</v>
      </c>
      <c r="H127">
        <v>9.1199999999999992</v>
      </c>
      <c r="I127" s="29">
        <v>0.8859999999999999</v>
      </c>
      <c r="J127" s="29">
        <v>2.4218000000000002</v>
      </c>
      <c r="K127" s="9">
        <v>45294</v>
      </c>
      <c r="L127">
        <f xml:space="preserve"> (交易處理資料__3[[#This Row],[售出工時]] * 60) / 5</f>
        <v>264.95999999999998</v>
      </c>
      <c r="M127" t="str">
        <f>VLOOKUP(交易處理資料__3[[#This Row],[人員代號]],團隊分組!$B$1:$C$52,2,FALSE)</f>
        <v>快速保養團隊A</v>
      </c>
      <c r="N127" t="str">
        <f>IF(交易處理資料__3[[#This Row],[上班時間]]=0,"否","是")</f>
        <v>是</v>
      </c>
      <c r="O127" t="s">
        <v>76</v>
      </c>
      <c r="P127" s="38">
        <v>2.7642000000000002</v>
      </c>
      <c r="Q127" s="38">
        <v>2.4218000000000002</v>
      </c>
      <c r="R127" s="38">
        <v>0.8859999999999999</v>
      </c>
    </row>
    <row r="128" spans="1:18" hidden="1">
      <c r="A128" t="s">
        <v>76</v>
      </c>
      <c r="B128" t="s">
        <v>42</v>
      </c>
      <c r="C128">
        <v>8.41</v>
      </c>
      <c r="D128">
        <v>6.77</v>
      </c>
      <c r="E128" s="29">
        <v>1.2426999999999999</v>
      </c>
      <c r="F128">
        <v>6.52</v>
      </c>
      <c r="G128">
        <v>1.2</v>
      </c>
      <c r="H128">
        <v>7.72</v>
      </c>
      <c r="I128" s="29">
        <v>0.84459999999999991</v>
      </c>
      <c r="J128" s="29">
        <v>1.0898000000000001</v>
      </c>
      <c r="K128" s="9">
        <v>45294</v>
      </c>
      <c r="L128">
        <f xml:space="preserve"> (交易處理資料__3[[#This Row],[售出工時]] * 60) / 5</f>
        <v>100.92</v>
      </c>
      <c r="M128" t="str">
        <f>VLOOKUP(交易處理資料__3[[#This Row],[人員代號]],團隊分組!$B$1:$C$52,2,FALSE)</f>
        <v>快速保養團隊A</v>
      </c>
      <c r="N128" t="str">
        <f>IF(交易處理資料__3[[#This Row],[上班時間]]=0,"否","是")</f>
        <v>是</v>
      </c>
      <c r="O128" t="s">
        <v>76</v>
      </c>
      <c r="P128" s="37">
        <v>1.2426999999999999</v>
      </c>
      <c r="Q128" s="37">
        <v>1.0898000000000001</v>
      </c>
      <c r="R128" s="37">
        <v>0.84459999999999991</v>
      </c>
    </row>
    <row r="129" spans="1:18" hidden="1">
      <c r="A129" t="s">
        <v>76</v>
      </c>
      <c r="B129" t="s">
        <v>43</v>
      </c>
      <c r="C129">
        <v>2.9</v>
      </c>
      <c r="D129">
        <v>5.69</v>
      </c>
      <c r="E129" s="29">
        <v>0.51019999999999999</v>
      </c>
      <c r="F129">
        <v>6.86</v>
      </c>
      <c r="G129">
        <v>1.27</v>
      </c>
      <c r="H129">
        <v>8.1300000000000008</v>
      </c>
      <c r="I129" s="29">
        <v>0.84379999999999999</v>
      </c>
      <c r="J129" s="29">
        <v>0.35710000000000003</v>
      </c>
      <c r="K129" s="9">
        <v>45294</v>
      </c>
      <c r="L129">
        <f xml:space="preserve"> (交易處理資料__3[[#This Row],[售出工時]] * 60) / 5</f>
        <v>34.799999999999997</v>
      </c>
      <c r="M129" t="str">
        <f>VLOOKUP(交易處理資料__3[[#This Row],[人員代號]],團隊分組!$B$1:$C$52,2,FALSE)</f>
        <v>查修團隊B</v>
      </c>
      <c r="N129" t="str">
        <f>IF(交易處理資料__3[[#This Row],[上班時間]]=0,"否","是")</f>
        <v>是</v>
      </c>
      <c r="O129" t="s">
        <v>76</v>
      </c>
      <c r="P129" s="38">
        <v>0.51019999999999999</v>
      </c>
      <c r="Q129" s="38">
        <v>0.35710000000000003</v>
      </c>
      <c r="R129" s="38">
        <v>0.84379999999999999</v>
      </c>
    </row>
    <row r="130" spans="1:18" hidden="1">
      <c r="A130" t="s">
        <v>76</v>
      </c>
      <c r="B130" t="s">
        <v>44</v>
      </c>
      <c r="C130">
        <v>1</v>
      </c>
      <c r="D130">
        <v>0.68</v>
      </c>
      <c r="E130" s="29">
        <v>1.4705000000000001</v>
      </c>
      <c r="F130">
        <v>11.83</v>
      </c>
      <c r="G130">
        <v>0.6</v>
      </c>
      <c r="H130">
        <v>12.43</v>
      </c>
      <c r="I130" s="29">
        <v>0.95169999999999999</v>
      </c>
      <c r="J130" s="29">
        <v>8.0500000000000002E-2</v>
      </c>
      <c r="K130" s="9">
        <v>45294</v>
      </c>
      <c r="L130">
        <f xml:space="preserve"> (交易處理資料__3[[#This Row],[售出工時]] * 60) / 5</f>
        <v>12</v>
      </c>
      <c r="M130" t="str">
        <f>VLOOKUP(交易處理資料__3[[#This Row],[人員代號]],團隊分組!$B$1:$C$52,2,FALSE)</f>
        <v>快速保養團隊B</v>
      </c>
      <c r="N130" t="str">
        <f>IF(交易處理資料__3[[#This Row],[上班時間]]=0,"否","是")</f>
        <v>是</v>
      </c>
      <c r="O130" t="s">
        <v>76</v>
      </c>
      <c r="P130" s="37">
        <v>1.4705000000000001</v>
      </c>
      <c r="Q130" s="37">
        <v>8.0500000000000002E-2</v>
      </c>
      <c r="R130" s="37">
        <v>0.95169999999999999</v>
      </c>
    </row>
    <row r="131" spans="1:18" hidden="1">
      <c r="A131" t="s">
        <v>76</v>
      </c>
      <c r="B131" t="s">
        <v>45</v>
      </c>
      <c r="C131">
        <v>11</v>
      </c>
      <c r="D131">
        <v>6.88</v>
      </c>
      <c r="E131" s="29">
        <v>1.5988</v>
      </c>
      <c r="F131">
        <v>8.23</v>
      </c>
      <c r="G131">
        <v>1.33</v>
      </c>
      <c r="H131">
        <v>9.56</v>
      </c>
      <c r="I131" s="29">
        <v>0.8609</v>
      </c>
      <c r="J131" s="29">
        <v>1.1506000000000001</v>
      </c>
      <c r="K131" s="9">
        <v>45294</v>
      </c>
      <c r="L131">
        <f xml:space="preserve"> (交易處理資料__3[[#This Row],[售出工時]] * 60) / 5</f>
        <v>132</v>
      </c>
      <c r="M131" t="str">
        <f>VLOOKUP(交易處理資料__3[[#This Row],[人員代號]],團隊分組!$B$1:$C$52,2,FALSE)</f>
        <v>快速保養團隊A</v>
      </c>
      <c r="N131" t="str">
        <f>IF(交易處理資料__3[[#This Row],[上班時間]]=0,"否","是")</f>
        <v>是</v>
      </c>
      <c r="O131" t="s">
        <v>76</v>
      </c>
      <c r="P131" s="38">
        <v>1.5988</v>
      </c>
      <c r="Q131" s="38">
        <v>1.1506000000000001</v>
      </c>
      <c r="R131" s="38">
        <v>0.8609</v>
      </c>
    </row>
    <row r="132" spans="1:18" hidden="1">
      <c r="A132" t="s">
        <v>76</v>
      </c>
      <c r="B132" t="s">
        <v>46</v>
      </c>
      <c r="C132">
        <v>2.33</v>
      </c>
      <c r="D132">
        <v>0.77</v>
      </c>
      <c r="E132" s="29">
        <v>3.0302999999999995</v>
      </c>
      <c r="F132">
        <v>7.29</v>
      </c>
      <c r="G132">
        <v>0.8</v>
      </c>
      <c r="H132">
        <v>8.09</v>
      </c>
      <c r="I132" s="29">
        <v>0.90110000000000001</v>
      </c>
      <c r="J132" s="29">
        <v>0.28839999999999999</v>
      </c>
      <c r="K132" s="9">
        <v>45294</v>
      </c>
      <c r="L132">
        <f xml:space="preserve"> (交易處理資料__3[[#This Row],[售出工時]] * 60) / 5</f>
        <v>27.96</v>
      </c>
      <c r="M132" t="str">
        <f>VLOOKUP(交易處理資料__3[[#This Row],[人員代號]],團隊分組!$B$1:$C$52,2,FALSE)</f>
        <v>查修團隊B</v>
      </c>
      <c r="N132" t="str">
        <f>IF(交易處理資料__3[[#This Row],[上班時間]]=0,"否","是")</f>
        <v>是</v>
      </c>
      <c r="O132" t="s">
        <v>76</v>
      </c>
      <c r="P132" s="37">
        <v>3.0302999999999995</v>
      </c>
      <c r="Q132" s="37">
        <v>0.28839999999999999</v>
      </c>
      <c r="R132" s="37">
        <v>0.90110000000000001</v>
      </c>
    </row>
    <row r="133" spans="1:18" hidden="1">
      <c r="A133" t="s">
        <v>76</v>
      </c>
      <c r="B133" t="s">
        <v>47</v>
      </c>
      <c r="C133">
        <v>2.25</v>
      </c>
      <c r="D133">
        <v>2.5299999999999998</v>
      </c>
      <c r="E133" s="29">
        <v>0.88930000000000009</v>
      </c>
      <c r="F133">
        <v>5.97</v>
      </c>
      <c r="G133">
        <v>2.12</v>
      </c>
      <c r="H133">
        <v>8.09</v>
      </c>
      <c r="I133" s="29">
        <v>0.73790000000000011</v>
      </c>
      <c r="J133" s="29">
        <v>0.27810000000000001</v>
      </c>
      <c r="K133" s="9">
        <v>45294</v>
      </c>
      <c r="L133">
        <f xml:space="preserve"> (交易處理資料__3[[#This Row],[售出工時]] * 60) / 5</f>
        <v>27</v>
      </c>
      <c r="M133" t="str">
        <f>VLOOKUP(交易處理資料__3[[#This Row],[人員代號]],團隊分組!$B$1:$C$52,2,FALSE)</f>
        <v>查修團隊B</v>
      </c>
      <c r="N133" t="str">
        <f>IF(交易處理資料__3[[#This Row],[上班時間]]=0,"否","是")</f>
        <v>是</v>
      </c>
      <c r="O133" t="s">
        <v>76</v>
      </c>
      <c r="P133" s="38">
        <v>0.88930000000000009</v>
      </c>
      <c r="Q133" s="38">
        <v>0.27810000000000001</v>
      </c>
      <c r="R133" s="38">
        <v>0.73790000000000011</v>
      </c>
    </row>
    <row r="134" spans="1:18" hidden="1">
      <c r="A134" t="s">
        <v>76</v>
      </c>
      <c r="B134" t="s">
        <v>48</v>
      </c>
      <c r="C134">
        <v>5.5</v>
      </c>
      <c r="D134">
        <v>5.23</v>
      </c>
      <c r="E134" s="29">
        <v>1.0515999999999999</v>
      </c>
      <c r="F134">
        <v>3.51</v>
      </c>
      <c r="G134">
        <v>4.4000000000000004</v>
      </c>
      <c r="H134">
        <v>7.91</v>
      </c>
      <c r="I134" s="29">
        <v>0.44369999999999998</v>
      </c>
      <c r="J134" s="29">
        <v>0.69530000000000003</v>
      </c>
      <c r="K134" s="9">
        <v>45294</v>
      </c>
      <c r="L134">
        <f xml:space="preserve"> (交易處理資料__3[[#This Row],[售出工時]] * 60) / 5</f>
        <v>66</v>
      </c>
      <c r="M134" t="str">
        <f>VLOOKUP(交易處理資料__3[[#This Row],[人員代號]],團隊分組!$B$1:$C$52,2,FALSE)</f>
        <v>查修團隊A</v>
      </c>
      <c r="N134" t="str">
        <f>IF(交易處理資料__3[[#This Row],[上班時間]]=0,"否","是")</f>
        <v>是</v>
      </c>
      <c r="O134" t="s">
        <v>76</v>
      </c>
      <c r="P134" s="37">
        <v>1.0515999999999999</v>
      </c>
      <c r="Q134" s="37">
        <v>0.69530000000000003</v>
      </c>
      <c r="R134" s="37">
        <v>0.44369999999999998</v>
      </c>
    </row>
    <row r="135" spans="1:18" hidden="1">
      <c r="A135" t="s">
        <v>76</v>
      </c>
      <c r="B135" t="s">
        <v>50</v>
      </c>
      <c r="C135">
        <v>2.91</v>
      </c>
      <c r="D135">
        <v>1.38</v>
      </c>
      <c r="E135" s="29">
        <v>2.1135000000000002</v>
      </c>
      <c r="F135">
        <v>7.92</v>
      </c>
      <c r="G135">
        <v>0.15</v>
      </c>
      <c r="H135">
        <v>8.07</v>
      </c>
      <c r="I135" s="29">
        <v>0.98140000000000005</v>
      </c>
      <c r="J135" s="29">
        <v>0.3614</v>
      </c>
      <c r="K135" s="9">
        <v>45294</v>
      </c>
      <c r="L135">
        <f xml:space="preserve"> (交易處理資料__3[[#This Row],[售出工時]] * 60) / 5</f>
        <v>34.92</v>
      </c>
      <c r="M135" t="str">
        <f>VLOOKUP(交易處理資料__3[[#This Row],[人員代號]],團隊分組!$B$1:$C$52,2,FALSE)</f>
        <v>快速保養團隊B</v>
      </c>
      <c r="N135" t="str">
        <f>IF(交易處理資料__3[[#This Row],[上班時間]]=0,"否","是")</f>
        <v>是</v>
      </c>
      <c r="O135" t="s">
        <v>76</v>
      </c>
      <c r="P135" s="38">
        <v>2.1135000000000002</v>
      </c>
      <c r="Q135" s="38">
        <v>0.3614</v>
      </c>
      <c r="R135" s="38">
        <v>0.98140000000000005</v>
      </c>
    </row>
    <row r="136" spans="1:18" hidden="1">
      <c r="A136" t="s">
        <v>76</v>
      </c>
      <c r="B136" t="s">
        <v>51</v>
      </c>
      <c r="C136">
        <v>0</v>
      </c>
      <c r="D136">
        <v>0</v>
      </c>
      <c r="E136" s="29">
        <v>0</v>
      </c>
      <c r="F136">
        <v>0</v>
      </c>
      <c r="G136">
        <v>0</v>
      </c>
      <c r="H136">
        <v>0</v>
      </c>
      <c r="I136" s="29">
        <v>0</v>
      </c>
      <c r="J136" s="29">
        <v>0</v>
      </c>
      <c r="K136" s="9">
        <v>45294</v>
      </c>
      <c r="L136">
        <f xml:space="preserve"> (交易處理資料__3[[#This Row],[售出工時]] * 60) / 5</f>
        <v>0</v>
      </c>
      <c r="M136" t="str">
        <f>VLOOKUP(交易處理資料__3[[#This Row],[人員代號]],團隊分組!$B$1:$C$52,2,FALSE)</f>
        <v>無效數據</v>
      </c>
      <c r="N136" t="str">
        <f>IF(交易處理資料__3[[#This Row],[上班時間]]=0,"否","是")</f>
        <v>否</v>
      </c>
      <c r="O136" t="s">
        <v>76</v>
      </c>
      <c r="P136" s="37">
        <v>0</v>
      </c>
      <c r="Q136" s="37">
        <v>0</v>
      </c>
      <c r="R136" s="37">
        <v>0</v>
      </c>
    </row>
    <row r="137" spans="1:18" hidden="1">
      <c r="A137" t="s">
        <v>76</v>
      </c>
      <c r="B137" t="s">
        <v>52</v>
      </c>
      <c r="C137">
        <v>8</v>
      </c>
      <c r="D137">
        <v>7.8</v>
      </c>
      <c r="E137" s="29">
        <v>1.0256000000000001</v>
      </c>
      <c r="F137">
        <v>7.73</v>
      </c>
      <c r="G137">
        <v>0.38</v>
      </c>
      <c r="H137">
        <v>8.11</v>
      </c>
      <c r="I137" s="29">
        <v>0.95310000000000006</v>
      </c>
      <c r="J137" s="29">
        <v>0.98640000000000005</v>
      </c>
      <c r="K137" s="9">
        <v>45294</v>
      </c>
      <c r="L137">
        <f xml:space="preserve"> (交易處理資料__3[[#This Row],[售出工時]] * 60) / 5</f>
        <v>96</v>
      </c>
      <c r="M137" t="str">
        <f>VLOOKUP(交易處理資料__3[[#This Row],[人員代號]],團隊分組!$B$1:$C$52,2,FALSE)</f>
        <v>查修團隊B</v>
      </c>
      <c r="N137" t="str">
        <f>IF(交易處理資料__3[[#This Row],[上班時間]]=0,"否","是")</f>
        <v>是</v>
      </c>
      <c r="O137" t="s">
        <v>76</v>
      </c>
      <c r="P137" s="38">
        <v>1.0256000000000001</v>
      </c>
      <c r="Q137" s="38">
        <v>0.98640000000000005</v>
      </c>
      <c r="R137" s="38">
        <v>0.95310000000000006</v>
      </c>
    </row>
    <row r="138" spans="1:18" hidden="1">
      <c r="A138" t="s">
        <v>76</v>
      </c>
      <c r="B138" t="s">
        <v>53</v>
      </c>
      <c r="C138">
        <v>2</v>
      </c>
      <c r="D138">
        <v>3.82</v>
      </c>
      <c r="E138" s="29">
        <v>0.52349999999999997</v>
      </c>
      <c r="F138">
        <v>7.06</v>
      </c>
      <c r="G138">
        <v>0.78</v>
      </c>
      <c r="H138">
        <v>7.84</v>
      </c>
      <c r="I138" s="29">
        <v>0.90049999999999997</v>
      </c>
      <c r="J138" s="29">
        <v>0.25509999999999999</v>
      </c>
      <c r="K138" s="9">
        <v>45294</v>
      </c>
      <c r="L138">
        <f xml:space="preserve"> (交易處理資料__3[[#This Row],[售出工時]] * 60) / 5</f>
        <v>24</v>
      </c>
      <c r="M138" t="str">
        <f>VLOOKUP(交易處理資料__3[[#This Row],[人員代號]],團隊分組!$B$1:$C$52,2,FALSE)</f>
        <v>查修團隊A</v>
      </c>
      <c r="N138" t="str">
        <f>IF(交易處理資料__3[[#This Row],[上班時間]]=0,"否","是")</f>
        <v>是</v>
      </c>
      <c r="O138" t="s">
        <v>76</v>
      </c>
      <c r="P138" s="37">
        <v>0.52349999999999997</v>
      </c>
      <c r="Q138" s="37">
        <v>0.25509999999999999</v>
      </c>
      <c r="R138" s="37">
        <v>0.90049999999999997</v>
      </c>
    </row>
    <row r="139" spans="1:18" hidden="1">
      <c r="A139" s="10" t="s">
        <v>74</v>
      </c>
      <c r="B139" t="s">
        <v>1</v>
      </c>
      <c r="C139">
        <v>0</v>
      </c>
      <c r="D139">
        <v>0</v>
      </c>
      <c r="E139" s="29">
        <v>0</v>
      </c>
      <c r="F139">
        <v>7.13</v>
      </c>
      <c r="G139">
        <v>0.91</v>
      </c>
      <c r="H139">
        <v>8.0399999999999991</v>
      </c>
      <c r="I139" s="29">
        <v>0.88680000000000003</v>
      </c>
      <c r="J139" s="29">
        <v>0</v>
      </c>
      <c r="K139" s="9">
        <v>45295</v>
      </c>
      <c r="L139">
        <f xml:space="preserve"> (交易處理資料__3[[#This Row],[售出工時]] * 60) / 5</f>
        <v>0</v>
      </c>
      <c r="M139" t="str">
        <f>VLOOKUP(交易處理資料__3[[#This Row],[人員代號]],團隊分組!$B$1:$C$52,2,FALSE)</f>
        <v>噴漆維修組</v>
      </c>
      <c r="N139" t="str">
        <f>IF(交易處理資料__3[[#This Row],[上班時間]]=0,"否","是")</f>
        <v>是</v>
      </c>
      <c r="O139" s="10" t="s">
        <v>74</v>
      </c>
      <c r="P139" s="38">
        <v>0</v>
      </c>
      <c r="Q139" s="38">
        <v>0</v>
      </c>
      <c r="R139" s="38">
        <v>0.88680000000000003</v>
      </c>
    </row>
    <row r="140" spans="1:18" hidden="1">
      <c r="A140" s="10" t="s">
        <v>74</v>
      </c>
      <c r="B140" t="s">
        <v>2</v>
      </c>
      <c r="C140">
        <v>0</v>
      </c>
      <c r="D140">
        <v>0</v>
      </c>
      <c r="E140" s="29">
        <v>0</v>
      </c>
      <c r="F140">
        <v>7.92</v>
      </c>
      <c r="G140">
        <v>0.23</v>
      </c>
      <c r="H140">
        <v>8.15</v>
      </c>
      <c r="I140" s="29">
        <v>0.97180000000000011</v>
      </c>
      <c r="J140" s="29">
        <v>0</v>
      </c>
      <c r="K140" s="9">
        <v>45295</v>
      </c>
      <c r="L140">
        <f xml:space="preserve"> (交易處理資料__3[[#This Row],[售出工時]] * 60) / 5</f>
        <v>0</v>
      </c>
      <c r="M140" t="str">
        <f>VLOOKUP(交易處理資料__3[[#This Row],[人員代號]],團隊分組!$B$1:$C$52,2,FALSE)</f>
        <v>噴漆維修組</v>
      </c>
      <c r="N140" t="str">
        <f>IF(交易處理資料__3[[#This Row],[上班時間]]=0,"否","是")</f>
        <v>是</v>
      </c>
      <c r="O140" s="10" t="s">
        <v>74</v>
      </c>
      <c r="P140" s="37">
        <v>0</v>
      </c>
      <c r="Q140" s="37">
        <v>0</v>
      </c>
      <c r="R140" s="37">
        <v>0.97180000000000011</v>
      </c>
    </row>
    <row r="141" spans="1:18" hidden="1">
      <c r="A141" s="10" t="s">
        <v>74</v>
      </c>
      <c r="B141" t="s">
        <v>3</v>
      </c>
      <c r="C141">
        <v>0</v>
      </c>
      <c r="D141">
        <v>0</v>
      </c>
      <c r="E141" s="29">
        <v>0</v>
      </c>
      <c r="F141">
        <v>7.91</v>
      </c>
      <c r="G141">
        <v>0.24</v>
      </c>
      <c r="H141">
        <v>8.15</v>
      </c>
      <c r="I141" s="29">
        <v>0.97060000000000002</v>
      </c>
      <c r="J141" s="29">
        <v>0</v>
      </c>
      <c r="K141" s="9">
        <v>45295</v>
      </c>
      <c r="L141">
        <f xml:space="preserve"> (交易處理資料__3[[#This Row],[售出工時]] * 60) / 5</f>
        <v>0</v>
      </c>
      <c r="M141" t="str">
        <f>VLOOKUP(交易處理資料__3[[#This Row],[人員代號]],團隊分組!$B$1:$C$52,2,FALSE)</f>
        <v>噴漆維修組</v>
      </c>
      <c r="N141" t="str">
        <f>IF(交易處理資料__3[[#This Row],[上班時間]]=0,"否","是")</f>
        <v>是</v>
      </c>
      <c r="O141" s="10" t="s">
        <v>74</v>
      </c>
      <c r="P141" s="38">
        <v>0</v>
      </c>
      <c r="Q141" s="38">
        <v>0</v>
      </c>
      <c r="R141" s="38">
        <v>0.97060000000000002</v>
      </c>
    </row>
    <row r="142" spans="1:18" hidden="1">
      <c r="A142" s="10" t="s">
        <v>74</v>
      </c>
      <c r="B142" t="s">
        <v>4</v>
      </c>
      <c r="C142">
        <v>0</v>
      </c>
      <c r="D142">
        <v>0</v>
      </c>
      <c r="E142" s="29">
        <v>0</v>
      </c>
      <c r="F142">
        <v>7.01</v>
      </c>
      <c r="G142">
        <v>1.01</v>
      </c>
      <c r="H142">
        <v>8.02</v>
      </c>
      <c r="I142" s="29">
        <v>0.87409999999999999</v>
      </c>
      <c r="J142" s="29">
        <v>0</v>
      </c>
      <c r="K142" s="9">
        <v>45295</v>
      </c>
      <c r="L142">
        <f xml:space="preserve"> (交易處理資料__3[[#This Row],[售出工時]] * 60) / 5</f>
        <v>0</v>
      </c>
      <c r="M142" t="str">
        <f>VLOOKUP(交易處理資料__3[[#This Row],[人員代號]],團隊分組!$B$1:$C$52,2,FALSE)</f>
        <v>噴漆維修組</v>
      </c>
      <c r="N142" t="str">
        <f>IF(交易處理資料__3[[#This Row],[上班時間]]=0,"否","是")</f>
        <v>是</v>
      </c>
      <c r="O142" s="10" t="s">
        <v>74</v>
      </c>
      <c r="P142" s="37">
        <v>0</v>
      </c>
      <c r="Q142" s="37">
        <v>0</v>
      </c>
      <c r="R142" s="37">
        <v>0.87409999999999999</v>
      </c>
    </row>
    <row r="143" spans="1:18" hidden="1">
      <c r="A143" s="10" t="s">
        <v>74</v>
      </c>
      <c r="B143" t="s">
        <v>5</v>
      </c>
      <c r="C143">
        <v>1.79</v>
      </c>
      <c r="D143">
        <v>4.0199999999999996</v>
      </c>
      <c r="E143" s="29">
        <v>0.44520000000000004</v>
      </c>
      <c r="F143">
        <v>7.9</v>
      </c>
      <c r="G143">
        <v>0.23</v>
      </c>
      <c r="H143">
        <v>8.1300000000000008</v>
      </c>
      <c r="I143" s="29">
        <v>0.97170000000000001</v>
      </c>
      <c r="J143" s="29">
        <v>0.22020000000000001</v>
      </c>
      <c r="K143" s="9">
        <v>45295</v>
      </c>
      <c r="L143">
        <f xml:space="preserve"> (交易處理資料__3[[#This Row],[售出工時]] * 60) / 5</f>
        <v>21.48</v>
      </c>
      <c r="M143" t="str">
        <f>VLOOKUP(交易處理資料__3[[#This Row],[人員代號]],團隊分組!$B$1:$C$52,2,FALSE)</f>
        <v>噴漆維修組</v>
      </c>
      <c r="N143" t="str">
        <f>IF(交易處理資料__3[[#This Row],[上班時間]]=0,"否","是")</f>
        <v>是</v>
      </c>
      <c r="O143" s="10" t="s">
        <v>74</v>
      </c>
      <c r="P143" s="38">
        <v>0.44520000000000004</v>
      </c>
      <c r="Q143" s="38">
        <v>0.22020000000000001</v>
      </c>
      <c r="R143" s="38">
        <v>0.97170000000000001</v>
      </c>
    </row>
    <row r="144" spans="1:18" hidden="1">
      <c r="A144" s="10" t="s">
        <v>74</v>
      </c>
      <c r="B144" t="s">
        <v>6</v>
      </c>
      <c r="C144">
        <v>0</v>
      </c>
      <c r="D144">
        <v>0</v>
      </c>
      <c r="E144" s="29">
        <v>0</v>
      </c>
      <c r="F144">
        <v>7.92</v>
      </c>
      <c r="G144">
        <v>0.24</v>
      </c>
      <c r="H144">
        <v>8.16</v>
      </c>
      <c r="I144" s="29">
        <v>0.97060000000000002</v>
      </c>
      <c r="J144" s="29">
        <v>0</v>
      </c>
      <c r="K144" s="9">
        <v>45295</v>
      </c>
      <c r="L144">
        <f xml:space="preserve"> (交易處理資料__3[[#This Row],[售出工時]] * 60) / 5</f>
        <v>0</v>
      </c>
      <c r="M144" t="str">
        <f>VLOOKUP(交易處理資料__3[[#This Row],[人員代號]],團隊分組!$B$1:$C$52,2,FALSE)</f>
        <v>噴漆維修組</v>
      </c>
      <c r="N144" t="str">
        <f>IF(交易處理資料__3[[#This Row],[上班時間]]=0,"否","是")</f>
        <v>是</v>
      </c>
      <c r="O144" s="10" t="s">
        <v>74</v>
      </c>
      <c r="P144" s="37">
        <v>0</v>
      </c>
      <c r="Q144" s="37">
        <v>0</v>
      </c>
      <c r="R144" s="37">
        <v>0.97060000000000002</v>
      </c>
    </row>
    <row r="145" spans="1:18" hidden="1">
      <c r="A145" s="10" t="s">
        <v>74</v>
      </c>
      <c r="B145" t="s">
        <v>8</v>
      </c>
      <c r="C145">
        <v>0</v>
      </c>
      <c r="D145">
        <v>0</v>
      </c>
      <c r="E145" s="29">
        <v>0</v>
      </c>
      <c r="F145">
        <v>7.03</v>
      </c>
      <c r="G145">
        <v>1</v>
      </c>
      <c r="H145">
        <v>8.0299999999999994</v>
      </c>
      <c r="I145" s="29">
        <v>0.87549999999999994</v>
      </c>
      <c r="J145" s="29">
        <v>0</v>
      </c>
      <c r="K145" s="9">
        <v>45295</v>
      </c>
      <c r="L145">
        <f xml:space="preserve"> (交易處理資料__3[[#This Row],[售出工時]] * 60) / 5</f>
        <v>0</v>
      </c>
      <c r="M145" t="str">
        <f>VLOOKUP(交易處理資料__3[[#This Row],[人員代號]],團隊分組!$B$1:$C$52,2,FALSE)</f>
        <v>噴漆維修組</v>
      </c>
      <c r="N145" t="str">
        <f>IF(交易處理資料__3[[#This Row],[上班時間]]=0,"否","是")</f>
        <v>是</v>
      </c>
      <c r="O145" s="10" t="s">
        <v>74</v>
      </c>
      <c r="P145" s="38">
        <v>0</v>
      </c>
      <c r="Q145" s="38">
        <v>0</v>
      </c>
      <c r="R145" s="38">
        <v>0.87549999999999994</v>
      </c>
    </row>
    <row r="146" spans="1:18" hidden="1">
      <c r="A146" s="10" t="s">
        <v>74</v>
      </c>
      <c r="B146" t="s">
        <v>9</v>
      </c>
      <c r="C146">
        <v>7.58</v>
      </c>
      <c r="D146">
        <v>7.57</v>
      </c>
      <c r="E146" s="29">
        <v>1.0017</v>
      </c>
      <c r="F146">
        <v>7.13</v>
      </c>
      <c r="G146">
        <v>0.91</v>
      </c>
      <c r="H146">
        <v>8.0399999999999991</v>
      </c>
      <c r="I146" s="29">
        <v>0.88680000000000003</v>
      </c>
      <c r="J146" s="29">
        <v>0.94319999999999993</v>
      </c>
      <c r="K146" s="9">
        <v>45295</v>
      </c>
      <c r="L146">
        <f xml:space="preserve"> (交易處理資料__3[[#This Row],[售出工時]] * 60) / 5</f>
        <v>90.960000000000008</v>
      </c>
      <c r="M146" t="str">
        <f>VLOOKUP(交易處理資料__3[[#This Row],[人員代號]],團隊分組!$B$1:$C$52,2,FALSE)</f>
        <v>噴漆維修組</v>
      </c>
      <c r="N146" t="str">
        <f>IF(交易處理資料__3[[#This Row],[上班時間]]=0,"否","是")</f>
        <v>是</v>
      </c>
      <c r="O146" s="10" t="s">
        <v>74</v>
      </c>
      <c r="P146" s="37">
        <v>1.0017</v>
      </c>
      <c r="Q146" s="37">
        <v>0.94319999999999993</v>
      </c>
      <c r="R146" s="37">
        <v>0.88680000000000003</v>
      </c>
    </row>
    <row r="147" spans="1:18" hidden="1">
      <c r="A147" t="s">
        <v>75</v>
      </c>
      <c r="B147" t="s">
        <v>11</v>
      </c>
      <c r="C147">
        <v>3.5</v>
      </c>
      <c r="D147">
        <v>2.27</v>
      </c>
      <c r="E147" s="29">
        <v>1.5418000000000001</v>
      </c>
      <c r="F147">
        <v>6.53</v>
      </c>
      <c r="G147">
        <v>1.56</v>
      </c>
      <c r="H147">
        <v>8.09</v>
      </c>
      <c r="I147" s="29">
        <v>0.80720000000000003</v>
      </c>
      <c r="J147" s="29">
        <v>0.43259999999999998</v>
      </c>
      <c r="K147" s="9">
        <v>45295</v>
      </c>
      <c r="L147">
        <f xml:space="preserve"> (交易處理資料__3[[#This Row],[售出工時]] * 60) / 5</f>
        <v>42</v>
      </c>
      <c r="M147" t="str">
        <f>VLOOKUP(交易處理資料__3[[#This Row],[人員代號]],團隊分組!$B$1:$C$52,2,FALSE)</f>
        <v>鈑金維修組</v>
      </c>
      <c r="N147" t="str">
        <f>IF(交易處理資料__3[[#This Row],[上班時間]]=0,"否","是")</f>
        <v>是</v>
      </c>
      <c r="O147" t="s">
        <v>75</v>
      </c>
      <c r="P147" s="38">
        <v>1.5418000000000001</v>
      </c>
      <c r="Q147" s="38">
        <v>0.43259999999999998</v>
      </c>
      <c r="R147" s="38">
        <v>0.80720000000000003</v>
      </c>
    </row>
    <row r="148" spans="1:18" hidden="1">
      <c r="A148" t="s">
        <v>75</v>
      </c>
      <c r="B148" t="s">
        <v>12</v>
      </c>
      <c r="C148">
        <v>8.41</v>
      </c>
      <c r="D148">
        <v>7.77</v>
      </c>
      <c r="E148" s="29">
        <v>1.0831999999999999</v>
      </c>
      <c r="F148">
        <v>7.73</v>
      </c>
      <c r="G148">
        <v>0.7</v>
      </c>
      <c r="H148">
        <v>8.43</v>
      </c>
      <c r="I148" s="29">
        <v>0.91700000000000004</v>
      </c>
      <c r="J148" s="29">
        <v>0.99840000000000007</v>
      </c>
      <c r="K148" s="9">
        <v>45295</v>
      </c>
      <c r="L148">
        <f xml:space="preserve"> (交易處理資料__3[[#This Row],[售出工時]] * 60) / 5</f>
        <v>100.92</v>
      </c>
      <c r="M148" t="str">
        <f>VLOOKUP(交易處理資料__3[[#This Row],[人員代號]],團隊分組!$B$1:$C$52,2,FALSE)</f>
        <v>鈑金維修組</v>
      </c>
      <c r="N148" t="str">
        <f>IF(交易處理資料__3[[#This Row],[上班時間]]=0,"否","是")</f>
        <v>是</v>
      </c>
      <c r="O148" t="s">
        <v>75</v>
      </c>
      <c r="P148" s="37">
        <v>1.0831999999999999</v>
      </c>
      <c r="Q148" s="37">
        <v>0.99840000000000007</v>
      </c>
      <c r="R148" s="37">
        <v>0.91700000000000004</v>
      </c>
    </row>
    <row r="149" spans="1:18" hidden="1">
      <c r="A149" t="s">
        <v>75</v>
      </c>
      <c r="B149" t="s">
        <v>13</v>
      </c>
      <c r="C149">
        <v>2.2000000000000002</v>
      </c>
      <c r="D149">
        <v>1.23</v>
      </c>
      <c r="E149" s="29">
        <v>1.7886000000000002</v>
      </c>
      <c r="F149">
        <v>3.12</v>
      </c>
      <c r="G149">
        <v>4.97</v>
      </c>
      <c r="H149">
        <v>8.09</v>
      </c>
      <c r="I149" s="29">
        <v>0.38569999999999999</v>
      </c>
      <c r="J149" s="29">
        <v>0.27190000000000003</v>
      </c>
      <c r="K149" s="9">
        <v>45295</v>
      </c>
      <c r="L149">
        <f xml:space="preserve"> (交易處理資料__3[[#This Row],[售出工時]] * 60) / 5</f>
        <v>26.4</v>
      </c>
      <c r="M149" t="str">
        <f>VLOOKUP(交易處理資料__3[[#This Row],[人員代號]],團隊分組!$B$1:$C$52,2,FALSE)</f>
        <v>鈑金維修組</v>
      </c>
      <c r="N149" t="str">
        <f>IF(交易處理資料__3[[#This Row],[上班時間]]=0,"否","是")</f>
        <v>是</v>
      </c>
      <c r="O149" t="s">
        <v>75</v>
      </c>
      <c r="P149" s="38">
        <v>1.7886000000000002</v>
      </c>
      <c r="Q149" s="38">
        <v>0.27190000000000003</v>
      </c>
      <c r="R149" s="38">
        <v>0.38569999999999999</v>
      </c>
    </row>
    <row r="150" spans="1:18" hidden="1">
      <c r="A150" t="s">
        <v>75</v>
      </c>
      <c r="B150" t="s">
        <v>14</v>
      </c>
      <c r="C150">
        <v>5.96</v>
      </c>
      <c r="D150">
        <v>3.33</v>
      </c>
      <c r="E150" s="29">
        <v>1.7897000000000001</v>
      </c>
      <c r="F150">
        <v>3.81</v>
      </c>
      <c r="G150">
        <v>4.2699999999999996</v>
      </c>
      <c r="H150">
        <v>8.08</v>
      </c>
      <c r="I150" s="29">
        <v>0.47149999999999997</v>
      </c>
      <c r="J150" s="29">
        <v>0.73760000000000003</v>
      </c>
      <c r="K150" s="9">
        <v>45295</v>
      </c>
      <c r="L150">
        <f xml:space="preserve"> (交易處理資料__3[[#This Row],[售出工時]] * 60) / 5</f>
        <v>71.52000000000001</v>
      </c>
      <c r="M150" t="str">
        <f>VLOOKUP(交易處理資料__3[[#This Row],[人員代號]],團隊分組!$B$1:$C$52,2,FALSE)</f>
        <v>鈑金維修組</v>
      </c>
      <c r="N150" t="str">
        <f>IF(交易處理資料__3[[#This Row],[上班時間]]=0,"否","是")</f>
        <v>是</v>
      </c>
      <c r="O150" t="s">
        <v>75</v>
      </c>
      <c r="P150" s="37">
        <v>1.7897000000000001</v>
      </c>
      <c r="Q150" s="37">
        <v>0.73760000000000003</v>
      </c>
      <c r="R150" s="37">
        <v>0.47149999999999997</v>
      </c>
    </row>
    <row r="151" spans="1:18" hidden="1">
      <c r="A151" t="s">
        <v>75</v>
      </c>
      <c r="B151" t="s">
        <v>15</v>
      </c>
      <c r="C151">
        <v>0</v>
      </c>
      <c r="D151">
        <v>0</v>
      </c>
      <c r="E151" s="29">
        <v>0</v>
      </c>
      <c r="F151">
        <v>3.83</v>
      </c>
      <c r="G151">
        <v>4.25</v>
      </c>
      <c r="H151">
        <v>8.08</v>
      </c>
      <c r="I151" s="29">
        <v>0.47399999999999998</v>
      </c>
      <c r="J151" s="29">
        <v>0</v>
      </c>
      <c r="K151" s="9">
        <v>45295</v>
      </c>
      <c r="L151">
        <f xml:space="preserve"> (交易處理資料__3[[#This Row],[售出工時]] * 60) / 5</f>
        <v>0</v>
      </c>
      <c r="M151" t="str">
        <f>VLOOKUP(交易處理資料__3[[#This Row],[人員代號]],團隊分組!$B$1:$C$52,2,FALSE)</f>
        <v>鈑金維修組</v>
      </c>
      <c r="N151" t="str">
        <f>IF(交易處理資料__3[[#This Row],[上班時間]]=0,"否","是")</f>
        <v>是</v>
      </c>
      <c r="O151" t="s">
        <v>75</v>
      </c>
      <c r="P151" s="38">
        <v>0</v>
      </c>
      <c r="Q151" s="38">
        <v>0</v>
      </c>
      <c r="R151" s="38">
        <v>0.47399999999999998</v>
      </c>
    </row>
    <row r="152" spans="1:18" hidden="1">
      <c r="A152" t="s">
        <v>76</v>
      </c>
      <c r="B152" t="s">
        <v>17</v>
      </c>
      <c r="C152">
        <v>5.33</v>
      </c>
      <c r="D152">
        <v>3.65</v>
      </c>
      <c r="E152" s="29">
        <v>1.4611000000000001</v>
      </c>
      <c r="F152">
        <v>8.36</v>
      </c>
      <c r="G152">
        <v>0.63</v>
      </c>
      <c r="H152">
        <v>8.99</v>
      </c>
      <c r="I152" s="29">
        <v>0.92989999999999995</v>
      </c>
      <c r="J152" s="29">
        <v>0.59329999999999994</v>
      </c>
      <c r="K152" s="9">
        <v>45295</v>
      </c>
      <c r="L152">
        <f xml:space="preserve"> (交易處理資料__3[[#This Row],[售出工時]] * 60) / 5</f>
        <v>63.96</v>
      </c>
      <c r="M152" t="str">
        <f>VLOOKUP(交易處理資料__3[[#This Row],[人員代號]],團隊分組!$B$1:$C$52,2,FALSE)</f>
        <v>快速保養團隊A</v>
      </c>
      <c r="N152" t="str">
        <f>IF(交易處理資料__3[[#This Row],[上班時間]]=0,"否","是")</f>
        <v>是</v>
      </c>
      <c r="O152" t="s">
        <v>76</v>
      </c>
      <c r="P152" s="37">
        <v>1.4611000000000001</v>
      </c>
      <c r="Q152" s="37">
        <v>0.59329999999999994</v>
      </c>
      <c r="R152" s="37">
        <v>0.92989999999999995</v>
      </c>
    </row>
    <row r="153" spans="1:18" hidden="1">
      <c r="A153" t="s">
        <v>76</v>
      </c>
      <c r="B153" t="s">
        <v>18</v>
      </c>
      <c r="C153">
        <v>2.33</v>
      </c>
      <c r="D153">
        <v>7.34</v>
      </c>
      <c r="E153" s="29">
        <v>0.31780000000000003</v>
      </c>
      <c r="F153">
        <v>7.84</v>
      </c>
      <c r="G153">
        <v>0.49</v>
      </c>
      <c r="H153">
        <v>8.33</v>
      </c>
      <c r="I153" s="29">
        <v>0.94120000000000004</v>
      </c>
      <c r="J153" s="29">
        <v>0.28010000000000002</v>
      </c>
      <c r="K153" s="9">
        <v>45295</v>
      </c>
      <c r="L153">
        <f xml:space="preserve"> (交易處理資料__3[[#This Row],[售出工時]] * 60) / 5</f>
        <v>27.96</v>
      </c>
      <c r="M153" t="str">
        <f>VLOOKUP(交易處理資料__3[[#This Row],[人員代號]],團隊分組!$B$1:$C$52,2,FALSE)</f>
        <v>查修團隊B</v>
      </c>
      <c r="N153" t="str">
        <f>IF(交易處理資料__3[[#This Row],[上班時間]]=0,"否","是")</f>
        <v>是</v>
      </c>
      <c r="O153" t="s">
        <v>76</v>
      </c>
      <c r="P153" s="38">
        <v>0.31780000000000003</v>
      </c>
      <c r="Q153" s="38">
        <v>0.28010000000000002</v>
      </c>
      <c r="R153" s="38">
        <v>0.94120000000000004</v>
      </c>
    </row>
    <row r="154" spans="1:18" hidden="1">
      <c r="A154" t="s">
        <v>76</v>
      </c>
      <c r="B154" t="s">
        <v>20</v>
      </c>
      <c r="C154">
        <v>0.73</v>
      </c>
      <c r="D154">
        <v>1.18</v>
      </c>
      <c r="E154" s="29">
        <v>0.61860000000000004</v>
      </c>
      <c r="F154">
        <v>5.8</v>
      </c>
      <c r="G154">
        <v>4.1500000000000004</v>
      </c>
      <c r="H154">
        <v>9.9499999999999993</v>
      </c>
      <c r="I154" s="29">
        <v>0.58289999999999997</v>
      </c>
      <c r="J154" s="29">
        <v>7.3399999999999993E-2</v>
      </c>
      <c r="K154" s="9">
        <v>45295</v>
      </c>
      <c r="L154">
        <f xml:space="preserve"> (交易處理資料__3[[#This Row],[售出工時]] * 60) / 5</f>
        <v>8.76</v>
      </c>
      <c r="M154" t="str">
        <f>VLOOKUP(交易處理資料__3[[#This Row],[人員代號]],團隊分組!$B$1:$C$52,2,FALSE)</f>
        <v>查修團隊B</v>
      </c>
      <c r="N154" t="str">
        <f>IF(交易處理資料__3[[#This Row],[上班時間]]=0,"否","是")</f>
        <v>是</v>
      </c>
      <c r="O154" t="s">
        <v>76</v>
      </c>
      <c r="P154" s="37">
        <v>0.61860000000000004</v>
      </c>
      <c r="Q154" s="37">
        <v>7.3399999999999993E-2</v>
      </c>
      <c r="R154" s="37">
        <v>0.58289999999999997</v>
      </c>
    </row>
    <row r="155" spans="1:18" hidden="1">
      <c r="A155" t="s">
        <v>76</v>
      </c>
      <c r="B155" t="s">
        <v>21</v>
      </c>
      <c r="C155">
        <v>1.97</v>
      </c>
      <c r="D155">
        <v>0.75</v>
      </c>
      <c r="E155" s="29">
        <v>2.6266000000000003</v>
      </c>
      <c r="F155">
        <v>7.28</v>
      </c>
      <c r="G155">
        <v>0.81</v>
      </c>
      <c r="H155">
        <v>8.09</v>
      </c>
      <c r="I155" s="29">
        <v>0.89989999999999992</v>
      </c>
      <c r="J155" s="29">
        <v>0.24350000000000002</v>
      </c>
      <c r="K155" s="9">
        <v>45295</v>
      </c>
      <c r="L155">
        <f xml:space="preserve"> (交易處理資料__3[[#This Row],[售出工時]] * 60) / 5</f>
        <v>23.64</v>
      </c>
      <c r="M155" t="str">
        <f>VLOOKUP(交易處理資料__3[[#This Row],[人員代號]],團隊分組!$B$1:$C$52,2,FALSE)</f>
        <v>查修團隊B</v>
      </c>
      <c r="N155" t="str">
        <f>IF(交易處理資料__3[[#This Row],[上班時間]]=0,"否","是")</f>
        <v>是</v>
      </c>
      <c r="O155" t="s">
        <v>76</v>
      </c>
      <c r="P155" s="38">
        <v>2.6266000000000003</v>
      </c>
      <c r="Q155" s="38">
        <v>0.24350000000000002</v>
      </c>
      <c r="R155" s="38">
        <v>0.89989999999999992</v>
      </c>
    </row>
    <row r="156" spans="1:18" hidden="1">
      <c r="A156" t="s">
        <v>76</v>
      </c>
      <c r="B156" t="s">
        <v>22</v>
      </c>
      <c r="C156">
        <v>0</v>
      </c>
      <c r="D156">
        <v>0</v>
      </c>
      <c r="E156" s="29">
        <v>0</v>
      </c>
      <c r="F156">
        <v>0</v>
      </c>
      <c r="G156">
        <v>0</v>
      </c>
      <c r="H156">
        <v>0</v>
      </c>
      <c r="I156" s="29">
        <v>0</v>
      </c>
      <c r="J156" s="29">
        <v>0</v>
      </c>
      <c r="K156" s="9">
        <v>45295</v>
      </c>
      <c r="L156">
        <f xml:space="preserve"> (交易處理資料__3[[#This Row],[售出工時]] * 60) / 5</f>
        <v>0</v>
      </c>
      <c r="M156" t="str">
        <f>VLOOKUP(交易處理資料__3[[#This Row],[人員代號]],團隊分組!$B$1:$C$52,2,FALSE)</f>
        <v>快速保養團隊A</v>
      </c>
      <c r="N156" t="str">
        <f>IF(交易處理資料__3[[#This Row],[上班時間]]=0,"否","是")</f>
        <v>否</v>
      </c>
      <c r="O156" t="s">
        <v>76</v>
      </c>
      <c r="P156" s="37">
        <v>0</v>
      </c>
      <c r="Q156" s="37">
        <v>0</v>
      </c>
      <c r="R156" s="37">
        <v>0</v>
      </c>
    </row>
    <row r="157" spans="1:18" hidden="1">
      <c r="A157" t="s">
        <v>76</v>
      </c>
      <c r="B157" t="s">
        <v>24</v>
      </c>
      <c r="C157">
        <v>14.97</v>
      </c>
      <c r="D157">
        <v>8.94</v>
      </c>
      <c r="E157" s="29">
        <v>1.6752</v>
      </c>
      <c r="F157">
        <v>9.4600000000000009</v>
      </c>
      <c r="G157">
        <v>1.19</v>
      </c>
      <c r="H157">
        <v>10.65</v>
      </c>
      <c r="I157" s="29">
        <v>0.88829999999999998</v>
      </c>
      <c r="J157" s="29">
        <v>1.4062999999999999</v>
      </c>
      <c r="K157" s="9">
        <v>45295</v>
      </c>
      <c r="L157">
        <f xml:space="preserve"> (交易處理資料__3[[#This Row],[售出工時]] * 60) / 5</f>
        <v>179.64000000000001</v>
      </c>
      <c r="M157" t="str">
        <f>VLOOKUP(交易處理資料__3[[#This Row],[人員代號]],團隊分組!$B$1:$C$52,2,FALSE)</f>
        <v>快速保養團隊A</v>
      </c>
      <c r="N157" t="str">
        <f>IF(交易處理資料__3[[#This Row],[上班時間]]=0,"否","是")</f>
        <v>是</v>
      </c>
      <c r="O157" t="s">
        <v>76</v>
      </c>
      <c r="P157" s="38">
        <v>1.6752</v>
      </c>
      <c r="Q157" s="38">
        <v>1.4062999999999999</v>
      </c>
      <c r="R157" s="38">
        <v>0.88829999999999998</v>
      </c>
    </row>
    <row r="158" spans="1:18" hidden="1">
      <c r="A158" t="s">
        <v>76</v>
      </c>
      <c r="B158" t="s">
        <v>25</v>
      </c>
      <c r="C158">
        <v>2.5</v>
      </c>
      <c r="D158">
        <v>2.2999999999999998</v>
      </c>
      <c r="E158" s="29">
        <v>1.0869</v>
      </c>
      <c r="F158">
        <v>5.46</v>
      </c>
      <c r="G158">
        <v>2.73</v>
      </c>
      <c r="H158">
        <v>8.19</v>
      </c>
      <c r="I158" s="29">
        <v>0.66670000000000007</v>
      </c>
      <c r="J158" s="29">
        <v>0.30530000000000002</v>
      </c>
      <c r="K158" s="9">
        <v>45295</v>
      </c>
      <c r="L158">
        <f xml:space="preserve"> (交易處理資料__3[[#This Row],[售出工時]] * 60) / 5</f>
        <v>30</v>
      </c>
      <c r="M158" t="str">
        <f>VLOOKUP(交易處理資料__3[[#This Row],[人員代號]],團隊分組!$B$1:$C$52,2,FALSE)</f>
        <v>查修團隊A</v>
      </c>
      <c r="N158" t="str">
        <f>IF(交易處理資料__3[[#This Row],[上班時間]]=0,"否","是")</f>
        <v>是</v>
      </c>
      <c r="O158" t="s">
        <v>76</v>
      </c>
      <c r="P158" s="37">
        <v>1.0869</v>
      </c>
      <c r="Q158" s="37">
        <v>0.30530000000000002</v>
      </c>
      <c r="R158" s="37">
        <v>0.66670000000000007</v>
      </c>
    </row>
    <row r="159" spans="1:18" hidden="1">
      <c r="A159" t="s">
        <v>76</v>
      </c>
      <c r="B159" t="s">
        <v>26</v>
      </c>
      <c r="C159">
        <v>1.3</v>
      </c>
      <c r="D159">
        <v>0.86</v>
      </c>
      <c r="E159" s="29">
        <v>1.5116000000000001</v>
      </c>
      <c r="F159">
        <v>1.1599999999999999</v>
      </c>
      <c r="G159">
        <v>8.76</v>
      </c>
      <c r="H159">
        <v>9.92</v>
      </c>
      <c r="I159" s="29">
        <v>0.11689999999999999</v>
      </c>
      <c r="J159" s="29">
        <v>0.13100000000000001</v>
      </c>
      <c r="K159" s="9">
        <v>45295</v>
      </c>
      <c r="L159">
        <f xml:space="preserve"> (交易處理資料__3[[#This Row],[售出工時]] * 60) / 5</f>
        <v>15.6</v>
      </c>
      <c r="M159" t="str">
        <f>VLOOKUP(交易處理資料__3[[#This Row],[人員代號]],團隊分組!$B$1:$C$52,2,FALSE)</f>
        <v>查修團隊B</v>
      </c>
      <c r="N159" t="str">
        <f>IF(交易處理資料__3[[#This Row],[上班時間]]=0,"否","是")</f>
        <v>是</v>
      </c>
      <c r="O159" t="s">
        <v>76</v>
      </c>
      <c r="P159" s="38">
        <v>1.5116000000000001</v>
      </c>
      <c r="Q159" s="38">
        <v>0.13100000000000001</v>
      </c>
      <c r="R159" s="38">
        <v>0.11689999999999999</v>
      </c>
    </row>
    <row r="160" spans="1:18" hidden="1">
      <c r="A160" t="s">
        <v>76</v>
      </c>
      <c r="B160" t="s">
        <v>30</v>
      </c>
      <c r="C160">
        <v>13.87</v>
      </c>
      <c r="D160">
        <v>10.74</v>
      </c>
      <c r="E160" s="29">
        <v>1.2916999999999998</v>
      </c>
      <c r="F160">
        <v>10.99</v>
      </c>
      <c r="G160">
        <v>0.62</v>
      </c>
      <c r="H160">
        <v>11.61</v>
      </c>
      <c r="I160" s="29">
        <v>0.9466</v>
      </c>
      <c r="J160" s="29">
        <v>1.1948999999999999</v>
      </c>
      <c r="K160" s="9">
        <v>45295</v>
      </c>
      <c r="L160">
        <f xml:space="preserve"> (交易處理資料__3[[#This Row],[售出工時]] * 60) / 5</f>
        <v>166.44</v>
      </c>
      <c r="M160" t="str">
        <f>VLOOKUP(交易處理資料__3[[#This Row],[人員代號]],團隊分組!$B$1:$C$52,2,FALSE)</f>
        <v>快速保養團隊B</v>
      </c>
      <c r="N160" t="str">
        <f>IF(交易處理資料__3[[#This Row],[上班時間]]=0,"否","是")</f>
        <v>是</v>
      </c>
      <c r="O160" t="s">
        <v>76</v>
      </c>
      <c r="P160" s="37">
        <v>1.2916999999999998</v>
      </c>
      <c r="Q160" s="37">
        <v>1.1948999999999999</v>
      </c>
      <c r="R160" s="37">
        <v>0.9466</v>
      </c>
    </row>
    <row r="161" spans="1:18" hidden="1">
      <c r="A161" t="s">
        <v>76</v>
      </c>
      <c r="B161" t="s">
        <v>31</v>
      </c>
      <c r="C161">
        <v>0</v>
      </c>
      <c r="D161">
        <v>0</v>
      </c>
      <c r="E161" s="29">
        <v>0</v>
      </c>
      <c r="F161">
        <v>0</v>
      </c>
      <c r="G161">
        <v>0</v>
      </c>
      <c r="H161">
        <v>0</v>
      </c>
      <c r="I161" s="29">
        <v>0</v>
      </c>
      <c r="J161" s="29">
        <v>0</v>
      </c>
      <c r="K161" s="9">
        <v>45295</v>
      </c>
      <c r="L161">
        <f xml:space="preserve"> (交易處理資料__3[[#This Row],[售出工時]] * 60) / 5</f>
        <v>0</v>
      </c>
      <c r="M161" t="str">
        <f>VLOOKUP(交易處理資料__3[[#This Row],[人員代號]],團隊分組!$B$1:$C$52,2,FALSE)</f>
        <v>快速保養團隊A</v>
      </c>
      <c r="N161" t="str">
        <f>IF(交易處理資料__3[[#This Row],[上班時間]]=0,"否","是")</f>
        <v>否</v>
      </c>
      <c r="O161" t="s">
        <v>76</v>
      </c>
      <c r="P161" s="38">
        <v>0</v>
      </c>
      <c r="Q161" s="38">
        <v>0</v>
      </c>
      <c r="R161" s="38">
        <v>0</v>
      </c>
    </row>
    <row r="162" spans="1:18" hidden="1">
      <c r="A162" t="s">
        <v>76</v>
      </c>
      <c r="B162" t="s">
        <v>32</v>
      </c>
      <c r="C162">
        <v>7.34</v>
      </c>
      <c r="D162">
        <v>6.88</v>
      </c>
      <c r="E162" s="29">
        <v>1.0678000000000001</v>
      </c>
      <c r="F162">
        <v>12.39</v>
      </c>
      <c r="G162">
        <v>0.14000000000000001</v>
      </c>
      <c r="H162">
        <v>12.53</v>
      </c>
      <c r="I162" s="29">
        <v>0.9887999999999999</v>
      </c>
      <c r="J162" s="29">
        <v>0.58630000000000004</v>
      </c>
      <c r="K162" s="9">
        <v>45295</v>
      </c>
      <c r="L162">
        <f xml:space="preserve"> (交易處理資料__3[[#This Row],[售出工時]] * 60) / 5</f>
        <v>88.08</v>
      </c>
      <c r="M162" t="str">
        <f>VLOOKUP(交易處理資料__3[[#This Row],[人員代號]],團隊分組!$B$1:$C$52,2,FALSE)</f>
        <v>快速保養團隊B</v>
      </c>
      <c r="N162" t="str">
        <f>IF(交易處理資料__3[[#This Row],[上班時間]]=0,"否","是")</f>
        <v>是</v>
      </c>
      <c r="O162" t="s">
        <v>76</v>
      </c>
      <c r="P162" s="37">
        <v>1.0678000000000001</v>
      </c>
      <c r="Q162" s="37">
        <v>0.58630000000000004</v>
      </c>
      <c r="R162" s="37">
        <v>0.9887999999999999</v>
      </c>
    </row>
    <row r="163" spans="1:18" hidden="1">
      <c r="A163" t="s">
        <v>76</v>
      </c>
      <c r="B163" t="s">
        <v>33</v>
      </c>
      <c r="C163">
        <v>0</v>
      </c>
      <c r="D163">
        <v>0</v>
      </c>
      <c r="E163" s="29">
        <v>0</v>
      </c>
      <c r="F163">
        <v>0</v>
      </c>
      <c r="G163">
        <v>0</v>
      </c>
      <c r="H163">
        <v>0</v>
      </c>
      <c r="I163" s="29">
        <v>0</v>
      </c>
      <c r="J163" s="29">
        <v>0</v>
      </c>
      <c r="K163" s="9">
        <v>45295</v>
      </c>
      <c r="L163">
        <f xml:space="preserve"> (交易處理資料__3[[#This Row],[售出工時]] * 60) / 5</f>
        <v>0</v>
      </c>
      <c r="M163" t="str">
        <f>VLOOKUP(交易處理資料__3[[#This Row],[人員代號]],團隊分組!$B$1:$C$52,2,FALSE)</f>
        <v>快速保養團隊B</v>
      </c>
      <c r="N163" t="str">
        <f>IF(交易處理資料__3[[#This Row],[上班時間]]=0,"否","是")</f>
        <v>否</v>
      </c>
      <c r="O163" t="s">
        <v>76</v>
      </c>
      <c r="P163" s="38">
        <v>0</v>
      </c>
      <c r="Q163" s="38">
        <v>0</v>
      </c>
      <c r="R163" s="38">
        <v>0</v>
      </c>
    </row>
    <row r="164" spans="1:18" hidden="1">
      <c r="A164" t="s">
        <v>76</v>
      </c>
      <c r="B164" t="s">
        <v>35</v>
      </c>
      <c r="C164">
        <v>0.83</v>
      </c>
      <c r="D164">
        <v>2.0499999999999998</v>
      </c>
      <c r="E164" s="29">
        <v>0.40649999999999997</v>
      </c>
      <c r="F164">
        <v>4.95</v>
      </c>
      <c r="G164">
        <v>4.9800000000000004</v>
      </c>
      <c r="H164">
        <v>9.93</v>
      </c>
      <c r="I164" s="29">
        <v>0.4985</v>
      </c>
      <c r="J164" s="29">
        <v>8.3900000000000002E-2</v>
      </c>
      <c r="K164" s="9">
        <v>45295</v>
      </c>
      <c r="L164">
        <f xml:space="preserve"> (交易處理資料__3[[#This Row],[售出工時]] * 60) / 5</f>
        <v>9.9599999999999991</v>
      </c>
      <c r="M164" t="str">
        <f>VLOOKUP(交易處理資料__3[[#This Row],[人員代號]],團隊分組!$B$1:$C$52,2,FALSE)</f>
        <v>查修團隊B</v>
      </c>
      <c r="N164" t="str">
        <f>IF(交易處理資料__3[[#This Row],[上班時間]]=0,"否","是")</f>
        <v>是</v>
      </c>
      <c r="O164" t="s">
        <v>76</v>
      </c>
      <c r="P164" s="37">
        <v>0.40649999999999997</v>
      </c>
      <c r="Q164" s="37">
        <v>8.3900000000000002E-2</v>
      </c>
      <c r="R164" s="37">
        <v>0.4985</v>
      </c>
    </row>
    <row r="165" spans="1:18" hidden="1">
      <c r="A165" t="s">
        <v>76</v>
      </c>
      <c r="B165" t="s">
        <v>36</v>
      </c>
      <c r="C165">
        <v>0</v>
      </c>
      <c r="D165">
        <v>0</v>
      </c>
      <c r="E165" s="29">
        <v>0</v>
      </c>
      <c r="F165">
        <v>8.86</v>
      </c>
      <c r="G165">
        <v>0.56999999999999995</v>
      </c>
      <c r="H165">
        <v>9.43</v>
      </c>
      <c r="I165" s="29">
        <v>0.93959999999999999</v>
      </c>
      <c r="J165" s="29">
        <v>0</v>
      </c>
      <c r="K165" s="9">
        <v>45295</v>
      </c>
      <c r="L165">
        <f xml:space="preserve"> (交易處理資料__3[[#This Row],[售出工時]] * 60) / 5</f>
        <v>0</v>
      </c>
      <c r="M165" t="str">
        <f>VLOOKUP(交易處理資料__3[[#This Row],[人員代號]],團隊分組!$B$1:$C$52,2,FALSE)</f>
        <v>查修團隊B</v>
      </c>
      <c r="N165" t="str">
        <f>IF(交易處理資料__3[[#This Row],[上班時間]]=0,"否","是")</f>
        <v>是</v>
      </c>
      <c r="O165" t="s">
        <v>76</v>
      </c>
      <c r="P165" s="38">
        <v>0</v>
      </c>
      <c r="Q165" s="38">
        <v>0</v>
      </c>
      <c r="R165" s="38">
        <v>0.93959999999999999</v>
      </c>
    </row>
    <row r="166" spans="1:18" hidden="1">
      <c r="A166" t="s">
        <v>76</v>
      </c>
      <c r="B166" t="s">
        <v>37</v>
      </c>
      <c r="C166">
        <v>5.7</v>
      </c>
      <c r="D166">
        <v>7.37</v>
      </c>
      <c r="E166" s="29">
        <v>0.77340000000000009</v>
      </c>
      <c r="F166">
        <v>6.54</v>
      </c>
      <c r="G166">
        <v>1.48</v>
      </c>
      <c r="H166">
        <v>8.02</v>
      </c>
      <c r="I166" s="29">
        <v>0.8155</v>
      </c>
      <c r="J166" s="29">
        <v>0.71069999999999989</v>
      </c>
      <c r="K166" s="9">
        <v>45295</v>
      </c>
      <c r="L166">
        <f xml:space="preserve"> (交易處理資料__3[[#This Row],[售出工時]] * 60) / 5</f>
        <v>68.400000000000006</v>
      </c>
      <c r="M166" t="str">
        <f>VLOOKUP(交易處理資料__3[[#This Row],[人員代號]],團隊分組!$B$1:$C$52,2,FALSE)</f>
        <v>查修團隊A</v>
      </c>
      <c r="N166" t="str">
        <f>IF(交易處理資料__3[[#This Row],[上班時間]]=0,"否","是")</f>
        <v>是</v>
      </c>
      <c r="O166" t="s">
        <v>76</v>
      </c>
      <c r="P166" s="37">
        <v>0.77340000000000009</v>
      </c>
      <c r="Q166" s="37">
        <v>0.71069999999999989</v>
      </c>
      <c r="R166" s="37">
        <v>0.8155</v>
      </c>
    </row>
    <row r="167" spans="1:18" hidden="1">
      <c r="A167" t="s">
        <v>76</v>
      </c>
      <c r="B167" t="s">
        <v>39</v>
      </c>
      <c r="C167">
        <v>0</v>
      </c>
      <c r="D167">
        <v>0</v>
      </c>
      <c r="E167" s="29">
        <v>0</v>
      </c>
      <c r="F167">
        <v>0</v>
      </c>
      <c r="G167">
        <v>0</v>
      </c>
      <c r="H167">
        <v>0</v>
      </c>
      <c r="I167" s="29">
        <v>0</v>
      </c>
      <c r="J167" s="29">
        <v>0</v>
      </c>
      <c r="K167" s="9">
        <v>45295</v>
      </c>
      <c r="L167">
        <f xml:space="preserve"> (交易處理資料__3[[#This Row],[售出工時]] * 60) / 5</f>
        <v>0</v>
      </c>
      <c r="M167" t="str">
        <f>VLOOKUP(交易處理資料__3[[#This Row],[人員代號]],團隊分組!$B$1:$C$52,2,FALSE)</f>
        <v>查修團隊A</v>
      </c>
      <c r="N167" t="str">
        <f>IF(交易處理資料__3[[#This Row],[上班時間]]=0,"否","是")</f>
        <v>否</v>
      </c>
      <c r="O167" t="s">
        <v>76</v>
      </c>
      <c r="P167" s="38">
        <v>0</v>
      </c>
      <c r="Q167" s="38">
        <v>0</v>
      </c>
      <c r="R167" s="38">
        <v>0</v>
      </c>
    </row>
    <row r="168" spans="1:18" hidden="1">
      <c r="A168" t="s">
        <v>76</v>
      </c>
      <c r="B168" t="s">
        <v>40</v>
      </c>
      <c r="C168">
        <v>4.41</v>
      </c>
      <c r="D168">
        <v>1.08</v>
      </c>
      <c r="E168" s="29">
        <v>4.0895000000000001</v>
      </c>
      <c r="F168">
        <v>7.38</v>
      </c>
      <c r="G168">
        <v>0.78</v>
      </c>
      <c r="H168">
        <v>8.16</v>
      </c>
      <c r="I168" s="29">
        <v>0.90439999999999998</v>
      </c>
      <c r="J168" s="29">
        <v>0.5413</v>
      </c>
      <c r="K168" s="9">
        <v>45295</v>
      </c>
      <c r="L168">
        <f xml:space="preserve"> (交易處理資料__3[[#This Row],[售出工時]] * 60) / 5</f>
        <v>52.92</v>
      </c>
      <c r="M168" t="str">
        <f>VLOOKUP(交易處理資料__3[[#This Row],[人員代號]],團隊分組!$B$1:$C$52,2,FALSE)</f>
        <v>查修團隊A</v>
      </c>
      <c r="N168" t="str">
        <f>IF(交易處理資料__3[[#This Row],[上班時間]]=0,"否","是")</f>
        <v>是</v>
      </c>
      <c r="O168" t="s">
        <v>76</v>
      </c>
      <c r="P168" s="37">
        <v>4.0895000000000001</v>
      </c>
      <c r="Q168" s="37">
        <v>0.5413</v>
      </c>
      <c r="R168" s="37">
        <v>0.90439999999999998</v>
      </c>
    </row>
    <row r="169" spans="1:18" hidden="1">
      <c r="A169" t="s">
        <v>76</v>
      </c>
      <c r="B169" t="s">
        <v>41</v>
      </c>
      <c r="C169">
        <v>22.33</v>
      </c>
      <c r="D169">
        <v>8.75</v>
      </c>
      <c r="E169" s="29">
        <v>2.5522999999999998</v>
      </c>
      <c r="F169">
        <v>11.34</v>
      </c>
      <c r="G169">
        <v>0.4</v>
      </c>
      <c r="H169">
        <v>11.74</v>
      </c>
      <c r="I169" s="29">
        <v>0.96589999999999998</v>
      </c>
      <c r="J169" s="29">
        <v>1.9022999999999999</v>
      </c>
      <c r="K169" s="9">
        <v>45295</v>
      </c>
      <c r="L169">
        <f xml:space="preserve"> (交易處理資料__3[[#This Row],[售出工時]] * 60) / 5</f>
        <v>267.95999999999998</v>
      </c>
      <c r="M169" t="str">
        <f>VLOOKUP(交易處理資料__3[[#This Row],[人員代號]],團隊分組!$B$1:$C$52,2,FALSE)</f>
        <v>快速保養團隊A</v>
      </c>
      <c r="N169" t="str">
        <f>IF(交易處理資料__3[[#This Row],[上班時間]]=0,"否","是")</f>
        <v>是</v>
      </c>
      <c r="O169" t="s">
        <v>76</v>
      </c>
      <c r="P169" s="38">
        <v>2.5522999999999998</v>
      </c>
      <c r="Q169" s="38">
        <v>1.9022999999999999</v>
      </c>
      <c r="R169" s="38">
        <v>0.96589999999999998</v>
      </c>
    </row>
    <row r="170" spans="1:18" hidden="1">
      <c r="A170" t="s">
        <v>76</v>
      </c>
      <c r="B170" t="s">
        <v>42</v>
      </c>
      <c r="C170">
        <v>13.25</v>
      </c>
      <c r="D170">
        <v>7.21</v>
      </c>
      <c r="E170" s="29">
        <v>1.8377000000000001</v>
      </c>
      <c r="F170">
        <v>7.92</v>
      </c>
      <c r="G170">
        <v>0.27</v>
      </c>
      <c r="H170">
        <v>8.19</v>
      </c>
      <c r="I170" s="29">
        <v>0.96700000000000008</v>
      </c>
      <c r="J170" s="29">
        <v>1.6177999999999999</v>
      </c>
      <c r="K170" s="9">
        <v>45295</v>
      </c>
      <c r="L170">
        <f xml:space="preserve"> (交易處理資料__3[[#This Row],[售出工時]] * 60) / 5</f>
        <v>159</v>
      </c>
      <c r="M170" t="str">
        <f>VLOOKUP(交易處理資料__3[[#This Row],[人員代號]],團隊分組!$B$1:$C$52,2,FALSE)</f>
        <v>快速保養團隊A</v>
      </c>
      <c r="N170" t="str">
        <f>IF(交易處理資料__3[[#This Row],[上班時間]]=0,"否","是")</f>
        <v>是</v>
      </c>
      <c r="O170" t="s">
        <v>76</v>
      </c>
      <c r="P170" s="37">
        <v>1.8377000000000001</v>
      </c>
      <c r="Q170" s="37">
        <v>1.6177999999999999</v>
      </c>
      <c r="R170" s="37">
        <v>0.96700000000000008</v>
      </c>
    </row>
    <row r="171" spans="1:18" hidden="1">
      <c r="A171" t="s">
        <v>76</v>
      </c>
      <c r="B171" t="s">
        <v>46</v>
      </c>
      <c r="C171">
        <v>5</v>
      </c>
      <c r="D171">
        <v>3.74</v>
      </c>
      <c r="E171" s="29">
        <v>1.3368</v>
      </c>
      <c r="F171">
        <v>7.26</v>
      </c>
      <c r="G171">
        <v>2.69</v>
      </c>
      <c r="H171">
        <v>9.9499999999999993</v>
      </c>
      <c r="I171" s="29">
        <v>0.72959999999999992</v>
      </c>
      <c r="J171" s="29">
        <v>0.50249999999999995</v>
      </c>
      <c r="K171" s="9">
        <v>45295</v>
      </c>
      <c r="L171">
        <f xml:space="preserve"> (交易處理資料__3[[#This Row],[售出工時]] * 60) / 5</f>
        <v>60</v>
      </c>
      <c r="M171" t="str">
        <f>VLOOKUP(交易處理資料__3[[#This Row],[人員代號]],團隊分組!$B$1:$C$52,2,FALSE)</f>
        <v>查修團隊B</v>
      </c>
      <c r="N171" t="str">
        <f>IF(交易處理資料__3[[#This Row],[上班時間]]=0,"否","是")</f>
        <v>是</v>
      </c>
      <c r="O171" t="s">
        <v>76</v>
      </c>
      <c r="P171" s="38">
        <v>1.3368</v>
      </c>
      <c r="Q171" s="38">
        <v>0.50249999999999995</v>
      </c>
      <c r="R171" s="38">
        <v>0.72959999999999992</v>
      </c>
    </row>
    <row r="172" spans="1:18" hidden="1">
      <c r="A172" t="s">
        <v>76</v>
      </c>
      <c r="B172" t="s">
        <v>47</v>
      </c>
      <c r="C172">
        <v>2</v>
      </c>
      <c r="D172">
        <v>4.07</v>
      </c>
      <c r="E172" s="29">
        <v>0.4914</v>
      </c>
      <c r="F172">
        <v>3.69</v>
      </c>
      <c r="G172">
        <v>4.37</v>
      </c>
      <c r="H172">
        <v>8.06</v>
      </c>
      <c r="I172" s="29">
        <v>0.45779999999999998</v>
      </c>
      <c r="J172" s="29">
        <v>0.24809999999999999</v>
      </c>
      <c r="K172" s="9">
        <v>45295</v>
      </c>
      <c r="L172">
        <f xml:space="preserve"> (交易處理資料__3[[#This Row],[售出工時]] * 60) / 5</f>
        <v>24</v>
      </c>
      <c r="M172" t="str">
        <f>VLOOKUP(交易處理資料__3[[#This Row],[人員代號]],團隊分組!$B$1:$C$52,2,FALSE)</f>
        <v>查修團隊B</v>
      </c>
      <c r="N172" t="str">
        <f>IF(交易處理資料__3[[#This Row],[上班時間]]=0,"否","是")</f>
        <v>是</v>
      </c>
      <c r="O172" t="s">
        <v>76</v>
      </c>
      <c r="P172" s="37">
        <v>0.4914</v>
      </c>
      <c r="Q172" s="37">
        <v>0.24809999999999999</v>
      </c>
      <c r="R172" s="37">
        <v>0.45779999999999998</v>
      </c>
    </row>
    <row r="173" spans="1:18" hidden="1">
      <c r="A173" t="s">
        <v>76</v>
      </c>
      <c r="B173" t="s">
        <v>48</v>
      </c>
      <c r="C173">
        <v>4.5</v>
      </c>
      <c r="D173">
        <v>5.18</v>
      </c>
      <c r="E173" s="29">
        <v>0.86870000000000003</v>
      </c>
      <c r="F173">
        <v>5.38</v>
      </c>
      <c r="G173">
        <v>2.76</v>
      </c>
      <c r="H173">
        <v>8.14</v>
      </c>
      <c r="I173" s="29">
        <v>0.66090000000000004</v>
      </c>
      <c r="J173" s="29">
        <v>0.55279999999999996</v>
      </c>
      <c r="K173" s="9">
        <v>45295</v>
      </c>
      <c r="L173">
        <f xml:space="preserve"> (交易處理資料__3[[#This Row],[售出工時]] * 60) / 5</f>
        <v>54</v>
      </c>
      <c r="M173" t="str">
        <f>VLOOKUP(交易處理資料__3[[#This Row],[人員代號]],團隊分組!$B$1:$C$52,2,FALSE)</f>
        <v>查修團隊A</v>
      </c>
      <c r="N173" t="str">
        <f>IF(交易處理資料__3[[#This Row],[上班時間]]=0,"否","是")</f>
        <v>是</v>
      </c>
      <c r="O173" t="s">
        <v>76</v>
      </c>
      <c r="P173" s="38">
        <v>0.86870000000000003</v>
      </c>
      <c r="Q173" s="38">
        <v>0.55279999999999996</v>
      </c>
      <c r="R173" s="38">
        <v>0.66090000000000004</v>
      </c>
    </row>
    <row r="174" spans="1:18" hidden="1">
      <c r="A174" t="s">
        <v>76</v>
      </c>
      <c r="B174" t="s">
        <v>49</v>
      </c>
      <c r="C174">
        <v>2.21</v>
      </c>
      <c r="D174">
        <v>2.69</v>
      </c>
      <c r="E174" s="29">
        <v>0.82400000000000007</v>
      </c>
      <c r="F174">
        <v>8</v>
      </c>
      <c r="G174">
        <v>0.22</v>
      </c>
      <c r="H174">
        <v>8.2200000000000006</v>
      </c>
      <c r="I174" s="29">
        <v>0.97319999999999995</v>
      </c>
      <c r="J174" s="29">
        <v>0.2697</v>
      </c>
      <c r="K174" s="9">
        <v>45295</v>
      </c>
      <c r="L174">
        <f xml:space="preserve"> (交易處理資料__3[[#This Row],[售出工時]] * 60) / 5</f>
        <v>26.52</v>
      </c>
      <c r="M174" t="str">
        <f>VLOOKUP(交易處理資料__3[[#This Row],[人員代號]],團隊分組!$B$1:$C$52,2,FALSE)</f>
        <v>查修團隊A</v>
      </c>
      <c r="N174" t="str">
        <f>IF(交易處理資料__3[[#This Row],[上班時間]]=0,"否","是")</f>
        <v>是</v>
      </c>
      <c r="O174" t="s">
        <v>76</v>
      </c>
      <c r="P174" s="37">
        <v>0.82400000000000007</v>
      </c>
      <c r="Q174" s="37">
        <v>0.2697</v>
      </c>
      <c r="R174" s="37">
        <v>0.97319999999999995</v>
      </c>
    </row>
    <row r="175" spans="1:18" hidden="1">
      <c r="A175" t="s">
        <v>76</v>
      </c>
      <c r="B175" t="s">
        <v>51</v>
      </c>
      <c r="C175">
        <v>0</v>
      </c>
      <c r="D175">
        <v>0</v>
      </c>
      <c r="E175" s="29">
        <v>0</v>
      </c>
      <c r="F175">
        <v>0</v>
      </c>
      <c r="G175">
        <v>0</v>
      </c>
      <c r="H175">
        <v>0</v>
      </c>
      <c r="I175" s="29">
        <v>0</v>
      </c>
      <c r="J175" s="29">
        <v>0</v>
      </c>
      <c r="K175" s="9">
        <v>45295</v>
      </c>
      <c r="L175">
        <f xml:space="preserve"> (交易處理資料__3[[#This Row],[售出工時]] * 60) / 5</f>
        <v>0</v>
      </c>
      <c r="M175" t="str">
        <f>VLOOKUP(交易處理資料__3[[#This Row],[人員代號]],團隊分組!$B$1:$C$52,2,FALSE)</f>
        <v>無效數據</v>
      </c>
      <c r="N175" t="str">
        <f>IF(交易處理資料__3[[#This Row],[上班時間]]=0,"否","是")</f>
        <v>否</v>
      </c>
      <c r="O175" t="s">
        <v>76</v>
      </c>
      <c r="P175" s="38">
        <v>0</v>
      </c>
      <c r="Q175" s="38">
        <v>0</v>
      </c>
      <c r="R175" s="38">
        <v>0</v>
      </c>
    </row>
    <row r="176" spans="1:18" hidden="1">
      <c r="A176" t="s">
        <v>76</v>
      </c>
      <c r="B176" t="s">
        <v>52</v>
      </c>
      <c r="C176">
        <v>0</v>
      </c>
      <c r="D176">
        <v>0</v>
      </c>
      <c r="E176" s="29">
        <v>0</v>
      </c>
      <c r="F176">
        <v>7.63</v>
      </c>
      <c r="G176">
        <v>0.28000000000000003</v>
      </c>
      <c r="H176">
        <v>7.91</v>
      </c>
      <c r="I176" s="29">
        <v>0.9645999999999999</v>
      </c>
      <c r="J176" s="29">
        <v>0</v>
      </c>
      <c r="K176" s="9">
        <v>45295</v>
      </c>
      <c r="L176">
        <f xml:space="preserve"> (交易處理資料__3[[#This Row],[售出工時]] * 60) / 5</f>
        <v>0</v>
      </c>
      <c r="M176" t="str">
        <f>VLOOKUP(交易處理資料__3[[#This Row],[人員代號]],團隊分組!$B$1:$C$52,2,FALSE)</f>
        <v>查修團隊B</v>
      </c>
      <c r="N176" t="str">
        <f>IF(交易處理資料__3[[#This Row],[上班時間]]=0,"否","是")</f>
        <v>是</v>
      </c>
      <c r="O176" t="s">
        <v>76</v>
      </c>
      <c r="P176" s="37">
        <v>0</v>
      </c>
      <c r="Q176" s="37">
        <v>0</v>
      </c>
      <c r="R176" s="37">
        <v>0.9645999999999999</v>
      </c>
    </row>
    <row r="177" spans="1:18" hidden="1">
      <c r="A177" t="s">
        <v>76</v>
      </c>
      <c r="B177" t="s">
        <v>53</v>
      </c>
      <c r="C177">
        <v>4.3</v>
      </c>
      <c r="D177">
        <v>7.91</v>
      </c>
      <c r="E177" s="29">
        <v>0.54400000000000004</v>
      </c>
      <c r="F177">
        <v>9.5500000000000007</v>
      </c>
      <c r="G177">
        <v>0.55000000000000004</v>
      </c>
      <c r="H177">
        <v>10.1</v>
      </c>
      <c r="I177" s="29">
        <v>0.94550000000000001</v>
      </c>
      <c r="J177" s="29">
        <v>0.42609999999999998</v>
      </c>
      <c r="K177" s="9">
        <v>45295</v>
      </c>
      <c r="L177">
        <f xml:space="preserve"> (交易處理資料__3[[#This Row],[售出工時]] * 60) / 5</f>
        <v>51.6</v>
      </c>
      <c r="M177" t="str">
        <f>VLOOKUP(交易處理資料__3[[#This Row],[人員代號]],團隊分組!$B$1:$C$52,2,FALSE)</f>
        <v>查修團隊A</v>
      </c>
      <c r="N177" t="str">
        <f>IF(交易處理資料__3[[#This Row],[上班時間]]=0,"否","是")</f>
        <v>是</v>
      </c>
      <c r="O177" t="s">
        <v>76</v>
      </c>
      <c r="P177" s="38">
        <v>0.54400000000000004</v>
      </c>
      <c r="Q177" s="38">
        <v>0.42609999999999998</v>
      </c>
      <c r="R177" s="38">
        <v>0.94550000000000001</v>
      </c>
    </row>
    <row r="178" spans="1:18" hidden="1">
      <c r="A178" s="10" t="s">
        <v>74</v>
      </c>
      <c r="B178" t="s">
        <v>1</v>
      </c>
      <c r="C178">
        <v>0</v>
      </c>
      <c r="D178">
        <v>0</v>
      </c>
      <c r="E178" s="29">
        <v>0</v>
      </c>
      <c r="F178">
        <v>7.28</v>
      </c>
      <c r="G178">
        <v>0.77</v>
      </c>
      <c r="H178">
        <v>8.0500000000000007</v>
      </c>
      <c r="I178" s="29">
        <v>0.9043000000000001</v>
      </c>
      <c r="J178" s="29">
        <v>0</v>
      </c>
      <c r="K178" s="9">
        <v>45296</v>
      </c>
      <c r="L178">
        <f xml:space="preserve"> (交易處理資料__3[[#This Row],[售出工時]] * 60) / 5</f>
        <v>0</v>
      </c>
      <c r="M178" t="str">
        <f>VLOOKUP(交易處理資料__3[[#This Row],[人員代號]],團隊分組!$B$1:$C$52,2,FALSE)</f>
        <v>噴漆維修組</v>
      </c>
      <c r="N178" t="str">
        <f>IF(交易處理資料__3[[#This Row],[上班時間]]=0,"否","是")</f>
        <v>是</v>
      </c>
      <c r="O178" s="10" t="s">
        <v>74</v>
      </c>
      <c r="P178" s="37">
        <v>0</v>
      </c>
      <c r="Q178" s="37">
        <v>0</v>
      </c>
      <c r="R178" s="37">
        <v>0.9043000000000001</v>
      </c>
    </row>
    <row r="179" spans="1:18" hidden="1">
      <c r="A179" s="10" t="s">
        <v>74</v>
      </c>
      <c r="B179" t="s">
        <v>2</v>
      </c>
      <c r="C179">
        <v>0</v>
      </c>
      <c r="D179">
        <v>0</v>
      </c>
      <c r="E179" s="29">
        <v>0</v>
      </c>
      <c r="F179">
        <v>7.49</v>
      </c>
      <c r="G179">
        <v>0.55000000000000004</v>
      </c>
      <c r="H179">
        <v>8.0399999999999991</v>
      </c>
      <c r="I179" s="29">
        <v>0.93159999999999998</v>
      </c>
      <c r="J179" s="29">
        <v>0</v>
      </c>
      <c r="K179" s="9">
        <v>45296</v>
      </c>
      <c r="L179">
        <f xml:space="preserve"> (交易處理資料__3[[#This Row],[售出工時]] * 60) / 5</f>
        <v>0</v>
      </c>
      <c r="M179" t="str">
        <f>VLOOKUP(交易處理資料__3[[#This Row],[人員代號]],團隊分組!$B$1:$C$52,2,FALSE)</f>
        <v>噴漆維修組</v>
      </c>
      <c r="N179" t="str">
        <f>IF(交易處理資料__3[[#This Row],[上班時間]]=0,"否","是")</f>
        <v>是</v>
      </c>
      <c r="O179" s="10" t="s">
        <v>74</v>
      </c>
      <c r="P179" s="38">
        <v>0</v>
      </c>
      <c r="Q179" s="38">
        <v>0</v>
      </c>
      <c r="R179" s="38">
        <v>0.93159999999999998</v>
      </c>
    </row>
    <row r="180" spans="1:18" hidden="1">
      <c r="A180" s="10" t="s">
        <v>74</v>
      </c>
      <c r="B180" t="s">
        <v>3</v>
      </c>
      <c r="C180">
        <v>0</v>
      </c>
      <c r="D180">
        <v>0</v>
      </c>
      <c r="E180" s="29">
        <v>0</v>
      </c>
      <c r="F180">
        <v>7.47</v>
      </c>
      <c r="G180">
        <v>0.57999999999999996</v>
      </c>
      <c r="H180">
        <v>8.0500000000000007</v>
      </c>
      <c r="I180" s="29">
        <v>0.92799999999999994</v>
      </c>
      <c r="J180" s="29">
        <v>0</v>
      </c>
      <c r="K180" s="9">
        <v>45296</v>
      </c>
      <c r="L180">
        <f xml:space="preserve"> (交易處理資料__3[[#This Row],[售出工時]] * 60) / 5</f>
        <v>0</v>
      </c>
      <c r="M180" t="str">
        <f>VLOOKUP(交易處理資料__3[[#This Row],[人員代號]],團隊分組!$B$1:$C$52,2,FALSE)</f>
        <v>噴漆維修組</v>
      </c>
      <c r="N180" t="str">
        <f>IF(交易處理資料__3[[#This Row],[上班時間]]=0,"否","是")</f>
        <v>是</v>
      </c>
      <c r="O180" s="10" t="s">
        <v>74</v>
      </c>
      <c r="P180" s="37">
        <v>0</v>
      </c>
      <c r="Q180" s="37">
        <v>0</v>
      </c>
      <c r="R180" s="37">
        <v>0.92799999999999994</v>
      </c>
    </row>
    <row r="181" spans="1:18" hidden="1">
      <c r="A181" s="10" t="s">
        <v>74</v>
      </c>
      <c r="B181" t="s">
        <v>4</v>
      </c>
      <c r="C181">
        <v>1.78</v>
      </c>
      <c r="D181">
        <v>3.7</v>
      </c>
      <c r="E181" s="29">
        <v>0.48100000000000004</v>
      </c>
      <c r="F181">
        <v>7.26</v>
      </c>
      <c r="G181">
        <v>0.77</v>
      </c>
      <c r="H181">
        <v>8.0299999999999994</v>
      </c>
      <c r="I181" s="29">
        <v>0.90410000000000001</v>
      </c>
      <c r="J181" s="29">
        <v>0.22170000000000001</v>
      </c>
      <c r="K181" s="9">
        <v>45296</v>
      </c>
      <c r="L181">
        <f xml:space="preserve"> (交易處理資料__3[[#This Row],[售出工時]] * 60) / 5</f>
        <v>21.36</v>
      </c>
      <c r="M181" t="str">
        <f>VLOOKUP(交易處理資料__3[[#This Row],[人員代號]],團隊分組!$B$1:$C$52,2,FALSE)</f>
        <v>噴漆維修組</v>
      </c>
      <c r="N181" t="str">
        <f>IF(交易處理資料__3[[#This Row],[上班時間]]=0,"否","是")</f>
        <v>是</v>
      </c>
      <c r="O181" s="10" t="s">
        <v>74</v>
      </c>
      <c r="P181" s="38">
        <v>0.48100000000000004</v>
      </c>
      <c r="Q181" s="38">
        <v>0.22170000000000001</v>
      </c>
      <c r="R181" s="38">
        <v>0.90410000000000001</v>
      </c>
    </row>
    <row r="182" spans="1:18" hidden="1">
      <c r="A182" s="10" t="s">
        <v>74</v>
      </c>
      <c r="B182" t="s">
        <v>5</v>
      </c>
      <c r="C182">
        <v>3.71</v>
      </c>
      <c r="D182">
        <v>6.22</v>
      </c>
      <c r="E182" s="29">
        <v>0.59640000000000004</v>
      </c>
      <c r="F182">
        <v>7.16</v>
      </c>
      <c r="G182">
        <v>0.85</v>
      </c>
      <c r="H182">
        <v>8.01</v>
      </c>
      <c r="I182" s="29">
        <v>0.89390000000000003</v>
      </c>
      <c r="J182" s="29">
        <v>0.4632</v>
      </c>
      <c r="K182" s="9">
        <v>45296</v>
      </c>
      <c r="L182">
        <f xml:space="preserve"> (交易處理資料__3[[#This Row],[售出工時]] * 60) / 5</f>
        <v>44.519999999999996</v>
      </c>
      <c r="M182" t="str">
        <f>VLOOKUP(交易處理資料__3[[#This Row],[人員代號]],團隊分組!$B$1:$C$52,2,FALSE)</f>
        <v>噴漆維修組</v>
      </c>
      <c r="N182" t="str">
        <f>IF(交易處理資料__3[[#This Row],[上班時間]]=0,"否","是")</f>
        <v>是</v>
      </c>
      <c r="O182" s="10" t="s">
        <v>74</v>
      </c>
      <c r="P182" s="37">
        <v>0.59640000000000004</v>
      </c>
      <c r="Q182" s="37">
        <v>0.4632</v>
      </c>
      <c r="R182" s="37">
        <v>0.89390000000000003</v>
      </c>
    </row>
    <row r="183" spans="1:18" hidden="1">
      <c r="A183" s="10" t="s">
        <v>74</v>
      </c>
      <c r="B183" t="s">
        <v>6</v>
      </c>
      <c r="C183">
        <v>0</v>
      </c>
      <c r="D183">
        <v>0</v>
      </c>
      <c r="E183" s="29">
        <v>0</v>
      </c>
      <c r="F183">
        <v>7.49</v>
      </c>
      <c r="G183">
        <v>0.56000000000000005</v>
      </c>
      <c r="H183">
        <v>8.0500000000000007</v>
      </c>
      <c r="I183" s="29">
        <v>0.93040000000000012</v>
      </c>
      <c r="J183" s="29">
        <v>0</v>
      </c>
      <c r="K183" s="9">
        <v>45296</v>
      </c>
      <c r="L183">
        <f xml:space="preserve"> (交易處理資料__3[[#This Row],[售出工時]] * 60) / 5</f>
        <v>0</v>
      </c>
      <c r="M183" t="str">
        <f>VLOOKUP(交易處理資料__3[[#This Row],[人員代號]],團隊分組!$B$1:$C$52,2,FALSE)</f>
        <v>噴漆維修組</v>
      </c>
      <c r="N183" t="str">
        <f>IF(交易處理資料__3[[#This Row],[上班時間]]=0,"否","是")</f>
        <v>是</v>
      </c>
      <c r="O183" s="10" t="s">
        <v>74</v>
      </c>
      <c r="P183" s="38">
        <v>0</v>
      </c>
      <c r="Q183" s="38">
        <v>0</v>
      </c>
      <c r="R183" s="38">
        <v>0.93040000000000012</v>
      </c>
    </row>
    <row r="184" spans="1:18">
      <c r="A184" s="10" t="s">
        <v>74</v>
      </c>
      <c r="B184" t="s">
        <v>7</v>
      </c>
      <c r="C184">
        <v>3.71</v>
      </c>
      <c r="D184">
        <v>6.22</v>
      </c>
      <c r="E184" s="29">
        <v>0.59640000000000004</v>
      </c>
      <c r="F184">
        <v>7.16</v>
      </c>
      <c r="G184">
        <v>0.82</v>
      </c>
      <c r="H184">
        <v>7.98</v>
      </c>
      <c r="I184" s="29">
        <v>0.8972</v>
      </c>
      <c r="J184" s="29">
        <v>0.46490000000000004</v>
      </c>
      <c r="K184" s="9">
        <v>45296</v>
      </c>
      <c r="L184">
        <f xml:space="preserve"> (交易處理資料__3[[#This Row],[售出工時]] * 60) / 5</f>
        <v>44.519999999999996</v>
      </c>
      <c r="M184" t="str">
        <f>VLOOKUP(交易處理資料__3[[#This Row],[人員代號]],團隊分組!$B$1:$C$52,2,FALSE)</f>
        <v>噴漆維修組</v>
      </c>
      <c r="N184" t="str">
        <f>IF(交易處理資料__3[[#This Row],[上班時間]]=0,"否","是")</f>
        <v>是</v>
      </c>
      <c r="O184" s="10" t="s">
        <v>74</v>
      </c>
      <c r="P184" s="37">
        <v>0.59640000000000004</v>
      </c>
      <c r="Q184" s="37">
        <v>0.46490000000000004</v>
      </c>
      <c r="R184" s="37">
        <v>0.8972</v>
      </c>
    </row>
    <row r="185" spans="1:18" hidden="1">
      <c r="A185" t="s">
        <v>75</v>
      </c>
      <c r="B185" t="s">
        <v>12</v>
      </c>
      <c r="C185">
        <v>0</v>
      </c>
      <c r="D185">
        <v>0</v>
      </c>
      <c r="E185" s="29">
        <v>0</v>
      </c>
      <c r="F185">
        <v>6.96</v>
      </c>
      <c r="G185">
        <v>1.1399999999999999</v>
      </c>
      <c r="H185">
        <v>8.1</v>
      </c>
      <c r="I185" s="29">
        <v>0.85930000000000006</v>
      </c>
      <c r="J185" s="29">
        <v>0</v>
      </c>
      <c r="K185" s="9">
        <v>45296</v>
      </c>
      <c r="L185">
        <f xml:space="preserve"> (交易處理資料__3[[#This Row],[售出工時]] * 60) / 5</f>
        <v>0</v>
      </c>
      <c r="M185" t="str">
        <f>VLOOKUP(交易處理資料__3[[#This Row],[人員代號]],團隊分組!$B$1:$C$52,2,FALSE)</f>
        <v>鈑金維修組</v>
      </c>
      <c r="N185" t="str">
        <f>IF(交易處理資料__3[[#This Row],[上班時間]]=0,"否","是")</f>
        <v>是</v>
      </c>
      <c r="O185" t="s">
        <v>75</v>
      </c>
      <c r="P185" s="38">
        <v>0</v>
      </c>
      <c r="Q185" s="38">
        <v>0</v>
      </c>
      <c r="R185" s="38">
        <v>0.85930000000000006</v>
      </c>
    </row>
    <row r="186" spans="1:18" hidden="1">
      <c r="A186" t="s">
        <v>75</v>
      </c>
      <c r="B186" t="s">
        <v>13</v>
      </c>
      <c r="C186">
        <v>5.16</v>
      </c>
      <c r="D186">
        <v>3.35</v>
      </c>
      <c r="E186" s="29">
        <v>1.5422</v>
      </c>
      <c r="F186">
        <v>6.49</v>
      </c>
      <c r="G186">
        <v>1.59</v>
      </c>
      <c r="H186">
        <v>8.08</v>
      </c>
      <c r="I186" s="29">
        <v>0.80319999999999991</v>
      </c>
      <c r="J186" s="29">
        <v>0.63939999999999997</v>
      </c>
      <c r="K186" s="9">
        <v>45296</v>
      </c>
      <c r="L186">
        <f xml:space="preserve"> (交易處理資料__3[[#This Row],[售出工時]] * 60) / 5</f>
        <v>61.92</v>
      </c>
      <c r="M186" t="str">
        <f>VLOOKUP(交易處理資料__3[[#This Row],[人員代號]],團隊分組!$B$1:$C$52,2,FALSE)</f>
        <v>鈑金維修組</v>
      </c>
      <c r="N186" t="str">
        <f>IF(交易處理資料__3[[#This Row],[上班時間]]=0,"否","是")</f>
        <v>是</v>
      </c>
      <c r="O186" t="s">
        <v>75</v>
      </c>
      <c r="P186" s="37">
        <v>1.5422</v>
      </c>
      <c r="Q186" s="37">
        <v>0.63939999999999997</v>
      </c>
      <c r="R186" s="37">
        <v>0.80319999999999991</v>
      </c>
    </row>
    <row r="187" spans="1:18" hidden="1">
      <c r="A187" t="s">
        <v>75</v>
      </c>
      <c r="B187" t="s">
        <v>14</v>
      </c>
      <c r="C187">
        <v>0</v>
      </c>
      <c r="D187">
        <v>0</v>
      </c>
      <c r="E187" s="29">
        <v>0</v>
      </c>
      <c r="F187">
        <v>4.6500000000000004</v>
      </c>
      <c r="G187">
        <v>3.4</v>
      </c>
      <c r="H187">
        <v>8.0500000000000007</v>
      </c>
      <c r="I187" s="29">
        <v>0.5776</v>
      </c>
      <c r="J187" s="29">
        <v>0</v>
      </c>
      <c r="K187" s="9">
        <v>45296</v>
      </c>
      <c r="L187">
        <f xml:space="preserve"> (交易處理資料__3[[#This Row],[售出工時]] * 60) / 5</f>
        <v>0</v>
      </c>
      <c r="M187" t="str">
        <f>VLOOKUP(交易處理資料__3[[#This Row],[人員代號]],團隊分組!$B$1:$C$52,2,FALSE)</f>
        <v>鈑金維修組</v>
      </c>
      <c r="N187" t="str">
        <f>IF(交易處理資料__3[[#This Row],[上班時間]]=0,"否","是")</f>
        <v>是</v>
      </c>
      <c r="O187" t="s">
        <v>75</v>
      </c>
      <c r="P187" s="38">
        <v>0</v>
      </c>
      <c r="Q187" s="38">
        <v>0</v>
      </c>
      <c r="R187" s="38">
        <v>0.5776</v>
      </c>
    </row>
    <row r="188" spans="1:18" hidden="1">
      <c r="A188" t="s">
        <v>75</v>
      </c>
      <c r="B188" t="s">
        <v>15</v>
      </c>
      <c r="C188">
        <v>0</v>
      </c>
      <c r="D188">
        <v>0</v>
      </c>
      <c r="E188" s="29">
        <v>0</v>
      </c>
      <c r="F188">
        <v>4.6900000000000004</v>
      </c>
      <c r="G188">
        <v>3.39</v>
      </c>
      <c r="H188">
        <v>8.08</v>
      </c>
      <c r="I188" s="29">
        <v>0.58040000000000003</v>
      </c>
      <c r="J188" s="29">
        <v>0</v>
      </c>
      <c r="K188" s="9">
        <v>45296</v>
      </c>
      <c r="L188">
        <f xml:space="preserve"> (交易處理資料__3[[#This Row],[售出工時]] * 60) / 5</f>
        <v>0</v>
      </c>
      <c r="M188" t="str">
        <f>VLOOKUP(交易處理資料__3[[#This Row],[人員代號]],團隊分組!$B$1:$C$52,2,FALSE)</f>
        <v>鈑金維修組</v>
      </c>
      <c r="N188" t="str">
        <f>IF(交易處理資料__3[[#This Row],[上班時間]]=0,"否","是")</f>
        <v>是</v>
      </c>
      <c r="O188" t="s">
        <v>75</v>
      </c>
      <c r="P188" s="37">
        <v>0</v>
      </c>
      <c r="Q188" s="37">
        <v>0</v>
      </c>
      <c r="R188" s="37">
        <v>0.58040000000000003</v>
      </c>
    </row>
    <row r="189" spans="1:18" hidden="1">
      <c r="A189" t="s">
        <v>76</v>
      </c>
      <c r="B189" t="s">
        <v>19</v>
      </c>
      <c r="C189">
        <v>1.37</v>
      </c>
      <c r="D189">
        <v>1.83</v>
      </c>
      <c r="E189" s="29">
        <v>0.74860000000000004</v>
      </c>
      <c r="F189">
        <v>6.41</v>
      </c>
      <c r="G189">
        <v>1.48</v>
      </c>
      <c r="H189">
        <v>7.89</v>
      </c>
      <c r="I189" s="29">
        <v>0.8123999999999999</v>
      </c>
      <c r="J189" s="29">
        <v>0.1736</v>
      </c>
      <c r="K189" s="9">
        <v>45296</v>
      </c>
      <c r="L189">
        <f xml:space="preserve"> (交易處理資料__3[[#This Row],[售出工時]] * 60) / 5</f>
        <v>16.440000000000001</v>
      </c>
      <c r="M189" t="str">
        <f>VLOOKUP(交易處理資料__3[[#This Row],[人員代號]],團隊分組!$B$1:$C$52,2,FALSE)</f>
        <v>查修團隊A</v>
      </c>
      <c r="N189" t="str">
        <f>IF(交易處理資料__3[[#This Row],[上班時間]]=0,"否","是")</f>
        <v>是</v>
      </c>
      <c r="O189" t="s">
        <v>76</v>
      </c>
      <c r="P189" s="38">
        <v>0.74860000000000004</v>
      </c>
      <c r="Q189" s="38">
        <v>0.1736</v>
      </c>
      <c r="R189" s="38">
        <v>0.8123999999999999</v>
      </c>
    </row>
    <row r="190" spans="1:18" hidden="1">
      <c r="A190" t="s">
        <v>76</v>
      </c>
      <c r="B190" t="s">
        <v>20</v>
      </c>
      <c r="C190">
        <v>0.93</v>
      </c>
      <c r="D190">
        <v>2.0099999999999998</v>
      </c>
      <c r="E190" s="29">
        <v>0.46600000000000003</v>
      </c>
      <c r="F190">
        <v>3.15</v>
      </c>
      <c r="G190">
        <v>5</v>
      </c>
      <c r="H190">
        <v>8.15</v>
      </c>
      <c r="I190" s="29">
        <v>0.38650000000000001</v>
      </c>
      <c r="J190" s="29">
        <v>0.1149</v>
      </c>
      <c r="K190" s="9">
        <v>45296</v>
      </c>
      <c r="L190">
        <f xml:space="preserve"> (交易處理資料__3[[#This Row],[售出工時]] * 60) / 5</f>
        <v>11.16</v>
      </c>
      <c r="M190" t="str">
        <f>VLOOKUP(交易處理資料__3[[#This Row],[人員代號]],團隊分組!$B$1:$C$52,2,FALSE)</f>
        <v>查修團隊B</v>
      </c>
      <c r="N190" t="str">
        <f>IF(交易處理資料__3[[#This Row],[上班時間]]=0,"否","是")</f>
        <v>是</v>
      </c>
      <c r="O190" t="s">
        <v>76</v>
      </c>
      <c r="P190" s="37">
        <v>0.46600000000000003</v>
      </c>
      <c r="Q190" s="37">
        <v>0.1149</v>
      </c>
      <c r="R190" s="37">
        <v>0.38650000000000001</v>
      </c>
    </row>
    <row r="191" spans="1:18" hidden="1">
      <c r="A191" t="s">
        <v>76</v>
      </c>
      <c r="B191" t="s">
        <v>21</v>
      </c>
      <c r="C191">
        <v>2.91</v>
      </c>
      <c r="D191">
        <v>7.09</v>
      </c>
      <c r="E191" s="29">
        <v>0.4113</v>
      </c>
      <c r="F191">
        <v>2.6</v>
      </c>
      <c r="G191">
        <v>5.55</v>
      </c>
      <c r="H191">
        <v>8.15</v>
      </c>
      <c r="I191" s="29">
        <v>0.31900000000000001</v>
      </c>
      <c r="J191" s="29">
        <v>0.3579</v>
      </c>
      <c r="K191" s="9">
        <v>45296</v>
      </c>
      <c r="L191">
        <f xml:space="preserve"> (交易處理資料__3[[#This Row],[售出工時]] * 60) / 5</f>
        <v>34.92</v>
      </c>
      <c r="M191" t="str">
        <f>VLOOKUP(交易處理資料__3[[#This Row],[人員代號]],團隊分組!$B$1:$C$52,2,FALSE)</f>
        <v>查修團隊B</v>
      </c>
      <c r="N191" t="str">
        <f>IF(交易處理資料__3[[#This Row],[上班時間]]=0,"否","是")</f>
        <v>是</v>
      </c>
      <c r="O191" t="s">
        <v>76</v>
      </c>
      <c r="P191" s="38">
        <v>0.4113</v>
      </c>
      <c r="Q191" s="38">
        <v>0.3579</v>
      </c>
      <c r="R191" s="38">
        <v>0.31900000000000001</v>
      </c>
    </row>
    <row r="192" spans="1:18" hidden="1">
      <c r="A192" t="s">
        <v>76</v>
      </c>
      <c r="B192" t="s">
        <v>22</v>
      </c>
      <c r="C192">
        <v>0</v>
      </c>
      <c r="D192">
        <v>0</v>
      </c>
      <c r="E192" s="29">
        <v>0</v>
      </c>
      <c r="F192">
        <v>0</v>
      </c>
      <c r="G192">
        <v>0</v>
      </c>
      <c r="H192">
        <v>0</v>
      </c>
      <c r="I192" s="29">
        <v>0</v>
      </c>
      <c r="J192" s="29">
        <v>0</v>
      </c>
      <c r="K192" s="9">
        <v>45296</v>
      </c>
      <c r="L192">
        <f xml:space="preserve"> (交易處理資料__3[[#This Row],[售出工時]] * 60) / 5</f>
        <v>0</v>
      </c>
      <c r="M192" t="str">
        <f>VLOOKUP(交易處理資料__3[[#This Row],[人員代號]],團隊分組!$B$1:$C$52,2,FALSE)</f>
        <v>快速保養團隊A</v>
      </c>
      <c r="N192" t="str">
        <f>IF(交易處理資料__3[[#This Row],[上班時間]]=0,"否","是")</f>
        <v>否</v>
      </c>
      <c r="O192" t="s">
        <v>76</v>
      </c>
      <c r="P192" s="37">
        <v>0</v>
      </c>
      <c r="Q192" s="37">
        <v>0</v>
      </c>
      <c r="R192" s="37">
        <v>0</v>
      </c>
    </row>
    <row r="193" spans="1:18" hidden="1">
      <c r="A193" t="s">
        <v>76</v>
      </c>
      <c r="B193" t="s">
        <v>23</v>
      </c>
      <c r="C193">
        <v>7.89</v>
      </c>
      <c r="D193">
        <v>4.9000000000000004</v>
      </c>
      <c r="E193" s="29">
        <v>1.6108000000000002</v>
      </c>
      <c r="F193">
        <v>8.84</v>
      </c>
      <c r="G193">
        <v>1.82</v>
      </c>
      <c r="H193">
        <v>10.66</v>
      </c>
      <c r="I193" s="29">
        <v>0.82930000000000004</v>
      </c>
      <c r="J193" s="29">
        <v>0.74049999999999994</v>
      </c>
      <c r="K193" s="9">
        <v>45296</v>
      </c>
      <c r="L193">
        <f xml:space="preserve"> (交易處理資料__3[[#This Row],[售出工時]] * 60) / 5</f>
        <v>94.679999999999993</v>
      </c>
      <c r="M193" t="str">
        <f>VLOOKUP(交易處理資料__3[[#This Row],[人員代號]],團隊分組!$B$1:$C$52,2,FALSE)</f>
        <v>快速保養團隊B</v>
      </c>
      <c r="N193" t="str">
        <f>IF(交易處理資料__3[[#This Row],[上班時間]]=0,"否","是")</f>
        <v>是</v>
      </c>
      <c r="O193" t="s">
        <v>76</v>
      </c>
      <c r="P193" s="38">
        <v>1.6108000000000002</v>
      </c>
      <c r="Q193" s="38">
        <v>0.74049999999999994</v>
      </c>
      <c r="R193" s="38">
        <v>0.82930000000000004</v>
      </c>
    </row>
    <row r="194" spans="1:18" hidden="1">
      <c r="A194" t="s">
        <v>76</v>
      </c>
      <c r="B194" t="s">
        <v>25</v>
      </c>
      <c r="C194">
        <v>1</v>
      </c>
      <c r="D194">
        <v>0.79</v>
      </c>
      <c r="E194" s="29">
        <v>1.2658</v>
      </c>
      <c r="F194">
        <v>8.56</v>
      </c>
      <c r="G194">
        <v>1.23</v>
      </c>
      <c r="H194">
        <v>9.7899999999999991</v>
      </c>
      <c r="I194" s="29">
        <v>0.87439999999999996</v>
      </c>
      <c r="J194" s="29">
        <v>0.10210000000000001</v>
      </c>
      <c r="K194" s="9">
        <v>45296</v>
      </c>
      <c r="L194">
        <f xml:space="preserve"> (交易處理資料__3[[#This Row],[售出工時]] * 60) / 5</f>
        <v>12</v>
      </c>
      <c r="M194" t="str">
        <f>VLOOKUP(交易處理資料__3[[#This Row],[人員代號]],團隊分組!$B$1:$C$52,2,FALSE)</f>
        <v>查修團隊A</v>
      </c>
      <c r="N194" t="str">
        <f>IF(交易處理資料__3[[#This Row],[上班時間]]=0,"否","是")</f>
        <v>是</v>
      </c>
      <c r="O194" t="s">
        <v>76</v>
      </c>
      <c r="P194" s="37">
        <v>1.2658</v>
      </c>
      <c r="Q194" s="37">
        <v>0.10210000000000001</v>
      </c>
      <c r="R194" s="37">
        <v>0.87439999999999996</v>
      </c>
    </row>
    <row r="195" spans="1:18" hidden="1">
      <c r="A195" t="s">
        <v>76</v>
      </c>
      <c r="B195" t="s">
        <v>26</v>
      </c>
      <c r="C195">
        <v>0.99</v>
      </c>
      <c r="D195">
        <v>0.83</v>
      </c>
      <c r="E195" s="29">
        <v>1.1926999999999999</v>
      </c>
      <c r="F195">
        <v>3.55</v>
      </c>
      <c r="G195">
        <v>4.58</v>
      </c>
      <c r="H195">
        <v>8.1300000000000008</v>
      </c>
      <c r="I195" s="29">
        <v>0.43670000000000003</v>
      </c>
      <c r="J195" s="29">
        <v>0.12179999999999999</v>
      </c>
      <c r="K195" s="9">
        <v>45296</v>
      </c>
      <c r="L195">
        <f xml:space="preserve"> (交易處理資料__3[[#This Row],[售出工時]] * 60) / 5</f>
        <v>11.879999999999999</v>
      </c>
      <c r="M195" t="str">
        <f>VLOOKUP(交易處理資料__3[[#This Row],[人員代號]],團隊分組!$B$1:$C$52,2,FALSE)</f>
        <v>查修團隊B</v>
      </c>
      <c r="N195" t="str">
        <f>IF(交易處理資料__3[[#This Row],[上班時間]]=0,"否","是")</f>
        <v>是</v>
      </c>
      <c r="O195" t="s">
        <v>76</v>
      </c>
      <c r="P195" s="38">
        <v>1.1926999999999999</v>
      </c>
      <c r="Q195" s="38">
        <v>0.12179999999999999</v>
      </c>
      <c r="R195" s="38">
        <v>0.43670000000000003</v>
      </c>
    </row>
    <row r="196" spans="1:18" hidden="1">
      <c r="A196" t="s">
        <v>76</v>
      </c>
      <c r="B196" t="s">
        <v>28</v>
      </c>
      <c r="C196">
        <v>6.83</v>
      </c>
      <c r="D196">
        <v>6.03</v>
      </c>
      <c r="E196" s="29">
        <v>1.1332</v>
      </c>
      <c r="F196">
        <v>7.58</v>
      </c>
      <c r="G196">
        <v>0.51</v>
      </c>
      <c r="H196">
        <v>8.09</v>
      </c>
      <c r="I196" s="29">
        <v>0.93700000000000006</v>
      </c>
      <c r="J196" s="29">
        <v>0.84470000000000001</v>
      </c>
      <c r="K196" s="9">
        <v>45296</v>
      </c>
      <c r="L196">
        <f xml:space="preserve"> (交易處理資料__3[[#This Row],[售出工時]] * 60) / 5</f>
        <v>81.960000000000008</v>
      </c>
      <c r="M196" t="str">
        <f>VLOOKUP(交易處理資料__3[[#This Row],[人員代號]],團隊分組!$B$1:$C$52,2,FALSE)</f>
        <v>快速保養團隊A</v>
      </c>
      <c r="N196" t="str">
        <f>IF(交易處理資料__3[[#This Row],[上班時間]]=0,"否","是")</f>
        <v>是</v>
      </c>
      <c r="O196" t="s">
        <v>76</v>
      </c>
      <c r="P196" s="37">
        <v>1.1332</v>
      </c>
      <c r="Q196" s="37">
        <v>0.84470000000000001</v>
      </c>
      <c r="R196" s="37">
        <v>0.93700000000000006</v>
      </c>
    </row>
    <row r="197" spans="1:18" hidden="1">
      <c r="A197" t="s">
        <v>76</v>
      </c>
      <c r="B197" t="s">
        <v>29</v>
      </c>
      <c r="C197">
        <v>4.83</v>
      </c>
      <c r="D197">
        <v>5.84</v>
      </c>
      <c r="E197" s="29">
        <v>0.8276</v>
      </c>
      <c r="F197">
        <v>5.33</v>
      </c>
      <c r="G197">
        <v>2.8</v>
      </c>
      <c r="H197">
        <v>8.1300000000000008</v>
      </c>
      <c r="I197" s="29">
        <v>0.65560000000000007</v>
      </c>
      <c r="J197" s="29">
        <v>0.59450000000000003</v>
      </c>
      <c r="K197" s="9">
        <v>45296</v>
      </c>
      <c r="L197">
        <f xml:space="preserve"> (交易處理資料__3[[#This Row],[售出工時]] * 60) / 5</f>
        <v>57.96</v>
      </c>
      <c r="M197" t="str">
        <f>VLOOKUP(交易處理資料__3[[#This Row],[人員代號]],團隊分組!$B$1:$C$52,2,FALSE)</f>
        <v>查修團隊B</v>
      </c>
      <c r="N197" t="str">
        <f>IF(交易處理資料__3[[#This Row],[上班時間]]=0,"否","是")</f>
        <v>是</v>
      </c>
      <c r="O197" t="s">
        <v>76</v>
      </c>
      <c r="P197" s="38">
        <v>0.8276</v>
      </c>
      <c r="Q197" s="38">
        <v>0.59450000000000003</v>
      </c>
      <c r="R197" s="38">
        <v>0.65560000000000007</v>
      </c>
    </row>
    <row r="198" spans="1:18" hidden="1">
      <c r="A198" t="s">
        <v>76</v>
      </c>
      <c r="B198" t="s">
        <v>31</v>
      </c>
      <c r="C198">
        <v>0</v>
      </c>
      <c r="D198">
        <v>0</v>
      </c>
      <c r="E198" s="29">
        <v>0</v>
      </c>
      <c r="F198">
        <v>0</v>
      </c>
      <c r="G198">
        <v>0</v>
      </c>
      <c r="H198">
        <v>0</v>
      </c>
      <c r="I198" s="29">
        <v>0</v>
      </c>
      <c r="J198" s="29">
        <v>0</v>
      </c>
      <c r="K198" s="9">
        <v>45296</v>
      </c>
      <c r="L198">
        <f xml:space="preserve"> (交易處理資料__3[[#This Row],[售出工時]] * 60) / 5</f>
        <v>0</v>
      </c>
      <c r="M198" t="str">
        <f>VLOOKUP(交易處理資料__3[[#This Row],[人員代號]],團隊分組!$B$1:$C$52,2,FALSE)</f>
        <v>快速保養團隊A</v>
      </c>
      <c r="N198" t="str">
        <f>IF(交易處理資料__3[[#This Row],[上班時間]]=0,"否","是")</f>
        <v>否</v>
      </c>
      <c r="O198" t="s">
        <v>76</v>
      </c>
      <c r="P198" s="37">
        <v>0</v>
      </c>
      <c r="Q198" s="37">
        <v>0</v>
      </c>
      <c r="R198" s="37">
        <v>0</v>
      </c>
    </row>
    <row r="199" spans="1:18" hidden="1">
      <c r="A199" t="s">
        <v>76</v>
      </c>
      <c r="B199" t="s">
        <v>32</v>
      </c>
      <c r="C199">
        <v>16.93</v>
      </c>
      <c r="D199">
        <v>9.5399999999999991</v>
      </c>
      <c r="E199" s="29">
        <v>1.7753000000000001</v>
      </c>
      <c r="F199">
        <v>8.4499999999999993</v>
      </c>
      <c r="G199">
        <v>2.2000000000000002</v>
      </c>
      <c r="H199">
        <v>10.65</v>
      </c>
      <c r="I199" s="29">
        <v>0.79339999999999999</v>
      </c>
      <c r="J199" s="29">
        <v>1.5903</v>
      </c>
      <c r="K199" s="9">
        <v>45296</v>
      </c>
      <c r="L199">
        <f xml:space="preserve"> (交易處理資料__3[[#This Row],[售出工時]] * 60) / 5</f>
        <v>203.16</v>
      </c>
      <c r="M199" t="str">
        <f>VLOOKUP(交易處理資料__3[[#This Row],[人員代號]],團隊分組!$B$1:$C$52,2,FALSE)</f>
        <v>快速保養團隊B</v>
      </c>
      <c r="N199" t="str">
        <f>IF(交易處理資料__3[[#This Row],[上班時間]]=0,"否","是")</f>
        <v>是</v>
      </c>
      <c r="O199" t="s">
        <v>76</v>
      </c>
      <c r="P199" s="38">
        <v>1.7753000000000001</v>
      </c>
      <c r="Q199" s="38">
        <v>1.5903</v>
      </c>
      <c r="R199" s="38">
        <v>0.79339999999999999</v>
      </c>
    </row>
    <row r="200" spans="1:18" hidden="1">
      <c r="A200" t="s">
        <v>76</v>
      </c>
      <c r="B200" t="s">
        <v>33</v>
      </c>
      <c r="C200">
        <v>0</v>
      </c>
      <c r="D200">
        <v>0</v>
      </c>
      <c r="E200" s="29">
        <v>0</v>
      </c>
      <c r="F200">
        <v>0</v>
      </c>
      <c r="G200">
        <v>0</v>
      </c>
      <c r="H200">
        <v>0</v>
      </c>
      <c r="I200" s="29">
        <v>0</v>
      </c>
      <c r="J200" s="29">
        <v>0</v>
      </c>
      <c r="K200" s="9">
        <v>45296</v>
      </c>
      <c r="L200">
        <f xml:space="preserve"> (交易處理資料__3[[#This Row],[售出工時]] * 60) / 5</f>
        <v>0</v>
      </c>
      <c r="M200" t="str">
        <f>VLOOKUP(交易處理資料__3[[#This Row],[人員代號]],團隊分組!$B$1:$C$52,2,FALSE)</f>
        <v>快速保養團隊B</v>
      </c>
      <c r="N200" t="str">
        <f>IF(交易處理資料__3[[#This Row],[上班時間]]=0,"否","是")</f>
        <v>否</v>
      </c>
      <c r="O200" t="s">
        <v>76</v>
      </c>
      <c r="P200" s="37">
        <v>0</v>
      </c>
      <c r="Q200" s="37">
        <v>0</v>
      </c>
      <c r="R200" s="37">
        <v>0</v>
      </c>
    </row>
    <row r="201" spans="1:18" hidden="1">
      <c r="A201" t="s">
        <v>76</v>
      </c>
      <c r="B201" t="s">
        <v>34</v>
      </c>
      <c r="C201">
        <v>9.75</v>
      </c>
      <c r="D201">
        <v>6.62</v>
      </c>
      <c r="E201" s="29">
        <v>1.4728000000000001</v>
      </c>
      <c r="F201">
        <v>7.34</v>
      </c>
      <c r="G201">
        <v>0.74</v>
      </c>
      <c r="H201">
        <v>8.08</v>
      </c>
      <c r="I201" s="29">
        <v>0.90839999999999999</v>
      </c>
      <c r="J201" s="29">
        <v>1.2067000000000001</v>
      </c>
      <c r="K201" s="9">
        <v>45296</v>
      </c>
      <c r="L201">
        <f xml:space="preserve"> (交易處理資料__3[[#This Row],[售出工時]] * 60) / 5</f>
        <v>117</v>
      </c>
      <c r="M201" t="str">
        <f>VLOOKUP(交易處理資料__3[[#This Row],[人員代號]],團隊分組!$B$1:$C$52,2,FALSE)</f>
        <v>快速保養團隊A</v>
      </c>
      <c r="N201" t="str">
        <f>IF(交易處理資料__3[[#This Row],[上班時間]]=0,"否","是")</f>
        <v>是</v>
      </c>
      <c r="O201" t="s">
        <v>76</v>
      </c>
      <c r="P201" s="38">
        <v>1.4728000000000001</v>
      </c>
      <c r="Q201" s="38">
        <v>1.2067000000000001</v>
      </c>
      <c r="R201" s="38">
        <v>0.90839999999999999</v>
      </c>
    </row>
    <row r="202" spans="1:18" hidden="1">
      <c r="A202" t="s">
        <v>76</v>
      </c>
      <c r="B202" t="s">
        <v>35</v>
      </c>
      <c r="C202">
        <v>1.26</v>
      </c>
      <c r="D202">
        <v>3.14</v>
      </c>
      <c r="E202" s="29">
        <v>0.40329999999999999</v>
      </c>
      <c r="F202">
        <v>4.33</v>
      </c>
      <c r="G202">
        <v>3.8</v>
      </c>
      <c r="H202">
        <v>8.1300000000000008</v>
      </c>
      <c r="I202" s="29">
        <v>0.53259999999999996</v>
      </c>
      <c r="J202" s="29">
        <v>0.15579999999999999</v>
      </c>
      <c r="K202" s="9">
        <v>45296</v>
      </c>
      <c r="L202">
        <f xml:space="preserve"> (交易處理資料__3[[#This Row],[售出工時]] * 60) / 5</f>
        <v>15.12</v>
      </c>
      <c r="M202" t="str">
        <f>VLOOKUP(交易處理資料__3[[#This Row],[人員代號]],團隊分組!$B$1:$C$52,2,FALSE)</f>
        <v>查修團隊B</v>
      </c>
      <c r="N202" t="str">
        <f>IF(交易處理資料__3[[#This Row],[上班時間]]=0,"否","是")</f>
        <v>是</v>
      </c>
      <c r="O202" t="s">
        <v>76</v>
      </c>
      <c r="P202" s="37">
        <v>0.40329999999999999</v>
      </c>
      <c r="Q202" s="37">
        <v>0.15579999999999999</v>
      </c>
      <c r="R202" s="37">
        <v>0.53259999999999996</v>
      </c>
    </row>
    <row r="203" spans="1:18" hidden="1">
      <c r="A203" t="s">
        <v>76</v>
      </c>
      <c r="B203" t="s">
        <v>37</v>
      </c>
      <c r="C203">
        <v>4.07</v>
      </c>
      <c r="D203">
        <v>5.29</v>
      </c>
      <c r="E203" s="29">
        <v>0.76930000000000009</v>
      </c>
      <c r="F203">
        <v>4.45</v>
      </c>
      <c r="G203">
        <v>3.3</v>
      </c>
      <c r="H203">
        <v>7.75</v>
      </c>
      <c r="I203" s="29">
        <v>0.57420000000000004</v>
      </c>
      <c r="J203" s="29">
        <v>0.5252</v>
      </c>
      <c r="K203" s="9">
        <v>45296</v>
      </c>
      <c r="L203">
        <f xml:space="preserve"> (交易處理資料__3[[#This Row],[售出工時]] * 60) / 5</f>
        <v>48.84</v>
      </c>
      <c r="M203" t="str">
        <f>VLOOKUP(交易處理資料__3[[#This Row],[人員代號]],團隊分組!$B$1:$C$52,2,FALSE)</f>
        <v>查修團隊A</v>
      </c>
      <c r="N203" t="str">
        <f>IF(交易處理資料__3[[#This Row],[上班時間]]=0,"否","是")</f>
        <v>是</v>
      </c>
      <c r="O203" t="s">
        <v>76</v>
      </c>
      <c r="P203" s="38">
        <v>0.76930000000000009</v>
      </c>
      <c r="Q203" s="38">
        <v>0.5252</v>
      </c>
      <c r="R203" s="38">
        <v>0.57420000000000004</v>
      </c>
    </row>
    <row r="204" spans="1:18" hidden="1">
      <c r="A204" t="s">
        <v>76</v>
      </c>
      <c r="B204" t="s">
        <v>38</v>
      </c>
      <c r="C204">
        <v>21.5</v>
      </c>
      <c r="D204">
        <v>7.06</v>
      </c>
      <c r="E204" s="29">
        <v>3.0452999999999997</v>
      </c>
      <c r="F204">
        <v>8.7799999999999994</v>
      </c>
      <c r="G204">
        <v>0.47</v>
      </c>
      <c r="H204">
        <v>9.25</v>
      </c>
      <c r="I204" s="29">
        <v>0.94920000000000004</v>
      </c>
      <c r="J204" s="29">
        <v>2.3243</v>
      </c>
      <c r="K204" s="9">
        <v>45296</v>
      </c>
      <c r="L204">
        <f xml:space="preserve"> (交易處理資料__3[[#This Row],[售出工時]] * 60) / 5</f>
        <v>258</v>
      </c>
      <c r="M204" t="str">
        <f>VLOOKUP(交易處理資料__3[[#This Row],[人員代號]],團隊分組!$B$1:$C$52,2,FALSE)</f>
        <v>快速保養團隊A</v>
      </c>
      <c r="N204" t="str">
        <f>IF(交易處理資料__3[[#This Row],[上班時間]]=0,"否","是")</f>
        <v>是</v>
      </c>
      <c r="O204" t="s">
        <v>76</v>
      </c>
      <c r="P204" s="37">
        <v>3.0452999999999997</v>
      </c>
      <c r="Q204" s="37">
        <v>2.3243</v>
      </c>
      <c r="R204" s="37">
        <v>0.94920000000000004</v>
      </c>
    </row>
    <row r="205" spans="1:18" hidden="1">
      <c r="A205" t="s">
        <v>76</v>
      </c>
      <c r="B205" t="s">
        <v>39</v>
      </c>
      <c r="C205">
        <v>1.24</v>
      </c>
      <c r="D205">
        <v>1.45</v>
      </c>
      <c r="E205" s="29">
        <v>0.85510000000000008</v>
      </c>
      <c r="F205">
        <v>7.16</v>
      </c>
      <c r="G205">
        <v>0.69</v>
      </c>
      <c r="H205">
        <v>7.85</v>
      </c>
      <c r="I205" s="29">
        <v>0.91209999999999991</v>
      </c>
      <c r="J205" s="29">
        <v>0.158</v>
      </c>
      <c r="K205" s="9">
        <v>45296</v>
      </c>
      <c r="L205">
        <f xml:space="preserve"> (交易處理資料__3[[#This Row],[售出工時]] * 60) / 5</f>
        <v>14.88</v>
      </c>
      <c r="M205" t="str">
        <f>VLOOKUP(交易處理資料__3[[#This Row],[人員代號]],團隊分組!$B$1:$C$52,2,FALSE)</f>
        <v>查修團隊A</v>
      </c>
      <c r="N205" t="str">
        <f>IF(交易處理資料__3[[#This Row],[上班時間]]=0,"否","是")</f>
        <v>是</v>
      </c>
      <c r="O205" t="s">
        <v>76</v>
      </c>
      <c r="P205" s="38">
        <v>0.85510000000000008</v>
      </c>
      <c r="Q205" s="38">
        <v>0.158</v>
      </c>
      <c r="R205" s="38">
        <v>0.91209999999999991</v>
      </c>
    </row>
    <row r="206" spans="1:18" hidden="1">
      <c r="A206" t="s">
        <v>76</v>
      </c>
      <c r="B206" t="s">
        <v>42</v>
      </c>
      <c r="C206">
        <v>10</v>
      </c>
      <c r="D206">
        <v>7.33</v>
      </c>
      <c r="E206" s="29">
        <v>1.3641999999999999</v>
      </c>
      <c r="F206">
        <v>7.03</v>
      </c>
      <c r="G206">
        <v>0.92</v>
      </c>
      <c r="H206">
        <v>7.95</v>
      </c>
      <c r="I206" s="29">
        <v>0.88430000000000009</v>
      </c>
      <c r="J206" s="29">
        <v>1.2579</v>
      </c>
      <c r="K206" s="9">
        <v>45296</v>
      </c>
      <c r="L206">
        <f xml:space="preserve"> (交易處理資料__3[[#This Row],[售出工時]] * 60) / 5</f>
        <v>120</v>
      </c>
      <c r="M206" t="str">
        <f>VLOOKUP(交易處理資料__3[[#This Row],[人員代號]],團隊分組!$B$1:$C$52,2,FALSE)</f>
        <v>快速保養團隊A</v>
      </c>
      <c r="N206" t="str">
        <f>IF(交易處理資料__3[[#This Row],[上班時間]]=0,"否","是")</f>
        <v>是</v>
      </c>
      <c r="O206" t="s">
        <v>76</v>
      </c>
      <c r="P206" s="37">
        <v>1.3641999999999999</v>
      </c>
      <c r="Q206" s="37">
        <v>1.2579</v>
      </c>
      <c r="R206" s="37">
        <v>0.88430000000000009</v>
      </c>
    </row>
    <row r="207" spans="1:18" hidden="1">
      <c r="A207" t="s">
        <v>76</v>
      </c>
      <c r="B207" t="s">
        <v>43</v>
      </c>
      <c r="C207">
        <v>5.46</v>
      </c>
      <c r="D207">
        <v>6.59</v>
      </c>
      <c r="E207" s="29">
        <v>0.82950000000000002</v>
      </c>
      <c r="F207">
        <v>6.79</v>
      </c>
      <c r="G207">
        <v>1.35</v>
      </c>
      <c r="H207">
        <v>8.14</v>
      </c>
      <c r="I207" s="29">
        <v>0.83420000000000005</v>
      </c>
      <c r="J207" s="29">
        <v>0.67159999999999997</v>
      </c>
      <c r="K207" s="9">
        <v>45296</v>
      </c>
      <c r="L207">
        <f xml:space="preserve"> (交易處理資料__3[[#This Row],[售出工時]] * 60) / 5</f>
        <v>65.52000000000001</v>
      </c>
      <c r="M207" t="str">
        <f>VLOOKUP(交易處理資料__3[[#This Row],[人員代號]],團隊分組!$B$1:$C$52,2,FALSE)</f>
        <v>查修團隊B</v>
      </c>
      <c r="N207" t="str">
        <f>IF(交易處理資料__3[[#This Row],[上班時間]]=0,"否","是")</f>
        <v>是</v>
      </c>
      <c r="O207" t="s">
        <v>76</v>
      </c>
      <c r="P207" s="38">
        <v>0.82950000000000002</v>
      </c>
      <c r="Q207" s="38">
        <v>0.67159999999999997</v>
      </c>
      <c r="R207" s="38">
        <v>0.83420000000000005</v>
      </c>
    </row>
    <row r="208" spans="1:18" hidden="1">
      <c r="A208" t="s">
        <v>76</v>
      </c>
      <c r="B208" t="s">
        <v>45</v>
      </c>
      <c r="C208">
        <v>0</v>
      </c>
      <c r="D208">
        <v>0</v>
      </c>
      <c r="E208" s="29">
        <v>0</v>
      </c>
      <c r="F208">
        <v>0</v>
      </c>
      <c r="G208">
        <v>0</v>
      </c>
      <c r="H208">
        <v>0</v>
      </c>
      <c r="I208" s="29">
        <v>0</v>
      </c>
      <c r="J208" s="29">
        <v>0</v>
      </c>
      <c r="K208" s="9">
        <v>45296</v>
      </c>
      <c r="L208">
        <f xml:space="preserve"> (交易處理資料__3[[#This Row],[售出工時]] * 60) / 5</f>
        <v>0</v>
      </c>
      <c r="M208" t="str">
        <f>VLOOKUP(交易處理資料__3[[#This Row],[人員代號]],團隊分組!$B$1:$C$52,2,FALSE)</f>
        <v>快速保養團隊A</v>
      </c>
      <c r="N208" t="str">
        <f>IF(交易處理資料__3[[#This Row],[上班時間]]=0,"否","是")</f>
        <v>否</v>
      </c>
      <c r="O208" t="s">
        <v>76</v>
      </c>
      <c r="P208" s="37">
        <v>0</v>
      </c>
      <c r="Q208" s="37">
        <v>0</v>
      </c>
      <c r="R208" s="37">
        <v>0</v>
      </c>
    </row>
    <row r="209" spans="1:18" hidden="1">
      <c r="A209" t="s">
        <v>76</v>
      </c>
      <c r="B209" t="s">
        <v>46</v>
      </c>
      <c r="C209">
        <v>5.75</v>
      </c>
      <c r="D209">
        <v>8.74</v>
      </c>
      <c r="E209" s="29">
        <v>0.65780000000000005</v>
      </c>
      <c r="F209">
        <v>8.1</v>
      </c>
      <c r="G209">
        <v>0.75</v>
      </c>
      <c r="H209">
        <v>8.85</v>
      </c>
      <c r="I209" s="29">
        <v>0.9153</v>
      </c>
      <c r="J209" s="29">
        <v>0.64969999999999994</v>
      </c>
      <c r="K209" s="9">
        <v>45296</v>
      </c>
      <c r="L209">
        <f xml:space="preserve"> (交易處理資料__3[[#This Row],[售出工時]] * 60) / 5</f>
        <v>69</v>
      </c>
      <c r="M209" t="str">
        <f>VLOOKUP(交易處理資料__3[[#This Row],[人員代號]],團隊分組!$B$1:$C$52,2,FALSE)</f>
        <v>查修團隊B</v>
      </c>
      <c r="N209" t="str">
        <f>IF(交易處理資料__3[[#This Row],[上班時間]]=0,"否","是")</f>
        <v>是</v>
      </c>
      <c r="O209" t="s">
        <v>76</v>
      </c>
      <c r="P209" s="38">
        <v>0.65780000000000005</v>
      </c>
      <c r="Q209" s="38">
        <v>0.64969999999999994</v>
      </c>
      <c r="R209" s="38">
        <v>0.9153</v>
      </c>
    </row>
    <row r="210" spans="1:18" hidden="1">
      <c r="A210" t="s">
        <v>76</v>
      </c>
      <c r="B210" t="s">
        <v>47</v>
      </c>
      <c r="C210">
        <v>3</v>
      </c>
      <c r="D210">
        <v>6.94</v>
      </c>
      <c r="E210" s="29">
        <v>0.43219999999999997</v>
      </c>
      <c r="F210">
        <v>4.51</v>
      </c>
      <c r="G210">
        <v>3.64</v>
      </c>
      <c r="H210">
        <v>8.15</v>
      </c>
      <c r="I210" s="29">
        <v>0.5534</v>
      </c>
      <c r="J210" s="29">
        <v>0.36810000000000004</v>
      </c>
      <c r="K210" s="9">
        <v>45296</v>
      </c>
      <c r="L210">
        <f xml:space="preserve"> (交易處理資料__3[[#This Row],[售出工時]] * 60) / 5</f>
        <v>36</v>
      </c>
      <c r="M210" t="str">
        <f>VLOOKUP(交易處理資料__3[[#This Row],[人員代號]],團隊分組!$B$1:$C$52,2,FALSE)</f>
        <v>查修團隊B</v>
      </c>
      <c r="N210" t="str">
        <f>IF(交易處理資料__3[[#This Row],[上班時間]]=0,"否","是")</f>
        <v>是</v>
      </c>
      <c r="O210" t="s">
        <v>76</v>
      </c>
      <c r="P210" s="37">
        <v>0.43219999999999997</v>
      </c>
      <c r="Q210" s="37">
        <v>0.36810000000000004</v>
      </c>
      <c r="R210" s="37">
        <v>0.5534</v>
      </c>
    </row>
    <row r="211" spans="1:18" hidden="1">
      <c r="A211" t="s">
        <v>76</v>
      </c>
      <c r="B211" t="s">
        <v>48</v>
      </c>
      <c r="C211">
        <v>4.83</v>
      </c>
      <c r="D211">
        <v>3.37</v>
      </c>
      <c r="E211" s="29">
        <v>1.4341999999999999</v>
      </c>
      <c r="F211">
        <v>3.79</v>
      </c>
      <c r="G211">
        <v>3.96</v>
      </c>
      <c r="H211">
        <v>7.75</v>
      </c>
      <c r="I211" s="29">
        <v>0.48899999999999999</v>
      </c>
      <c r="J211" s="29">
        <v>0.62369999999999992</v>
      </c>
      <c r="K211" s="9">
        <v>45296</v>
      </c>
      <c r="L211">
        <f xml:space="preserve"> (交易處理資料__3[[#This Row],[售出工時]] * 60) / 5</f>
        <v>57.96</v>
      </c>
      <c r="M211" t="str">
        <f>VLOOKUP(交易處理資料__3[[#This Row],[人員代號]],團隊分組!$B$1:$C$52,2,FALSE)</f>
        <v>查修團隊A</v>
      </c>
      <c r="N211" t="str">
        <f>IF(交易處理資料__3[[#This Row],[上班時間]]=0,"否","是")</f>
        <v>是</v>
      </c>
      <c r="O211" t="s">
        <v>76</v>
      </c>
      <c r="P211" s="38">
        <v>1.4341999999999999</v>
      </c>
      <c r="Q211" s="38">
        <v>0.62369999999999992</v>
      </c>
      <c r="R211" s="38">
        <v>0.48899999999999999</v>
      </c>
    </row>
    <row r="212" spans="1:18" hidden="1">
      <c r="A212" t="s">
        <v>76</v>
      </c>
      <c r="B212" t="s">
        <v>51</v>
      </c>
      <c r="C212">
        <v>0</v>
      </c>
      <c r="D212">
        <v>0</v>
      </c>
      <c r="E212" s="29">
        <v>0</v>
      </c>
      <c r="F212">
        <v>0</v>
      </c>
      <c r="G212">
        <v>0</v>
      </c>
      <c r="H212">
        <v>0</v>
      </c>
      <c r="I212" s="29">
        <v>0</v>
      </c>
      <c r="J212" s="29">
        <v>0</v>
      </c>
      <c r="K212" s="9">
        <v>45296</v>
      </c>
      <c r="L212">
        <f xml:space="preserve"> (交易處理資料__3[[#This Row],[售出工時]] * 60) / 5</f>
        <v>0</v>
      </c>
      <c r="M212" t="str">
        <f>VLOOKUP(交易處理資料__3[[#This Row],[人員代號]],團隊分組!$B$1:$C$52,2,FALSE)</f>
        <v>無效數據</v>
      </c>
      <c r="N212" t="str">
        <f>IF(交易處理資料__3[[#This Row],[上班時間]]=0,"否","是")</f>
        <v>否</v>
      </c>
      <c r="O212" t="s">
        <v>76</v>
      </c>
      <c r="P212" s="37">
        <v>0</v>
      </c>
      <c r="Q212" s="37">
        <v>0</v>
      </c>
      <c r="R212" s="37">
        <v>0</v>
      </c>
    </row>
    <row r="213" spans="1:18" hidden="1">
      <c r="A213" t="s">
        <v>76</v>
      </c>
      <c r="B213" t="s">
        <v>52</v>
      </c>
      <c r="C213">
        <v>3.41</v>
      </c>
      <c r="D213">
        <v>3.56</v>
      </c>
      <c r="E213" s="29">
        <v>0.9597</v>
      </c>
      <c r="F213">
        <v>7.82</v>
      </c>
      <c r="G213">
        <v>0.34</v>
      </c>
      <c r="H213">
        <v>8.16</v>
      </c>
      <c r="I213" s="29">
        <v>0.95829999999999993</v>
      </c>
      <c r="J213" s="29">
        <v>0.41869999999999996</v>
      </c>
      <c r="K213" s="9">
        <v>45296</v>
      </c>
      <c r="L213">
        <f xml:space="preserve"> (交易處理資料__3[[#This Row],[售出工時]] * 60) / 5</f>
        <v>40.92</v>
      </c>
      <c r="M213" t="str">
        <f>VLOOKUP(交易處理資料__3[[#This Row],[人員代號]],團隊分組!$B$1:$C$52,2,FALSE)</f>
        <v>查修團隊B</v>
      </c>
      <c r="N213" t="str">
        <f>IF(交易處理資料__3[[#This Row],[上班時間]]=0,"否","是")</f>
        <v>是</v>
      </c>
      <c r="O213" t="s">
        <v>76</v>
      </c>
      <c r="P213" s="38">
        <v>0.9597</v>
      </c>
      <c r="Q213" s="38">
        <v>0.41869999999999996</v>
      </c>
      <c r="R213" s="38">
        <v>0.95829999999999993</v>
      </c>
    </row>
    <row r="214" spans="1:18" hidden="1">
      <c r="A214" t="s">
        <v>76</v>
      </c>
      <c r="B214" t="s">
        <v>53</v>
      </c>
      <c r="C214">
        <v>4.12</v>
      </c>
      <c r="D214">
        <v>7.98</v>
      </c>
      <c r="E214" s="29">
        <v>0.51619999999999999</v>
      </c>
      <c r="F214">
        <v>7.19</v>
      </c>
      <c r="G214">
        <v>2.38</v>
      </c>
      <c r="H214">
        <v>9.57</v>
      </c>
      <c r="I214" s="29">
        <v>0.75129999999999997</v>
      </c>
      <c r="J214" s="29">
        <v>0.43049999999999999</v>
      </c>
      <c r="K214" s="9">
        <v>45296</v>
      </c>
      <c r="L214">
        <f xml:space="preserve"> (交易處理資料__3[[#This Row],[售出工時]] * 60) / 5</f>
        <v>49.440000000000005</v>
      </c>
      <c r="M214" t="str">
        <f>VLOOKUP(交易處理資料__3[[#This Row],[人員代號]],團隊分組!$B$1:$C$52,2,FALSE)</f>
        <v>查修團隊A</v>
      </c>
      <c r="N214" t="str">
        <f>IF(交易處理資料__3[[#This Row],[上班時間]]=0,"否","是")</f>
        <v>是</v>
      </c>
      <c r="O214" t="s">
        <v>76</v>
      </c>
      <c r="P214" s="37">
        <v>0.51619999999999999</v>
      </c>
      <c r="Q214" s="37">
        <v>0.43049999999999999</v>
      </c>
      <c r="R214" s="37">
        <v>0.75129999999999997</v>
      </c>
    </row>
    <row r="215" spans="1:18" hidden="1">
      <c r="A215" s="10" t="s">
        <v>74</v>
      </c>
      <c r="B215" t="s">
        <v>1</v>
      </c>
      <c r="C215">
        <v>0</v>
      </c>
      <c r="D215">
        <v>0</v>
      </c>
      <c r="E215" s="29">
        <v>0</v>
      </c>
      <c r="F215">
        <v>0</v>
      </c>
      <c r="G215">
        <v>0</v>
      </c>
      <c r="H215">
        <v>0</v>
      </c>
      <c r="I215" s="29">
        <v>0</v>
      </c>
      <c r="J215" s="29">
        <v>0</v>
      </c>
      <c r="K215" s="9">
        <v>45297</v>
      </c>
      <c r="L215">
        <f xml:space="preserve"> (交易處理資料__3[[#This Row],[售出工時]] * 60) / 5</f>
        <v>0</v>
      </c>
      <c r="M215" t="str">
        <f>VLOOKUP(交易處理資料__3[[#This Row],[人員代號]],團隊分組!$B$1:$C$52,2,FALSE)</f>
        <v>噴漆維修組</v>
      </c>
      <c r="N215" t="str">
        <f>IF(交易處理資料__3[[#This Row],[上班時間]]=0,"否","是")</f>
        <v>否</v>
      </c>
      <c r="O215" s="10" t="s">
        <v>74</v>
      </c>
      <c r="P215" s="38">
        <v>0</v>
      </c>
      <c r="Q215" s="38">
        <v>0</v>
      </c>
      <c r="R215" s="38">
        <v>0</v>
      </c>
    </row>
    <row r="216" spans="1:18" hidden="1">
      <c r="A216" s="10" t="s">
        <v>74</v>
      </c>
      <c r="B216" t="s">
        <v>2</v>
      </c>
      <c r="C216">
        <v>0</v>
      </c>
      <c r="D216">
        <v>0</v>
      </c>
      <c r="E216" s="29">
        <v>0</v>
      </c>
      <c r="F216">
        <v>0</v>
      </c>
      <c r="G216">
        <v>0</v>
      </c>
      <c r="H216">
        <v>0</v>
      </c>
      <c r="I216" s="29">
        <v>0</v>
      </c>
      <c r="J216" s="29">
        <v>0</v>
      </c>
      <c r="K216" s="9">
        <v>45297</v>
      </c>
      <c r="L216">
        <f xml:space="preserve"> (交易處理資料__3[[#This Row],[售出工時]] * 60) / 5</f>
        <v>0</v>
      </c>
      <c r="M216" t="str">
        <f>VLOOKUP(交易處理資料__3[[#This Row],[人員代號]],團隊分組!$B$1:$C$52,2,FALSE)</f>
        <v>噴漆維修組</v>
      </c>
      <c r="N216" t="str">
        <f>IF(交易處理資料__3[[#This Row],[上班時間]]=0,"否","是")</f>
        <v>否</v>
      </c>
      <c r="O216" s="10" t="s">
        <v>74</v>
      </c>
      <c r="P216" s="37">
        <v>0</v>
      </c>
      <c r="Q216" s="37">
        <v>0</v>
      </c>
      <c r="R216" s="37">
        <v>0</v>
      </c>
    </row>
    <row r="217" spans="1:18" hidden="1">
      <c r="A217" s="10" t="s">
        <v>74</v>
      </c>
      <c r="B217" t="s">
        <v>3</v>
      </c>
      <c r="C217">
        <v>0</v>
      </c>
      <c r="D217">
        <v>0</v>
      </c>
      <c r="E217" s="29">
        <v>0</v>
      </c>
      <c r="F217">
        <v>0</v>
      </c>
      <c r="G217">
        <v>0</v>
      </c>
      <c r="H217">
        <v>0</v>
      </c>
      <c r="I217" s="29">
        <v>0</v>
      </c>
      <c r="J217" s="29">
        <v>0</v>
      </c>
      <c r="K217" s="9">
        <v>45297</v>
      </c>
      <c r="L217">
        <f xml:space="preserve"> (交易處理資料__3[[#This Row],[售出工時]] * 60) / 5</f>
        <v>0</v>
      </c>
      <c r="M217" t="str">
        <f>VLOOKUP(交易處理資料__3[[#This Row],[人員代號]],團隊分組!$B$1:$C$52,2,FALSE)</f>
        <v>噴漆維修組</v>
      </c>
      <c r="N217" t="str">
        <f>IF(交易處理資料__3[[#This Row],[上班時間]]=0,"否","是")</f>
        <v>否</v>
      </c>
      <c r="O217" s="10" t="s">
        <v>74</v>
      </c>
      <c r="P217" s="38">
        <v>0</v>
      </c>
      <c r="Q217" s="38">
        <v>0</v>
      </c>
      <c r="R217" s="38">
        <v>0</v>
      </c>
    </row>
    <row r="218" spans="1:18" hidden="1">
      <c r="A218" s="10" t="s">
        <v>74</v>
      </c>
      <c r="B218" t="s">
        <v>4</v>
      </c>
      <c r="C218">
        <v>0</v>
      </c>
      <c r="D218">
        <v>0</v>
      </c>
      <c r="E218" s="29">
        <v>0</v>
      </c>
      <c r="F218">
        <v>0</v>
      </c>
      <c r="G218">
        <v>0</v>
      </c>
      <c r="H218">
        <v>0</v>
      </c>
      <c r="I218" s="29">
        <v>0</v>
      </c>
      <c r="J218" s="29">
        <v>0</v>
      </c>
      <c r="K218" s="9">
        <v>45297</v>
      </c>
      <c r="L218">
        <f xml:space="preserve"> (交易處理資料__3[[#This Row],[售出工時]] * 60) / 5</f>
        <v>0</v>
      </c>
      <c r="M218" t="str">
        <f>VLOOKUP(交易處理資料__3[[#This Row],[人員代號]],團隊分組!$B$1:$C$52,2,FALSE)</f>
        <v>噴漆維修組</v>
      </c>
      <c r="N218" t="str">
        <f>IF(交易處理資料__3[[#This Row],[上班時間]]=0,"否","是")</f>
        <v>否</v>
      </c>
      <c r="O218" s="10" t="s">
        <v>74</v>
      </c>
      <c r="P218" s="37">
        <v>0</v>
      </c>
      <c r="Q218" s="37">
        <v>0</v>
      </c>
      <c r="R218" s="37">
        <v>0</v>
      </c>
    </row>
    <row r="219" spans="1:18" hidden="1">
      <c r="A219" s="10" t="s">
        <v>74</v>
      </c>
      <c r="B219" t="s">
        <v>5</v>
      </c>
      <c r="C219">
        <v>0.5</v>
      </c>
      <c r="D219">
        <v>1.07</v>
      </c>
      <c r="E219" s="29">
        <v>0.4672</v>
      </c>
      <c r="F219">
        <v>7.65</v>
      </c>
      <c r="G219">
        <v>0.14000000000000001</v>
      </c>
      <c r="H219">
        <v>7.79</v>
      </c>
      <c r="I219" s="29">
        <v>0.98199999999999998</v>
      </c>
      <c r="J219" s="29">
        <v>6.4199999999999993E-2</v>
      </c>
      <c r="K219" s="9">
        <v>45297</v>
      </c>
      <c r="L219">
        <f xml:space="preserve"> (交易處理資料__3[[#This Row],[售出工時]] * 60) / 5</f>
        <v>6</v>
      </c>
      <c r="M219" t="str">
        <f>VLOOKUP(交易處理資料__3[[#This Row],[人員代號]],團隊分組!$B$1:$C$52,2,FALSE)</f>
        <v>噴漆維修組</v>
      </c>
      <c r="N219" t="str">
        <f>IF(交易處理資料__3[[#This Row],[上班時間]]=0,"否","是")</f>
        <v>是</v>
      </c>
      <c r="O219" s="10" t="s">
        <v>74</v>
      </c>
      <c r="P219" s="38">
        <v>0.4672</v>
      </c>
      <c r="Q219" s="38">
        <v>6.4199999999999993E-2</v>
      </c>
      <c r="R219" s="38">
        <v>0.98199999999999998</v>
      </c>
    </row>
    <row r="220" spans="1:18" hidden="1">
      <c r="A220" s="10" t="s">
        <v>74</v>
      </c>
      <c r="B220" t="s">
        <v>6</v>
      </c>
      <c r="C220">
        <v>0</v>
      </c>
      <c r="D220">
        <v>0</v>
      </c>
      <c r="E220" s="29">
        <v>0</v>
      </c>
      <c r="F220">
        <v>0</v>
      </c>
      <c r="G220">
        <v>0</v>
      </c>
      <c r="H220">
        <v>0</v>
      </c>
      <c r="I220" s="29">
        <v>0</v>
      </c>
      <c r="J220" s="29">
        <v>0</v>
      </c>
      <c r="K220" s="9">
        <v>45297</v>
      </c>
      <c r="L220">
        <f xml:space="preserve"> (交易處理資料__3[[#This Row],[售出工時]] * 60) / 5</f>
        <v>0</v>
      </c>
      <c r="M220" t="str">
        <f>VLOOKUP(交易處理資料__3[[#This Row],[人員代號]],團隊分組!$B$1:$C$52,2,FALSE)</f>
        <v>噴漆維修組</v>
      </c>
      <c r="N220" t="str">
        <f>IF(交易處理資料__3[[#This Row],[上班時間]]=0,"否","是")</f>
        <v>否</v>
      </c>
      <c r="O220" s="10" t="s">
        <v>74</v>
      </c>
      <c r="P220" s="37">
        <v>0</v>
      </c>
      <c r="Q220" s="37">
        <v>0</v>
      </c>
      <c r="R220" s="37">
        <v>0</v>
      </c>
    </row>
    <row r="221" spans="1:18" hidden="1">
      <c r="A221" s="10" t="s">
        <v>74</v>
      </c>
      <c r="B221" t="s">
        <v>8</v>
      </c>
      <c r="C221">
        <v>0</v>
      </c>
      <c r="D221">
        <v>0</v>
      </c>
      <c r="E221" s="29">
        <v>0</v>
      </c>
      <c r="F221">
        <v>0</v>
      </c>
      <c r="G221">
        <v>0</v>
      </c>
      <c r="H221">
        <v>0</v>
      </c>
      <c r="I221" s="29">
        <v>0</v>
      </c>
      <c r="J221" s="29">
        <v>0</v>
      </c>
      <c r="K221" s="9">
        <v>45297</v>
      </c>
      <c r="L221">
        <f xml:space="preserve"> (交易處理資料__3[[#This Row],[售出工時]] * 60) / 5</f>
        <v>0</v>
      </c>
      <c r="M221" t="str">
        <f>VLOOKUP(交易處理資料__3[[#This Row],[人員代號]],團隊分組!$B$1:$C$52,2,FALSE)</f>
        <v>噴漆維修組</v>
      </c>
      <c r="N221" t="str">
        <f>IF(交易處理資料__3[[#This Row],[上班時間]]=0,"否","是")</f>
        <v>否</v>
      </c>
      <c r="O221" s="10" t="s">
        <v>74</v>
      </c>
      <c r="P221" s="38">
        <v>0</v>
      </c>
      <c r="Q221" s="38">
        <v>0</v>
      </c>
      <c r="R221" s="38">
        <v>0</v>
      </c>
    </row>
    <row r="222" spans="1:18" hidden="1">
      <c r="A222" s="10" t="s">
        <v>74</v>
      </c>
      <c r="B222" t="s">
        <v>9</v>
      </c>
      <c r="C222">
        <v>0</v>
      </c>
      <c r="D222">
        <v>0</v>
      </c>
      <c r="E222" s="29">
        <v>0</v>
      </c>
      <c r="F222">
        <v>6.5</v>
      </c>
      <c r="G222">
        <v>1.54</v>
      </c>
      <c r="H222">
        <v>8.0399999999999991</v>
      </c>
      <c r="I222" s="29">
        <v>0.8085</v>
      </c>
      <c r="J222" s="29">
        <v>0</v>
      </c>
      <c r="K222" s="9">
        <v>45297</v>
      </c>
      <c r="L222">
        <f xml:space="preserve"> (交易處理資料__3[[#This Row],[售出工時]] * 60) / 5</f>
        <v>0</v>
      </c>
      <c r="M222" t="str">
        <f>VLOOKUP(交易處理資料__3[[#This Row],[人員代號]],團隊分組!$B$1:$C$52,2,FALSE)</f>
        <v>噴漆維修組</v>
      </c>
      <c r="N222" t="str">
        <f>IF(交易處理資料__3[[#This Row],[上班時間]]=0,"否","是")</f>
        <v>是</v>
      </c>
      <c r="O222" s="10" t="s">
        <v>74</v>
      </c>
      <c r="P222" s="37">
        <v>0</v>
      </c>
      <c r="Q222" s="37">
        <v>0</v>
      </c>
      <c r="R222" s="37">
        <v>0.8085</v>
      </c>
    </row>
    <row r="223" spans="1:18" hidden="1">
      <c r="A223" t="s">
        <v>75</v>
      </c>
      <c r="B223" t="s">
        <v>11</v>
      </c>
      <c r="C223">
        <v>0</v>
      </c>
      <c r="D223">
        <v>0</v>
      </c>
      <c r="E223" s="29">
        <v>0</v>
      </c>
      <c r="F223">
        <v>0</v>
      </c>
      <c r="G223">
        <v>0</v>
      </c>
      <c r="H223">
        <v>0</v>
      </c>
      <c r="I223" s="29">
        <v>0</v>
      </c>
      <c r="J223" s="29">
        <v>0</v>
      </c>
      <c r="K223" s="9">
        <v>45297</v>
      </c>
      <c r="L223">
        <f xml:space="preserve"> (交易處理資料__3[[#This Row],[售出工時]] * 60) / 5</f>
        <v>0</v>
      </c>
      <c r="M223" t="str">
        <f>VLOOKUP(交易處理資料__3[[#This Row],[人員代號]],團隊分組!$B$1:$C$52,2,FALSE)</f>
        <v>鈑金維修組</v>
      </c>
      <c r="N223" t="str">
        <f>IF(交易處理資料__3[[#This Row],[上班時間]]=0,"否","是")</f>
        <v>否</v>
      </c>
      <c r="O223" t="s">
        <v>75</v>
      </c>
      <c r="P223" s="38">
        <v>0</v>
      </c>
      <c r="Q223" s="38">
        <v>0</v>
      </c>
      <c r="R223" s="38">
        <v>0</v>
      </c>
    </row>
    <row r="224" spans="1:18" hidden="1">
      <c r="A224" t="s">
        <v>75</v>
      </c>
      <c r="B224" t="s">
        <v>12</v>
      </c>
      <c r="C224">
        <v>0</v>
      </c>
      <c r="D224">
        <v>0</v>
      </c>
      <c r="E224" s="29">
        <v>0</v>
      </c>
      <c r="F224">
        <v>7.57</v>
      </c>
      <c r="G224">
        <v>0.48</v>
      </c>
      <c r="H224">
        <v>8.0500000000000007</v>
      </c>
      <c r="I224" s="29">
        <v>0.94040000000000001</v>
      </c>
      <c r="J224" s="29">
        <v>0</v>
      </c>
      <c r="K224" s="9">
        <v>45297</v>
      </c>
      <c r="L224">
        <f xml:space="preserve"> (交易處理資料__3[[#This Row],[售出工時]] * 60) / 5</f>
        <v>0</v>
      </c>
      <c r="M224" t="str">
        <f>VLOOKUP(交易處理資料__3[[#This Row],[人員代號]],團隊分組!$B$1:$C$52,2,FALSE)</f>
        <v>鈑金維修組</v>
      </c>
      <c r="N224" t="str">
        <f>IF(交易處理資料__3[[#This Row],[上班時間]]=0,"否","是")</f>
        <v>是</v>
      </c>
      <c r="O224" t="s">
        <v>75</v>
      </c>
      <c r="P224" s="37">
        <v>0</v>
      </c>
      <c r="Q224" s="37">
        <v>0</v>
      </c>
      <c r="R224" s="37">
        <v>0.94040000000000001</v>
      </c>
    </row>
    <row r="225" spans="1:18" hidden="1">
      <c r="A225" t="s">
        <v>75</v>
      </c>
      <c r="B225" t="s">
        <v>13</v>
      </c>
      <c r="C225">
        <v>0</v>
      </c>
      <c r="D225">
        <v>0</v>
      </c>
      <c r="E225" s="29">
        <v>0</v>
      </c>
      <c r="F225">
        <v>6.33</v>
      </c>
      <c r="G225">
        <v>1.72</v>
      </c>
      <c r="H225">
        <v>8.0500000000000007</v>
      </c>
      <c r="I225" s="29">
        <v>0.7863</v>
      </c>
      <c r="J225" s="29">
        <v>0</v>
      </c>
      <c r="K225" s="9">
        <v>45297</v>
      </c>
      <c r="L225">
        <f xml:space="preserve"> (交易處理資料__3[[#This Row],[售出工時]] * 60) / 5</f>
        <v>0</v>
      </c>
      <c r="M225" t="str">
        <f>VLOOKUP(交易處理資料__3[[#This Row],[人員代號]],團隊分組!$B$1:$C$52,2,FALSE)</f>
        <v>鈑金維修組</v>
      </c>
      <c r="N225" t="str">
        <f>IF(交易處理資料__3[[#This Row],[上班時間]]=0,"否","是")</f>
        <v>是</v>
      </c>
      <c r="O225" t="s">
        <v>75</v>
      </c>
      <c r="P225" s="38">
        <v>0</v>
      </c>
      <c r="Q225" s="38">
        <v>0</v>
      </c>
      <c r="R225" s="38">
        <v>0.7863</v>
      </c>
    </row>
    <row r="226" spans="1:18" hidden="1">
      <c r="A226" t="s">
        <v>75</v>
      </c>
      <c r="B226" t="s">
        <v>14</v>
      </c>
      <c r="C226">
        <v>0</v>
      </c>
      <c r="D226">
        <v>0</v>
      </c>
      <c r="E226" s="29">
        <v>0</v>
      </c>
      <c r="F226">
        <v>0</v>
      </c>
      <c r="G226">
        <v>0</v>
      </c>
      <c r="H226">
        <v>0</v>
      </c>
      <c r="I226" s="29">
        <v>0</v>
      </c>
      <c r="J226" s="29">
        <v>0</v>
      </c>
      <c r="K226" s="9">
        <v>45297</v>
      </c>
      <c r="L226">
        <f xml:space="preserve"> (交易處理資料__3[[#This Row],[售出工時]] * 60) / 5</f>
        <v>0</v>
      </c>
      <c r="M226" t="str">
        <f>VLOOKUP(交易處理資料__3[[#This Row],[人員代號]],團隊分組!$B$1:$C$52,2,FALSE)</f>
        <v>鈑金維修組</v>
      </c>
      <c r="N226" t="str">
        <f>IF(交易處理資料__3[[#This Row],[上班時間]]=0,"否","是")</f>
        <v>否</v>
      </c>
      <c r="O226" t="s">
        <v>75</v>
      </c>
      <c r="P226" s="37">
        <v>0</v>
      </c>
      <c r="Q226" s="37">
        <v>0</v>
      </c>
      <c r="R226" s="37">
        <v>0</v>
      </c>
    </row>
    <row r="227" spans="1:18" hidden="1">
      <c r="A227" t="s">
        <v>75</v>
      </c>
      <c r="B227" t="s">
        <v>15</v>
      </c>
      <c r="C227">
        <v>0</v>
      </c>
      <c r="D227">
        <v>0</v>
      </c>
      <c r="E227" s="29">
        <v>0</v>
      </c>
      <c r="F227">
        <v>0</v>
      </c>
      <c r="G227">
        <v>0</v>
      </c>
      <c r="H227">
        <v>0</v>
      </c>
      <c r="I227" s="29">
        <v>0</v>
      </c>
      <c r="J227" s="29">
        <v>0</v>
      </c>
      <c r="K227" s="9">
        <v>45297</v>
      </c>
      <c r="L227">
        <f xml:space="preserve"> (交易處理資料__3[[#This Row],[售出工時]] * 60) / 5</f>
        <v>0</v>
      </c>
      <c r="M227" t="str">
        <f>VLOOKUP(交易處理資料__3[[#This Row],[人員代號]],團隊分組!$B$1:$C$52,2,FALSE)</f>
        <v>鈑金維修組</v>
      </c>
      <c r="N227" t="str">
        <f>IF(交易處理資料__3[[#This Row],[上班時間]]=0,"否","是")</f>
        <v>否</v>
      </c>
      <c r="O227" t="s">
        <v>75</v>
      </c>
      <c r="P227" s="38">
        <v>0</v>
      </c>
      <c r="Q227" s="38">
        <v>0</v>
      </c>
      <c r="R227" s="38">
        <v>0</v>
      </c>
    </row>
    <row r="228" spans="1:18" hidden="1">
      <c r="A228" t="s">
        <v>76</v>
      </c>
      <c r="B228" t="s">
        <v>21</v>
      </c>
      <c r="C228">
        <v>7.17</v>
      </c>
      <c r="D228">
        <v>4.8499999999999996</v>
      </c>
      <c r="E228" s="29">
        <v>1.4783000000000002</v>
      </c>
      <c r="F228">
        <v>4.8499999999999996</v>
      </c>
      <c r="G228">
        <v>3.15</v>
      </c>
      <c r="H228">
        <v>8</v>
      </c>
      <c r="I228" s="29">
        <v>0.60630000000000006</v>
      </c>
      <c r="J228" s="29">
        <v>0.89629999999999999</v>
      </c>
      <c r="K228" s="9">
        <v>45297</v>
      </c>
      <c r="L228">
        <f xml:space="preserve"> (交易處理資料__3[[#This Row],[售出工時]] * 60) / 5</f>
        <v>86.039999999999992</v>
      </c>
      <c r="M228" t="str">
        <f>VLOOKUP(交易處理資料__3[[#This Row],[人員代號]],團隊分組!$B$1:$C$52,2,FALSE)</f>
        <v>查修團隊B</v>
      </c>
      <c r="N228" t="str">
        <f>IF(交易處理資料__3[[#This Row],[上班時間]]=0,"否","是")</f>
        <v>是</v>
      </c>
      <c r="O228" t="s">
        <v>76</v>
      </c>
      <c r="P228" s="37">
        <v>1.4783000000000002</v>
      </c>
      <c r="Q228" s="37">
        <v>0.89629999999999999</v>
      </c>
      <c r="R228" s="37">
        <v>0.60630000000000006</v>
      </c>
    </row>
    <row r="229" spans="1:18" hidden="1">
      <c r="A229" t="s">
        <v>76</v>
      </c>
      <c r="B229" t="s">
        <v>22</v>
      </c>
      <c r="C229">
        <v>0</v>
      </c>
      <c r="D229">
        <v>0</v>
      </c>
      <c r="E229" s="29">
        <v>0</v>
      </c>
      <c r="F229">
        <v>0</v>
      </c>
      <c r="G229">
        <v>0</v>
      </c>
      <c r="H229">
        <v>0</v>
      </c>
      <c r="I229" s="29">
        <v>0</v>
      </c>
      <c r="J229" s="29">
        <v>0</v>
      </c>
      <c r="K229" s="9">
        <v>45297</v>
      </c>
      <c r="L229">
        <f xml:space="preserve"> (交易處理資料__3[[#This Row],[售出工時]] * 60) / 5</f>
        <v>0</v>
      </c>
      <c r="M229" t="str">
        <f>VLOOKUP(交易處理資料__3[[#This Row],[人員代號]],團隊分組!$B$1:$C$52,2,FALSE)</f>
        <v>快速保養團隊A</v>
      </c>
      <c r="N229" t="str">
        <f>IF(交易處理資料__3[[#This Row],[上班時間]]=0,"否","是")</f>
        <v>否</v>
      </c>
      <c r="O229" t="s">
        <v>76</v>
      </c>
      <c r="P229" s="38">
        <v>0</v>
      </c>
      <c r="Q229" s="38">
        <v>0</v>
      </c>
      <c r="R229" s="38">
        <v>0</v>
      </c>
    </row>
    <row r="230" spans="1:18" hidden="1">
      <c r="A230" t="s">
        <v>76</v>
      </c>
      <c r="B230" t="s">
        <v>24</v>
      </c>
      <c r="C230">
        <v>5.1100000000000003</v>
      </c>
      <c r="D230">
        <v>3.78</v>
      </c>
      <c r="E230" s="29">
        <v>1.3536000000000001</v>
      </c>
      <c r="F230">
        <v>5.29</v>
      </c>
      <c r="G230">
        <v>2.72</v>
      </c>
      <c r="H230">
        <v>8.01</v>
      </c>
      <c r="I230" s="29">
        <v>0.6604000000000001</v>
      </c>
      <c r="J230" s="29">
        <v>0.63880000000000003</v>
      </c>
      <c r="K230" s="9">
        <v>45297</v>
      </c>
      <c r="L230">
        <f xml:space="preserve"> (交易處理資料__3[[#This Row],[售出工時]] * 60) / 5</f>
        <v>61.320000000000007</v>
      </c>
      <c r="M230" t="str">
        <f>VLOOKUP(交易處理資料__3[[#This Row],[人員代號]],團隊分組!$B$1:$C$52,2,FALSE)</f>
        <v>快速保養團隊A</v>
      </c>
      <c r="N230" t="str">
        <f>IF(交易處理資料__3[[#This Row],[上班時間]]=0,"否","是")</f>
        <v>是</v>
      </c>
      <c r="O230" t="s">
        <v>76</v>
      </c>
      <c r="P230" s="37">
        <v>1.3536000000000001</v>
      </c>
      <c r="Q230" s="37">
        <v>0.63880000000000003</v>
      </c>
      <c r="R230" s="37">
        <v>0.6604000000000001</v>
      </c>
    </row>
    <row r="231" spans="1:18" hidden="1">
      <c r="A231" t="s">
        <v>76</v>
      </c>
      <c r="B231" t="s">
        <v>25</v>
      </c>
      <c r="C231">
        <v>0</v>
      </c>
      <c r="D231">
        <v>0</v>
      </c>
      <c r="E231" s="29">
        <v>0</v>
      </c>
      <c r="F231">
        <v>0</v>
      </c>
      <c r="G231">
        <v>0</v>
      </c>
      <c r="H231">
        <v>0</v>
      </c>
      <c r="I231" s="29">
        <v>0</v>
      </c>
      <c r="J231" s="29">
        <v>0</v>
      </c>
      <c r="K231" s="9">
        <v>45297</v>
      </c>
      <c r="L231">
        <f xml:space="preserve"> (交易處理資料__3[[#This Row],[售出工時]] * 60) / 5</f>
        <v>0</v>
      </c>
      <c r="M231" t="str">
        <f>VLOOKUP(交易處理資料__3[[#This Row],[人員代號]],團隊分組!$B$1:$C$52,2,FALSE)</f>
        <v>查修團隊A</v>
      </c>
      <c r="N231" t="str">
        <f>IF(交易處理資料__3[[#This Row],[上班時間]]=0,"否","是")</f>
        <v>否</v>
      </c>
      <c r="O231" t="s">
        <v>76</v>
      </c>
      <c r="P231" s="38">
        <v>0</v>
      </c>
      <c r="Q231" s="38">
        <v>0</v>
      </c>
      <c r="R231" s="38">
        <v>0</v>
      </c>
    </row>
    <row r="232" spans="1:18" hidden="1">
      <c r="A232" t="s">
        <v>76</v>
      </c>
      <c r="B232" t="s">
        <v>27</v>
      </c>
      <c r="C232">
        <v>6.36</v>
      </c>
      <c r="D232">
        <v>6.36</v>
      </c>
      <c r="E232" s="29">
        <v>1.0004999999999999</v>
      </c>
      <c r="F232">
        <v>4.6900000000000004</v>
      </c>
      <c r="G232">
        <v>3.28</v>
      </c>
      <c r="H232">
        <v>7.97</v>
      </c>
      <c r="I232" s="29">
        <v>0.58850000000000002</v>
      </c>
      <c r="J232" s="29">
        <v>0.7984</v>
      </c>
      <c r="K232" s="9">
        <v>45297</v>
      </c>
      <c r="L232">
        <f xml:space="preserve"> (交易處理資料__3[[#This Row],[售出工時]] * 60) / 5</f>
        <v>76.320000000000007</v>
      </c>
      <c r="M232" t="str">
        <f>VLOOKUP(交易處理資料__3[[#This Row],[人員代號]],團隊分組!$B$1:$C$52,2,FALSE)</f>
        <v>快速保養團隊B</v>
      </c>
      <c r="N232" t="str">
        <f>IF(交易處理資料__3[[#This Row],[上班時間]]=0,"否","是")</f>
        <v>是</v>
      </c>
      <c r="O232" t="s">
        <v>76</v>
      </c>
      <c r="P232" s="37">
        <v>1.0004999999999999</v>
      </c>
      <c r="Q232" s="37">
        <v>0.7984</v>
      </c>
      <c r="R232" s="37">
        <v>0.58850000000000002</v>
      </c>
    </row>
    <row r="233" spans="1:18" hidden="1">
      <c r="A233" t="s">
        <v>76</v>
      </c>
      <c r="B233" t="s">
        <v>28</v>
      </c>
      <c r="C233">
        <v>5.82</v>
      </c>
      <c r="D233">
        <v>5.83</v>
      </c>
      <c r="E233" s="29">
        <v>0.99879999999999991</v>
      </c>
      <c r="F233">
        <v>7.59</v>
      </c>
      <c r="G233">
        <v>0.51</v>
      </c>
      <c r="H233">
        <v>8.1</v>
      </c>
      <c r="I233" s="29">
        <v>0.93700000000000006</v>
      </c>
      <c r="J233" s="29">
        <v>0.71889999999999998</v>
      </c>
      <c r="K233" s="9">
        <v>45297</v>
      </c>
      <c r="L233">
        <f xml:space="preserve"> (交易處理資料__3[[#This Row],[售出工時]] * 60) / 5</f>
        <v>69.84</v>
      </c>
      <c r="M233" t="str">
        <f>VLOOKUP(交易處理資料__3[[#This Row],[人員代號]],團隊分組!$B$1:$C$52,2,FALSE)</f>
        <v>快速保養團隊A</v>
      </c>
      <c r="N233" t="str">
        <f>IF(交易處理資料__3[[#This Row],[上班時間]]=0,"否","是")</f>
        <v>是</v>
      </c>
      <c r="O233" t="s">
        <v>76</v>
      </c>
      <c r="P233" s="38">
        <v>0.99879999999999991</v>
      </c>
      <c r="Q233" s="38">
        <v>0.71889999999999998</v>
      </c>
      <c r="R233" s="38">
        <v>0.93700000000000006</v>
      </c>
    </row>
    <row r="234" spans="1:18" hidden="1">
      <c r="A234" t="s">
        <v>76</v>
      </c>
      <c r="B234" t="s">
        <v>30</v>
      </c>
      <c r="C234">
        <v>6.97</v>
      </c>
      <c r="D234">
        <v>7.18</v>
      </c>
      <c r="E234" s="29">
        <v>0.9706999999999999</v>
      </c>
      <c r="F234">
        <v>4.71</v>
      </c>
      <c r="G234">
        <v>3.25</v>
      </c>
      <c r="H234">
        <v>7.96</v>
      </c>
      <c r="I234" s="29">
        <v>0.5917</v>
      </c>
      <c r="J234" s="29">
        <v>0.87560000000000004</v>
      </c>
      <c r="K234" s="9">
        <v>45297</v>
      </c>
      <c r="L234">
        <f xml:space="preserve"> (交易處理資料__3[[#This Row],[售出工時]] * 60) / 5</f>
        <v>83.64</v>
      </c>
      <c r="M234" t="str">
        <f>VLOOKUP(交易處理資料__3[[#This Row],[人員代號]],團隊分組!$B$1:$C$52,2,FALSE)</f>
        <v>快速保養團隊B</v>
      </c>
      <c r="N234" t="str">
        <f>IF(交易處理資料__3[[#This Row],[上班時間]]=0,"否","是")</f>
        <v>是</v>
      </c>
      <c r="O234" t="s">
        <v>76</v>
      </c>
      <c r="P234" s="37">
        <v>0.9706999999999999</v>
      </c>
      <c r="Q234" s="37">
        <v>0.87560000000000004</v>
      </c>
      <c r="R234" s="37">
        <v>0.5917</v>
      </c>
    </row>
    <row r="235" spans="1:18" hidden="1">
      <c r="A235" t="s">
        <v>76</v>
      </c>
      <c r="B235" t="s">
        <v>31</v>
      </c>
      <c r="C235">
        <v>0</v>
      </c>
      <c r="D235">
        <v>0</v>
      </c>
      <c r="E235" s="29">
        <v>0</v>
      </c>
      <c r="F235">
        <v>0</v>
      </c>
      <c r="G235">
        <v>0</v>
      </c>
      <c r="H235">
        <v>0</v>
      </c>
      <c r="I235" s="29">
        <v>0</v>
      </c>
      <c r="J235" s="29">
        <v>0</v>
      </c>
      <c r="K235" s="9">
        <v>45297</v>
      </c>
      <c r="L235">
        <f xml:space="preserve"> (交易處理資料__3[[#This Row],[售出工時]] * 60) / 5</f>
        <v>0</v>
      </c>
      <c r="M235" t="str">
        <f>VLOOKUP(交易處理資料__3[[#This Row],[人員代號]],團隊分組!$B$1:$C$52,2,FALSE)</f>
        <v>快速保養團隊A</v>
      </c>
      <c r="N235" t="str">
        <f>IF(交易處理資料__3[[#This Row],[上班時間]]=0,"否","是")</f>
        <v>否</v>
      </c>
      <c r="O235" t="s">
        <v>76</v>
      </c>
      <c r="P235" s="38">
        <v>0</v>
      </c>
      <c r="Q235" s="38">
        <v>0</v>
      </c>
      <c r="R235" s="38">
        <v>0</v>
      </c>
    </row>
    <row r="236" spans="1:18" hidden="1">
      <c r="A236" t="s">
        <v>76</v>
      </c>
      <c r="B236" t="s">
        <v>33</v>
      </c>
      <c r="C236">
        <v>0</v>
      </c>
      <c r="D236">
        <v>0</v>
      </c>
      <c r="E236" s="29">
        <v>0</v>
      </c>
      <c r="F236">
        <v>0</v>
      </c>
      <c r="G236">
        <v>0</v>
      </c>
      <c r="H236">
        <v>0</v>
      </c>
      <c r="I236" s="29">
        <v>0</v>
      </c>
      <c r="J236" s="29">
        <v>0</v>
      </c>
      <c r="K236" s="9">
        <v>45297</v>
      </c>
      <c r="L236">
        <f xml:space="preserve"> (交易處理資料__3[[#This Row],[售出工時]] * 60) / 5</f>
        <v>0</v>
      </c>
      <c r="M236" t="str">
        <f>VLOOKUP(交易處理資料__3[[#This Row],[人員代號]],團隊分組!$B$1:$C$52,2,FALSE)</f>
        <v>快速保養團隊B</v>
      </c>
      <c r="N236" t="str">
        <f>IF(交易處理資料__3[[#This Row],[上班時間]]=0,"否","是")</f>
        <v>否</v>
      </c>
      <c r="O236" t="s">
        <v>76</v>
      </c>
      <c r="P236" s="37">
        <v>0</v>
      </c>
      <c r="Q236" s="37">
        <v>0</v>
      </c>
      <c r="R236" s="37">
        <v>0</v>
      </c>
    </row>
    <row r="237" spans="1:18" hidden="1">
      <c r="A237" t="s">
        <v>76</v>
      </c>
      <c r="B237" t="s">
        <v>34</v>
      </c>
      <c r="C237">
        <v>4.66</v>
      </c>
      <c r="D237">
        <v>5.99</v>
      </c>
      <c r="E237" s="29">
        <v>0.77900000000000003</v>
      </c>
      <c r="F237">
        <v>5.18</v>
      </c>
      <c r="G237">
        <v>2.81</v>
      </c>
      <c r="H237">
        <v>7.99</v>
      </c>
      <c r="I237" s="29">
        <v>0.64829999999999999</v>
      </c>
      <c r="J237" s="29">
        <v>0.58409999999999995</v>
      </c>
      <c r="K237" s="9">
        <v>45297</v>
      </c>
      <c r="L237">
        <f xml:space="preserve"> (交易處理資料__3[[#This Row],[售出工時]] * 60) / 5</f>
        <v>55.92</v>
      </c>
      <c r="M237" t="str">
        <f>VLOOKUP(交易處理資料__3[[#This Row],[人員代號]],團隊分組!$B$1:$C$52,2,FALSE)</f>
        <v>快速保養團隊A</v>
      </c>
      <c r="N237" t="str">
        <f>IF(交易處理資料__3[[#This Row],[上班時間]]=0,"否","是")</f>
        <v>是</v>
      </c>
      <c r="O237" t="s">
        <v>76</v>
      </c>
      <c r="P237" s="38">
        <v>0.77900000000000003</v>
      </c>
      <c r="Q237" s="38">
        <v>0.58409999999999995</v>
      </c>
      <c r="R237" s="38">
        <v>0.64829999999999999</v>
      </c>
    </row>
    <row r="238" spans="1:18" hidden="1">
      <c r="A238" t="s">
        <v>76</v>
      </c>
      <c r="B238" t="s">
        <v>36</v>
      </c>
      <c r="C238">
        <v>0</v>
      </c>
      <c r="D238">
        <v>0</v>
      </c>
      <c r="E238" s="29">
        <v>0</v>
      </c>
      <c r="F238">
        <v>0</v>
      </c>
      <c r="G238">
        <v>0</v>
      </c>
      <c r="H238">
        <v>0</v>
      </c>
      <c r="I238" s="29">
        <v>0</v>
      </c>
      <c r="J238" s="29">
        <v>0</v>
      </c>
      <c r="K238" s="9">
        <v>45297</v>
      </c>
      <c r="L238">
        <f xml:space="preserve"> (交易處理資料__3[[#This Row],[售出工時]] * 60) / 5</f>
        <v>0</v>
      </c>
      <c r="M238" t="str">
        <f>VLOOKUP(交易處理資料__3[[#This Row],[人員代號]],團隊分組!$B$1:$C$52,2,FALSE)</f>
        <v>查修團隊B</v>
      </c>
      <c r="N238" t="str">
        <f>IF(交易處理資料__3[[#This Row],[上班時間]]=0,"否","是")</f>
        <v>否</v>
      </c>
      <c r="O238" t="s">
        <v>76</v>
      </c>
      <c r="P238" s="37">
        <v>0</v>
      </c>
      <c r="Q238" s="37">
        <v>0</v>
      </c>
      <c r="R238" s="37">
        <v>0</v>
      </c>
    </row>
    <row r="239" spans="1:18" hidden="1">
      <c r="A239" t="s">
        <v>76</v>
      </c>
      <c r="B239" t="s">
        <v>37</v>
      </c>
      <c r="C239">
        <v>0</v>
      </c>
      <c r="D239">
        <v>0</v>
      </c>
      <c r="E239" s="29">
        <v>0</v>
      </c>
      <c r="F239">
        <v>0</v>
      </c>
      <c r="G239">
        <v>0</v>
      </c>
      <c r="H239">
        <v>0</v>
      </c>
      <c r="I239" s="29">
        <v>0</v>
      </c>
      <c r="J239" s="29">
        <v>0</v>
      </c>
      <c r="K239" s="9">
        <v>45297</v>
      </c>
      <c r="L239">
        <f xml:space="preserve"> (交易處理資料__3[[#This Row],[售出工時]] * 60) / 5</f>
        <v>0</v>
      </c>
      <c r="M239" t="str">
        <f>VLOOKUP(交易處理資料__3[[#This Row],[人員代號]],團隊分組!$B$1:$C$52,2,FALSE)</f>
        <v>查修團隊A</v>
      </c>
      <c r="N239" t="str">
        <f>IF(交易處理資料__3[[#This Row],[上班時間]]=0,"否","是")</f>
        <v>否</v>
      </c>
      <c r="O239" t="s">
        <v>76</v>
      </c>
      <c r="P239" s="38">
        <v>0</v>
      </c>
      <c r="Q239" s="38">
        <v>0</v>
      </c>
      <c r="R239" s="38">
        <v>0</v>
      </c>
    </row>
    <row r="240" spans="1:18" hidden="1">
      <c r="A240" t="s">
        <v>76</v>
      </c>
      <c r="B240" t="s">
        <v>38</v>
      </c>
      <c r="C240">
        <v>0</v>
      </c>
      <c r="D240">
        <v>0</v>
      </c>
      <c r="E240" s="29">
        <v>0</v>
      </c>
      <c r="F240">
        <v>0</v>
      </c>
      <c r="G240">
        <v>0</v>
      </c>
      <c r="H240">
        <v>0</v>
      </c>
      <c r="I240" s="29">
        <v>0</v>
      </c>
      <c r="J240" s="29">
        <v>0</v>
      </c>
      <c r="K240" s="9">
        <v>45297</v>
      </c>
      <c r="L240">
        <f xml:space="preserve"> (交易處理資料__3[[#This Row],[售出工時]] * 60) / 5</f>
        <v>0</v>
      </c>
      <c r="M240" t="str">
        <f>VLOOKUP(交易處理資料__3[[#This Row],[人員代號]],團隊分組!$B$1:$C$52,2,FALSE)</f>
        <v>快速保養團隊A</v>
      </c>
      <c r="N240" t="str">
        <f>IF(交易處理資料__3[[#This Row],[上班時間]]=0,"否","是")</f>
        <v>否</v>
      </c>
      <c r="O240" t="s">
        <v>76</v>
      </c>
      <c r="P240" s="37">
        <v>0</v>
      </c>
      <c r="Q240" s="37">
        <v>0</v>
      </c>
      <c r="R240" s="37">
        <v>0</v>
      </c>
    </row>
    <row r="241" spans="1:18" hidden="1">
      <c r="A241" t="s">
        <v>76</v>
      </c>
      <c r="B241" t="s">
        <v>39</v>
      </c>
      <c r="C241">
        <v>0</v>
      </c>
      <c r="D241">
        <v>0</v>
      </c>
      <c r="E241" s="29">
        <v>0</v>
      </c>
      <c r="F241">
        <v>0</v>
      </c>
      <c r="G241">
        <v>0</v>
      </c>
      <c r="H241">
        <v>0</v>
      </c>
      <c r="I241" s="29">
        <v>0</v>
      </c>
      <c r="J241" s="29">
        <v>0</v>
      </c>
      <c r="K241" s="9">
        <v>45297</v>
      </c>
      <c r="L241">
        <f xml:space="preserve"> (交易處理資料__3[[#This Row],[售出工時]] * 60) / 5</f>
        <v>0</v>
      </c>
      <c r="M241" t="str">
        <f>VLOOKUP(交易處理資料__3[[#This Row],[人員代號]],團隊分組!$B$1:$C$52,2,FALSE)</f>
        <v>查修團隊A</v>
      </c>
      <c r="N241" t="str">
        <f>IF(交易處理資料__3[[#This Row],[上班時間]]=0,"否","是")</f>
        <v>否</v>
      </c>
      <c r="O241" t="s">
        <v>76</v>
      </c>
      <c r="P241" s="38">
        <v>0</v>
      </c>
      <c r="Q241" s="38">
        <v>0</v>
      </c>
      <c r="R241" s="38">
        <v>0</v>
      </c>
    </row>
    <row r="242" spans="1:18" hidden="1">
      <c r="A242" t="s">
        <v>76</v>
      </c>
      <c r="B242" t="s">
        <v>42</v>
      </c>
      <c r="C242">
        <v>4.08</v>
      </c>
      <c r="D242">
        <v>5.1100000000000003</v>
      </c>
      <c r="E242" s="29">
        <v>0.79900000000000004</v>
      </c>
      <c r="F242">
        <v>4.33</v>
      </c>
      <c r="G242">
        <v>3.65</v>
      </c>
      <c r="H242">
        <v>7.98</v>
      </c>
      <c r="I242" s="29">
        <v>0.54259999999999997</v>
      </c>
      <c r="J242" s="29">
        <v>0.51170000000000004</v>
      </c>
      <c r="K242" s="9">
        <v>45297</v>
      </c>
      <c r="L242">
        <f xml:space="preserve"> (交易處理資料__3[[#This Row],[售出工時]] * 60) / 5</f>
        <v>48.96</v>
      </c>
      <c r="M242" t="str">
        <f>VLOOKUP(交易處理資料__3[[#This Row],[人員代號]],團隊分組!$B$1:$C$52,2,FALSE)</f>
        <v>快速保養團隊A</v>
      </c>
      <c r="N242" t="str">
        <f>IF(交易處理資料__3[[#This Row],[上班時間]]=0,"否","是")</f>
        <v>是</v>
      </c>
      <c r="O242" t="s">
        <v>76</v>
      </c>
      <c r="P242" s="37">
        <v>0.79900000000000004</v>
      </c>
      <c r="Q242" s="37">
        <v>0.51170000000000004</v>
      </c>
      <c r="R242" s="37">
        <v>0.54259999999999997</v>
      </c>
    </row>
    <row r="243" spans="1:18" hidden="1">
      <c r="A243" t="s">
        <v>76</v>
      </c>
      <c r="B243" t="s">
        <v>43</v>
      </c>
      <c r="C243">
        <v>0</v>
      </c>
      <c r="D243">
        <v>0</v>
      </c>
      <c r="E243" s="29">
        <v>0</v>
      </c>
      <c r="F243">
        <v>0</v>
      </c>
      <c r="G243">
        <v>0</v>
      </c>
      <c r="H243">
        <v>0</v>
      </c>
      <c r="I243" s="29">
        <v>0</v>
      </c>
      <c r="J243" s="29">
        <v>0</v>
      </c>
      <c r="K243" s="9">
        <v>45297</v>
      </c>
      <c r="L243">
        <f xml:space="preserve"> (交易處理資料__3[[#This Row],[售出工時]] * 60) / 5</f>
        <v>0</v>
      </c>
      <c r="M243" t="str">
        <f>VLOOKUP(交易處理資料__3[[#This Row],[人員代號]],團隊分組!$B$1:$C$52,2,FALSE)</f>
        <v>查修團隊B</v>
      </c>
      <c r="N243" t="str">
        <f>IF(交易處理資料__3[[#This Row],[上班時間]]=0,"否","是")</f>
        <v>否</v>
      </c>
      <c r="O243" t="s">
        <v>76</v>
      </c>
      <c r="P243" s="38">
        <v>0</v>
      </c>
      <c r="Q243" s="38">
        <v>0</v>
      </c>
      <c r="R243" s="38">
        <v>0</v>
      </c>
    </row>
    <row r="244" spans="1:18" hidden="1">
      <c r="A244" t="s">
        <v>76</v>
      </c>
      <c r="B244" t="s">
        <v>44</v>
      </c>
      <c r="C244">
        <v>0</v>
      </c>
      <c r="D244">
        <v>0</v>
      </c>
      <c r="E244" s="29">
        <v>0</v>
      </c>
      <c r="F244">
        <v>0</v>
      </c>
      <c r="G244">
        <v>0</v>
      </c>
      <c r="H244">
        <v>0</v>
      </c>
      <c r="I244" s="29">
        <v>0</v>
      </c>
      <c r="J244" s="29">
        <v>0</v>
      </c>
      <c r="K244" s="9">
        <v>45297</v>
      </c>
      <c r="L244">
        <f xml:space="preserve"> (交易處理資料__3[[#This Row],[售出工時]] * 60) / 5</f>
        <v>0</v>
      </c>
      <c r="M244" t="str">
        <f>VLOOKUP(交易處理資料__3[[#This Row],[人員代號]],團隊分組!$B$1:$C$52,2,FALSE)</f>
        <v>快速保養團隊B</v>
      </c>
      <c r="N244" t="str">
        <f>IF(交易處理資料__3[[#This Row],[上班時間]]=0,"否","是")</f>
        <v>否</v>
      </c>
      <c r="O244" t="s">
        <v>76</v>
      </c>
      <c r="P244" s="37">
        <v>0</v>
      </c>
      <c r="Q244" s="37">
        <v>0</v>
      </c>
      <c r="R244" s="37">
        <v>0</v>
      </c>
    </row>
    <row r="245" spans="1:18" hidden="1">
      <c r="A245" t="s">
        <v>76</v>
      </c>
      <c r="B245" t="s">
        <v>45</v>
      </c>
      <c r="C245">
        <v>4.83</v>
      </c>
      <c r="D245">
        <v>4.1500000000000004</v>
      </c>
      <c r="E245" s="29">
        <v>1.1645999999999999</v>
      </c>
      <c r="F245">
        <v>4.0599999999999996</v>
      </c>
      <c r="G245">
        <v>3.91</v>
      </c>
      <c r="H245">
        <v>7.97</v>
      </c>
      <c r="I245" s="29">
        <v>0.50939999999999996</v>
      </c>
      <c r="J245" s="29">
        <v>0.60640000000000005</v>
      </c>
      <c r="K245" s="9">
        <v>45297</v>
      </c>
      <c r="L245">
        <f xml:space="preserve"> (交易處理資料__3[[#This Row],[售出工時]] * 60) / 5</f>
        <v>57.96</v>
      </c>
      <c r="M245" t="str">
        <f>VLOOKUP(交易處理資料__3[[#This Row],[人員代號]],團隊分組!$B$1:$C$52,2,FALSE)</f>
        <v>快速保養團隊A</v>
      </c>
      <c r="N245" t="str">
        <f>IF(交易處理資料__3[[#This Row],[上班時間]]=0,"否","是")</f>
        <v>是</v>
      </c>
      <c r="O245" t="s">
        <v>76</v>
      </c>
      <c r="P245" s="38">
        <v>1.1645999999999999</v>
      </c>
      <c r="Q245" s="38">
        <v>0.60640000000000005</v>
      </c>
      <c r="R245" s="38">
        <v>0.50939999999999996</v>
      </c>
    </row>
    <row r="246" spans="1:18" hidden="1">
      <c r="A246" t="s">
        <v>76</v>
      </c>
      <c r="B246" t="s">
        <v>46</v>
      </c>
      <c r="C246">
        <v>6.27</v>
      </c>
      <c r="D246">
        <v>7.68</v>
      </c>
      <c r="E246" s="29">
        <v>0.81640000000000001</v>
      </c>
      <c r="F246">
        <v>6.75</v>
      </c>
      <c r="G246">
        <v>1.25</v>
      </c>
      <c r="H246">
        <v>8</v>
      </c>
      <c r="I246" s="29">
        <v>0.84379999999999999</v>
      </c>
      <c r="J246" s="29">
        <v>0.78379999999999994</v>
      </c>
      <c r="K246" s="9">
        <v>45297</v>
      </c>
      <c r="L246">
        <f xml:space="preserve"> (交易處理資料__3[[#This Row],[售出工時]] * 60) / 5</f>
        <v>75.239999999999995</v>
      </c>
      <c r="M246" t="str">
        <f>VLOOKUP(交易處理資料__3[[#This Row],[人員代號]],團隊分組!$B$1:$C$52,2,FALSE)</f>
        <v>查修團隊B</v>
      </c>
      <c r="N246" t="str">
        <f>IF(交易處理資料__3[[#This Row],[上班時間]]=0,"否","是")</f>
        <v>是</v>
      </c>
      <c r="O246" t="s">
        <v>76</v>
      </c>
      <c r="P246" s="37">
        <v>0.81640000000000001</v>
      </c>
      <c r="Q246" s="37">
        <v>0.78379999999999994</v>
      </c>
      <c r="R246" s="37">
        <v>0.84379999999999999</v>
      </c>
    </row>
    <row r="247" spans="1:18" hidden="1">
      <c r="A247" t="s">
        <v>76</v>
      </c>
      <c r="B247" t="s">
        <v>47</v>
      </c>
      <c r="C247">
        <v>0</v>
      </c>
      <c r="D247">
        <v>0</v>
      </c>
      <c r="E247" s="29">
        <v>0</v>
      </c>
      <c r="F247">
        <v>0</v>
      </c>
      <c r="G247">
        <v>0</v>
      </c>
      <c r="H247">
        <v>0</v>
      </c>
      <c r="I247" s="29">
        <v>0</v>
      </c>
      <c r="J247" s="29">
        <v>0</v>
      </c>
      <c r="K247" s="9">
        <v>45297</v>
      </c>
      <c r="L247">
        <f xml:space="preserve"> (交易處理資料__3[[#This Row],[售出工時]] * 60) / 5</f>
        <v>0</v>
      </c>
      <c r="M247" t="str">
        <f>VLOOKUP(交易處理資料__3[[#This Row],[人員代號]],團隊分組!$B$1:$C$52,2,FALSE)</f>
        <v>查修團隊B</v>
      </c>
      <c r="N247" t="str">
        <f>IF(交易處理資料__3[[#This Row],[上班時間]]=0,"否","是")</f>
        <v>否</v>
      </c>
      <c r="O247" t="s">
        <v>76</v>
      </c>
      <c r="P247" s="38">
        <v>0</v>
      </c>
      <c r="Q247" s="38">
        <v>0</v>
      </c>
      <c r="R247" s="38">
        <v>0</v>
      </c>
    </row>
    <row r="248" spans="1:18" hidden="1">
      <c r="A248" t="s">
        <v>76</v>
      </c>
      <c r="B248" t="s">
        <v>48</v>
      </c>
      <c r="C248">
        <v>5</v>
      </c>
      <c r="D248">
        <v>3.1</v>
      </c>
      <c r="E248" s="29">
        <v>1.6129</v>
      </c>
      <c r="F248">
        <v>3.1</v>
      </c>
      <c r="G248">
        <v>4.88</v>
      </c>
      <c r="H248">
        <v>7.98</v>
      </c>
      <c r="I248" s="29">
        <v>0.38850000000000001</v>
      </c>
      <c r="J248" s="29">
        <v>0.62659999999999993</v>
      </c>
      <c r="K248" s="9">
        <v>45297</v>
      </c>
      <c r="L248">
        <f xml:space="preserve"> (交易處理資料__3[[#This Row],[售出工時]] * 60) / 5</f>
        <v>60</v>
      </c>
      <c r="M248" t="str">
        <f>VLOOKUP(交易處理資料__3[[#This Row],[人員代號]],團隊分組!$B$1:$C$52,2,FALSE)</f>
        <v>查修團隊A</v>
      </c>
      <c r="N248" t="str">
        <f>IF(交易處理資料__3[[#This Row],[上班時間]]=0,"否","是")</f>
        <v>是</v>
      </c>
      <c r="O248" t="s">
        <v>76</v>
      </c>
      <c r="P248" s="37">
        <v>1.6129</v>
      </c>
      <c r="Q248" s="37">
        <v>0.62659999999999993</v>
      </c>
      <c r="R248" s="37">
        <v>0.38850000000000001</v>
      </c>
    </row>
    <row r="249" spans="1:18" hidden="1">
      <c r="A249" t="s">
        <v>76</v>
      </c>
      <c r="B249" t="s">
        <v>49</v>
      </c>
      <c r="C249">
        <v>0</v>
      </c>
      <c r="D249">
        <v>0</v>
      </c>
      <c r="E249" s="29">
        <v>0</v>
      </c>
      <c r="F249">
        <v>0</v>
      </c>
      <c r="G249">
        <v>0</v>
      </c>
      <c r="H249">
        <v>0</v>
      </c>
      <c r="I249" s="29">
        <v>0</v>
      </c>
      <c r="J249" s="29">
        <v>0</v>
      </c>
      <c r="K249" s="9">
        <v>45297</v>
      </c>
      <c r="L249">
        <f xml:space="preserve"> (交易處理資料__3[[#This Row],[售出工時]] * 60) / 5</f>
        <v>0</v>
      </c>
      <c r="M249" t="str">
        <f>VLOOKUP(交易處理資料__3[[#This Row],[人員代號]],團隊分組!$B$1:$C$52,2,FALSE)</f>
        <v>查修團隊A</v>
      </c>
      <c r="N249" t="str">
        <f>IF(交易處理資料__3[[#This Row],[上班時間]]=0,"否","是")</f>
        <v>否</v>
      </c>
      <c r="O249" t="s">
        <v>76</v>
      </c>
      <c r="P249" s="38">
        <v>0</v>
      </c>
      <c r="Q249" s="38">
        <v>0</v>
      </c>
      <c r="R249" s="38">
        <v>0</v>
      </c>
    </row>
    <row r="250" spans="1:18" hidden="1">
      <c r="A250" t="s">
        <v>76</v>
      </c>
      <c r="B250" t="s">
        <v>50</v>
      </c>
      <c r="C250">
        <v>0</v>
      </c>
      <c r="D250">
        <v>0</v>
      </c>
      <c r="E250" s="29">
        <v>0</v>
      </c>
      <c r="F250">
        <v>6.49</v>
      </c>
      <c r="G250">
        <v>1.53</v>
      </c>
      <c r="H250">
        <v>8.02</v>
      </c>
      <c r="I250" s="29">
        <v>0.80920000000000003</v>
      </c>
      <c r="J250" s="29">
        <v>0</v>
      </c>
      <c r="K250" s="9">
        <v>45297</v>
      </c>
      <c r="L250">
        <f xml:space="preserve"> (交易處理資料__3[[#This Row],[售出工時]] * 60) / 5</f>
        <v>0</v>
      </c>
      <c r="M250" t="str">
        <f>VLOOKUP(交易處理資料__3[[#This Row],[人員代號]],團隊分組!$B$1:$C$52,2,FALSE)</f>
        <v>快速保養團隊B</v>
      </c>
      <c r="N250" t="str">
        <f>IF(交易處理資料__3[[#This Row],[上班時間]]=0,"否","是")</f>
        <v>是</v>
      </c>
      <c r="O250" t="s">
        <v>76</v>
      </c>
      <c r="P250" s="37">
        <v>0</v>
      </c>
      <c r="Q250" s="37">
        <v>0</v>
      </c>
      <c r="R250" s="37">
        <v>0.80920000000000003</v>
      </c>
    </row>
    <row r="251" spans="1:18" hidden="1">
      <c r="A251" t="s">
        <v>76</v>
      </c>
      <c r="B251" t="s">
        <v>51</v>
      </c>
      <c r="C251">
        <v>0</v>
      </c>
      <c r="D251">
        <v>0</v>
      </c>
      <c r="E251" s="29">
        <v>0</v>
      </c>
      <c r="F251">
        <v>0</v>
      </c>
      <c r="G251">
        <v>0</v>
      </c>
      <c r="H251">
        <v>0</v>
      </c>
      <c r="I251" s="29">
        <v>0</v>
      </c>
      <c r="J251" s="29">
        <v>0</v>
      </c>
      <c r="K251" s="9">
        <v>45297</v>
      </c>
      <c r="L251">
        <f xml:space="preserve"> (交易處理資料__3[[#This Row],[售出工時]] * 60) / 5</f>
        <v>0</v>
      </c>
      <c r="M251" t="str">
        <f>VLOOKUP(交易處理資料__3[[#This Row],[人員代號]],團隊分組!$B$1:$C$52,2,FALSE)</f>
        <v>無效數據</v>
      </c>
      <c r="N251" t="str">
        <f>IF(交易處理資料__3[[#This Row],[上班時間]]=0,"否","是")</f>
        <v>否</v>
      </c>
      <c r="O251" t="s">
        <v>76</v>
      </c>
      <c r="P251" s="38">
        <v>0</v>
      </c>
      <c r="Q251" s="38">
        <v>0</v>
      </c>
      <c r="R251" s="38">
        <v>0</v>
      </c>
    </row>
    <row r="252" spans="1:18" hidden="1">
      <c r="A252" t="s">
        <v>76</v>
      </c>
      <c r="B252" t="s">
        <v>53</v>
      </c>
      <c r="C252">
        <v>9.8000000000000007</v>
      </c>
      <c r="D252">
        <v>6.45</v>
      </c>
      <c r="E252" s="29">
        <v>1.5204</v>
      </c>
      <c r="F252">
        <v>5</v>
      </c>
      <c r="G252">
        <v>3.08</v>
      </c>
      <c r="H252">
        <v>8.08</v>
      </c>
      <c r="I252" s="29">
        <v>0.61880000000000002</v>
      </c>
      <c r="J252" s="29">
        <v>1.2137</v>
      </c>
      <c r="K252" s="9">
        <v>45297</v>
      </c>
      <c r="L252">
        <f xml:space="preserve"> (交易處理資料__3[[#This Row],[售出工時]] * 60) / 5</f>
        <v>117.6</v>
      </c>
      <c r="M252" t="str">
        <f>VLOOKUP(交易處理資料__3[[#This Row],[人員代號]],團隊分組!$B$1:$C$52,2,FALSE)</f>
        <v>查修團隊A</v>
      </c>
      <c r="N252" t="str">
        <f>IF(交易處理資料__3[[#This Row],[上班時間]]=0,"否","是")</f>
        <v>是</v>
      </c>
      <c r="O252" t="s">
        <v>76</v>
      </c>
      <c r="P252" s="37">
        <v>1.5204</v>
      </c>
      <c r="Q252" s="37">
        <v>1.2137</v>
      </c>
      <c r="R252" s="37">
        <v>0.61880000000000002</v>
      </c>
    </row>
    <row r="253" spans="1:18" hidden="1">
      <c r="A253" s="10" t="s">
        <v>74</v>
      </c>
      <c r="B253" t="s">
        <v>1</v>
      </c>
      <c r="C253">
        <v>0</v>
      </c>
      <c r="D253">
        <v>0</v>
      </c>
      <c r="E253" s="29">
        <v>0</v>
      </c>
      <c r="F253">
        <v>0</v>
      </c>
      <c r="G253">
        <v>0</v>
      </c>
      <c r="H253">
        <v>0</v>
      </c>
      <c r="I253" s="29">
        <v>0</v>
      </c>
      <c r="J253" s="29">
        <v>0</v>
      </c>
      <c r="K253" s="9">
        <v>45298</v>
      </c>
      <c r="L253">
        <f xml:space="preserve"> (交易處理資料__3[[#This Row],[售出工時]] * 60) / 5</f>
        <v>0</v>
      </c>
      <c r="M253" t="str">
        <f>VLOOKUP(交易處理資料__3[[#This Row],[人員代號]],團隊分組!$B$1:$C$52,2,FALSE)</f>
        <v>噴漆維修組</v>
      </c>
      <c r="N253" t="str">
        <f>IF(交易處理資料__3[[#This Row],[上班時間]]=0,"否","是")</f>
        <v>否</v>
      </c>
      <c r="O253" s="10" t="s">
        <v>74</v>
      </c>
      <c r="P253" s="38">
        <v>0</v>
      </c>
      <c r="Q253" s="38">
        <v>0</v>
      </c>
      <c r="R253" s="38">
        <v>0</v>
      </c>
    </row>
    <row r="254" spans="1:18" hidden="1">
      <c r="A254" s="10" t="s">
        <v>74</v>
      </c>
      <c r="B254" t="s">
        <v>2</v>
      </c>
      <c r="C254">
        <v>0</v>
      </c>
      <c r="D254">
        <v>0</v>
      </c>
      <c r="E254" s="29">
        <v>0</v>
      </c>
      <c r="F254">
        <v>0</v>
      </c>
      <c r="G254">
        <v>0</v>
      </c>
      <c r="H254">
        <v>0</v>
      </c>
      <c r="I254" s="29">
        <v>0</v>
      </c>
      <c r="J254" s="29">
        <v>0</v>
      </c>
      <c r="K254" s="9">
        <v>45298</v>
      </c>
      <c r="L254">
        <f xml:space="preserve"> (交易處理資料__3[[#This Row],[售出工時]] * 60) / 5</f>
        <v>0</v>
      </c>
      <c r="M254" t="str">
        <f>VLOOKUP(交易處理資料__3[[#This Row],[人員代號]],團隊分組!$B$1:$C$52,2,FALSE)</f>
        <v>噴漆維修組</v>
      </c>
      <c r="N254" t="str">
        <f>IF(交易處理資料__3[[#This Row],[上班時間]]=0,"否","是")</f>
        <v>否</v>
      </c>
      <c r="O254" s="10" t="s">
        <v>74</v>
      </c>
      <c r="P254" s="37">
        <v>0</v>
      </c>
      <c r="Q254" s="37">
        <v>0</v>
      </c>
      <c r="R254" s="37">
        <v>0</v>
      </c>
    </row>
    <row r="255" spans="1:18" hidden="1">
      <c r="A255" s="10" t="s">
        <v>74</v>
      </c>
      <c r="B255" t="s">
        <v>3</v>
      </c>
      <c r="C255">
        <v>0</v>
      </c>
      <c r="D255">
        <v>0</v>
      </c>
      <c r="E255" s="29">
        <v>0</v>
      </c>
      <c r="F255">
        <v>0</v>
      </c>
      <c r="G255">
        <v>0</v>
      </c>
      <c r="H255">
        <v>0</v>
      </c>
      <c r="I255" s="29">
        <v>0</v>
      </c>
      <c r="J255" s="29">
        <v>0</v>
      </c>
      <c r="K255" s="9">
        <v>45298</v>
      </c>
      <c r="L255">
        <f xml:space="preserve"> (交易處理資料__3[[#This Row],[售出工時]] * 60) / 5</f>
        <v>0</v>
      </c>
      <c r="M255" t="str">
        <f>VLOOKUP(交易處理資料__3[[#This Row],[人員代號]],團隊分組!$B$1:$C$52,2,FALSE)</f>
        <v>噴漆維修組</v>
      </c>
      <c r="N255" t="str">
        <f>IF(交易處理資料__3[[#This Row],[上班時間]]=0,"否","是")</f>
        <v>否</v>
      </c>
      <c r="O255" s="10" t="s">
        <v>74</v>
      </c>
      <c r="P255" s="38">
        <v>0</v>
      </c>
      <c r="Q255" s="38">
        <v>0</v>
      </c>
      <c r="R255" s="38">
        <v>0</v>
      </c>
    </row>
    <row r="256" spans="1:18" hidden="1">
      <c r="A256" s="10" t="s">
        <v>74</v>
      </c>
      <c r="B256" t="s">
        <v>4</v>
      </c>
      <c r="C256">
        <v>0</v>
      </c>
      <c r="D256">
        <v>0</v>
      </c>
      <c r="E256" s="29">
        <v>0</v>
      </c>
      <c r="F256">
        <v>0</v>
      </c>
      <c r="G256">
        <v>0</v>
      </c>
      <c r="H256">
        <v>0</v>
      </c>
      <c r="I256" s="29">
        <v>0</v>
      </c>
      <c r="J256" s="29">
        <v>0</v>
      </c>
      <c r="K256" s="9">
        <v>45298</v>
      </c>
      <c r="L256">
        <f xml:space="preserve"> (交易處理資料__3[[#This Row],[售出工時]] * 60) / 5</f>
        <v>0</v>
      </c>
      <c r="M256" t="str">
        <f>VLOOKUP(交易處理資料__3[[#This Row],[人員代號]],團隊分組!$B$1:$C$52,2,FALSE)</f>
        <v>噴漆維修組</v>
      </c>
      <c r="N256" t="str">
        <f>IF(交易處理資料__3[[#This Row],[上班時間]]=0,"否","是")</f>
        <v>否</v>
      </c>
      <c r="O256" s="10" t="s">
        <v>74</v>
      </c>
      <c r="P256" s="37">
        <v>0</v>
      </c>
      <c r="Q256" s="37">
        <v>0</v>
      </c>
      <c r="R256" s="37">
        <v>0</v>
      </c>
    </row>
    <row r="257" spans="1:18" hidden="1">
      <c r="A257" s="10" t="s">
        <v>74</v>
      </c>
      <c r="B257" t="s">
        <v>5</v>
      </c>
      <c r="C257">
        <v>0</v>
      </c>
      <c r="D257">
        <v>0</v>
      </c>
      <c r="E257" s="29">
        <v>0</v>
      </c>
      <c r="F257">
        <v>0</v>
      </c>
      <c r="G257">
        <v>0</v>
      </c>
      <c r="H257">
        <v>0</v>
      </c>
      <c r="I257" s="29">
        <v>0</v>
      </c>
      <c r="J257" s="29">
        <v>0</v>
      </c>
      <c r="K257" s="9">
        <v>45298</v>
      </c>
      <c r="L257">
        <f xml:space="preserve"> (交易處理資料__3[[#This Row],[售出工時]] * 60) / 5</f>
        <v>0</v>
      </c>
      <c r="M257" t="str">
        <f>VLOOKUP(交易處理資料__3[[#This Row],[人員代號]],團隊分組!$B$1:$C$52,2,FALSE)</f>
        <v>噴漆維修組</v>
      </c>
      <c r="N257" t="str">
        <f>IF(交易處理資料__3[[#This Row],[上班時間]]=0,"否","是")</f>
        <v>否</v>
      </c>
      <c r="O257" s="10" t="s">
        <v>74</v>
      </c>
      <c r="P257" s="38">
        <v>0</v>
      </c>
      <c r="Q257" s="38">
        <v>0</v>
      </c>
      <c r="R257" s="38">
        <v>0</v>
      </c>
    </row>
    <row r="258" spans="1:18" hidden="1">
      <c r="A258" s="10" t="s">
        <v>74</v>
      </c>
      <c r="B258" t="s">
        <v>6</v>
      </c>
      <c r="C258">
        <v>0</v>
      </c>
      <c r="D258">
        <v>0</v>
      </c>
      <c r="E258" s="29">
        <v>0</v>
      </c>
      <c r="F258">
        <v>0</v>
      </c>
      <c r="G258">
        <v>0</v>
      </c>
      <c r="H258">
        <v>0</v>
      </c>
      <c r="I258" s="29">
        <v>0</v>
      </c>
      <c r="J258" s="29">
        <v>0</v>
      </c>
      <c r="K258" s="9">
        <v>45298</v>
      </c>
      <c r="L258">
        <f xml:space="preserve"> (交易處理資料__3[[#This Row],[售出工時]] * 60) / 5</f>
        <v>0</v>
      </c>
      <c r="M258" t="str">
        <f>VLOOKUP(交易處理資料__3[[#This Row],[人員代號]],團隊分組!$B$1:$C$52,2,FALSE)</f>
        <v>噴漆維修組</v>
      </c>
      <c r="N258" t="str">
        <f>IF(交易處理資料__3[[#This Row],[上班時間]]=0,"否","是")</f>
        <v>否</v>
      </c>
      <c r="O258" s="10" t="s">
        <v>74</v>
      </c>
      <c r="P258" s="37">
        <v>0</v>
      </c>
      <c r="Q258" s="37">
        <v>0</v>
      </c>
      <c r="R258" s="37">
        <v>0</v>
      </c>
    </row>
    <row r="259" spans="1:18">
      <c r="A259" s="10" t="s">
        <v>74</v>
      </c>
      <c r="B259" t="s">
        <v>7</v>
      </c>
      <c r="C259">
        <v>0</v>
      </c>
      <c r="D259">
        <v>0</v>
      </c>
      <c r="E259" s="29">
        <v>0</v>
      </c>
      <c r="F259">
        <v>0</v>
      </c>
      <c r="G259">
        <v>0</v>
      </c>
      <c r="H259">
        <v>0</v>
      </c>
      <c r="I259" s="29">
        <v>0</v>
      </c>
      <c r="J259" s="29">
        <v>0</v>
      </c>
      <c r="K259" s="9">
        <v>45298</v>
      </c>
      <c r="L259">
        <f xml:space="preserve"> (交易處理資料__3[[#This Row],[售出工時]] * 60) / 5</f>
        <v>0</v>
      </c>
      <c r="M259" t="str">
        <f>VLOOKUP(交易處理資料__3[[#This Row],[人員代號]],團隊分組!$B$1:$C$52,2,FALSE)</f>
        <v>噴漆維修組</v>
      </c>
      <c r="N259" t="str">
        <f>IF(交易處理資料__3[[#This Row],[上班時間]]=0,"否","是")</f>
        <v>否</v>
      </c>
      <c r="O259" s="10" t="s">
        <v>74</v>
      </c>
      <c r="P259" s="38">
        <v>0</v>
      </c>
      <c r="Q259" s="38">
        <v>0</v>
      </c>
      <c r="R259" s="38">
        <v>0</v>
      </c>
    </row>
    <row r="260" spans="1:18" hidden="1">
      <c r="A260" s="10" t="s">
        <v>74</v>
      </c>
      <c r="B260" t="s">
        <v>8</v>
      </c>
      <c r="C260">
        <v>0</v>
      </c>
      <c r="D260">
        <v>0</v>
      </c>
      <c r="E260" s="29">
        <v>0</v>
      </c>
      <c r="F260">
        <v>0</v>
      </c>
      <c r="G260">
        <v>0</v>
      </c>
      <c r="H260">
        <v>0</v>
      </c>
      <c r="I260" s="29">
        <v>0</v>
      </c>
      <c r="J260" s="29">
        <v>0</v>
      </c>
      <c r="K260" s="9">
        <v>45298</v>
      </c>
      <c r="L260">
        <f xml:space="preserve"> (交易處理資料__3[[#This Row],[售出工時]] * 60) / 5</f>
        <v>0</v>
      </c>
      <c r="M260" t="str">
        <f>VLOOKUP(交易處理資料__3[[#This Row],[人員代號]],團隊分組!$B$1:$C$52,2,FALSE)</f>
        <v>噴漆維修組</v>
      </c>
      <c r="N260" t="str">
        <f>IF(交易處理資料__3[[#This Row],[上班時間]]=0,"否","是")</f>
        <v>否</v>
      </c>
      <c r="O260" s="10" t="s">
        <v>74</v>
      </c>
      <c r="P260" s="37">
        <v>0</v>
      </c>
      <c r="Q260" s="37">
        <v>0</v>
      </c>
      <c r="R260" s="37">
        <v>0</v>
      </c>
    </row>
    <row r="261" spans="1:18" hidden="1">
      <c r="A261" s="10" t="s">
        <v>74</v>
      </c>
      <c r="B261" t="s">
        <v>9</v>
      </c>
      <c r="C261">
        <v>0</v>
      </c>
      <c r="D261">
        <v>0</v>
      </c>
      <c r="E261" s="29">
        <v>0</v>
      </c>
      <c r="F261">
        <v>0</v>
      </c>
      <c r="G261">
        <v>0</v>
      </c>
      <c r="H261">
        <v>0</v>
      </c>
      <c r="I261" s="29">
        <v>0</v>
      </c>
      <c r="J261" s="29">
        <v>0</v>
      </c>
      <c r="K261" s="9">
        <v>45298</v>
      </c>
      <c r="L261">
        <f xml:space="preserve"> (交易處理資料__3[[#This Row],[售出工時]] * 60) / 5</f>
        <v>0</v>
      </c>
      <c r="M261" t="str">
        <f>VLOOKUP(交易處理資料__3[[#This Row],[人員代號]],團隊分組!$B$1:$C$52,2,FALSE)</f>
        <v>噴漆維修組</v>
      </c>
      <c r="N261" t="str">
        <f>IF(交易處理資料__3[[#This Row],[上班時間]]=0,"否","是")</f>
        <v>否</v>
      </c>
      <c r="O261" s="10" t="s">
        <v>74</v>
      </c>
      <c r="P261" s="38">
        <v>0</v>
      </c>
      <c r="Q261" s="38">
        <v>0</v>
      </c>
      <c r="R261" s="38">
        <v>0</v>
      </c>
    </row>
    <row r="262" spans="1:18" hidden="1">
      <c r="A262" t="s">
        <v>75</v>
      </c>
      <c r="B262" t="s">
        <v>11</v>
      </c>
      <c r="C262">
        <v>0</v>
      </c>
      <c r="D262">
        <v>0</v>
      </c>
      <c r="E262" s="29">
        <v>0</v>
      </c>
      <c r="F262">
        <v>0</v>
      </c>
      <c r="G262">
        <v>0</v>
      </c>
      <c r="H262">
        <v>0</v>
      </c>
      <c r="I262" s="29">
        <v>0</v>
      </c>
      <c r="J262" s="29">
        <v>0</v>
      </c>
      <c r="K262" s="9">
        <v>45298</v>
      </c>
      <c r="L262">
        <f xml:space="preserve"> (交易處理資料__3[[#This Row],[售出工時]] * 60) / 5</f>
        <v>0</v>
      </c>
      <c r="M262" t="str">
        <f>VLOOKUP(交易處理資料__3[[#This Row],[人員代號]],團隊分組!$B$1:$C$52,2,FALSE)</f>
        <v>鈑金維修組</v>
      </c>
      <c r="N262" t="str">
        <f>IF(交易處理資料__3[[#This Row],[上班時間]]=0,"否","是")</f>
        <v>否</v>
      </c>
      <c r="O262" t="s">
        <v>75</v>
      </c>
      <c r="P262" s="37">
        <v>0</v>
      </c>
      <c r="Q262" s="37">
        <v>0</v>
      </c>
      <c r="R262" s="37">
        <v>0</v>
      </c>
    </row>
    <row r="263" spans="1:18" hidden="1">
      <c r="A263" t="s">
        <v>75</v>
      </c>
      <c r="B263" t="s">
        <v>12</v>
      </c>
      <c r="C263">
        <v>0</v>
      </c>
      <c r="D263">
        <v>0</v>
      </c>
      <c r="E263" s="29">
        <v>0</v>
      </c>
      <c r="F263">
        <v>0</v>
      </c>
      <c r="G263">
        <v>0</v>
      </c>
      <c r="H263">
        <v>0</v>
      </c>
      <c r="I263" s="29">
        <v>0</v>
      </c>
      <c r="J263" s="29">
        <v>0</v>
      </c>
      <c r="K263" s="9">
        <v>45298</v>
      </c>
      <c r="L263">
        <f xml:space="preserve"> (交易處理資料__3[[#This Row],[售出工時]] * 60) / 5</f>
        <v>0</v>
      </c>
      <c r="M263" t="str">
        <f>VLOOKUP(交易處理資料__3[[#This Row],[人員代號]],團隊分組!$B$1:$C$52,2,FALSE)</f>
        <v>鈑金維修組</v>
      </c>
      <c r="N263" t="str">
        <f>IF(交易處理資料__3[[#This Row],[上班時間]]=0,"否","是")</f>
        <v>否</v>
      </c>
      <c r="O263" t="s">
        <v>75</v>
      </c>
      <c r="P263" s="38">
        <v>0</v>
      </c>
      <c r="Q263" s="38">
        <v>0</v>
      </c>
      <c r="R263" s="38">
        <v>0</v>
      </c>
    </row>
    <row r="264" spans="1:18" hidden="1">
      <c r="A264" t="s">
        <v>75</v>
      </c>
      <c r="B264" t="s">
        <v>13</v>
      </c>
      <c r="C264">
        <v>0</v>
      </c>
      <c r="D264">
        <v>0</v>
      </c>
      <c r="E264" s="29">
        <v>0</v>
      </c>
      <c r="F264">
        <v>0</v>
      </c>
      <c r="G264">
        <v>0</v>
      </c>
      <c r="H264">
        <v>0</v>
      </c>
      <c r="I264" s="29">
        <v>0</v>
      </c>
      <c r="J264" s="29">
        <v>0</v>
      </c>
      <c r="K264" s="9">
        <v>45298</v>
      </c>
      <c r="L264">
        <f xml:space="preserve"> (交易處理資料__3[[#This Row],[售出工時]] * 60) / 5</f>
        <v>0</v>
      </c>
      <c r="M264" t="str">
        <f>VLOOKUP(交易處理資料__3[[#This Row],[人員代號]],團隊分組!$B$1:$C$52,2,FALSE)</f>
        <v>鈑金維修組</v>
      </c>
      <c r="N264" t="str">
        <f>IF(交易處理資料__3[[#This Row],[上班時間]]=0,"否","是")</f>
        <v>否</v>
      </c>
      <c r="O264" t="s">
        <v>75</v>
      </c>
      <c r="P264" s="37">
        <v>0</v>
      </c>
      <c r="Q264" s="37">
        <v>0</v>
      </c>
      <c r="R264" s="37">
        <v>0</v>
      </c>
    </row>
    <row r="265" spans="1:18" hidden="1">
      <c r="A265" t="s">
        <v>75</v>
      </c>
      <c r="B265" t="s">
        <v>14</v>
      </c>
      <c r="C265">
        <v>0</v>
      </c>
      <c r="D265">
        <v>0</v>
      </c>
      <c r="E265" s="29">
        <v>0</v>
      </c>
      <c r="F265">
        <v>0</v>
      </c>
      <c r="G265">
        <v>0</v>
      </c>
      <c r="H265">
        <v>0</v>
      </c>
      <c r="I265" s="29">
        <v>0</v>
      </c>
      <c r="J265" s="29">
        <v>0</v>
      </c>
      <c r="K265" s="9">
        <v>45298</v>
      </c>
      <c r="L265">
        <f xml:space="preserve"> (交易處理資料__3[[#This Row],[售出工時]] * 60) / 5</f>
        <v>0</v>
      </c>
      <c r="M265" t="str">
        <f>VLOOKUP(交易處理資料__3[[#This Row],[人員代號]],團隊分組!$B$1:$C$52,2,FALSE)</f>
        <v>鈑金維修組</v>
      </c>
      <c r="N265" t="str">
        <f>IF(交易處理資料__3[[#This Row],[上班時間]]=0,"否","是")</f>
        <v>否</v>
      </c>
      <c r="O265" t="s">
        <v>75</v>
      </c>
      <c r="P265" s="38">
        <v>0</v>
      </c>
      <c r="Q265" s="38">
        <v>0</v>
      </c>
      <c r="R265" s="38">
        <v>0</v>
      </c>
    </row>
    <row r="266" spans="1:18" hidden="1">
      <c r="A266" t="s">
        <v>75</v>
      </c>
      <c r="B266" t="s">
        <v>15</v>
      </c>
      <c r="C266">
        <v>0</v>
      </c>
      <c r="D266">
        <v>0</v>
      </c>
      <c r="E266" s="29">
        <v>0</v>
      </c>
      <c r="F266">
        <v>0</v>
      </c>
      <c r="G266">
        <v>0</v>
      </c>
      <c r="H266">
        <v>0</v>
      </c>
      <c r="I266" s="29">
        <v>0</v>
      </c>
      <c r="J266" s="29">
        <v>0</v>
      </c>
      <c r="K266" s="9">
        <v>45298</v>
      </c>
      <c r="L266">
        <f xml:space="preserve"> (交易處理資料__3[[#This Row],[售出工時]] * 60) / 5</f>
        <v>0</v>
      </c>
      <c r="M266" t="str">
        <f>VLOOKUP(交易處理資料__3[[#This Row],[人員代號]],團隊分組!$B$1:$C$52,2,FALSE)</f>
        <v>鈑金維修組</v>
      </c>
      <c r="N266" t="str">
        <f>IF(交易處理資料__3[[#This Row],[上班時間]]=0,"否","是")</f>
        <v>否</v>
      </c>
      <c r="O266" t="s">
        <v>75</v>
      </c>
      <c r="P266" s="37">
        <v>0</v>
      </c>
      <c r="Q266" s="37">
        <v>0</v>
      </c>
      <c r="R266" s="37">
        <v>0</v>
      </c>
    </row>
    <row r="267" spans="1:18" hidden="1">
      <c r="A267" t="s">
        <v>76</v>
      </c>
      <c r="B267" t="s">
        <v>17</v>
      </c>
      <c r="C267">
        <v>0</v>
      </c>
      <c r="D267">
        <v>0</v>
      </c>
      <c r="E267" s="29">
        <v>0</v>
      </c>
      <c r="F267">
        <v>0</v>
      </c>
      <c r="G267">
        <v>0</v>
      </c>
      <c r="H267">
        <v>0</v>
      </c>
      <c r="I267" s="29">
        <v>0</v>
      </c>
      <c r="J267" s="29">
        <v>0</v>
      </c>
      <c r="K267" s="9">
        <v>45298</v>
      </c>
      <c r="L267">
        <f xml:space="preserve"> (交易處理資料__3[[#This Row],[售出工時]] * 60) / 5</f>
        <v>0</v>
      </c>
      <c r="M267" t="str">
        <f>VLOOKUP(交易處理資料__3[[#This Row],[人員代號]],團隊分組!$B$1:$C$52,2,FALSE)</f>
        <v>快速保養團隊A</v>
      </c>
      <c r="N267" t="str">
        <f>IF(交易處理資料__3[[#This Row],[上班時間]]=0,"否","是")</f>
        <v>否</v>
      </c>
      <c r="O267" t="s">
        <v>76</v>
      </c>
      <c r="P267" s="38">
        <v>0</v>
      </c>
      <c r="Q267" s="38">
        <v>0</v>
      </c>
      <c r="R267" s="38">
        <v>0</v>
      </c>
    </row>
    <row r="268" spans="1:18" hidden="1">
      <c r="A268" t="s">
        <v>76</v>
      </c>
      <c r="B268" t="s">
        <v>18</v>
      </c>
      <c r="C268">
        <v>0</v>
      </c>
      <c r="D268">
        <v>0</v>
      </c>
      <c r="E268" s="29">
        <v>0</v>
      </c>
      <c r="F268">
        <v>0</v>
      </c>
      <c r="G268">
        <v>0</v>
      </c>
      <c r="H268">
        <v>0</v>
      </c>
      <c r="I268" s="29">
        <v>0</v>
      </c>
      <c r="J268" s="29">
        <v>0</v>
      </c>
      <c r="K268" s="9">
        <v>45298</v>
      </c>
      <c r="L268">
        <f xml:space="preserve"> (交易處理資料__3[[#This Row],[售出工時]] * 60) / 5</f>
        <v>0</v>
      </c>
      <c r="M268" t="str">
        <f>VLOOKUP(交易處理資料__3[[#This Row],[人員代號]],團隊分組!$B$1:$C$52,2,FALSE)</f>
        <v>查修團隊B</v>
      </c>
      <c r="N268" t="str">
        <f>IF(交易處理資料__3[[#This Row],[上班時間]]=0,"否","是")</f>
        <v>否</v>
      </c>
      <c r="O268" t="s">
        <v>76</v>
      </c>
      <c r="P268" s="37">
        <v>0</v>
      </c>
      <c r="Q268" s="37">
        <v>0</v>
      </c>
      <c r="R268" s="37">
        <v>0</v>
      </c>
    </row>
    <row r="269" spans="1:18" hidden="1">
      <c r="A269" t="s">
        <v>76</v>
      </c>
      <c r="B269" t="s">
        <v>19</v>
      </c>
      <c r="C269">
        <v>0</v>
      </c>
      <c r="D269">
        <v>0</v>
      </c>
      <c r="E269" s="29">
        <v>0</v>
      </c>
      <c r="F269">
        <v>0</v>
      </c>
      <c r="G269">
        <v>0</v>
      </c>
      <c r="H269">
        <v>0</v>
      </c>
      <c r="I269" s="29">
        <v>0</v>
      </c>
      <c r="J269" s="29">
        <v>0</v>
      </c>
      <c r="K269" s="9">
        <v>45298</v>
      </c>
      <c r="L269">
        <f xml:space="preserve"> (交易處理資料__3[[#This Row],[售出工時]] * 60) / 5</f>
        <v>0</v>
      </c>
      <c r="M269" t="str">
        <f>VLOOKUP(交易處理資料__3[[#This Row],[人員代號]],團隊分組!$B$1:$C$52,2,FALSE)</f>
        <v>查修團隊A</v>
      </c>
      <c r="N269" t="str">
        <f>IF(交易處理資料__3[[#This Row],[上班時間]]=0,"否","是")</f>
        <v>否</v>
      </c>
      <c r="O269" t="s">
        <v>76</v>
      </c>
      <c r="P269" s="38">
        <v>0</v>
      </c>
      <c r="Q269" s="38">
        <v>0</v>
      </c>
      <c r="R269" s="38">
        <v>0</v>
      </c>
    </row>
    <row r="270" spans="1:18" hidden="1">
      <c r="A270" t="s">
        <v>76</v>
      </c>
      <c r="B270" t="s">
        <v>20</v>
      </c>
      <c r="C270">
        <v>0</v>
      </c>
      <c r="D270">
        <v>0</v>
      </c>
      <c r="E270" s="29">
        <v>0</v>
      </c>
      <c r="F270">
        <v>0</v>
      </c>
      <c r="G270">
        <v>0</v>
      </c>
      <c r="H270">
        <v>0</v>
      </c>
      <c r="I270" s="29">
        <v>0</v>
      </c>
      <c r="J270" s="29">
        <v>0</v>
      </c>
      <c r="K270" s="9">
        <v>45298</v>
      </c>
      <c r="L270">
        <f xml:space="preserve"> (交易處理資料__3[[#This Row],[售出工時]] * 60) / 5</f>
        <v>0</v>
      </c>
      <c r="M270" t="str">
        <f>VLOOKUP(交易處理資料__3[[#This Row],[人員代號]],團隊分組!$B$1:$C$52,2,FALSE)</f>
        <v>查修團隊B</v>
      </c>
      <c r="N270" t="str">
        <f>IF(交易處理資料__3[[#This Row],[上班時間]]=0,"否","是")</f>
        <v>否</v>
      </c>
      <c r="O270" t="s">
        <v>76</v>
      </c>
      <c r="P270" s="37">
        <v>0</v>
      </c>
      <c r="Q270" s="37">
        <v>0</v>
      </c>
      <c r="R270" s="37">
        <v>0</v>
      </c>
    </row>
    <row r="271" spans="1:18" hidden="1">
      <c r="A271" t="s">
        <v>76</v>
      </c>
      <c r="B271" t="s">
        <v>21</v>
      </c>
      <c r="C271">
        <v>0</v>
      </c>
      <c r="D271">
        <v>0</v>
      </c>
      <c r="E271" s="29">
        <v>0</v>
      </c>
      <c r="F271">
        <v>0</v>
      </c>
      <c r="G271">
        <v>0</v>
      </c>
      <c r="H271">
        <v>0</v>
      </c>
      <c r="I271" s="29">
        <v>0</v>
      </c>
      <c r="J271" s="29">
        <v>0</v>
      </c>
      <c r="K271" s="9">
        <v>45298</v>
      </c>
      <c r="L271">
        <f xml:space="preserve"> (交易處理資料__3[[#This Row],[售出工時]] * 60) / 5</f>
        <v>0</v>
      </c>
      <c r="M271" t="str">
        <f>VLOOKUP(交易處理資料__3[[#This Row],[人員代號]],團隊分組!$B$1:$C$52,2,FALSE)</f>
        <v>查修團隊B</v>
      </c>
      <c r="N271" t="str">
        <f>IF(交易處理資料__3[[#This Row],[上班時間]]=0,"否","是")</f>
        <v>否</v>
      </c>
      <c r="O271" t="s">
        <v>76</v>
      </c>
      <c r="P271" s="38">
        <v>0</v>
      </c>
      <c r="Q271" s="38">
        <v>0</v>
      </c>
      <c r="R271" s="38">
        <v>0</v>
      </c>
    </row>
    <row r="272" spans="1:18" hidden="1">
      <c r="A272" t="s">
        <v>76</v>
      </c>
      <c r="B272" t="s">
        <v>22</v>
      </c>
      <c r="C272">
        <v>0</v>
      </c>
      <c r="D272">
        <v>0</v>
      </c>
      <c r="E272" s="29">
        <v>0</v>
      </c>
      <c r="F272">
        <v>0</v>
      </c>
      <c r="G272">
        <v>0</v>
      </c>
      <c r="H272">
        <v>0</v>
      </c>
      <c r="I272" s="29">
        <v>0</v>
      </c>
      <c r="J272" s="29">
        <v>0</v>
      </c>
      <c r="K272" s="9">
        <v>45298</v>
      </c>
      <c r="L272">
        <f xml:space="preserve"> (交易處理資料__3[[#This Row],[售出工時]] * 60) / 5</f>
        <v>0</v>
      </c>
      <c r="M272" t="str">
        <f>VLOOKUP(交易處理資料__3[[#This Row],[人員代號]],團隊分組!$B$1:$C$52,2,FALSE)</f>
        <v>快速保養團隊A</v>
      </c>
      <c r="N272" t="str">
        <f>IF(交易處理資料__3[[#This Row],[上班時間]]=0,"否","是")</f>
        <v>否</v>
      </c>
      <c r="O272" t="s">
        <v>76</v>
      </c>
      <c r="P272" s="37">
        <v>0</v>
      </c>
      <c r="Q272" s="37">
        <v>0</v>
      </c>
      <c r="R272" s="37">
        <v>0</v>
      </c>
    </row>
    <row r="273" spans="1:18" hidden="1">
      <c r="A273" t="s">
        <v>76</v>
      </c>
      <c r="B273" t="s">
        <v>23</v>
      </c>
      <c r="C273">
        <v>0</v>
      </c>
      <c r="D273">
        <v>0</v>
      </c>
      <c r="E273" s="29">
        <v>0</v>
      </c>
      <c r="F273">
        <v>0</v>
      </c>
      <c r="G273">
        <v>0</v>
      </c>
      <c r="H273">
        <v>0</v>
      </c>
      <c r="I273" s="29">
        <v>0</v>
      </c>
      <c r="J273" s="29">
        <v>0</v>
      </c>
      <c r="K273" s="9">
        <v>45298</v>
      </c>
      <c r="L273">
        <f xml:space="preserve"> (交易處理資料__3[[#This Row],[售出工時]] * 60) / 5</f>
        <v>0</v>
      </c>
      <c r="M273" t="str">
        <f>VLOOKUP(交易處理資料__3[[#This Row],[人員代號]],團隊分組!$B$1:$C$52,2,FALSE)</f>
        <v>快速保養團隊B</v>
      </c>
      <c r="N273" t="str">
        <f>IF(交易處理資料__3[[#This Row],[上班時間]]=0,"否","是")</f>
        <v>否</v>
      </c>
      <c r="O273" t="s">
        <v>76</v>
      </c>
      <c r="P273" s="38">
        <v>0</v>
      </c>
      <c r="Q273" s="38">
        <v>0</v>
      </c>
      <c r="R273" s="38">
        <v>0</v>
      </c>
    </row>
    <row r="274" spans="1:18" hidden="1">
      <c r="A274" t="s">
        <v>76</v>
      </c>
      <c r="B274" t="s">
        <v>24</v>
      </c>
      <c r="C274">
        <v>0</v>
      </c>
      <c r="D274">
        <v>0</v>
      </c>
      <c r="E274" s="29">
        <v>0</v>
      </c>
      <c r="F274">
        <v>0</v>
      </c>
      <c r="G274">
        <v>0</v>
      </c>
      <c r="H274">
        <v>0</v>
      </c>
      <c r="I274" s="29">
        <v>0</v>
      </c>
      <c r="J274" s="29">
        <v>0</v>
      </c>
      <c r="K274" s="9">
        <v>45298</v>
      </c>
      <c r="L274">
        <f xml:space="preserve"> (交易處理資料__3[[#This Row],[售出工時]] * 60) / 5</f>
        <v>0</v>
      </c>
      <c r="M274" t="str">
        <f>VLOOKUP(交易處理資料__3[[#This Row],[人員代號]],團隊分組!$B$1:$C$52,2,FALSE)</f>
        <v>快速保養團隊A</v>
      </c>
      <c r="N274" t="str">
        <f>IF(交易處理資料__3[[#This Row],[上班時間]]=0,"否","是")</f>
        <v>否</v>
      </c>
      <c r="O274" t="s">
        <v>76</v>
      </c>
      <c r="P274" s="37">
        <v>0</v>
      </c>
      <c r="Q274" s="37">
        <v>0</v>
      </c>
      <c r="R274" s="37">
        <v>0</v>
      </c>
    </row>
    <row r="275" spans="1:18" hidden="1">
      <c r="A275" t="s">
        <v>76</v>
      </c>
      <c r="B275" t="s">
        <v>25</v>
      </c>
      <c r="C275">
        <v>0</v>
      </c>
      <c r="D275">
        <v>0</v>
      </c>
      <c r="E275" s="29">
        <v>0</v>
      </c>
      <c r="F275">
        <v>0</v>
      </c>
      <c r="G275">
        <v>0</v>
      </c>
      <c r="H275">
        <v>0</v>
      </c>
      <c r="I275" s="29">
        <v>0</v>
      </c>
      <c r="J275" s="29">
        <v>0</v>
      </c>
      <c r="K275" s="9">
        <v>45298</v>
      </c>
      <c r="L275">
        <f xml:space="preserve"> (交易處理資料__3[[#This Row],[售出工時]] * 60) / 5</f>
        <v>0</v>
      </c>
      <c r="M275" t="str">
        <f>VLOOKUP(交易處理資料__3[[#This Row],[人員代號]],團隊分組!$B$1:$C$52,2,FALSE)</f>
        <v>查修團隊A</v>
      </c>
      <c r="N275" t="str">
        <f>IF(交易處理資料__3[[#This Row],[上班時間]]=0,"否","是")</f>
        <v>否</v>
      </c>
      <c r="O275" t="s">
        <v>76</v>
      </c>
      <c r="P275" s="38">
        <v>0</v>
      </c>
      <c r="Q275" s="38">
        <v>0</v>
      </c>
      <c r="R275" s="38">
        <v>0</v>
      </c>
    </row>
    <row r="276" spans="1:18" hidden="1">
      <c r="A276" t="s">
        <v>76</v>
      </c>
      <c r="B276" t="s">
        <v>26</v>
      </c>
      <c r="C276">
        <v>0</v>
      </c>
      <c r="D276">
        <v>0</v>
      </c>
      <c r="E276" s="29">
        <v>0</v>
      </c>
      <c r="F276">
        <v>0</v>
      </c>
      <c r="G276">
        <v>0</v>
      </c>
      <c r="H276">
        <v>0</v>
      </c>
      <c r="I276" s="29">
        <v>0</v>
      </c>
      <c r="J276" s="29">
        <v>0</v>
      </c>
      <c r="K276" s="9">
        <v>45298</v>
      </c>
      <c r="L276">
        <f xml:space="preserve"> (交易處理資料__3[[#This Row],[售出工時]] * 60) / 5</f>
        <v>0</v>
      </c>
      <c r="M276" t="str">
        <f>VLOOKUP(交易處理資料__3[[#This Row],[人員代號]],團隊分組!$B$1:$C$52,2,FALSE)</f>
        <v>查修團隊B</v>
      </c>
      <c r="N276" t="str">
        <f>IF(交易處理資料__3[[#This Row],[上班時間]]=0,"否","是")</f>
        <v>否</v>
      </c>
      <c r="O276" t="s">
        <v>76</v>
      </c>
      <c r="P276" s="37">
        <v>0</v>
      </c>
      <c r="Q276" s="37">
        <v>0</v>
      </c>
      <c r="R276" s="37">
        <v>0</v>
      </c>
    </row>
    <row r="277" spans="1:18" hidden="1">
      <c r="A277" t="s">
        <v>76</v>
      </c>
      <c r="B277" t="s">
        <v>27</v>
      </c>
      <c r="C277">
        <v>0</v>
      </c>
      <c r="D277">
        <v>0</v>
      </c>
      <c r="E277" s="29">
        <v>0</v>
      </c>
      <c r="F277">
        <v>0</v>
      </c>
      <c r="G277">
        <v>0</v>
      </c>
      <c r="H277">
        <v>0</v>
      </c>
      <c r="I277" s="29">
        <v>0</v>
      </c>
      <c r="J277" s="29">
        <v>0</v>
      </c>
      <c r="K277" s="9">
        <v>45298</v>
      </c>
      <c r="L277">
        <f xml:space="preserve"> (交易處理資料__3[[#This Row],[售出工時]] * 60) / 5</f>
        <v>0</v>
      </c>
      <c r="M277" t="str">
        <f>VLOOKUP(交易處理資料__3[[#This Row],[人員代號]],團隊分組!$B$1:$C$52,2,FALSE)</f>
        <v>快速保養團隊B</v>
      </c>
      <c r="N277" t="str">
        <f>IF(交易處理資料__3[[#This Row],[上班時間]]=0,"否","是")</f>
        <v>否</v>
      </c>
      <c r="O277" t="s">
        <v>76</v>
      </c>
      <c r="P277" s="38">
        <v>0</v>
      </c>
      <c r="Q277" s="38">
        <v>0</v>
      </c>
      <c r="R277" s="38">
        <v>0</v>
      </c>
    </row>
    <row r="278" spans="1:18" hidden="1">
      <c r="A278" t="s">
        <v>76</v>
      </c>
      <c r="B278" t="s">
        <v>28</v>
      </c>
      <c r="C278">
        <v>0</v>
      </c>
      <c r="D278">
        <v>0</v>
      </c>
      <c r="E278" s="29">
        <v>0</v>
      </c>
      <c r="F278">
        <v>0</v>
      </c>
      <c r="G278">
        <v>0</v>
      </c>
      <c r="H278">
        <v>0</v>
      </c>
      <c r="I278" s="29">
        <v>0</v>
      </c>
      <c r="J278" s="29">
        <v>0</v>
      </c>
      <c r="K278" s="9">
        <v>45298</v>
      </c>
      <c r="L278">
        <f xml:space="preserve"> (交易處理資料__3[[#This Row],[售出工時]] * 60) / 5</f>
        <v>0</v>
      </c>
      <c r="M278" t="str">
        <f>VLOOKUP(交易處理資料__3[[#This Row],[人員代號]],團隊分組!$B$1:$C$52,2,FALSE)</f>
        <v>快速保養團隊A</v>
      </c>
      <c r="N278" t="str">
        <f>IF(交易處理資料__3[[#This Row],[上班時間]]=0,"否","是")</f>
        <v>否</v>
      </c>
      <c r="O278" t="s">
        <v>76</v>
      </c>
      <c r="P278" s="37">
        <v>0</v>
      </c>
      <c r="Q278" s="37">
        <v>0</v>
      </c>
      <c r="R278" s="37">
        <v>0</v>
      </c>
    </row>
    <row r="279" spans="1:18" hidden="1">
      <c r="A279" t="s">
        <v>76</v>
      </c>
      <c r="B279" t="s">
        <v>29</v>
      </c>
      <c r="C279">
        <v>0</v>
      </c>
      <c r="D279">
        <v>0</v>
      </c>
      <c r="E279" s="29">
        <v>0</v>
      </c>
      <c r="F279">
        <v>0</v>
      </c>
      <c r="G279">
        <v>0</v>
      </c>
      <c r="H279">
        <v>0</v>
      </c>
      <c r="I279" s="29">
        <v>0</v>
      </c>
      <c r="J279" s="29">
        <v>0</v>
      </c>
      <c r="K279" s="9">
        <v>45298</v>
      </c>
      <c r="L279">
        <f xml:space="preserve"> (交易處理資料__3[[#This Row],[售出工時]] * 60) / 5</f>
        <v>0</v>
      </c>
      <c r="M279" t="str">
        <f>VLOOKUP(交易處理資料__3[[#This Row],[人員代號]],團隊分組!$B$1:$C$52,2,FALSE)</f>
        <v>查修團隊B</v>
      </c>
      <c r="N279" t="str">
        <f>IF(交易處理資料__3[[#This Row],[上班時間]]=0,"否","是")</f>
        <v>否</v>
      </c>
      <c r="O279" t="s">
        <v>76</v>
      </c>
      <c r="P279" s="38">
        <v>0</v>
      </c>
      <c r="Q279" s="38">
        <v>0</v>
      </c>
      <c r="R279" s="38">
        <v>0</v>
      </c>
    </row>
    <row r="280" spans="1:18" hidden="1">
      <c r="A280" t="s">
        <v>76</v>
      </c>
      <c r="B280" t="s">
        <v>30</v>
      </c>
      <c r="C280">
        <v>0</v>
      </c>
      <c r="D280">
        <v>0</v>
      </c>
      <c r="E280" s="29">
        <v>0</v>
      </c>
      <c r="F280">
        <v>0</v>
      </c>
      <c r="G280">
        <v>0</v>
      </c>
      <c r="H280">
        <v>0</v>
      </c>
      <c r="I280" s="29">
        <v>0</v>
      </c>
      <c r="J280" s="29">
        <v>0</v>
      </c>
      <c r="K280" s="9">
        <v>45298</v>
      </c>
      <c r="L280">
        <f xml:space="preserve"> (交易處理資料__3[[#This Row],[售出工時]] * 60) / 5</f>
        <v>0</v>
      </c>
      <c r="M280" t="str">
        <f>VLOOKUP(交易處理資料__3[[#This Row],[人員代號]],團隊分組!$B$1:$C$52,2,FALSE)</f>
        <v>快速保養團隊B</v>
      </c>
      <c r="N280" t="str">
        <f>IF(交易處理資料__3[[#This Row],[上班時間]]=0,"否","是")</f>
        <v>否</v>
      </c>
      <c r="O280" t="s">
        <v>76</v>
      </c>
      <c r="P280" s="37">
        <v>0</v>
      </c>
      <c r="Q280" s="37">
        <v>0</v>
      </c>
      <c r="R280" s="37">
        <v>0</v>
      </c>
    </row>
    <row r="281" spans="1:18" hidden="1">
      <c r="A281" t="s">
        <v>76</v>
      </c>
      <c r="B281" t="s">
        <v>31</v>
      </c>
      <c r="C281">
        <v>0</v>
      </c>
      <c r="D281">
        <v>0</v>
      </c>
      <c r="E281" s="29">
        <v>0</v>
      </c>
      <c r="F281">
        <v>0</v>
      </c>
      <c r="G281">
        <v>0</v>
      </c>
      <c r="H281">
        <v>0</v>
      </c>
      <c r="I281" s="29">
        <v>0</v>
      </c>
      <c r="J281" s="29">
        <v>0</v>
      </c>
      <c r="K281" s="9">
        <v>45298</v>
      </c>
      <c r="L281">
        <f xml:space="preserve"> (交易處理資料__3[[#This Row],[售出工時]] * 60) / 5</f>
        <v>0</v>
      </c>
      <c r="M281" t="str">
        <f>VLOOKUP(交易處理資料__3[[#This Row],[人員代號]],團隊分組!$B$1:$C$52,2,FALSE)</f>
        <v>快速保養團隊A</v>
      </c>
      <c r="N281" t="str">
        <f>IF(交易處理資料__3[[#This Row],[上班時間]]=0,"否","是")</f>
        <v>否</v>
      </c>
      <c r="O281" t="s">
        <v>76</v>
      </c>
      <c r="P281" s="38">
        <v>0</v>
      </c>
      <c r="Q281" s="38">
        <v>0</v>
      </c>
      <c r="R281" s="38">
        <v>0</v>
      </c>
    </row>
    <row r="282" spans="1:18" hidden="1">
      <c r="A282" t="s">
        <v>76</v>
      </c>
      <c r="B282" t="s">
        <v>32</v>
      </c>
      <c r="C282">
        <v>0</v>
      </c>
      <c r="D282">
        <v>0</v>
      </c>
      <c r="E282" s="29">
        <v>0</v>
      </c>
      <c r="F282">
        <v>0</v>
      </c>
      <c r="G282">
        <v>0</v>
      </c>
      <c r="H282">
        <v>0</v>
      </c>
      <c r="I282" s="29">
        <v>0</v>
      </c>
      <c r="J282" s="29">
        <v>0</v>
      </c>
      <c r="K282" s="9">
        <v>45298</v>
      </c>
      <c r="L282">
        <f xml:space="preserve"> (交易處理資料__3[[#This Row],[售出工時]] * 60) / 5</f>
        <v>0</v>
      </c>
      <c r="M282" t="str">
        <f>VLOOKUP(交易處理資料__3[[#This Row],[人員代號]],團隊分組!$B$1:$C$52,2,FALSE)</f>
        <v>快速保養團隊B</v>
      </c>
      <c r="N282" t="str">
        <f>IF(交易處理資料__3[[#This Row],[上班時間]]=0,"否","是")</f>
        <v>否</v>
      </c>
      <c r="O282" t="s">
        <v>76</v>
      </c>
      <c r="P282" s="37">
        <v>0</v>
      </c>
      <c r="Q282" s="37">
        <v>0</v>
      </c>
      <c r="R282" s="37">
        <v>0</v>
      </c>
    </row>
    <row r="283" spans="1:18" hidden="1">
      <c r="A283" t="s">
        <v>76</v>
      </c>
      <c r="B283" t="s">
        <v>33</v>
      </c>
      <c r="C283">
        <v>0</v>
      </c>
      <c r="D283">
        <v>0</v>
      </c>
      <c r="E283" s="29">
        <v>0</v>
      </c>
      <c r="F283">
        <v>0</v>
      </c>
      <c r="G283">
        <v>0</v>
      </c>
      <c r="H283">
        <v>0</v>
      </c>
      <c r="I283" s="29">
        <v>0</v>
      </c>
      <c r="J283" s="29">
        <v>0</v>
      </c>
      <c r="K283" s="9">
        <v>45298</v>
      </c>
      <c r="L283">
        <f xml:space="preserve"> (交易處理資料__3[[#This Row],[售出工時]] * 60) / 5</f>
        <v>0</v>
      </c>
      <c r="M283" t="str">
        <f>VLOOKUP(交易處理資料__3[[#This Row],[人員代號]],團隊分組!$B$1:$C$52,2,FALSE)</f>
        <v>快速保養團隊B</v>
      </c>
      <c r="N283" t="str">
        <f>IF(交易處理資料__3[[#This Row],[上班時間]]=0,"否","是")</f>
        <v>否</v>
      </c>
      <c r="O283" t="s">
        <v>76</v>
      </c>
      <c r="P283" s="38">
        <v>0</v>
      </c>
      <c r="Q283" s="38">
        <v>0</v>
      </c>
      <c r="R283" s="38">
        <v>0</v>
      </c>
    </row>
    <row r="284" spans="1:18" hidden="1">
      <c r="A284" t="s">
        <v>76</v>
      </c>
      <c r="B284" t="s">
        <v>34</v>
      </c>
      <c r="C284">
        <v>0</v>
      </c>
      <c r="D284">
        <v>0</v>
      </c>
      <c r="E284" s="29">
        <v>0</v>
      </c>
      <c r="F284">
        <v>0</v>
      </c>
      <c r="G284">
        <v>0</v>
      </c>
      <c r="H284">
        <v>0</v>
      </c>
      <c r="I284" s="29">
        <v>0</v>
      </c>
      <c r="J284" s="29">
        <v>0</v>
      </c>
      <c r="K284" s="9">
        <v>45298</v>
      </c>
      <c r="L284">
        <f xml:space="preserve"> (交易處理資料__3[[#This Row],[售出工時]] * 60) / 5</f>
        <v>0</v>
      </c>
      <c r="M284" t="str">
        <f>VLOOKUP(交易處理資料__3[[#This Row],[人員代號]],團隊分組!$B$1:$C$52,2,FALSE)</f>
        <v>快速保養團隊A</v>
      </c>
      <c r="N284" t="str">
        <f>IF(交易處理資料__3[[#This Row],[上班時間]]=0,"否","是")</f>
        <v>否</v>
      </c>
      <c r="O284" t="s">
        <v>76</v>
      </c>
      <c r="P284" s="37">
        <v>0</v>
      </c>
      <c r="Q284" s="37">
        <v>0</v>
      </c>
      <c r="R284" s="37">
        <v>0</v>
      </c>
    </row>
    <row r="285" spans="1:18" hidden="1">
      <c r="A285" t="s">
        <v>76</v>
      </c>
      <c r="B285" t="s">
        <v>35</v>
      </c>
      <c r="C285">
        <v>0</v>
      </c>
      <c r="D285">
        <v>0</v>
      </c>
      <c r="E285" s="29">
        <v>0</v>
      </c>
      <c r="F285">
        <v>0</v>
      </c>
      <c r="G285">
        <v>0</v>
      </c>
      <c r="H285">
        <v>0</v>
      </c>
      <c r="I285" s="29">
        <v>0</v>
      </c>
      <c r="J285" s="29">
        <v>0</v>
      </c>
      <c r="K285" s="9">
        <v>45298</v>
      </c>
      <c r="L285">
        <f xml:space="preserve"> (交易處理資料__3[[#This Row],[售出工時]] * 60) / 5</f>
        <v>0</v>
      </c>
      <c r="M285" t="str">
        <f>VLOOKUP(交易處理資料__3[[#This Row],[人員代號]],團隊分組!$B$1:$C$52,2,FALSE)</f>
        <v>查修團隊B</v>
      </c>
      <c r="N285" t="str">
        <f>IF(交易處理資料__3[[#This Row],[上班時間]]=0,"否","是")</f>
        <v>否</v>
      </c>
      <c r="O285" t="s">
        <v>76</v>
      </c>
      <c r="P285" s="38">
        <v>0</v>
      </c>
      <c r="Q285" s="38">
        <v>0</v>
      </c>
      <c r="R285" s="38">
        <v>0</v>
      </c>
    </row>
    <row r="286" spans="1:18" hidden="1">
      <c r="A286" t="s">
        <v>76</v>
      </c>
      <c r="B286" t="s">
        <v>36</v>
      </c>
      <c r="C286">
        <v>0</v>
      </c>
      <c r="D286">
        <v>0</v>
      </c>
      <c r="E286" s="29">
        <v>0</v>
      </c>
      <c r="F286">
        <v>0</v>
      </c>
      <c r="G286">
        <v>0</v>
      </c>
      <c r="H286">
        <v>0</v>
      </c>
      <c r="I286" s="29">
        <v>0</v>
      </c>
      <c r="J286" s="29">
        <v>0</v>
      </c>
      <c r="K286" s="9">
        <v>45298</v>
      </c>
      <c r="L286">
        <f xml:space="preserve"> (交易處理資料__3[[#This Row],[售出工時]] * 60) / 5</f>
        <v>0</v>
      </c>
      <c r="M286" t="str">
        <f>VLOOKUP(交易處理資料__3[[#This Row],[人員代號]],團隊分組!$B$1:$C$52,2,FALSE)</f>
        <v>查修團隊B</v>
      </c>
      <c r="N286" t="str">
        <f>IF(交易處理資料__3[[#This Row],[上班時間]]=0,"否","是")</f>
        <v>否</v>
      </c>
      <c r="O286" t="s">
        <v>76</v>
      </c>
      <c r="P286" s="37">
        <v>0</v>
      </c>
      <c r="Q286" s="37">
        <v>0</v>
      </c>
      <c r="R286" s="37">
        <v>0</v>
      </c>
    </row>
    <row r="287" spans="1:18" hidden="1">
      <c r="A287" t="s">
        <v>76</v>
      </c>
      <c r="B287" t="s">
        <v>37</v>
      </c>
      <c r="C287">
        <v>0</v>
      </c>
      <c r="D287">
        <v>0</v>
      </c>
      <c r="E287" s="29">
        <v>0</v>
      </c>
      <c r="F287">
        <v>0</v>
      </c>
      <c r="G287">
        <v>0</v>
      </c>
      <c r="H287">
        <v>0</v>
      </c>
      <c r="I287" s="29">
        <v>0</v>
      </c>
      <c r="J287" s="29">
        <v>0</v>
      </c>
      <c r="K287" s="9">
        <v>45298</v>
      </c>
      <c r="L287">
        <f xml:space="preserve"> (交易處理資料__3[[#This Row],[售出工時]] * 60) / 5</f>
        <v>0</v>
      </c>
      <c r="M287" t="str">
        <f>VLOOKUP(交易處理資料__3[[#This Row],[人員代號]],團隊分組!$B$1:$C$52,2,FALSE)</f>
        <v>查修團隊A</v>
      </c>
      <c r="N287" t="str">
        <f>IF(交易處理資料__3[[#This Row],[上班時間]]=0,"否","是")</f>
        <v>否</v>
      </c>
      <c r="O287" t="s">
        <v>76</v>
      </c>
      <c r="P287" s="38">
        <v>0</v>
      </c>
      <c r="Q287" s="38">
        <v>0</v>
      </c>
      <c r="R287" s="38">
        <v>0</v>
      </c>
    </row>
    <row r="288" spans="1:18" hidden="1">
      <c r="A288" t="s">
        <v>76</v>
      </c>
      <c r="B288" t="s">
        <v>38</v>
      </c>
      <c r="C288">
        <v>0</v>
      </c>
      <c r="D288">
        <v>0</v>
      </c>
      <c r="E288" s="29">
        <v>0</v>
      </c>
      <c r="F288">
        <v>0</v>
      </c>
      <c r="G288">
        <v>0</v>
      </c>
      <c r="H288">
        <v>0</v>
      </c>
      <c r="I288" s="29">
        <v>0</v>
      </c>
      <c r="J288" s="29">
        <v>0</v>
      </c>
      <c r="K288" s="9">
        <v>45298</v>
      </c>
      <c r="L288">
        <f xml:space="preserve"> (交易處理資料__3[[#This Row],[售出工時]] * 60) / 5</f>
        <v>0</v>
      </c>
      <c r="M288" t="str">
        <f>VLOOKUP(交易處理資料__3[[#This Row],[人員代號]],團隊分組!$B$1:$C$52,2,FALSE)</f>
        <v>快速保養團隊A</v>
      </c>
      <c r="N288" t="str">
        <f>IF(交易處理資料__3[[#This Row],[上班時間]]=0,"否","是")</f>
        <v>否</v>
      </c>
      <c r="O288" t="s">
        <v>76</v>
      </c>
      <c r="P288" s="37">
        <v>0</v>
      </c>
      <c r="Q288" s="37">
        <v>0</v>
      </c>
      <c r="R288" s="37">
        <v>0</v>
      </c>
    </row>
    <row r="289" spans="1:18" hidden="1">
      <c r="A289" t="s">
        <v>76</v>
      </c>
      <c r="B289" t="s">
        <v>39</v>
      </c>
      <c r="C289">
        <v>0</v>
      </c>
      <c r="D289">
        <v>0</v>
      </c>
      <c r="E289" s="29">
        <v>0</v>
      </c>
      <c r="F289">
        <v>0</v>
      </c>
      <c r="G289">
        <v>0</v>
      </c>
      <c r="H289">
        <v>0</v>
      </c>
      <c r="I289" s="29">
        <v>0</v>
      </c>
      <c r="J289" s="29">
        <v>0</v>
      </c>
      <c r="K289" s="9">
        <v>45298</v>
      </c>
      <c r="L289">
        <f xml:space="preserve"> (交易處理資料__3[[#This Row],[售出工時]] * 60) / 5</f>
        <v>0</v>
      </c>
      <c r="M289" t="str">
        <f>VLOOKUP(交易處理資料__3[[#This Row],[人員代號]],團隊分組!$B$1:$C$52,2,FALSE)</f>
        <v>查修團隊A</v>
      </c>
      <c r="N289" t="str">
        <f>IF(交易處理資料__3[[#This Row],[上班時間]]=0,"否","是")</f>
        <v>否</v>
      </c>
      <c r="O289" t="s">
        <v>76</v>
      </c>
      <c r="P289" s="38">
        <v>0</v>
      </c>
      <c r="Q289" s="38">
        <v>0</v>
      </c>
      <c r="R289" s="38">
        <v>0</v>
      </c>
    </row>
    <row r="290" spans="1:18" hidden="1">
      <c r="A290" t="s">
        <v>76</v>
      </c>
      <c r="B290" t="s">
        <v>40</v>
      </c>
      <c r="C290">
        <v>0</v>
      </c>
      <c r="D290">
        <v>0</v>
      </c>
      <c r="E290" s="29">
        <v>0</v>
      </c>
      <c r="F290">
        <v>0</v>
      </c>
      <c r="G290">
        <v>0</v>
      </c>
      <c r="H290">
        <v>0</v>
      </c>
      <c r="I290" s="29">
        <v>0</v>
      </c>
      <c r="J290" s="29">
        <v>0</v>
      </c>
      <c r="K290" s="9">
        <v>45298</v>
      </c>
      <c r="L290">
        <f xml:space="preserve"> (交易處理資料__3[[#This Row],[售出工時]] * 60) / 5</f>
        <v>0</v>
      </c>
      <c r="M290" t="str">
        <f>VLOOKUP(交易處理資料__3[[#This Row],[人員代號]],團隊分組!$B$1:$C$52,2,FALSE)</f>
        <v>查修團隊A</v>
      </c>
      <c r="N290" t="str">
        <f>IF(交易處理資料__3[[#This Row],[上班時間]]=0,"否","是")</f>
        <v>否</v>
      </c>
      <c r="O290" t="s">
        <v>76</v>
      </c>
      <c r="P290" s="37">
        <v>0</v>
      </c>
      <c r="Q290" s="37">
        <v>0</v>
      </c>
      <c r="R290" s="37">
        <v>0</v>
      </c>
    </row>
    <row r="291" spans="1:18" hidden="1">
      <c r="A291" t="s">
        <v>76</v>
      </c>
      <c r="B291" t="s">
        <v>41</v>
      </c>
      <c r="C291">
        <v>0</v>
      </c>
      <c r="D291">
        <v>0</v>
      </c>
      <c r="E291" s="29">
        <v>0</v>
      </c>
      <c r="F291">
        <v>0</v>
      </c>
      <c r="G291">
        <v>0</v>
      </c>
      <c r="H291">
        <v>0</v>
      </c>
      <c r="I291" s="29">
        <v>0</v>
      </c>
      <c r="J291" s="29">
        <v>0</v>
      </c>
      <c r="K291" s="9">
        <v>45298</v>
      </c>
      <c r="L291">
        <f xml:space="preserve"> (交易處理資料__3[[#This Row],[售出工時]] * 60) / 5</f>
        <v>0</v>
      </c>
      <c r="M291" t="str">
        <f>VLOOKUP(交易處理資料__3[[#This Row],[人員代號]],團隊分組!$B$1:$C$52,2,FALSE)</f>
        <v>快速保養團隊A</v>
      </c>
      <c r="N291" t="str">
        <f>IF(交易處理資料__3[[#This Row],[上班時間]]=0,"否","是")</f>
        <v>否</v>
      </c>
      <c r="O291" t="s">
        <v>76</v>
      </c>
      <c r="P291" s="38">
        <v>0</v>
      </c>
      <c r="Q291" s="38">
        <v>0</v>
      </c>
      <c r="R291" s="38">
        <v>0</v>
      </c>
    </row>
    <row r="292" spans="1:18" hidden="1">
      <c r="A292" t="s">
        <v>76</v>
      </c>
      <c r="B292" t="s">
        <v>42</v>
      </c>
      <c r="C292">
        <v>0</v>
      </c>
      <c r="D292">
        <v>0</v>
      </c>
      <c r="E292" s="29">
        <v>0</v>
      </c>
      <c r="F292">
        <v>0</v>
      </c>
      <c r="G292">
        <v>0</v>
      </c>
      <c r="H292">
        <v>0</v>
      </c>
      <c r="I292" s="29">
        <v>0</v>
      </c>
      <c r="J292" s="29">
        <v>0</v>
      </c>
      <c r="K292" s="9">
        <v>45298</v>
      </c>
      <c r="L292">
        <f xml:space="preserve"> (交易處理資料__3[[#This Row],[售出工時]] * 60) / 5</f>
        <v>0</v>
      </c>
      <c r="M292" t="str">
        <f>VLOOKUP(交易處理資料__3[[#This Row],[人員代號]],團隊分組!$B$1:$C$52,2,FALSE)</f>
        <v>快速保養團隊A</v>
      </c>
      <c r="N292" t="str">
        <f>IF(交易處理資料__3[[#This Row],[上班時間]]=0,"否","是")</f>
        <v>否</v>
      </c>
      <c r="O292" t="s">
        <v>76</v>
      </c>
      <c r="P292" s="37">
        <v>0</v>
      </c>
      <c r="Q292" s="37">
        <v>0</v>
      </c>
      <c r="R292" s="37">
        <v>0</v>
      </c>
    </row>
    <row r="293" spans="1:18" hidden="1">
      <c r="A293" t="s">
        <v>76</v>
      </c>
      <c r="B293" t="s">
        <v>43</v>
      </c>
      <c r="C293">
        <v>0</v>
      </c>
      <c r="D293">
        <v>0</v>
      </c>
      <c r="E293" s="29">
        <v>0</v>
      </c>
      <c r="F293">
        <v>0</v>
      </c>
      <c r="G293">
        <v>0</v>
      </c>
      <c r="H293">
        <v>0</v>
      </c>
      <c r="I293" s="29">
        <v>0</v>
      </c>
      <c r="J293" s="29">
        <v>0</v>
      </c>
      <c r="K293" s="9">
        <v>45298</v>
      </c>
      <c r="L293">
        <f xml:space="preserve"> (交易處理資料__3[[#This Row],[售出工時]] * 60) / 5</f>
        <v>0</v>
      </c>
      <c r="M293" t="str">
        <f>VLOOKUP(交易處理資料__3[[#This Row],[人員代號]],團隊分組!$B$1:$C$52,2,FALSE)</f>
        <v>查修團隊B</v>
      </c>
      <c r="N293" t="str">
        <f>IF(交易處理資料__3[[#This Row],[上班時間]]=0,"否","是")</f>
        <v>否</v>
      </c>
      <c r="O293" t="s">
        <v>76</v>
      </c>
      <c r="P293" s="38">
        <v>0</v>
      </c>
      <c r="Q293" s="38">
        <v>0</v>
      </c>
      <c r="R293" s="38">
        <v>0</v>
      </c>
    </row>
    <row r="294" spans="1:18" hidden="1">
      <c r="A294" t="s">
        <v>76</v>
      </c>
      <c r="B294" t="s">
        <v>44</v>
      </c>
      <c r="C294">
        <v>0</v>
      </c>
      <c r="D294">
        <v>0</v>
      </c>
      <c r="E294" s="29">
        <v>0</v>
      </c>
      <c r="F294">
        <v>0</v>
      </c>
      <c r="G294">
        <v>0</v>
      </c>
      <c r="H294">
        <v>0</v>
      </c>
      <c r="I294" s="29">
        <v>0</v>
      </c>
      <c r="J294" s="29">
        <v>0</v>
      </c>
      <c r="K294" s="9">
        <v>45298</v>
      </c>
      <c r="L294">
        <f xml:space="preserve"> (交易處理資料__3[[#This Row],[售出工時]] * 60) / 5</f>
        <v>0</v>
      </c>
      <c r="M294" t="str">
        <f>VLOOKUP(交易處理資料__3[[#This Row],[人員代號]],團隊分組!$B$1:$C$52,2,FALSE)</f>
        <v>快速保養團隊B</v>
      </c>
      <c r="N294" t="str">
        <f>IF(交易處理資料__3[[#This Row],[上班時間]]=0,"否","是")</f>
        <v>否</v>
      </c>
      <c r="O294" t="s">
        <v>76</v>
      </c>
      <c r="P294" s="37">
        <v>0</v>
      </c>
      <c r="Q294" s="37">
        <v>0</v>
      </c>
      <c r="R294" s="37">
        <v>0</v>
      </c>
    </row>
    <row r="295" spans="1:18" hidden="1">
      <c r="A295" t="s">
        <v>76</v>
      </c>
      <c r="B295" t="s">
        <v>45</v>
      </c>
      <c r="C295">
        <v>0</v>
      </c>
      <c r="D295">
        <v>0</v>
      </c>
      <c r="E295" s="29">
        <v>0</v>
      </c>
      <c r="F295">
        <v>0</v>
      </c>
      <c r="G295">
        <v>0</v>
      </c>
      <c r="H295">
        <v>0</v>
      </c>
      <c r="I295" s="29">
        <v>0</v>
      </c>
      <c r="J295" s="29">
        <v>0</v>
      </c>
      <c r="K295" s="9">
        <v>45298</v>
      </c>
      <c r="L295">
        <f xml:space="preserve"> (交易處理資料__3[[#This Row],[售出工時]] * 60) / 5</f>
        <v>0</v>
      </c>
      <c r="M295" t="str">
        <f>VLOOKUP(交易處理資料__3[[#This Row],[人員代號]],團隊分組!$B$1:$C$52,2,FALSE)</f>
        <v>快速保養團隊A</v>
      </c>
      <c r="N295" t="str">
        <f>IF(交易處理資料__3[[#This Row],[上班時間]]=0,"否","是")</f>
        <v>否</v>
      </c>
      <c r="O295" t="s">
        <v>76</v>
      </c>
      <c r="P295" s="38">
        <v>0</v>
      </c>
      <c r="Q295" s="38">
        <v>0</v>
      </c>
      <c r="R295" s="38">
        <v>0</v>
      </c>
    </row>
    <row r="296" spans="1:18" hidden="1">
      <c r="A296" t="s">
        <v>76</v>
      </c>
      <c r="B296" t="s">
        <v>46</v>
      </c>
      <c r="C296">
        <v>0</v>
      </c>
      <c r="D296">
        <v>0</v>
      </c>
      <c r="E296" s="29">
        <v>0</v>
      </c>
      <c r="F296">
        <v>0</v>
      </c>
      <c r="G296">
        <v>0</v>
      </c>
      <c r="H296">
        <v>0</v>
      </c>
      <c r="I296" s="29">
        <v>0</v>
      </c>
      <c r="J296" s="29">
        <v>0</v>
      </c>
      <c r="K296" s="9">
        <v>45298</v>
      </c>
      <c r="L296">
        <f xml:space="preserve"> (交易處理資料__3[[#This Row],[售出工時]] * 60) / 5</f>
        <v>0</v>
      </c>
      <c r="M296" t="str">
        <f>VLOOKUP(交易處理資料__3[[#This Row],[人員代號]],團隊分組!$B$1:$C$52,2,FALSE)</f>
        <v>查修團隊B</v>
      </c>
      <c r="N296" t="str">
        <f>IF(交易處理資料__3[[#This Row],[上班時間]]=0,"否","是")</f>
        <v>否</v>
      </c>
      <c r="O296" t="s">
        <v>76</v>
      </c>
      <c r="P296" s="37">
        <v>0</v>
      </c>
      <c r="Q296" s="37">
        <v>0</v>
      </c>
      <c r="R296" s="37">
        <v>0</v>
      </c>
    </row>
    <row r="297" spans="1:18" hidden="1">
      <c r="A297" t="s">
        <v>76</v>
      </c>
      <c r="B297" t="s">
        <v>47</v>
      </c>
      <c r="C297">
        <v>0</v>
      </c>
      <c r="D297">
        <v>0</v>
      </c>
      <c r="E297" s="29">
        <v>0</v>
      </c>
      <c r="F297">
        <v>0</v>
      </c>
      <c r="G297">
        <v>0</v>
      </c>
      <c r="H297">
        <v>0</v>
      </c>
      <c r="I297" s="29">
        <v>0</v>
      </c>
      <c r="J297" s="29">
        <v>0</v>
      </c>
      <c r="K297" s="9">
        <v>45298</v>
      </c>
      <c r="L297">
        <f xml:space="preserve"> (交易處理資料__3[[#This Row],[售出工時]] * 60) / 5</f>
        <v>0</v>
      </c>
      <c r="M297" t="str">
        <f>VLOOKUP(交易處理資料__3[[#This Row],[人員代號]],團隊分組!$B$1:$C$52,2,FALSE)</f>
        <v>查修團隊B</v>
      </c>
      <c r="N297" t="str">
        <f>IF(交易處理資料__3[[#This Row],[上班時間]]=0,"否","是")</f>
        <v>否</v>
      </c>
      <c r="O297" t="s">
        <v>76</v>
      </c>
      <c r="P297" s="38">
        <v>0</v>
      </c>
      <c r="Q297" s="38">
        <v>0</v>
      </c>
      <c r="R297" s="38">
        <v>0</v>
      </c>
    </row>
    <row r="298" spans="1:18" hidden="1">
      <c r="A298" t="s">
        <v>76</v>
      </c>
      <c r="B298" t="s">
        <v>48</v>
      </c>
      <c r="C298">
        <v>0</v>
      </c>
      <c r="D298">
        <v>0</v>
      </c>
      <c r="E298" s="29">
        <v>0</v>
      </c>
      <c r="F298">
        <v>0</v>
      </c>
      <c r="G298">
        <v>0</v>
      </c>
      <c r="H298">
        <v>0</v>
      </c>
      <c r="I298" s="29">
        <v>0</v>
      </c>
      <c r="J298" s="29">
        <v>0</v>
      </c>
      <c r="K298" s="9">
        <v>45298</v>
      </c>
      <c r="L298">
        <f xml:space="preserve"> (交易處理資料__3[[#This Row],[售出工時]] * 60) / 5</f>
        <v>0</v>
      </c>
      <c r="M298" t="str">
        <f>VLOOKUP(交易處理資料__3[[#This Row],[人員代號]],團隊分組!$B$1:$C$52,2,FALSE)</f>
        <v>查修團隊A</v>
      </c>
      <c r="N298" t="str">
        <f>IF(交易處理資料__3[[#This Row],[上班時間]]=0,"否","是")</f>
        <v>否</v>
      </c>
      <c r="O298" t="s">
        <v>76</v>
      </c>
      <c r="P298" s="37">
        <v>0</v>
      </c>
      <c r="Q298" s="37">
        <v>0</v>
      </c>
      <c r="R298" s="37">
        <v>0</v>
      </c>
    </row>
    <row r="299" spans="1:18" hidden="1">
      <c r="A299" t="s">
        <v>76</v>
      </c>
      <c r="B299" t="s">
        <v>49</v>
      </c>
      <c r="C299">
        <v>0</v>
      </c>
      <c r="D299">
        <v>0</v>
      </c>
      <c r="E299" s="29">
        <v>0</v>
      </c>
      <c r="F299">
        <v>0</v>
      </c>
      <c r="G299">
        <v>0</v>
      </c>
      <c r="H299">
        <v>0</v>
      </c>
      <c r="I299" s="29">
        <v>0</v>
      </c>
      <c r="J299" s="29">
        <v>0</v>
      </c>
      <c r="K299" s="9">
        <v>45298</v>
      </c>
      <c r="L299">
        <f xml:space="preserve"> (交易處理資料__3[[#This Row],[售出工時]] * 60) / 5</f>
        <v>0</v>
      </c>
      <c r="M299" t="str">
        <f>VLOOKUP(交易處理資料__3[[#This Row],[人員代號]],團隊分組!$B$1:$C$52,2,FALSE)</f>
        <v>查修團隊A</v>
      </c>
      <c r="N299" t="str">
        <f>IF(交易處理資料__3[[#This Row],[上班時間]]=0,"否","是")</f>
        <v>否</v>
      </c>
      <c r="O299" t="s">
        <v>76</v>
      </c>
      <c r="P299" s="38">
        <v>0</v>
      </c>
      <c r="Q299" s="38">
        <v>0</v>
      </c>
      <c r="R299" s="38">
        <v>0</v>
      </c>
    </row>
    <row r="300" spans="1:18" hidden="1">
      <c r="A300" t="s">
        <v>76</v>
      </c>
      <c r="B300" t="s">
        <v>50</v>
      </c>
      <c r="C300">
        <v>0</v>
      </c>
      <c r="D300">
        <v>0</v>
      </c>
      <c r="E300" s="29">
        <v>0</v>
      </c>
      <c r="F300">
        <v>0</v>
      </c>
      <c r="G300">
        <v>0</v>
      </c>
      <c r="H300">
        <v>0</v>
      </c>
      <c r="I300" s="29">
        <v>0</v>
      </c>
      <c r="J300" s="29">
        <v>0</v>
      </c>
      <c r="K300" s="9">
        <v>45298</v>
      </c>
      <c r="L300">
        <f xml:space="preserve"> (交易處理資料__3[[#This Row],[售出工時]] * 60) / 5</f>
        <v>0</v>
      </c>
      <c r="M300" t="str">
        <f>VLOOKUP(交易處理資料__3[[#This Row],[人員代號]],團隊分組!$B$1:$C$52,2,FALSE)</f>
        <v>快速保養團隊B</v>
      </c>
      <c r="N300" t="str">
        <f>IF(交易處理資料__3[[#This Row],[上班時間]]=0,"否","是")</f>
        <v>否</v>
      </c>
      <c r="O300" t="s">
        <v>76</v>
      </c>
      <c r="P300" s="37">
        <v>0</v>
      </c>
      <c r="Q300" s="37">
        <v>0</v>
      </c>
      <c r="R300" s="37">
        <v>0</v>
      </c>
    </row>
    <row r="301" spans="1:18" hidden="1">
      <c r="A301" t="s">
        <v>76</v>
      </c>
      <c r="B301" t="s">
        <v>51</v>
      </c>
      <c r="C301">
        <v>0</v>
      </c>
      <c r="D301">
        <v>0</v>
      </c>
      <c r="E301" s="29">
        <v>0</v>
      </c>
      <c r="F301">
        <v>0</v>
      </c>
      <c r="G301">
        <v>0</v>
      </c>
      <c r="H301">
        <v>0</v>
      </c>
      <c r="I301" s="29">
        <v>0</v>
      </c>
      <c r="J301" s="29">
        <v>0</v>
      </c>
      <c r="K301" s="9">
        <v>45298</v>
      </c>
      <c r="L301">
        <f xml:space="preserve"> (交易處理資料__3[[#This Row],[售出工時]] * 60) / 5</f>
        <v>0</v>
      </c>
      <c r="M301" t="str">
        <f>VLOOKUP(交易處理資料__3[[#This Row],[人員代號]],團隊分組!$B$1:$C$52,2,FALSE)</f>
        <v>無效數據</v>
      </c>
      <c r="N301" t="str">
        <f>IF(交易處理資料__3[[#This Row],[上班時間]]=0,"否","是")</f>
        <v>否</v>
      </c>
      <c r="O301" t="s">
        <v>76</v>
      </c>
      <c r="P301" s="38">
        <v>0</v>
      </c>
      <c r="Q301" s="38">
        <v>0</v>
      </c>
      <c r="R301" s="38">
        <v>0</v>
      </c>
    </row>
    <row r="302" spans="1:18" hidden="1">
      <c r="A302" t="s">
        <v>76</v>
      </c>
      <c r="B302" t="s">
        <v>52</v>
      </c>
      <c r="C302">
        <v>0</v>
      </c>
      <c r="D302">
        <v>0</v>
      </c>
      <c r="E302" s="29">
        <v>0</v>
      </c>
      <c r="F302">
        <v>0</v>
      </c>
      <c r="G302">
        <v>0</v>
      </c>
      <c r="H302">
        <v>0</v>
      </c>
      <c r="I302" s="29">
        <v>0</v>
      </c>
      <c r="J302" s="29">
        <v>0</v>
      </c>
      <c r="K302" s="9">
        <v>45298</v>
      </c>
      <c r="L302">
        <f xml:space="preserve"> (交易處理資料__3[[#This Row],[售出工時]] * 60) / 5</f>
        <v>0</v>
      </c>
      <c r="M302" t="str">
        <f>VLOOKUP(交易處理資料__3[[#This Row],[人員代號]],團隊分組!$B$1:$C$52,2,FALSE)</f>
        <v>查修團隊B</v>
      </c>
      <c r="N302" t="str">
        <f>IF(交易處理資料__3[[#This Row],[上班時間]]=0,"否","是")</f>
        <v>否</v>
      </c>
      <c r="O302" t="s">
        <v>76</v>
      </c>
      <c r="P302" s="37">
        <v>0</v>
      </c>
      <c r="Q302" s="37">
        <v>0</v>
      </c>
      <c r="R302" s="37">
        <v>0</v>
      </c>
    </row>
    <row r="303" spans="1:18" hidden="1">
      <c r="A303" t="s">
        <v>76</v>
      </c>
      <c r="B303" t="s">
        <v>53</v>
      </c>
      <c r="C303">
        <v>0</v>
      </c>
      <c r="D303">
        <v>0</v>
      </c>
      <c r="E303" s="29">
        <v>0</v>
      </c>
      <c r="F303">
        <v>0</v>
      </c>
      <c r="G303">
        <v>0</v>
      </c>
      <c r="H303">
        <v>0</v>
      </c>
      <c r="I303" s="29">
        <v>0</v>
      </c>
      <c r="J303" s="29">
        <v>0</v>
      </c>
      <c r="K303" s="9">
        <v>45298</v>
      </c>
      <c r="L303">
        <f xml:space="preserve"> (交易處理資料__3[[#This Row],[售出工時]] * 60) / 5</f>
        <v>0</v>
      </c>
      <c r="M303" t="str">
        <f>VLOOKUP(交易處理資料__3[[#This Row],[人員代號]],團隊分組!$B$1:$C$52,2,FALSE)</f>
        <v>查修團隊A</v>
      </c>
      <c r="N303" t="str">
        <f>IF(交易處理資料__3[[#This Row],[上班時間]]=0,"否","是")</f>
        <v>否</v>
      </c>
      <c r="O303" t="s">
        <v>76</v>
      </c>
      <c r="P303" s="38">
        <v>0</v>
      </c>
      <c r="Q303" s="38">
        <v>0</v>
      </c>
      <c r="R303" s="38">
        <v>0</v>
      </c>
    </row>
    <row r="304" spans="1:18" hidden="1">
      <c r="A304" s="10" t="s">
        <v>74</v>
      </c>
      <c r="B304" t="s">
        <v>1</v>
      </c>
      <c r="C304">
        <v>2.3199999999999998</v>
      </c>
      <c r="D304">
        <v>5.62</v>
      </c>
      <c r="E304" s="29">
        <v>0.4128</v>
      </c>
      <c r="F304">
        <v>7.7</v>
      </c>
      <c r="G304">
        <v>0.4</v>
      </c>
      <c r="H304">
        <v>8.1</v>
      </c>
      <c r="I304" s="29">
        <v>0.9506</v>
      </c>
      <c r="J304" s="29">
        <v>0.28639999999999999</v>
      </c>
      <c r="K304" s="9">
        <v>45299</v>
      </c>
      <c r="L304">
        <f xml:space="preserve"> (交易處理資料__3[[#This Row],[售出工時]] * 60) / 5</f>
        <v>27.839999999999996</v>
      </c>
      <c r="M304" t="str">
        <f>VLOOKUP(交易處理資料__3[[#This Row],[人員代號]],團隊分組!$B$1:$C$52,2,FALSE)</f>
        <v>噴漆維修組</v>
      </c>
      <c r="N304" t="str">
        <f>IF(交易處理資料__3[[#This Row],[上班時間]]=0,"否","是")</f>
        <v>是</v>
      </c>
      <c r="O304" s="10" t="s">
        <v>74</v>
      </c>
      <c r="P304" s="37">
        <v>0.4128</v>
      </c>
      <c r="Q304" s="37">
        <v>0.28639999999999999</v>
      </c>
      <c r="R304" s="37">
        <v>0.9506</v>
      </c>
    </row>
    <row r="305" spans="1:18" hidden="1">
      <c r="A305" s="10" t="s">
        <v>74</v>
      </c>
      <c r="B305" t="s">
        <v>2</v>
      </c>
      <c r="C305">
        <v>0</v>
      </c>
      <c r="D305">
        <v>0</v>
      </c>
      <c r="E305" s="29">
        <v>0</v>
      </c>
      <c r="F305">
        <v>10.37</v>
      </c>
      <c r="G305">
        <v>0.18</v>
      </c>
      <c r="H305">
        <v>10.55</v>
      </c>
      <c r="I305" s="29">
        <v>0.98290000000000011</v>
      </c>
      <c r="J305" s="29">
        <v>0</v>
      </c>
      <c r="K305" s="9">
        <v>45299</v>
      </c>
      <c r="L305">
        <f xml:space="preserve"> (交易處理資料__3[[#This Row],[售出工時]] * 60) / 5</f>
        <v>0</v>
      </c>
      <c r="M305" t="str">
        <f>VLOOKUP(交易處理資料__3[[#This Row],[人員代號]],團隊分組!$B$1:$C$52,2,FALSE)</f>
        <v>噴漆維修組</v>
      </c>
      <c r="N305" t="str">
        <f>IF(交易處理資料__3[[#This Row],[上班時間]]=0,"否","是")</f>
        <v>是</v>
      </c>
      <c r="O305" s="10" t="s">
        <v>74</v>
      </c>
      <c r="P305" s="38">
        <v>0</v>
      </c>
      <c r="Q305" s="38">
        <v>0</v>
      </c>
      <c r="R305" s="38">
        <v>0.98290000000000011</v>
      </c>
    </row>
    <row r="306" spans="1:18" hidden="1">
      <c r="A306" s="10" t="s">
        <v>74</v>
      </c>
      <c r="B306" t="s">
        <v>3</v>
      </c>
      <c r="C306">
        <v>0</v>
      </c>
      <c r="D306">
        <v>0</v>
      </c>
      <c r="E306" s="29">
        <v>0</v>
      </c>
      <c r="F306">
        <v>10.37</v>
      </c>
      <c r="G306">
        <v>0.18</v>
      </c>
      <c r="H306">
        <v>10.55</v>
      </c>
      <c r="I306" s="29">
        <v>0.98290000000000011</v>
      </c>
      <c r="J306" s="29">
        <v>0</v>
      </c>
      <c r="K306" s="9">
        <v>45299</v>
      </c>
      <c r="L306">
        <f xml:space="preserve"> (交易處理資料__3[[#This Row],[售出工時]] * 60) / 5</f>
        <v>0</v>
      </c>
      <c r="M306" t="str">
        <f>VLOOKUP(交易處理資料__3[[#This Row],[人員代號]],團隊分組!$B$1:$C$52,2,FALSE)</f>
        <v>噴漆維修組</v>
      </c>
      <c r="N306" t="str">
        <f>IF(交易處理資料__3[[#This Row],[上班時間]]=0,"否","是")</f>
        <v>是</v>
      </c>
      <c r="O306" s="10" t="s">
        <v>74</v>
      </c>
      <c r="P306" s="37">
        <v>0</v>
      </c>
      <c r="Q306" s="37">
        <v>0</v>
      </c>
      <c r="R306" s="37">
        <v>0.98290000000000011</v>
      </c>
    </row>
    <row r="307" spans="1:18" hidden="1">
      <c r="A307" s="10" t="s">
        <v>74</v>
      </c>
      <c r="B307" t="s">
        <v>4</v>
      </c>
      <c r="C307">
        <v>0</v>
      </c>
      <c r="D307">
        <v>0</v>
      </c>
      <c r="E307" s="29">
        <v>0</v>
      </c>
      <c r="F307">
        <v>7.65</v>
      </c>
      <c r="G307">
        <v>0.45</v>
      </c>
      <c r="H307">
        <v>8.1</v>
      </c>
      <c r="I307" s="29">
        <v>0.94440000000000002</v>
      </c>
      <c r="J307" s="29">
        <v>0</v>
      </c>
      <c r="K307" s="9">
        <v>45299</v>
      </c>
      <c r="L307">
        <f xml:space="preserve"> (交易處理資料__3[[#This Row],[售出工時]] * 60) / 5</f>
        <v>0</v>
      </c>
      <c r="M307" t="str">
        <f>VLOOKUP(交易處理資料__3[[#This Row],[人員代號]],團隊分組!$B$1:$C$52,2,FALSE)</f>
        <v>噴漆維修組</v>
      </c>
      <c r="N307" t="str">
        <f>IF(交易處理資料__3[[#This Row],[上班時間]]=0,"否","是")</f>
        <v>是</v>
      </c>
      <c r="O307" s="10" t="s">
        <v>74</v>
      </c>
      <c r="P307" s="38">
        <v>0</v>
      </c>
      <c r="Q307" s="38">
        <v>0</v>
      </c>
      <c r="R307" s="38">
        <v>0.94440000000000002</v>
      </c>
    </row>
    <row r="308" spans="1:18" hidden="1">
      <c r="A308" s="10" t="s">
        <v>74</v>
      </c>
      <c r="B308" t="s">
        <v>5</v>
      </c>
      <c r="C308">
        <v>0</v>
      </c>
      <c r="D308">
        <v>0</v>
      </c>
      <c r="E308" s="29">
        <v>0</v>
      </c>
      <c r="F308">
        <v>8.33</v>
      </c>
      <c r="G308">
        <v>2.2599999999999998</v>
      </c>
      <c r="H308">
        <v>10.59</v>
      </c>
      <c r="I308" s="29">
        <v>0.78659999999999997</v>
      </c>
      <c r="J308" s="29">
        <v>0</v>
      </c>
      <c r="K308" s="9">
        <v>45299</v>
      </c>
      <c r="L308">
        <f xml:space="preserve"> (交易處理資料__3[[#This Row],[售出工時]] * 60) / 5</f>
        <v>0</v>
      </c>
      <c r="M308" t="str">
        <f>VLOOKUP(交易處理資料__3[[#This Row],[人員代號]],團隊分組!$B$1:$C$52,2,FALSE)</f>
        <v>噴漆維修組</v>
      </c>
      <c r="N308" t="str">
        <f>IF(交易處理資料__3[[#This Row],[上班時間]]=0,"否","是")</f>
        <v>是</v>
      </c>
      <c r="O308" s="10" t="s">
        <v>74</v>
      </c>
      <c r="P308" s="37">
        <v>0</v>
      </c>
      <c r="Q308" s="37">
        <v>0</v>
      </c>
      <c r="R308" s="37">
        <v>0.78659999999999997</v>
      </c>
    </row>
    <row r="309" spans="1:18" hidden="1">
      <c r="A309" s="10" t="s">
        <v>74</v>
      </c>
      <c r="B309" t="s">
        <v>6</v>
      </c>
      <c r="C309">
        <v>0</v>
      </c>
      <c r="D309">
        <v>0</v>
      </c>
      <c r="E309" s="29">
        <v>0</v>
      </c>
      <c r="F309">
        <v>10.39</v>
      </c>
      <c r="G309">
        <v>0.18</v>
      </c>
      <c r="H309">
        <v>10.57</v>
      </c>
      <c r="I309" s="29">
        <v>0.98299999999999998</v>
      </c>
      <c r="J309" s="29">
        <v>0</v>
      </c>
      <c r="K309" s="9">
        <v>45299</v>
      </c>
      <c r="L309">
        <f xml:space="preserve"> (交易處理資料__3[[#This Row],[售出工時]] * 60) / 5</f>
        <v>0</v>
      </c>
      <c r="M309" t="str">
        <f>VLOOKUP(交易處理資料__3[[#This Row],[人員代號]],團隊分組!$B$1:$C$52,2,FALSE)</f>
        <v>噴漆維修組</v>
      </c>
      <c r="N309" t="str">
        <f>IF(交易處理資料__3[[#This Row],[上班時間]]=0,"否","是")</f>
        <v>是</v>
      </c>
      <c r="O309" s="10" t="s">
        <v>74</v>
      </c>
      <c r="P309" s="38">
        <v>0</v>
      </c>
      <c r="Q309" s="38">
        <v>0</v>
      </c>
      <c r="R309" s="38">
        <v>0.98299999999999998</v>
      </c>
    </row>
    <row r="310" spans="1:18">
      <c r="A310" s="10" t="s">
        <v>74</v>
      </c>
      <c r="B310" t="s">
        <v>7</v>
      </c>
      <c r="C310">
        <v>2.5</v>
      </c>
      <c r="D310">
        <v>4.88</v>
      </c>
      <c r="E310" s="29">
        <v>0.51219999999999999</v>
      </c>
      <c r="F310">
        <v>8.33</v>
      </c>
      <c r="G310">
        <v>2.2599999999999998</v>
      </c>
      <c r="H310">
        <v>10.59</v>
      </c>
      <c r="I310" s="29">
        <v>0.78659999999999997</v>
      </c>
      <c r="J310" s="29">
        <v>0.2361</v>
      </c>
      <c r="K310" s="9">
        <v>45299</v>
      </c>
      <c r="L310">
        <f xml:space="preserve"> (交易處理資料__3[[#This Row],[售出工時]] * 60) / 5</f>
        <v>30</v>
      </c>
      <c r="M310" t="str">
        <f>VLOOKUP(交易處理資料__3[[#This Row],[人員代號]],團隊分組!$B$1:$C$52,2,FALSE)</f>
        <v>噴漆維修組</v>
      </c>
      <c r="N310" t="str">
        <f>IF(交易處理資料__3[[#This Row],[上班時間]]=0,"否","是")</f>
        <v>是</v>
      </c>
      <c r="O310" s="10" t="s">
        <v>74</v>
      </c>
      <c r="P310" s="37">
        <v>0.51219999999999999</v>
      </c>
      <c r="Q310" s="37">
        <v>0.2361</v>
      </c>
      <c r="R310" s="37">
        <v>0.78659999999999997</v>
      </c>
    </row>
    <row r="311" spans="1:18" hidden="1">
      <c r="A311" s="10" t="s">
        <v>74</v>
      </c>
      <c r="B311" t="s">
        <v>8</v>
      </c>
      <c r="C311">
        <v>1.01</v>
      </c>
      <c r="D311">
        <v>2.4500000000000002</v>
      </c>
      <c r="E311" s="29">
        <v>0.41220000000000001</v>
      </c>
      <c r="F311">
        <v>7.66</v>
      </c>
      <c r="G311">
        <v>0.38</v>
      </c>
      <c r="H311">
        <v>8.0399999999999991</v>
      </c>
      <c r="I311" s="29">
        <v>0.95269999999999999</v>
      </c>
      <c r="J311" s="29">
        <v>0.12560000000000002</v>
      </c>
      <c r="K311" s="9">
        <v>45299</v>
      </c>
      <c r="L311">
        <f xml:space="preserve"> (交易處理資料__3[[#This Row],[售出工時]] * 60) / 5</f>
        <v>12.120000000000001</v>
      </c>
      <c r="M311" t="str">
        <f>VLOOKUP(交易處理資料__3[[#This Row],[人員代號]],團隊分組!$B$1:$C$52,2,FALSE)</f>
        <v>噴漆維修組</v>
      </c>
      <c r="N311" t="str">
        <f>IF(交易處理資料__3[[#This Row],[上班時間]]=0,"否","是")</f>
        <v>是</v>
      </c>
      <c r="O311" s="10" t="s">
        <v>74</v>
      </c>
      <c r="P311" s="38">
        <v>0.41220000000000001</v>
      </c>
      <c r="Q311" s="38">
        <v>0.12560000000000002</v>
      </c>
      <c r="R311" s="38">
        <v>0.95269999999999999</v>
      </c>
    </row>
    <row r="312" spans="1:18" hidden="1">
      <c r="A312" s="10" t="s">
        <v>74</v>
      </c>
      <c r="B312" t="s">
        <v>9</v>
      </c>
      <c r="C312">
        <v>0</v>
      </c>
      <c r="D312">
        <v>0</v>
      </c>
      <c r="E312" s="29">
        <v>0</v>
      </c>
      <c r="F312">
        <v>7.4</v>
      </c>
      <c r="G312">
        <v>0.7</v>
      </c>
      <c r="H312">
        <v>8.1</v>
      </c>
      <c r="I312" s="29">
        <v>0.91359999999999997</v>
      </c>
      <c r="J312" s="29">
        <v>0</v>
      </c>
      <c r="K312" s="9">
        <v>45299</v>
      </c>
      <c r="L312">
        <f xml:space="preserve"> (交易處理資料__3[[#This Row],[售出工時]] * 60) / 5</f>
        <v>0</v>
      </c>
      <c r="M312" t="str">
        <f>VLOOKUP(交易處理資料__3[[#This Row],[人員代號]],團隊分組!$B$1:$C$52,2,FALSE)</f>
        <v>噴漆維修組</v>
      </c>
      <c r="N312" t="str">
        <f>IF(交易處理資料__3[[#This Row],[上班時間]]=0,"否","是")</f>
        <v>是</v>
      </c>
      <c r="O312" s="10" t="s">
        <v>74</v>
      </c>
      <c r="P312" s="37">
        <v>0</v>
      </c>
      <c r="Q312" s="37">
        <v>0</v>
      </c>
      <c r="R312" s="37">
        <v>0.91359999999999997</v>
      </c>
    </row>
    <row r="313" spans="1:18" hidden="1">
      <c r="A313" t="s">
        <v>75</v>
      </c>
      <c r="B313" t="s">
        <v>11</v>
      </c>
      <c r="C313">
        <v>0</v>
      </c>
      <c r="D313">
        <v>0</v>
      </c>
      <c r="E313" s="29">
        <v>0</v>
      </c>
      <c r="F313">
        <v>6.36</v>
      </c>
      <c r="G313">
        <v>1.78</v>
      </c>
      <c r="H313">
        <v>8.14</v>
      </c>
      <c r="I313" s="29">
        <v>0.78129999999999999</v>
      </c>
      <c r="J313" s="29">
        <v>0</v>
      </c>
      <c r="K313" s="9">
        <v>45299</v>
      </c>
      <c r="L313">
        <f xml:space="preserve"> (交易處理資料__3[[#This Row],[售出工時]] * 60) / 5</f>
        <v>0</v>
      </c>
      <c r="M313" t="str">
        <f>VLOOKUP(交易處理資料__3[[#This Row],[人員代號]],團隊分組!$B$1:$C$52,2,FALSE)</f>
        <v>鈑金維修組</v>
      </c>
      <c r="N313" t="str">
        <f>IF(交易處理資料__3[[#This Row],[上班時間]]=0,"否","是")</f>
        <v>是</v>
      </c>
      <c r="O313" t="s">
        <v>75</v>
      </c>
      <c r="P313" s="38">
        <v>0</v>
      </c>
      <c r="Q313" s="38">
        <v>0</v>
      </c>
      <c r="R313" s="38">
        <v>0.78129999999999999</v>
      </c>
    </row>
    <row r="314" spans="1:18" hidden="1">
      <c r="A314" t="s">
        <v>75</v>
      </c>
      <c r="B314" t="s">
        <v>12</v>
      </c>
      <c r="C314">
        <v>3.7</v>
      </c>
      <c r="D314">
        <v>3.63</v>
      </c>
      <c r="E314" s="29">
        <v>1.0192000000000001</v>
      </c>
      <c r="F314">
        <v>6.96</v>
      </c>
      <c r="G314">
        <v>1.1299999999999999</v>
      </c>
      <c r="H314">
        <v>8.09</v>
      </c>
      <c r="I314" s="29">
        <v>0.86030000000000006</v>
      </c>
      <c r="J314" s="29">
        <v>0.45740000000000003</v>
      </c>
      <c r="K314" s="9">
        <v>45299</v>
      </c>
      <c r="L314">
        <f xml:space="preserve"> (交易處理資料__3[[#This Row],[售出工時]] * 60) / 5</f>
        <v>44.4</v>
      </c>
      <c r="M314" t="str">
        <f>VLOOKUP(交易處理資料__3[[#This Row],[人員代號]],團隊分組!$B$1:$C$52,2,FALSE)</f>
        <v>鈑金維修組</v>
      </c>
      <c r="N314" t="str">
        <f>IF(交易處理資料__3[[#This Row],[上班時間]]=0,"否","是")</f>
        <v>是</v>
      </c>
      <c r="O314" t="s">
        <v>75</v>
      </c>
      <c r="P314" s="37">
        <v>1.0192000000000001</v>
      </c>
      <c r="Q314" s="37">
        <v>0.45740000000000003</v>
      </c>
      <c r="R314" s="37">
        <v>0.86030000000000006</v>
      </c>
    </row>
    <row r="315" spans="1:18" hidden="1">
      <c r="A315" t="s">
        <v>75</v>
      </c>
      <c r="B315" t="s">
        <v>13</v>
      </c>
      <c r="C315">
        <v>2.63</v>
      </c>
      <c r="D315">
        <v>2.98</v>
      </c>
      <c r="E315" s="29">
        <v>0.88560000000000005</v>
      </c>
      <c r="F315">
        <v>3.2</v>
      </c>
      <c r="G315">
        <v>4.9400000000000004</v>
      </c>
      <c r="H315">
        <v>8.14</v>
      </c>
      <c r="I315" s="29">
        <v>0.3931</v>
      </c>
      <c r="J315" s="29">
        <v>0.32420000000000004</v>
      </c>
      <c r="K315" s="9">
        <v>45299</v>
      </c>
      <c r="L315">
        <f xml:space="preserve"> (交易處理資料__3[[#This Row],[售出工時]] * 60) / 5</f>
        <v>31.559999999999995</v>
      </c>
      <c r="M315" t="str">
        <f>VLOOKUP(交易處理資料__3[[#This Row],[人員代號]],團隊分組!$B$1:$C$52,2,FALSE)</f>
        <v>鈑金維修組</v>
      </c>
      <c r="N315" t="str">
        <f>IF(交易處理資料__3[[#This Row],[上班時間]]=0,"否","是")</f>
        <v>是</v>
      </c>
      <c r="O315" t="s">
        <v>75</v>
      </c>
      <c r="P315" s="38">
        <v>0.88560000000000005</v>
      </c>
      <c r="Q315" s="38">
        <v>0.32420000000000004</v>
      </c>
      <c r="R315" s="38">
        <v>0.3931</v>
      </c>
    </row>
    <row r="316" spans="1:18" hidden="1">
      <c r="A316" t="s">
        <v>75</v>
      </c>
      <c r="B316" t="s">
        <v>14</v>
      </c>
      <c r="C316">
        <v>1.31</v>
      </c>
      <c r="D316">
        <v>1.37</v>
      </c>
      <c r="E316" s="29">
        <v>0.95620000000000005</v>
      </c>
      <c r="F316">
        <v>3.18</v>
      </c>
      <c r="G316">
        <v>4.93</v>
      </c>
      <c r="H316">
        <v>8.11</v>
      </c>
      <c r="I316" s="29">
        <v>0.3921</v>
      </c>
      <c r="J316" s="29">
        <v>0.16149999999999998</v>
      </c>
      <c r="K316" s="9">
        <v>45299</v>
      </c>
      <c r="L316">
        <f xml:space="preserve"> (交易處理資料__3[[#This Row],[售出工時]] * 60) / 5</f>
        <v>15.720000000000002</v>
      </c>
      <c r="M316" t="str">
        <f>VLOOKUP(交易處理資料__3[[#This Row],[人員代號]],團隊分組!$B$1:$C$52,2,FALSE)</f>
        <v>鈑金維修組</v>
      </c>
      <c r="N316" t="str">
        <f>IF(交易處理資料__3[[#This Row],[上班時間]]=0,"否","是")</f>
        <v>是</v>
      </c>
      <c r="O316" t="s">
        <v>75</v>
      </c>
      <c r="P316" s="37">
        <v>0.95620000000000005</v>
      </c>
      <c r="Q316" s="37">
        <v>0.16149999999999998</v>
      </c>
      <c r="R316" s="37">
        <v>0.3921</v>
      </c>
    </row>
    <row r="317" spans="1:18" hidden="1">
      <c r="A317" t="s">
        <v>75</v>
      </c>
      <c r="B317" t="s">
        <v>15</v>
      </c>
      <c r="C317">
        <v>3.31</v>
      </c>
      <c r="D317">
        <v>5.42</v>
      </c>
      <c r="E317" s="29">
        <v>0.61070000000000002</v>
      </c>
      <c r="F317">
        <v>3.18</v>
      </c>
      <c r="G317">
        <v>4.95</v>
      </c>
      <c r="H317">
        <v>8.1300000000000008</v>
      </c>
      <c r="I317" s="29">
        <v>0.3911</v>
      </c>
      <c r="J317" s="29">
        <v>0.40710000000000002</v>
      </c>
      <c r="K317" s="9">
        <v>45299</v>
      </c>
      <c r="L317">
        <f xml:space="preserve"> (交易處理資料__3[[#This Row],[售出工時]] * 60) / 5</f>
        <v>39.72</v>
      </c>
      <c r="M317" t="str">
        <f>VLOOKUP(交易處理資料__3[[#This Row],[人員代號]],團隊分組!$B$1:$C$52,2,FALSE)</f>
        <v>鈑金維修組</v>
      </c>
      <c r="N317" t="str">
        <f>IF(交易處理資料__3[[#This Row],[上班時間]]=0,"否","是")</f>
        <v>是</v>
      </c>
      <c r="O317" t="s">
        <v>75</v>
      </c>
      <c r="P317" s="38">
        <v>0.61070000000000002</v>
      </c>
      <c r="Q317" s="38">
        <v>0.40710000000000002</v>
      </c>
      <c r="R317" s="38">
        <v>0.3911</v>
      </c>
    </row>
    <row r="318" spans="1:18" hidden="1">
      <c r="A318" t="s">
        <v>76</v>
      </c>
      <c r="B318" t="s">
        <v>17</v>
      </c>
      <c r="C318">
        <v>17.53</v>
      </c>
      <c r="D318">
        <v>7.79</v>
      </c>
      <c r="E318" s="29">
        <v>2.2507000000000001</v>
      </c>
      <c r="F318">
        <v>8.89</v>
      </c>
      <c r="G318">
        <v>1.21</v>
      </c>
      <c r="H318">
        <v>10.1</v>
      </c>
      <c r="I318" s="29">
        <v>0.88019999999999998</v>
      </c>
      <c r="J318" s="29">
        <v>1.736</v>
      </c>
      <c r="K318" s="9">
        <v>45299</v>
      </c>
      <c r="L318">
        <f xml:space="preserve"> (交易處理資料__3[[#This Row],[售出工時]] * 60) / 5</f>
        <v>210.36000000000004</v>
      </c>
      <c r="M318" t="str">
        <f>VLOOKUP(交易處理資料__3[[#This Row],[人員代號]],團隊分組!$B$1:$C$52,2,FALSE)</f>
        <v>快速保養團隊A</v>
      </c>
      <c r="N318" t="str">
        <f>IF(交易處理資料__3[[#This Row],[上班時間]]=0,"否","是")</f>
        <v>是</v>
      </c>
      <c r="O318" t="s">
        <v>76</v>
      </c>
      <c r="P318" s="37">
        <v>2.2507000000000001</v>
      </c>
      <c r="Q318" s="37">
        <v>1.736</v>
      </c>
      <c r="R318" s="37">
        <v>0.88019999999999998</v>
      </c>
    </row>
    <row r="319" spans="1:18" hidden="1">
      <c r="A319" t="s">
        <v>76</v>
      </c>
      <c r="B319" t="s">
        <v>18</v>
      </c>
      <c r="C319">
        <v>1</v>
      </c>
      <c r="D319">
        <v>1.35</v>
      </c>
      <c r="E319" s="29">
        <v>0.74069999999999991</v>
      </c>
      <c r="F319">
        <v>9.0399999999999991</v>
      </c>
      <c r="G319">
        <v>1.0900000000000001</v>
      </c>
      <c r="H319">
        <v>10.130000000000001</v>
      </c>
      <c r="I319" s="29">
        <v>0.89239999999999997</v>
      </c>
      <c r="J319" s="29">
        <v>9.8699999999999996E-2</v>
      </c>
      <c r="K319" s="9">
        <v>45299</v>
      </c>
      <c r="L319">
        <f xml:space="preserve"> (交易處理資料__3[[#This Row],[售出工時]] * 60) / 5</f>
        <v>12</v>
      </c>
      <c r="M319" t="str">
        <f>VLOOKUP(交易處理資料__3[[#This Row],[人員代號]],團隊分組!$B$1:$C$52,2,FALSE)</f>
        <v>查修團隊B</v>
      </c>
      <c r="N319" t="str">
        <f>IF(交易處理資料__3[[#This Row],[上班時間]]=0,"否","是")</f>
        <v>是</v>
      </c>
      <c r="O319" t="s">
        <v>76</v>
      </c>
      <c r="P319" s="38">
        <v>0.74069999999999991</v>
      </c>
      <c r="Q319" s="38">
        <v>9.8699999999999996E-2</v>
      </c>
      <c r="R319" s="38">
        <v>0.89239999999999997</v>
      </c>
    </row>
    <row r="320" spans="1:18" hidden="1">
      <c r="A320" t="s">
        <v>76</v>
      </c>
      <c r="B320" t="s">
        <v>20</v>
      </c>
      <c r="C320">
        <v>0</v>
      </c>
      <c r="D320">
        <v>0</v>
      </c>
      <c r="E320" s="29">
        <v>0</v>
      </c>
      <c r="F320">
        <v>4.9800000000000004</v>
      </c>
      <c r="G320">
        <v>4.6500000000000004</v>
      </c>
      <c r="H320">
        <v>9.6300000000000008</v>
      </c>
      <c r="I320" s="29">
        <v>0.5171</v>
      </c>
      <c r="J320" s="29">
        <v>0</v>
      </c>
      <c r="K320" s="9">
        <v>45299</v>
      </c>
      <c r="L320">
        <f xml:space="preserve"> (交易處理資料__3[[#This Row],[售出工時]] * 60) / 5</f>
        <v>0</v>
      </c>
      <c r="M320" t="str">
        <f>VLOOKUP(交易處理資料__3[[#This Row],[人員代號]],團隊分組!$B$1:$C$52,2,FALSE)</f>
        <v>查修團隊B</v>
      </c>
      <c r="N320" t="str">
        <f>IF(交易處理資料__3[[#This Row],[上班時間]]=0,"否","是")</f>
        <v>是</v>
      </c>
      <c r="O320" t="s">
        <v>76</v>
      </c>
      <c r="P320" s="37">
        <v>0</v>
      </c>
      <c r="Q320" s="37">
        <v>0</v>
      </c>
      <c r="R320" s="37">
        <v>0.5171</v>
      </c>
    </row>
    <row r="321" spans="1:18" hidden="1">
      <c r="A321" t="s">
        <v>76</v>
      </c>
      <c r="B321" t="s">
        <v>21</v>
      </c>
      <c r="C321">
        <v>5.41</v>
      </c>
      <c r="D321">
        <v>5.92</v>
      </c>
      <c r="E321" s="29">
        <v>0.91489999999999994</v>
      </c>
      <c r="F321">
        <v>6.23</v>
      </c>
      <c r="G321">
        <v>1.85</v>
      </c>
      <c r="H321">
        <v>8.08</v>
      </c>
      <c r="I321" s="29">
        <v>0.77099999999999991</v>
      </c>
      <c r="J321" s="29">
        <v>0.67040000000000011</v>
      </c>
      <c r="K321" s="9">
        <v>45299</v>
      </c>
      <c r="L321">
        <f xml:space="preserve"> (交易處理資料__3[[#This Row],[售出工時]] * 60) / 5</f>
        <v>64.92</v>
      </c>
      <c r="M321" t="str">
        <f>VLOOKUP(交易處理資料__3[[#This Row],[人員代號]],團隊分組!$B$1:$C$52,2,FALSE)</f>
        <v>查修團隊B</v>
      </c>
      <c r="N321" t="str">
        <f>IF(交易處理資料__3[[#This Row],[上班時間]]=0,"否","是")</f>
        <v>是</v>
      </c>
      <c r="O321" t="s">
        <v>76</v>
      </c>
      <c r="P321" s="38">
        <v>0.91489999999999994</v>
      </c>
      <c r="Q321" s="38">
        <v>0.67040000000000011</v>
      </c>
      <c r="R321" s="38">
        <v>0.77099999999999991</v>
      </c>
    </row>
    <row r="322" spans="1:18" hidden="1">
      <c r="A322" t="s">
        <v>76</v>
      </c>
      <c r="B322" t="s">
        <v>22</v>
      </c>
      <c r="C322">
        <v>0</v>
      </c>
      <c r="D322">
        <v>0</v>
      </c>
      <c r="E322" s="29">
        <v>0</v>
      </c>
      <c r="F322">
        <v>0</v>
      </c>
      <c r="G322">
        <v>0</v>
      </c>
      <c r="H322">
        <v>0</v>
      </c>
      <c r="I322" s="29">
        <v>0</v>
      </c>
      <c r="J322" s="29">
        <v>0</v>
      </c>
      <c r="K322" s="9">
        <v>45299</v>
      </c>
      <c r="L322">
        <f xml:space="preserve"> (交易處理資料__3[[#This Row],[售出工時]] * 60) / 5</f>
        <v>0</v>
      </c>
      <c r="M322" t="str">
        <f>VLOOKUP(交易處理資料__3[[#This Row],[人員代號]],團隊分組!$B$1:$C$52,2,FALSE)</f>
        <v>快速保養團隊A</v>
      </c>
      <c r="N322" t="str">
        <f>IF(交易處理資料__3[[#This Row],[上班時間]]=0,"否","是")</f>
        <v>否</v>
      </c>
      <c r="O322" t="s">
        <v>76</v>
      </c>
      <c r="P322" s="37">
        <v>0</v>
      </c>
      <c r="Q322" s="37">
        <v>0</v>
      </c>
      <c r="R322" s="37">
        <v>0</v>
      </c>
    </row>
    <row r="323" spans="1:18" hidden="1">
      <c r="A323" t="s">
        <v>76</v>
      </c>
      <c r="B323" t="s">
        <v>23</v>
      </c>
      <c r="C323">
        <v>7.91</v>
      </c>
      <c r="D323">
        <v>7.76</v>
      </c>
      <c r="E323" s="29">
        <v>1.0201</v>
      </c>
      <c r="F323">
        <v>8.91</v>
      </c>
      <c r="G323">
        <v>1.8</v>
      </c>
      <c r="H323">
        <v>10.71</v>
      </c>
      <c r="I323" s="29">
        <v>0.83189999999999997</v>
      </c>
      <c r="J323" s="29">
        <v>0.73919999999999997</v>
      </c>
      <c r="K323" s="9">
        <v>45299</v>
      </c>
      <c r="L323">
        <f xml:space="preserve"> (交易處理資料__3[[#This Row],[售出工時]] * 60) / 5</f>
        <v>94.92</v>
      </c>
      <c r="M323" t="str">
        <f>VLOOKUP(交易處理資料__3[[#This Row],[人員代號]],團隊分組!$B$1:$C$52,2,FALSE)</f>
        <v>快速保養團隊B</v>
      </c>
      <c r="N323" t="str">
        <f>IF(交易處理資料__3[[#This Row],[上班時間]]=0,"否","是")</f>
        <v>是</v>
      </c>
      <c r="O323" t="s">
        <v>76</v>
      </c>
      <c r="P323" s="38">
        <v>1.0201</v>
      </c>
      <c r="Q323" s="38">
        <v>0.73919999999999997</v>
      </c>
      <c r="R323" s="38">
        <v>0.83189999999999997</v>
      </c>
    </row>
    <row r="324" spans="1:18" hidden="1">
      <c r="A324" t="s">
        <v>76</v>
      </c>
      <c r="B324" t="s">
        <v>24</v>
      </c>
      <c r="C324">
        <v>6.79</v>
      </c>
      <c r="D324">
        <v>4.51</v>
      </c>
      <c r="E324" s="29">
        <v>1.5069999999999999</v>
      </c>
      <c r="F324">
        <v>8.24</v>
      </c>
      <c r="G324">
        <v>0.22</v>
      </c>
      <c r="H324">
        <v>8.4600000000000009</v>
      </c>
      <c r="I324" s="29">
        <v>0.97400000000000009</v>
      </c>
      <c r="J324" s="29">
        <v>0.8034</v>
      </c>
      <c r="K324" s="9">
        <v>45299</v>
      </c>
      <c r="L324">
        <f xml:space="preserve"> (交易處理資料__3[[#This Row],[售出工時]] * 60) / 5</f>
        <v>81.47999999999999</v>
      </c>
      <c r="M324" t="str">
        <f>VLOOKUP(交易處理資料__3[[#This Row],[人員代號]],團隊分組!$B$1:$C$52,2,FALSE)</f>
        <v>快速保養團隊A</v>
      </c>
      <c r="N324" t="str">
        <f>IF(交易處理資料__3[[#This Row],[上班時間]]=0,"否","是")</f>
        <v>是</v>
      </c>
      <c r="O324" t="s">
        <v>76</v>
      </c>
      <c r="P324" s="37">
        <v>1.5069999999999999</v>
      </c>
      <c r="Q324" s="37">
        <v>0.8034</v>
      </c>
      <c r="R324" s="37">
        <v>0.97400000000000009</v>
      </c>
    </row>
    <row r="325" spans="1:18" hidden="1">
      <c r="A325" t="s">
        <v>76</v>
      </c>
      <c r="B325" t="s">
        <v>25</v>
      </c>
      <c r="C325">
        <v>4.58</v>
      </c>
      <c r="D325">
        <v>6.17</v>
      </c>
      <c r="E325" s="29">
        <v>0.74280000000000002</v>
      </c>
      <c r="F325">
        <v>9.36</v>
      </c>
      <c r="G325">
        <v>0.39</v>
      </c>
      <c r="H325">
        <v>9.75</v>
      </c>
      <c r="I325" s="29">
        <v>0.96</v>
      </c>
      <c r="J325" s="29">
        <v>0.47009999999999996</v>
      </c>
      <c r="K325" s="9">
        <v>45299</v>
      </c>
      <c r="L325">
        <f xml:space="preserve"> (交易處理資料__3[[#This Row],[售出工時]] * 60) / 5</f>
        <v>54.96</v>
      </c>
      <c r="M325" t="str">
        <f>VLOOKUP(交易處理資料__3[[#This Row],[人員代號]],團隊分組!$B$1:$C$52,2,FALSE)</f>
        <v>查修團隊A</v>
      </c>
      <c r="N325" t="str">
        <f>IF(交易處理資料__3[[#This Row],[上班時間]]=0,"否","是")</f>
        <v>是</v>
      </c>
      <c r="O325" t="s">
        <v>76</v>
      </c>
      <c r="P325" s="38">
        <v>0.74280000000000002</v>
      </c>
      <c r="Q325" s="38">
        <v>0.47009999999999996</v>
      </c>
      <c r="R325" s="38">
        <v>0.96</v>
      </c>
    </row>
    <row r="326" spans="1:18" hidden="1">
      <c r="A326" t="s">
        <v>76</v>
      </c>
      <c r="B326" t="s">
        <v>26</v>
      </c>
      <c r="C326">
        <v>0</v>
      </c>
      <c r="D326">
        <v>0</v>
      </c>
      <c r="E326" s="29">
        <v>0</v>
      </c>
      <c r="F326">
        <v>8.43</v>
      </c>
      <c r="G326">
        <v>1.2</v>
      </c>
      <c r="H326">
        <v>9.6300000000000008</v>
      </c>
      <c r="I326" s="29">
        <v>0.87540000000000007</v>
      </c>
      <c r="J326" s="29">
        <v>0</v>
      </c>
      <c r="K326" s="9">
        <v>45299</v>
      </c>
      <c r="L326">
        <f xml:space="preserve"> (交易處理資料__3[[#This Row],[售出工時]] * 60) / 5</f>
        <v>0</v>
      </c>
      <c r="M326" t="str">
        <f>VLOOKUP(交易處理資料__3[[#This Row],[人員代號]],團隊分組!$B$1:$C$52,2,FALSE)</f>
        <v>查修團隊B</v>
      </c>
      <c r="N326" t="str">
        <f>IF(交易處理資料__3[[#This Row],[上班時間]]=0,"否","是")</f>
        <v>是</v>
      </c>
      <c r="O326" t="s">
        <v>76</v>
      </c>
      <c r="P326" s="37">
        <v>0</v>
      </c>
      <c r="Q326" s="37">
        <v>0</v>
      </c>
      <c r="R326" s="37">
        <v>0.87540000000000007</v>
      </c>
    </row>
    <row r="327" spans="1:18" hidden="1">
      <c r="A327" t="s">
        <v>76</v>
      </c>
      <c r="B327" t="s">
        <v>27</v>
      </c>
      <c r="C327">
        <v>8.7899999999999991</v>
      </c>
      <c r="D327">
        <v>7.24</v>
      </c>
      <c r="E327" s="29">
        <v>1.2150000000000001</v>
      </c>
      <c r="F327">
        <v>9.99</v>
      </c>
      <c r="G327">
        <v>7.0000000000000007E-2</v>
      </c>
      <c r="H327">
        <v>10.06</v>
      </c>
      <c r="I327" s="29">
        <v>0.99299999999999999</v>
      </c>
      <c r="J327" s="29">
        <v>0.87439999999999996</v>
      </c>
      <c r="K327" s="9">
        <v>45299</v>
      </c>
      <c r="L327">
        <f xml:space="preserve"> (交易處理資料__3[[#This Row],[售出工時]] * 60) / 5</f>
        <v>105.47999999999999</v>
      </c>
      <c r="M327" t="str">
        <f>VLOOKUP(交易處理資料__3[[#This Row],[人員代號]],團隊分組!$B$1:$C$52,2,FALSE)</f>
        <v>快速保養團隊B</v>
      </c>
      <c r="N327" t="str">
        <f>IF(交易處理資料__3[[#This Row],[上班時間]]=0,"否","是")</f>
        <v>是</v>
      </c>
      <c r="O327" t="s">
        <v>76</v>
      </c>
      <c r="P327" s="38">
        <v>1.2150000000000001</v>
      </c>
      <c r="Q327" s="38">
        <v>0.87439999999999996</v>
      </c>
      <c r="R327" s="38">
        <v>0.99299999999999999</v>
      </c>
    </row>
    <row r="328" spans="1:18" hidden="1">
      <c r="A328" t="s">
        <v>76</v>
      </c>
      <c r="B328" t="s">
        <v>29</v>
      </c>
      <c r="C328">
        <v>0</v>
      </c>
      <c r="D328">
        <v>0</v>
      </c>
      <c r="E328" s="29">
        <v>0</v>
      </c>
      <c r="F328">
        <v>4.3</v>
      </c>
      <c r="G328">
        <v>3.77</v>
      </c>
      <c r="H328">
        <v>8.07</v>
      </c>
      <c r="I328" s="29">
        <v>0.53280000000000005</v>
      </c>
      <c r="J328" s="29">
        <v>0</v>
      </c>
      <c r="K328" s="9">
        <v>45299</v>
      </c>
      <c r="L328">
        <f xml:space="preserve"> (交易處理資料__3[[#This Row],[售出工時]] * 60) / 5</f>
        <v>0</v>
      </c>
      <c r="M328" t="str">
        <f>VLOOKUP(交易處理資料__3[[#This Row],[人員代號]],團隊分組!$B$1:$C$52,2,FALSE)</f>
        <v>查修團隊B</v>
      </c>
      <c r="N328" t="str">
        <f>IF(交易處理資料__3[[#This Row],[上班時間]]=0,"否","是")</f>
        <v>是</v>
      </c>
      <c r="O328" t="s">
        <v>76</v>
      </c>
      <c r="P328" s="37">
        <v>0</v>
      </c>
      <c r="Q328" s="37">
        <v>0</v>
      </c>
      <c r="R328" s="37">
        <v>0.53280000000000005</v>
      </c>
    </row>
    <row r="329" spans="1:18" hidden="1">
      <c r="A329" t="s">
        <v>76</v>
      </c>
      <c r="B329" t="s">
        <v>30</v>
      </c>
      <c r="C329">
        <v>10.47</v>
      </c>
      <c r="D329">
        <v>8.14</v>
      </c>
      <c r="E329" s="29">
        <v>1.2869999999999999</v>
      </c>
      <c r="F329">
        <v>9.9700000000000006</v>
      </c>
      <c r="G329">
        <v>7.0000000000000007E-2</v>
      </c>
      <c r="H329">
        <v>10.039999999999999</v>
      </c>
      <c r="I329" s="29">
        <v>0.99299999999999999</v>
      </c>
      <c r="J329" s="29">
        <v>1.0434999999999999</v>
      </c>
      <c r="K329" s="9">
        <v>45299</v>
      </c>
      <c r="L329">
        <f xml:space="preserve"> (交易處理資料__3[[#This Row],[售出工時]] * 60) / 5</f>
        <v>125.64000000000001</v>
      </c>
      <c r="M329" t="str">
        <f>VLOOKUP(交易處理資料__3[[#This Row],[人員代號]],團隊分組!$B$1:$C$52,2,FALSE)</f>
        <v>快速保養團隊B</v>
      </c>
      <c r="N329" t="str">
        <f>IF(交易處理資料__3[[#This Row],[上班時間]]=0,"否","是")</f>
        <v>是</v>
      </c>
      <c r="O329" t="s">
        <v>76</v>
      </c>
      <c r="P329" s="38">
        <v>1.2869999999999999</v>
      </c>
      <c r="Q329" s="38">
        <v>1.0434999999999999</v>
      </c>
      <c r="R329" s="38">
        <v>0.99299999999999999</v>
      </c>
    </row>
    <row r="330" spans="1:18" hidden="1">
      <c r="A330" t="s">
        <v>76</v>
      </c>
      <c r="B330" t="s">
        <v>31</v>
      </c>
      <c r="C330">
        <v>0</v>
      </c>
      <c r="D330">
        <v>0</v>
      </c>
      <c r="E330" s="29">
        <v>0</v>
      </c>
      <c r="F330">
        <v>0</v>
      </c>
      <c r="G330">
        <v>0</v>
      </c>
      <c r="H330">
        <v>0</v>
      </c>
      <c r="I330" s="29">
        <v>0</v>
      </c>
      <c r="J330" s="29">
        <v>0</v>
      </c>
      <c r="K330" s="9">
        <v>45299</v>
      </c>
      <c r="L330">
        <f xml:space="preserve"> (交易處理資料__3[[#This Row],[售出工時]] * 60) / 5</f>
        <v>0</v>
      </c>
      <c r="M330" t="str">
        <f>VLOOKUP(交易處理資料__3[[#This Row],[人員代號]],團隊分組!$B$1:$C$52,2,FALSE)</f>
        <v>快速保養團隊A</v>
      </c>
      <c r="N330" t="str">
        <f>IF(交易處理資料__3[[#This Row],[上班時間]]=0,"否","是")</f>
        <v>否</v>
      </c>
      <c r="O330" t="s">
        <v>76</v>
      </c>
      <c r="P330" s="37">
        <v>0</v>
      </c>
      <c r="Q330" s="37">
        <v>0</v>
      </c>
      <c r="R330" s="37">
        <v>0</v>
      </c>
    </row>
    <row r="331" spans="1:18" hidden="1">
      <c r="A331" t="s">
        <v>76</v>
      </c>
      <c r="B331" t="s">
        <v>33</v>
      </c>
      <c r="C331">
        <v>0</v>
      </c>
      <c r="D331">
        <v>0</v>
      </c>
      <c r="E331" s="29">
        <v>0</v>
      </c>
      <c r="F331">
        <v>0</v>
      </c>
      <c r="G331">
        <v>0</v>
      </c>
      <c r="H331">
        <v>0</v>
      </c>
      <c r="I331" s="29">
        <v>0</v>
      </c>
      <c r="J331" s="29">
        <v>0</v>
      </c>
      <c r="K331" s="9">
        <v>45299</v>
      </c>
      <c r="L331">
        <f xml:space="preserve"> (交易處理資料__3[[#This Row],[售出工時]] * 60) / 5</f>
        <v>0</v>
      </c>
      <c r="M331" t="str">
        <f>VLOOKUP(交易處理資料__3[[#This Row],[人員代號]],團隊分組!$B$1:$C$52,2,FALSE)</f>
        <v>快速保養團隊B</v>
      </c>
      <c r="N331" t="str">
        <f>IF(交易處理資料__3[[#This Row],[上班時間]]=0,"否","是")</f>
        <v>否</v>
      </c>
      <c r="O331" t="s">
        <v>76</v>
      </c>
      <c r="P331" s="38">
        <v>0</v>
      </c>
      <c r="Q331" s="38">
        <v>0</v>
      </c>
      <c r="R331" s="38">
        <v>0</v>
      </c>
    </row>
    <row r="332" spans="1:18" hidden="1">
      <c r="A332" t="s">
        <v>76</v>
      </c>
      <c r="B332" t="s">
        <v>34</v>
      </c>
      <c r="C332">
        <v>12</v>
      </c>
      <c r="D332">
        <v>6.96</v>
      </c>
      <c r="E332" s="29">
        <v>1.7241</v>
      </c>
      <c r="F332">
        <v>7.64</v>
      </c>
      <c r="G332">
        <v>1.48</v>
      </c>
      <c r="H332">
        <v>9.1199999999999992</v>
      </c>
      <c r="I332" s="29">
        <v>0.8377</v>
      </c>
      <c r="J332" s="29">
        <v>1.3158000000000001</v>
      </c>
      <c r="K332" s="9">
        <v>45299</v>
      </c>
      <c r="L332">
        <f xml:space="preserve"> (交易處理資料__3[[#This Row],[售出工時]] * 60) / 5</f>
        <v>144</v>
      </c>
      <c r="M332" t="str">
        <f>VLOOKUP(交易處理資料__3[[#This Row],[人員代號]],團隊分組!$B$1:$C$52,2,FALSE)</f>
        <v>快速保養團隊A</v>
      </c>
      <c r="N332" t="str">
        <f>IF(交易處理資料__3[[#This Row],[上班時間]]=0,"否","是")</f>
        <v>是</v>
      </c>
      <c r="O332" t="s">
        <v>76</v>
      </c>
      <c r="P332" s="37">
        <v>1.7241</v>
      </c>
      <c r="Q332" s="37">
        <v>1.3158000000000001</v>
      </c>
      <c r="R332" s="37">
        <v>0.8377</v>
      </c>
    </row>
    <row r="333" spans="1:18" hidden="1">
      <c r="A333" t="s">
        <v>76</v>
      </c>
      <c r="B333" t="s">
        <v>35</v>
      </c>
      <c r="C333">
        <v>0.83</v>
      </c>
      <c r="D333">
        <v>3.03</v>
      </c>
      <c r="E333" s="29">
        <v>0.27500000000000002</v>
      </c>
      <c r="F333">
        <v>8.43</v>
      </c>
      <c r="G333">
        <v>1.17</v>
      </c>
      <c r="H333">
        <v>9.6</v>
      </c>
      <c r="I333" s="29">
        <v>0.87809999999999999</v>
      </c>
      <c r="J333" s="29">
        <v>8.6800000000000002E-2</v>
      </c>
      <c r="K333" s="9">
        <v>45299</v>
      </c>
      <c r="L333">
        <f xml:space="preserve"> (交易處理資料__3[[#This Row],[售出工時]] * 60) / 5</f>
        <v>9.9599999999999991</v>
      </c>
      <c r="M333" t="str">
        <f>VLOOKUP(交易處理資料__3[[#This Row],[人員代號]],團隊分組!$B$1:$C$52,2,FALSE)</f>
        <v>查修團隊B</v>
      </c>
      <c r="N333" t="str">
        <f>IF(交易處理資料__3[[#This Row],[上班時間]]=0,"否","是")</f>
        <v>是</v>
      </c>
      <c r="O333" t="s">
        <v>76</v>
      </c>
      <c r="P333" s="38">
        <v>0.27500000000000002</v>
      </c>
      <c r="Q333" s="38">
        <v>8.6800000000000002E-2</v>
      </c>
      <c r="R333" s="38">
        <v>0.87809999999999999</v>
      </c>
    </row>
    <row r="334" spans="1:18" hidden="1">
      <c r="A334" t="s">
        <v>76</v>
      </c>
      <c r="B334" t="s">
        <v>36</v>
      </c>
      <c r="C334">
        <v>0</v>
      </c>
      <c r="D334">
        <v>0</v>
      </c>
      <c r="E334" s="29">
        <v>0</v>
      </c>
      <c r="F334">
        <v>7.75</v>
      </c>
      <c r="G334">
        <v>0.47</v>
      </c>
      <c r="H334">
        <v>8.2200000000000006</v>
      </c>
      <c r="I334" s="29">
        <v>0.94279999999999997</v>
      </c>
      <c r="J334" s="29">
        <v>0</v>
      </c>
      <c r="K334" s="9">
        <v>45299</v>
      </c>
      <c r="L334">
        <f xml:space="preserve"> (交易處理資料__3[[#This Row],[售出工時]] * 60) / 5</f>
        <v>0</v>
      </c>
      <c r="M334" t="str">
        <f>VLOOKUP(交易處理資料__3[[#This Row],[人員代號]],團隊分組!$B$1:$C$52,2,FALSE)</f>
        <v>查修團隊B</v>
      </c>
      <c r="N334" t="str">
        <f>IF(交易處理資料__3[[#This Row],[上班時間]]=0,"否","是")</f>
        <v>是</v>
      </c>
      <c r="O334" t="s">
        <v>76</v>
      </c>
      <c r="P334" s="37">
        <v>0</v>
      </c>
      <c r="Q334" s="37">
        <v>0</v>
      </c>
      <c r="R334" s="37">
        <v>0.94279999999999997</v>
      </c>
    </row>
    <row r="335" spans="1:18" hidden="1">
      <c r="A335" t="s">
        <v>76</v>
      </c>
      <c r="B335" t="s">
        <v>37</v>
      </c>
      <c r="C335">
        <v>4.41</v>
      </c>
      <c r="D335">
        <v>2.8</v>
      </c>
      <c r="E335" s="29">
        <v>1.5772999999999999</v>
      </c>
      <c r="F335">
        <v>6.52</v>
      </c>
      <c r="G335">
        <v>3.47</v>
      </c>
      <c r="H335">
        <v>9.99</v>
      </c>
      <c r="I335" s="29">
        <v>0.65269999999999995</v>
      </c>
      <c r="J335" s="29">
        <v>0.44209999999999999</v>
      </c>
      <c r="K335" s="9">
        <v>45299</v>
      </c>
      <c r="L335">
        <f xml:space="preserve"> (交易處理資料__3[[#This Row],[售出工時]] * 60) / 5</f>
        <v>52.92</v>
      </c>
      <c r="M335" t="str">
        <f>VLOOKUP(交易處理資料__3[[#This Row],[人員代號]],團隊分組!$B$1:$C$52,2,FALSE)</f>
        <v>查修團隊A</v>
      </c>
      <c r="N335" t="str">
        <f>IF(交易處理資料__3[[#This Row],[上班時間]]=0,"否","是")</f>
        <v>是</v>
      </c>
      <c r="O335" t="s">
        <v>76</v>
      </c>
      <c r="P335" s="38">
        <v>1.5772999999999999</v>
      </c>
      <c r="Q335" s="38">
        <v>0.44209999999999999</v>
      </c>
      <c r="R335" s="38">
        <v>0.65269999999999995</v>
      </c>
    </row>
    <row r="336" spans="1:18" hidden="1">
      <c r="A336" t="s">
        <v>76</v>
      </c>
      <c r="B336" t="s">
        <v>38</v>
      </c>
      <c r="C336">
        <v>11.83</v>
      </c>
      <c r="D336">
        <v>7.57</v>
      </c>
      <c r="E336" s="29">
        <v>1.5630999999999999</v>
      </c>
      <c r="F336">
        <v>11.24</v>
      </c>
      <c r="G336">
        <v>1.23</v>
      </c>
      <c r="H336">
        <v>12.47</v>
      </c>
      <c r="I336" s="29">
        <v>0.90139999999999998</v>
      </c>
      <c r="J336" s="29">
        <v>0.94889999999999997</v>
      </c>
      <c r="K336" s="9">
        <v>45299</v>
      </c>
      <c r="L336">
        <f xml:space="preserve"> (交易處理資料__3[[#This Row],[售出工時]] * 60) / 5</f>
        <v>141.95999999999998</v>
      </c>
      <c r="M336" t="str">
        <f>VLOOKUP(交易處理資料__3[[#This Row],[人員代號]],團隊分組!$B$1:$C$52,2,FALSE)</f>
        <v>快速保養團隊A</v>
      </c>
      <c r="N336" t="str">
        <f>IF(交易處理資料__3[[#This Row],[上班時間]]=0,"否","是")</f>
        <v>是</v>
      </c>
      <c r="O336" t="s">
        <v>76</v>
      </c>
      <c r="P336" s="37">
        <v>1.5630999999999999</v>
      </c>
      <c r="Q336" s="37">
        <v>0.94889999999999997</v>
      </c>
      <c r="R336" s="37">
        <v>0.90139999999999998</v>
      </c>
    </row>
    <row r="337" spans="1:18" hidden="1">
      <c r="A337" t="s">
        <v>76</v>
      </c>
      <c r="B337" t="s">
        <v>39</v>
      </c>
      <c r="C337">
        <v>0</v>
      </c>
      <c r="D337">
        <v>0</v>
      </c>
      <c r="E337" s="29">
        <v>0</v>
      </c>
      <c r="F337">
        <v>9.3800000000000008</v>
      </c>
      <c r="G337">
        <v>0.63</v>
      </c>
      <c r="H337">
        <v>10.01</v>
      </c>
      <c r="I337" s="29">
        <v>0.93709999999999993</v>
      </c>
      <c r="J337" s="29">
        <v>0</v>
      </c>
      <c r="K337" s="9">
        <v>45299</v>
      </c>
      <c r="L337">
        <f xml:space="preserve"> (交易處理資料__3[[#This Row],[售出工時]] * 60) / 5</f>
        <v>0</v>
      </c>
      <c r="M337" t="str">
        <f>VLOOKUP(交易處理資料__3[[#This Row],[人員代號]],團隊分組!$B$1:$C$52,2,FALSE)</f>
        <v>查修團隊A</v>
      </c>
      <c r="N337" t="str">
        <f>IF(交易處理資料__3[[#This Row],[上班時間]]=0,"否","是")</f>
        <v>是</v>
      </c>
      <c r="O337" t="s">
        <v>76</v>
      </c>
      <c r="P337" s="38">
        <v>0</v>
      </c>
      <c r="Q337" s="38">
        <v>0</v>
      </c>
      <c r="R337" s="38">
        <v>0.93709999999999993</v>
      </c>
    </row>
    <row r="338" spans="1:18" hidden="1">
      <c r="A338" t="s">
        <v>76</v>
      </c>
      <c r="B338" t="s">
        <v>40</v>
      </c>
      <c r="C338">
        <v>0.57999999999999996</v>
      </c>
      <c r="D338">
        <v>1.88</v>
      </c>
      <c r="E338" s="29">
        <v>0.31019999999999998</v>
      </c>
      <c r="F338">
        <v>7.75</v>
      </c>
      <c r="G338">
        <v>0.55000000000000004</v>
      </c>
      <c r="H338">
        <v>8.3000000000000007</v>
      </c>
      <c r="I338" s="29">
        <v>0.93370000000000009</v>
      </c>
      <c r="J338" s="29">
        <v>7.0300000000000001E-2</v>
      </c>
      <c r="K338" s="9">
        <v>45299</v>
      </c>
      <c r="L338">
        <f xml:space="preserve"> (交易處理資料__3[[#This Row],[售出工時]] * 60) / 5</f>
        <v>6.9599999999999991</v>
      </c>
      <c r="M338" t="str">
        <f>VLOOKUP(交易處理資料__3[[#This Row],[人員代號]],團隊分組!$B$1:$C$52,2,FALSE)</f>
        <v>查修團隊A</v>
      </c>
      <c r="N338" t="str">
        <f>IF(交易處理資料__3[[#This Row],[上班時間]]=0,"否","是")</f>
        <v>是</v>
      </c>
      <c r="O338" t="s">
        <v>76</v>
      </c>
      <c r="P338" s="37">
        <v>0.31019999999999998</v>
      </c>
      <c r="Q338" s="37">
        <v>7.0300000000000001E-2</v>
      </c>
      <c r="R338" s="37">
        <v>0.93370000000000009</v>
      </c>
    </row>
    <row r="339" spans="1:18" hidden="1">
      <c r="A339" t="s">
        <v>76</v>
      </c>
      <c r="B339" t="s">
        <v>42</v>
      </c>
      <c r="C339">
        <v>5.58</v>
      </c>
      <c r="D339">
        <v>5.54</v>
      </c>
      <c r="E339" s="29">
        <v>1.0078</v>
      </c>
      <c r="F339">
        <v>4.91</v>
      </c>
      <c r="G339">
        <v>3.94</v>
      </c>
      <c r="H339">
        <v>8.85</v>
      </c>
      <c r="I339" s="29">
        <v>0.55479999999999996</v>
      </c>
      <c r="J339" s="29">
        <v>0.63090000000000002</v>
      </c>
      <c r="K339" s="9">
        <v>45299</v>
      </c>
      <c r="L339">
        <f xml:space="preserve"> (交易處理資料__3[[#This Row],[售出工時]] * 60) / 5</f>
        <v>66.960000000000008</v>
      </c>
      <c r="M339" t="str">
        <f>VLOOKUP(交易處理資料__3[[#This Row],[人員代號]],團隊分組!$B$1:$C$52,2,FALSE)</f>
        <v>快速保養團隊A</v>
      </c>
      <c r="N339" t="str">
        <f>IF(交易處理資料__3[[#This Row],[上班時間]]=0,"否","是")</f>
        <v>是</v>
      </c>
      <c r="O339" t="s">
        <v>76</v>
      </c>
      <c r="P339" s="38">
        <v>1.0078</v>
      </c>
      <c r="Q339" s="38">
        <v>0.63090000000000002</v>
      </c>
      <c r="R339" s="38">
        <v>0.55479999999999996</v>
      </c>
    </row>
    <row r="340" spans="1:18" hidden="1">
      <c r="A340" t="s">
        <v>76</v>
      </c>
      <c r="B340" t="s">
        <v>43</v>
      </c>
      <c r="C340">
        <v>0</v>
      </c>
      <c r="D340">
        <v>0</v>
      </c>
      <c r="E340" s="29">
        <v>0</v>
      </c>
      <c r="F340">
        <v>7.74</v>
      </c>
      <c r="G340">
        <v>0.49</v>
      </c>
      <c r="H340">
        <v>8.23</v>
      </c>
      <c r="I340" s="29">
        <v>0.9405</v>
      </c>
      <c r="J340" s="29">
        <v>0</v>
      </c>
      <c r="K340" s="9">
        <v>45299</v>
      </c>
      <c r="L340">
        <f xml:space="preserve"> (交易處理資料__3[[#This Row],[售出工時]] * 60) / 5</f>
        <v>0</v>
      </c>
      <c r="M340" t="str">
        <f>VLOOKUP(交易處理資料__3[[#This Row],[人員代號]],團隊分組!$B$1:$C$52,2,FALSE)</f>
        <v>查修團隊B</v>
      </c>
      <c r="N340" t="str">
        <f>IF(交易處理資料__3[[#This Row],[上班時間]]=0,"否","是")</f>
        <v>是</v>
      </c>
      <c r="O340" t="s">
        <v>76</v>
      </c>
      <c r="P340" s="37">
        <v>0</v>
      </c>
      <c r="Q340" s="37">
        <v>0</v>
      </c>
      <c r="R340" s="37">
        <v>0.9405</v>
      </c>
    </row>
    <row r="341" spans="1:18" hidden="1">
      <c r="A341" t="s">
        <v>76</v>
      </c>
      <c r="B341" t="s">
        <v>44</v>
      </c>
      <c r="C341">
        <v>3.91</v>
      </c>
      <c r="D341">
        <v>7</v>
      </c>
      <c r="E341" s="29">
        <v>0.5595</v>
      </c>
      <c r="F341">
        <v>9.6300000000000008</v>
      </c>
      <c r="G341">
        <v>1</v>
      </c>
      <c r="H341">
        <v>10.63</v>
      </c>
      <c r="I341" s="29">
        <v>0.90590000000000004</v>
      </c>
      <c r="J341" s="29">
        <v>0.36849999999999999</v>
      </c>
      <c r="K341" s="9">
        <v>45299</v>
      </c>
      <c r="L341">
        <f xml:space="preserve"> (交易處理資料__3[[#This Row],[售出工時]] * 60) / 5</f>
        <v>46.92</v>
      </c>
      <c r="M341" t="str">
        <f>VLOOKUP(交易處理資料__3[[#This Row],[人員代號]],團隊分組!$B$1:$C$52,2,FALSE)</f>
        <v>快速保養團隊B</v>
      </c>
      <c r="N341" t="str">
        <f>IF(交易處理資料__3[[#This Row],[上班時間]]=0,"否","是")</f>
        <v>是</v>
      </c>
      <c r="O341" t="s">
        <v>76</v>
      </c>
      <c r="P341" s="38">
        <v>0.5595</v>
      </c>
      <c r="Q341" s="38">
        <v>0.36849999999999999</v>
      </c>
      <c r="R341" s="38">
        <v>0.90590000000000004</v>
      </c>
    </row>
    <row r="342" spans="1:18" hidden="1">
      <c r="A342" t="s">
        <v>76</v>
      </c>
      <c r="B342" t="s">
        <v>45</v>
      </c>
      <c r="C342">
        <v>7.91</v>
      </c>
      <c r="D342">
        <v>4.8600000000000003</v>
      </c>
      <c r="E342" s="29">
        <v>1.6288999999999998</v>
      </c>
      <c r="F342">
        <v>8.4</v>
      </c>
      <c r="G342">
        <v>0.55000000000000004</v>
      </c>
      <c r="H342">
        <v>8.9499999999999993</v>
      </c>
      <c r="I342" s="29">
        <v>0.93849999999999989</v>
      </c>
      <c r="J342" s="29">
        <v>0.88450000000000006</v>
      </c>
      <c r="K342" s="9">
        <v>45299</v>
      </c>
      <c r="L342">
        <f xml:space="preserve"> (交易處理資料__3[[#This Row],[售出工時]] * 60) / 5</f>
        <v>94.92</v>
      </c>
      <c r="M342" t="str">
        <f>VLOOKUP(交易處理資料__3[[#This Row],[人員代號]],團隊分組!$B$1:$C$52,2,FALSE)</f>
        <v>快速保養團隊A</v>
      </c>
      <c r="N342" t="str">
        <f>IF(交易處理資料__3[[#This Row],[上班時間]]=0,"否","是")</f>
        <v>是</v>
      </c>
      <c r="O342" t="s">
        <v>76</v>
      </c>
      <c r="P342" s="37">
        <v>1.6288999999999998</v>
      </c>
      <c r="Q342" s="37">
        <v>0.88450000000000006</v>
      </c>
      <c r="R342" s="37">
        <v>0.93849999999999989</v>
      </c>
    </row>
    <row r="343" spans="1:18" hidden="1">
      <c r="A343" t="s">
        <v>76</v>
      </c>
      <c r="B343" t="s">
        <v>46</v>
      </c>
      <c r="C343">
        <v>1</v>
      </c>
      <c r="D343">
        <v>0.65</v>
      </c>
      <c r="E343" s="29">
        <v>1.5384</v>
      </c>
      <c r="F343">
        <v>7.25</v>
      </c>
      <c r="G343">
        <v>0.9</v>
      </c>
      <c r="H343">
        <v>8.15</v>
      </c>
      <c r="I343" s="29">
        <v>0.88959999999999995</v>
      </c>
      <c r="J343" s="29">
        <v>0.12269999999999999</v>
      </c>
      <c r="K343" s="9">
        <v>45299</v>
      </c>
      <c r="L343">
        <f xml:space="preserve"> (交易處理資料__3[[#This Row],[售出工時]] * 60) / 5</f>
        <v>12</v>
      </c>
      <c r="M343" t="str">
        <f>VLOOKUP(交易處理資料__3[[#This Row],[人員代號]],團隊分組!$B$1:$C$52,2,FALSE)</f>
        <v>查修團隊B</v>
      </c>
      <c r="N343" t="str">
        <f>IF(交易處理資料__3[[#This Row],[上班時間]]=0,"否","是")</f>
        <v>是</v>
      </c>
      <c r="O343" t="s">
        <v>76</v>
      </c>
      <c r="P343" s="38">
        <v>1.5384</v>
      </c>
      <c r="Q343" s="38">
        <v>0.12269999999999999</v>
      </c>
      <c r="R343" s="38">
        <v>0.88959999999999995</v>
      </c>
    </row>
    <row r="344" spans="1:18" hidden="1">
      <c r="A344" t="s">
        <v>76</v>
      </c>
      <c r="B344" t="s">
        <v>47</v>
      </c>
      <c r="C344">
        <v>0</v>
      </c>
      <c r="D344">
        <v>0</v>
      </c>
      <c r="E344" s="29">
        <v>0</v>
      </c>
      <c r="F344">
        <v>5.04</v>
      </c>
      <c r="G344">
        <v>3.02</v>
      </c>
      <c r="H344">
        <v>8.06</v>
      </c>
      <c r="I344" s="29">
        <v>0.62529999999999997</v>
      </c>
      <c r="J344" s="29">
        <v>0</v>
      </c>
      <c r="K344" s="9">
        <v>45299</v>
      </c>
      <c r="L344">
        <f xml:space="preserve"> (交易處理資料__3[[#This Row],[售出工時]] * 60) / 5</f>
        <v>0</v>
      </c>
      <c r="M344" t="str">
        <f>VLOOKUP(交易處理資料__3[[#This Row],[人員代號]],團隊分組!$B$1:$C$52,2,FALSE)</f>
        <v>查修團隊B</v>
      </c>
      <c r="N344" t="str">
        <f>IF(交易處理資料__3[[#This Row],[上班時間]]=0,"否","是")</f>
        <v>是</v>
      </c>
      <c r="O344" t="s">
        <v>76</v>
      </c>
      <c r="P344" s="37">
        <v>0</v>
      </c>
      <c r="Q344" s="37">
        <v>0</v>
      </c>
      <c r="R344" s="37">
        <v>0.62529999999999997</v>
      </c>
    </row>
    <row r="345" spans="1:18" hidden="1">
      <c r="A345" t="s">
        <v>76</v>
      </c>
      <c r="B345" t="s">
        <v>48</v>
      </c>
      <c r="C345">
        <v>0</v>
      </c>
      <c r="D345">
        <v>0</v>
      </c>
      <c r="E345" s="29">
        <v>0</v>
      </c>
      <c r="F345">
        <v>4.16</v>
      </c>
      <c r="G345">
        <v>4.12</v>
      </c>
      <c r="H345">
        <v>8.2799999999999994</v>
      </c>
      <c r="I345" s="29">
        <v>0.50240000000000007</v>
      </c>
      <c r="J345" s="29">
        <v>0</v>
      </c>
      <c r="K345" s="9">
        <v>45299</v>
      </c>
      <c r="L345">
        <f xml:space="preserve"> (交易處理資料__3[[#This Row],[售出工時]] * 60) / 5</f>
        <v>0</v>
      </c>
      <c r="M345" t="str">
        <f>VLOOKUP(交易處理資料__3[[#This Row],[人員代號]],團隊分組!$B$1:$C$52,2,FALSE)</f>
        <v>查修團隊A</v>
      </c>
      <c r="N345" t="str">
        <f>IF(交易處理資料__3[[#This Row],[上班時間]]=0,"否","是")</f>
        <v>是</v>
      </c>
      <c r="O345" t="s">
        <v>76</v>
      </c>
      <c r="P345" s="38">
        <v>0</v>
      </c>
      <c r="Q345" s="38">
        <v>0</v>
      </c>
      <c r="R345" s="38">
        <v>0.50240000000000007</v>
      </c>
    </row>
    <row r="346" spans="1:18" hidden="1">
      <c r="A346" t="s">
        <v>76</v>
      </c>
      <c r="B346" t="s">
        <v>49</v>
      </c>
      <c r="C346">
        <v>7.38</v>
      </c>
      <c r="D346">
        <v>6.4</v>
      </c>
      <c r="E346" s="29">
        <v>1.1531</v>
      </c>
      <c r="F346">
        <v>9.67</v>
      </c>
      <c r="G346">
        <v>0.37</v>
      </c>
      <c r="H346">
        <v>10.039999999999999</v>
      </c>
      <c r="I346" s="29">
        <v>0.96310000000000007</v>
      </c>
      <c r="J346" s="29">
        <v>0.73510000000000009</v>
      </c>
      <c r="K346" s="9">
        <v>45299</v>
      </c>
      <c r="L346">
        <f xml:space="preserve"> (交易處理資料__3[[#This Row],[售出工時]] * 60) / 5</f>
        <v>88.56</v>
      </c>
      <c r="M346" t="str">
        <f>VLOOKUP(交易處理資料__3[[#This Row],[人員代號]],團隊分組!$B$1:$C$52,2,FALSE)</f>
        <v>查修團隊A</v>
      </c>
      <c r="N346" t="str">
        <f>IF(交易處理資料__3[[#This Row],[上班時間]]=0,"否","是")</f>
        <v>是</v>
      </c>
      <c r="O346" t="s">
        <v>76</v>
      </c>
      <c r="P346" s="37">
        <v>1.1531</v>
      </c>
      <c r="Q346" s="37">
        <v>0.73510000000000009</v>
      </c>
      <c r="R346" s="37">
        <v>0.96310000000000007</v>
      </c>
    </row>
    <row r="347" spans="1:18" hidden="1">
      <c r="A347" t="s">
        <v>76</v>
      </c>
      <c r="B347" t="s">
        <v>50</v>
      </c>
      <c r="C347">
        <v>2.4300000000000002</v>
      </c>
      <c r="D347">
        <v>4.08</v>
      </c>
      <c r="E347" s="29">
        <v>0.59549999999999992</v>
      </c>
      <c r="F347">
        <v>7.4</v>
      </c>
      <c r="G347">
        <v>0.67</v>
      </c>
      <c r="H347">
        <v>8.07</v>
      </c>
      <c r="I347" s="29">
        <v>0.91700000000000004</v>
      </c>
      <c r="J347" s="29">
        <v>0.30109999999999998</v>
      </c>
      <c r="K347" s="9">
        <v>45299</v>
      </c>
      <c r="L347">
        <f xml:space="preserve"> (交易處理資料__3[[#This Row],[售出工時]] * 60) / 5</f>
        <v>29.160000000000004</v>
      </c>
      <c r="M347" t="str">
        <f>VLOOKUP(交易處理資料__3[[#This Row],[人員代號]],團隊分組!$B$1:$C$52,2,FALSE)</f>
        <v>快速保養團隊B</v>
      </c>
      <c r="N347" t="str">
        <f>IF(交易處理資料__3[[#This Row],[上班時間]]=0,"否","是")</f>
        <v>是</v>
      </c>
      <c r="O347" t="s">
        <v>76</v>
      </c>
      <c r="P347" s="38">
        <v>0.59549999999999992</v>
      </c>
      <c r="Q347" s="38">
        <v>0.30109999999999998</v>
      </c>
      <c r="R347" s="38">
        <v>0.91700000000000004</v>
      </c>
    </row>
    <row r="348" spans="1:18" hidden="1">
      <c r="A348" t="s">
        <v>76</v>
      </c>
      <c r="B348" t="s">
        <v>51</v>
      </c>
      <c r="C348">
        <v>0</v>
      </c>
      <c r="D348">
        <v>0</v>
      </c>
      <c r="E348" s="29">
        <v>0</v>
      </c>
      <c r="F348">
        <v>0</v>
      </c>
      <c r="G348">
        <v>0</v>
      </c>
      <c r="H348">
        <v>0</v>
      </c>
      <c r="I348" s="29">
        <v>0</v>
      </c>
      <c r="J348" s="29">
        <v>0</v>
      </c>
      <c r="K348" s="9">
        <v>45299</v>
      </c>
      <c r="L348">
        <f xml:space="preserve"> (交易處理資料__3[[#This Row],[售出工時]] * 60) / 5</f>
        <v>0</v>
      </c>
      <c r="M348" t="str">
        <f>VLOOKUP(交易處理資料__3[[#This Row],[人員代號]],團隊分組!$B$1:$C$52,2,FALSE)</f>
        <v>無效數據</v>
      </c>
      <c r="N348" t="str">
        <f>IF(交易處理資料__3[[#This Row],[上班時間]]=0,"否","是")</f>
        <v>否</v>
      </c>
      <c r="O348" t="s">
        <v>76</v>
      </c>
      <c r="P348" s="37">
        <v>0</v>
      </c>
      <c r="Q348" s="37">
        <v>0</v>
      </c>
      <c r="R348" s="37">
        <v>0</v>
      </c>
    </row>
    <row r="349" spans="1:18" hidden="1">
      <c r="A349" t="s">
        <v>76</v>
      </c>
      <c r="B349" t="s">
        <v>52</v>
      </c>
      <c r="C349">
        <v>1.33</v>
      </c>
      <c r="D349">
        <v>1.7</v>
      </c>
      <c r="E349" s="29">
        <v>0.78430000000000011</v>
      </c>
      <c r="F349">
        <v>7.59</v>
      </c>
      <c r="G349">
        <v>0.49</v>
      </c>
      <c r="H349">
        <v>8.08</v>
      </c>
      <c r="I349" s="29">
        <v>0.93940000000000001</v>
      </c>
      <c r="J349" s="29">
        <v>0.16500000000000001</v>
      </c>
      <c r="K349" s="9">
        <v>45299</v>
      </c>
      <c r="L349">
        <f xml:space="preserve"> (交易處理資料__3[[#This Row],[售出工時]] * 60) / 5</f>
        <v>15.960000000000003</v>
      </c>
      <c r="M349" t="str">
        <f>VLOOKUP(交易處理資料__3[[#This Row],[人員代號]],團隊分組!$B$1:$C$52,2,FALSE)</f>
        <v>查修團隊B</v>
      </c>
      <c r="N349" t="str">
        <f>IF(交易處理資料__3[[#This Row],[上班時間]]=0,"否","是")</f>
        <v>是</v>
      </c>
      <c r="O349" t="s">
        <v>76</v>
      </c>
      <c r="P349" s="38">
        <v>0.78430000000000011</v>
      </c>
      <c r="Q349" s="38">
        <v>0.16500000000000001</v>
      </c>
      <c r="R349" s="38">
        <v>0.93940000000000001</v>
      </c>
    </row>
    <row r="350" spans="1:18" hidden="1">
      <c r="A350" t="s">
        <v>76</v>
      </c>
      <c r="B350" t="s">
        <v>53</v>
      </c>
      <c r="C350">
        <v>2.16</v>
      </c>
      <c r="D350">
        <v>5.67</v>
      </c>
      <c r="E350" s="29">
        <v>0.3821</v>
      </c>
      <c r="F350">
        <v>9.26</v>
      </c>
      <c r="G350">
        <v>0.7</v>
      </c>
      <c r="H350">
        <v>9.9600000000000009</v>
      </c>
      <c r="I350" s="29">
        <v>0.92969999999999997</v>
      </c>
      <c r="J350" s="29">
        <v>0.2175</v>
      </c>
      <c r="K350" s="9">
        <v>45299</v>
      </c>
      <c r="L350">
        <f xml:space="preserve"> (交易處理資料__3[[#This Row],[售出工時]] * 60) / 5</f>
        <v>25.920000000000005</v>
      </c>
      <c r="M350" t="str">
        <f>VLOOKUP(交易處理資料__3[[#This Row],[人員代號]],團隊分組!$B$1:$C$52,2,FALSE)</f>
        <v>查修團隊A</v>
      </c>
      <c r="N350" t="str">
        <f>IF(交易處理資料__3[[#This Row],[上班時間]]=0,"否","是")</f>
        <v>是</v>
      </c>
      <c r="O350" t="s">
        <v>76</v>
      </c>
      <c r="P350" s="37">
        <v>0.3821</v>
      </c>
      <c r="Q350" s="37">
        <v>0.2175</v>
      </c>
      <c r="R350" s="37">
        <v>0.92969999999999997</v>
      </c>
    </row>
    <row r="351" spans="1:18" hidden="1">
      <c r="A351" s="10" t="s">
        <v>74</v>
      </c>
      <c r="B351" t="s">
        <v>1</v>
      </c>
      <c r="C351">
        <v>0</v>
      </c>
      <c r="D351">
        <v>0</v>
      </c>
      <c r="E351" s="29">
        <v>0</v>
      </c>
      <c r="F351">
        <v>7.12</v>
      </c>
      <c r="G351">
        <v>1.01</v>
      </c>
      <c r="H351">
        <v>8.1300000000000008</v>
      </c>
      <c r="I351" s="29">
        <v>0.87580000000000002</v>
      </c>
      <c r="J351" s="29">
        <v>0</v>
      </c>
      <c r="K351" s="9">
        <v>45300</v>
      </c>
      <c r="L351">
        <f xml:space="preserve"> (交易處理資料__3[[#This Row],[售出工時]] * 60) / 5</f>
        <v>0</v>
      </c>
      <c r="M351" t="str">
        <f>VLOOKUP(交易處理資料__3[[#This Row],[人員代號]],團隊分組!$B$1:$C$52,2,FALSE)</f>
        <v>噴漆維修組</v>
      </c>
      <c r="N351" t="str">
        <f>IF(交易處理資料__3[[#This Row],[上班時間]]=0,"否","是")</f>
        <v>是</v>
      </c>
      <c r="O351" s="10" t="s">
        <v>74</v>
      </c>
      <c r="P351" s="38">
        <v>0</v>
      </c>
      <c r="Q351" s="38">
        <v>0</v>
      </c>
      <c r="R351" s="38">
        <v>0.87580000000000002</v>
      </c>
    </row>
    <row r="352" spans="1:18" hidden="1">
      <c r="A352" s="10" t="s">
        <v>74</v>
      </c>
      <c r="B352" t="s">
        <v>2</v>
      </c>
      <c r="C352">
        <v>0.16</v>
      </c>
      <c r="D352">
        <v>6.57</v>
      </c>
      <c r="E352" s="29">
        <v>2.4300000000000002E-2</v>
      </c>
      <c r="F352">
        <v>10.36</v>
      </c>
      <c r="G352">
        <v>0.26</v>
      </c>
      <c r="H352">
        <v>10.62</v>
      </c>
      <c r="I352" s="29">
        <v>0.97549999999999992</v>
      </c>
      <c r="J352" s="29">
        <v>1.5100000000000001E-2</v>
      </c>
      <c r="K352" s="9">
        <v>45300</v>
      </c>
      <c r="L352">
        <f xml:space="preserve"> (交易處理資料__3[[#This Row],[售出工時]] * 60) / 5</f>
        <v>1.92</v>
      </c>
      <c r="M352" t="str">
        <f>VLOOKUP(交易處理資料__3[[#This Row],[人員代號]],團隊分組!$B$1:$C$52,2,FALSE)</f>
        <v>噴漆維修組</v>
      </c>
      <c r="N352" t="str">
        <f>IF(交易處理資料__3[[#This Row],[上班時間]]=0,"否","是")</f>
        <v>是</v>
      </c>
      <c r="O352" s="10" t="s">
        <v>74</v>
      </c>
      <c r="P352" s="37">
        <v>2.4300000000000002E-2</v>
      </c>
      <c r="Q352" s="37">
        <v>1.5100000000000001E-2</v>
      </c>
      <c r="R352" s="37">
        <v>0.97549999999999992</v>
      </c>
    </row>
    <row r="353" spans="1:18" hidden="1">
      <c r="A353" s="10" t="s">
        <v>74</v>
      </c>
      <c r="B353" t="s">
        <v>3</v>
      </c>
      <c r="C353">
        <v>0.16</v>
      </c>
      <c r="D353">
        <v>6.57</v>
      </c>
      <c r="E353" s="29">
        <v>2.4300000000000002E-2</v>
      </c>
      <c r="F353">
        <v>10.36</v>
      </c>
      <c r="G353">
        <v>0.25</v>
      </c>
      <c r="H353">
        <v>10.61</v>
      </c>
      <c r="I353" s="29">
        <v>0.97640000000000005</v>
      </c>
      <c r="J353" s="29">
        <v>1.5100000000000001E-2</v>
      </c>
      <c r="K353" s="9">
        <v>45300</v>
      </c>
      <c r="L353">
        <f xml:space="preserve"> (交易處理資料__3[[#This Row],[售出工時]] * 60) / 5</f>
        <v>1.92</v>
      </c>
      <c r="M353" t="str">
        <f>VLOOKUP(交易處理資料__3[[#This Row],[人員代號]],團隊分組!$B$1:$C$52,2,FALSE)</f>
        <v>噴漆維修組</v>
      </c>
      <c r="N353" t="str">
        <f>IF(交易處理資料__3[[#This Row],[上班時間]]=0,"否","是")</f>
        <v>是</v>
      </c>
      <c r="O353" s="10" t="s">
        <v>74</v>
      </c>
      <c r="P353" s="38">
        <v>2.4300000000000002E-2</v>
      </c>
      <c r="Q353" s="38">
        <v>1.5100000000000001E-2</v>
      </c>
      <c r="R353" s="38">
        <v>0.97640000000000005</v>
      </c>
    </row>
    <row r="354" spans="1:18" hidden="1">
      <c r="A354" s="10" t="s">
        <v>74</v>
      </c>
      <c r="B354" t="s">
        <v>4</v>
      </c>
      <c r="C354">
        <v>1.04</v>
      </c>
      <c r="D354">
        <v>7.66</v>
      </c>
      <c r="E354" s="29">
        <v>0.13570000000000002</v>
      </c>
      <c r="F354">
        <v>8.9600000000000009</v>
      </c>
      <c r="G354">
        <v>1.1299999999999999</v>
      </c>
      <c r="H354">
        <v>10.09</v>
      </c>
      <c r="I354" s="29">
        <v>0.88800000000000001</v>
      </c>
      <c r="J354" s="29">
        <v>0.10310000000000001</v>
      </c>
      <c r="K354" s="9">
        <v>45300</v>
      </c>
      <c r="L354">
        <f xml:space="preserve"> (交易處理資料__3[[#This Row],[售出工時]] * 60) / 5</f>
        <v>12.48</v>
      </c>
      <c r="M354" t="str">
        <f>VLOOKUP(交易處理資料__3[[#This Row],[人員代號]],團隊分組!$B$1:$C$52,2,FALSE)</f>
        <v>噴漆維修組</v>
      </c>
      <c r="N354" t="str">
        <f>IF(交易處理資料__3[[#This Row],[上班時間]]=0,"否","是")</f>
        <v>是</v>
      </c>
      <c r="O354" s="10" t="s">
        <v>74</v>
      </c>
      <c r="P354" s="37">
        <v>0.13570000000000002</v>
      </c>
      <c r="Q354" s="37">
        <v>0.10310000000000001</v>
      </c>
      <c r="R354" s="37">
        <v>0.88800000000000001</v>
      </c>
    </row>
    <row r="355" spans="1:18" hidden="1">
      <c r="A355" s="10" t="s">
        <v>74</v>
      </c>
      <c r="B355" t="s">
        <v>5</v>
      </c>
      <c r="C355">
        <v>3.21</v>
      </c>
      <c r="D355">
        <v>6.48</v>
      </c>
      <c r="E355" s="29">
        <v>0.49530000000000002</v>
      </c>
      <c r="F355">
        <v>10.43</v>
      </c>
      <c r="G355">
        <v>0.2</v>
      </c>
      <c r="H355">
        <v>10.63</v>
      </c>
      <c r="I355" s="29">
        <v>0.98120000000000007</v>
      </c>
      <c r="J355" s="29">
        <v>0.30199999999999999</v>
      </c>
      <c r="K355" s="9">
        <v>45300</v>
      </c>
      <c r="L355">
        <f xml:space="preserve"> (交易處理資料__3[[#This Row],[售出工時]] * 60) / 5</f>
        <v>38.519999999999996</v>
      </c>
      <c r="M355" t="str">
        <f>VLOOKUP(交易處理資料__3[[#This Row],[人員代號]],團隊分組!$B$1:$C$52,2,FALSE)</f>
        <v>噴漆維修組</v>
      </c>
      <c r="N355" t="str">
        <f>IF(交易處理資料__3[[#This Row],[上班時間]]=0,"否","是")</f>
        <v>是</v>
      </c>
      <c r="O355" s="10" t="s">
        <v>74</v>
      </c>
      <c r="P355" s="38">
        <v>0.49530000000000002</v>
      </c>
      <c r="Q355" s="38">
        <v>0.30199999999999999</v>
      </c>
      <c r="R355" s="38">
        <v>0.98120000000000007</v>
      </c>
    </row>
    <row r="356" spans="1:18" hidden="1">
      <c r="A356" s="10" t="s">
        <v>74</v>
      </c>
      <c r="B356" t="s">
        <v>6</v>
      </c>
      <c r="C356">
        <v>0.16</v>
      </c>
      <c r="D356">
        <v>6.57</v>
      </c>
      <c r="E356" s="29">
        <v>2.4300000000000002E-2</v>
      </c>
      <c r="F356">
        <v>10.38</v>
      </c>
      <c r="G356">
        <v>0.25</v>
      </c>
      <c r="H356">
        <v>10.63</v>
      </c>
      <c r="I356" s="29">
        <v>0.97650000000000003</v>
      </c>
      <c r="J356" s="29">
        <v>1.5100000000000001E-2</v>
      </c>
      <c r="K356" s="9">
        <v>45300</v>
      </c>
      <c r="L356">
        <f xml:space="preserve"> (交易處理資料__3[[#This Row],[售出工時]] * 60) / 5</f>
        <v>1.92</v>
      </c>
      <c r="M356" t="str">
        <f>VLOOKUP(交易處理資料__3[[#This Row],[人員代號]],團隊分組!$B$1:$C$52,2,FALSE)</f>
        <v>噴漆維修組</v>
      </c>
      <c r="N356" t="str">
        <f>IF(交易處理資料__3[[#This Row],[上班時間]]=0,"否","是")</f>
        <v>是</v>
      </c>
      <c r="O356" s="10" t="s">
        <v>74</v>
      </c>
      <c r="P356" s="37">
        <v>2.4300000000000002E-2</v>
      </c>
      <c r="Q356" s="37">
        <v>1.5100000000000001E-2</v>
      </c>
      <c r="R356" s="37">
        <v>0.97650000000000003</v>
      </c>
    </row>
    <row r="357" spans="1:18">
      <c r="A357" s="10" t="s">
        <v>74</v>
      </c>
      <c r="B357" t="s">
        <v>7</v>
      </c>
      <c r="C357">
        <v>3.21</v>
      </c>
      <c r="D357">
        <v>6.48</v>
      </c>
      <c r="E357" s="29">
        <v>0.49530000000000002</v>
      </c>
      <c r="F357">
        <v>10.43</v>
      </c>
      <c r="G357">
        <v>0.2</v>
      </c>
      <c r="H357">
        <v>10.63</v>
      </c>
      <c r="I357" s="29">
        <v>0.98120000000000007</v>
      </c>
      <c r="J357" s="29">
        <v>0.30199999999999999</v>
      </c>
      <c r="K357" s="9">
        <v>45300</v>
      </c>
      <c r="L357">
        <f xml:space="preserve"> (交易處理資料__3[[#This Row],[售出工時]] * 60) / 5</f>
        <v>38.519999999999996</v>
      </c>
      <c r="M357" t="str">
        <f>VLOOKUP(交易處理資料__3[[#This Row],[人員代號]],團隊分組!$B$1:$C$52,2,FALSE)</f>
        <v>噴漆維修組</v>
      </c>
      <c r="N357" t="str">
        <f>IF(交易處理資料__3[[#This Row],[上班時間]]=0,"否","是")</f>
        <v>是</v>
      </c>
      <c r="O357" s="10" t="s">
        <v>74</v>
      </c>
      <c r="P357" s="38">
        <v>0.49530000000000002</v>
      </c>
      <c r="Q357" s="38">
        <v>0.30199999999999999</v>
      </c>
      <c r="R357" s="38">
        <v>0.98120000000000007</v>
      </c>
    </row>
    <row r="358" spans="1:18" hidden="1">
      <c r="A358" s="10" t="s">
        <v>74</v>
      </c>
      <c r="B358" t="s">
        <v>8</v>
      </c>
      <c r="C358">
        <v>1.04</v>
      </c>
      <c r="D358">
        <v>7.66</v>
      </c>
      <c r="E358" s="29">
        <v>0.13570000000000002</v>
      </c>
      <c r="F358">
        <v>9.5500000000000007</v>
      </c>
      <c r="G358">
        <v>1.01</v>
      </c>
      <c r="H358">
        <v>10.56</v>
      </c>
      <c r="I358" s="29">
        <v>0.90439999999999998</v>
      </c>
      <c r="J358" s="29">
        <v>9.849999999999999E-2</v>
      </c>
      <c r="K358" s="9">
        <v>45300</v>
      </c>
      <c r="L358">
        <f xml:space="preserve"> (交易處理資料__3[[#This Row],[售出工時]] * 60) / 5</f>
        <v>12.48</v>
      </c>
      <c r="M358" t="str">
        <f>VLOOKUP(交易處理資料__3[[#This Row],[人員代號]],團隊分組!$B$1:$C$52,2,FALSE)</f>
        <v>噴漆維修組</v>
      </c>
      <c r="N358" t="str">
        <f>IF(交易處理資料__3[[#This Row],[上班時間]]=0,"否","是")</f>
        <v>是</v>
      </c>
      <c r="O358" s="10" t="s">
        <v>74</v>
      </c>
      <c r="P358" s="37">
        <v>0.13570000000000002</v>
      </c>
      <c r="Q358" s="37">
        <v>9.849999999999999E-2</v>
      </c>
      <c r="R358" s="37">
        <v>0.90439999999999998</v>
      </c>
    </row>
    <row r="359" spans="1:18" hidden="1">
      <c r="A359" s="10" t="s">
        <v>74</v>
      </c>
      <c r="B359" t="s">
        <v>9</v>
      </c>
      <c r="C359">
        <v>0</v>
      </c>
      <c r="D359">
        <v>0</v>
      </c>
      <c r="E359" s="29">
        <v>0</v>
      </c>
      <c r="F359">
        <v>10.18</v>
      </c>
      <c r="G359">
        <v>0.44</v>
      </c>
      <c r="H359">
        <v>10.62</v>
      </c>
      <c r="I359" s="29">
        <v>0.95860000000000001</v>
      </c>
      <c r="J359" s="29">
        <v>0</v>
      </c>
      <c r="K359" s="9">
        <v>45300</v>
      </c>
      <c r="L359">
        <f xml:space="preserve"> (交易處理資料__3[[#This Row],[售出工時]] * 60) / 5</f>
        <v>0</v>
      </c>
      <c r="M359" t="str">
        <f>VLOOKUP(交易處理資料__3[[#This Row],[人員代號]],團隊分組!$B$1:$C$52,2,FALSE)</f>
        <v>噴漆維修組</v>
      </c>
      <c r="N359" t="str">
        <f>IF(交易處理資料__3[[#This Row],[上班時間]]=0,"否","是")</f>
        <v>是</v>
      </c>
      <c r="O359" s="10" t="s">
        <v>74</v>
      </c>
      <c r="P359" s="38">
        <v>0</v>
      </c>
      <c r="Q359" s="38">
        <v>0</v>
      </c>
      <c r="R359" s="38">
        <v>0.95860000000000001</v>
      </c>
    </row>
    <row r="360" spans="1:18" hidden="1">
      <c r="A360" t="s">
        <v>75</v>
      </c>
      <c r="B360" t="s">
        <v>11</v>
      </c>
      <c r="C360">
        <v>0</v>
      </c>
      <c r="D360">
        <v>0</v>
      </c>
      <c r="E360" s="29">
        <v>0</v>
      </c>
      <c r="F360">
        <v>5.92</v>
      </c>
      <c r="G360">
        <v>2.11</v>
      </c>
      <c r="H360">
        <v>8.0299999999999994</v>
      </c>
      <c r="I360" s="29">
        <v>0.73719999999999997</v>
      </c>
      <c r="J360" s="29">
        <v>0</v>
      </c>
      <c r="K360" s="9">
        <v>45300</v>
      </c>
      <c r="L360">
        <f xml:space="preserve"> (交易處理資料__3[[#This Row],[售出工時]] * 60) / 5</f>
        <v>0</v>
      </c>
      <c r="M360" t="str">
        <f>VLOOKUP(交易處理資料__3[[#This Row],[人員代號]],團隊分組!$B$1:$C$52,2,FALSE)</f>
        <v>鈑金維修組</v>
      </c>
      <c r="N360" t="str">
        <f>IF(交易處理資料__3[[#This Row],[上班時間]]=0,"否","是")</f>
        <v>是</v>
      </c>
      <c r="O360" t="s">
        <v>75</v>
      </c>
      <c r="P360" s="37">
        <v>0</v>
      </c>
      <c r="Q360" s="37">
        <v>0</v>
      </c>
      <c r="R360" s="37">
        <v>0.73719999999999997</v>
      </c>
    </row>
    <row r="361" spans="1:18" hidden="1">
      <c r="A361" t="s">
        <v>75</v>
      </c>
      <c r="B361" t="s">
        <v>12</v>
      </c>
      <c r="C361">
        <v>12</v>
      </c>
      <c r="D361">
        <v>7.78</v>
      </c>
      <c r="E361" s="29">
        <v>1.5424</v>
      </c>
      <c r="F361">
        <v>7.05</v>
      </c>
      <c r="G361">
        <v>1.03</v>
      </c>
      <c r="H361">
        <v>8.08</v>
      </c>
      <c r="I361" s="29">
        <v>0.87250000000000005</v>
      </c>
      <c r="J361" s="29">
        <v>1.4850999999999999</v>
      </c>
      <c r="K361" s="9">
        <v>45300</v>
      </c>
      <c r="L361">
        <f xml:space="preserve"> (交易處理資料__3[[#This Row],[售出工時]] * 60) / 5</f>
        <v>144</v>
      </c>
      <c r="M361" t="str">
        <f>VLOOKUP(交易處理資料__3[[#This Row],[人員代號]],團隊分組!$B$1:$C$52,2,FALSE)</f>
        <v>鈑金維修組</v>
      </c>
      <c r="N361" t="str">
        <f>IF(交易處理資料__3[[#This Row],[上班時間]]=0,"否","是")</f>
        <v>是</v>
      </c>
      <c r="O361" t="s">
        <v>75</v>
      </c>
      <c r="P361" s="38">
        <v>1.5424</v>
      </c>
      <c r="Q361" s="38">
        <v>1.4850999999999999</v>
      </c>
      <c r="R361" s="38">
        <v>0.87250000000000005</v>
      </c>
    </row>
    <row r="362" spans="1:18" hidden="1">
      <c r="A362" t="s">
        <v>75</v>
      </c>
      <c r="B362" t="s">
        <v>14</v>
      </c>
      <c r="C362">
        <v>0.04</v>
      </c>
      <c r="D362">
        <v>0.35</v>
      </c>
      <c r="E362" s="29">
        <v>0.1142</v>
      </c>
      <c r="F362">
        <v>4.03</v>
      </c>
      <c r="G362">
        <v>4.05</v>
      </c>
      <c r="H362">
        <v>8.08</v>
      </c>
      <c r="I362" s="29">
        <v>0.49880000000000002</v>
      </c>
      <c r="J362" s="29">
        <v>5.0000000000000001E-3</v>
      </c>
      <c r="K362" s="9">
        <v>45300</v>
      </c>
      <c r="L362">
        <f xml:space="preserve"> (交易處理資料__3[[#This Row],[售出工時]] * 60) / 5</f>
        <v>0.48</v>
      </c>
      <c r="M362" t="str">
        <f>VLOOKUP(交易處理資料__3[[#This Row],[人員代號]],團隊分組!$B$1:$C$52,2,FALSE)</f>
        <v>鈑金維修組</v>
      </c>
      <c r="N362" t="str">
        <f>IF(交易處理資料__3[[#This Row],[上班時間]]=0,"否","是")</f>
        <v>是</v>
      </c>
      <c r="O362" t="s">
        <v>75</v>
      </c>
      <c r="P362" s="37">
        <v>0.1142</v>
      </c>
      <c r="Q362" s="37">
        <v>5.0000000000000001E-3</v>
      </c>
      <c r="R362" s="37">
        <v>0.49880000000000002</v>
      </c>
    </row>
    <row r="363" spans="1:18" hidden="1">
      <c r="A363" t="s">
        <v>75</v>
      </c>
      <c r="B363" t="s">
        <v>15</v>
      </c>
      <c r="C363">
        <v>0.05</v>
      </c>
      <c r="D363">
        <v>0.67</v>
      </c>
      <c r="E363" s="29">
        <v>7.46E-2</v>
      </c>
      <c r="F363">
        <v>4.03</v>
      </c>
      <c r="G363">
        <v>4.0599999999999996</v>
      </c>
      <c r="H363">
        <v>8.09</v>
      </c>
      <c r="I363" s="29">
        <v>0.49810000000000004</v>
      </c>
      <c r="J363" s="29">
        <v>6.1999999999999998E-3</v>
      </c>
      <c r="K363" s="9">
        <v>45300</v>
      </c>
      <c r="L363">
        <f xml:space="preserve"> (交易處理資料__3[[#This Row],[售出工時]] * 60) / 5</f>
        <v>0.6</v>
      </c>
      <c r="M363" t="str">
        <f>VLOOKUP(交易處理資料__3[[#This Row],[人員代號]],團隊分組!$B$1:$C$52,2,FALSE)</f>
        <v>鈑金維修組</v>
      </c>
      <c r="N363" t="str">
        <f>IF(交易處理資料__3[[#This Row],[上班時間]]=0,"否","是")</f>
        <v>是</v>
      </c>
      <c r="O363" t="s">
        <v>75</v>
      </c>
      <c r="P363" s="38">
        <v>7.46E-2</v>
      </c>
      <c r="Q363" s="38">
        <v>6.1999999999999998E-3</v>
      </c>
      <c r="R363" s="38">
        <v>0.49810000000000004</v>
      </c>
    </row>
    <row r="364" spans="1:18" hidden="1">
      <c r="A364" t="s">
        <v>76</v>
      </c>
      <c r="B364" t="s">
        <v>17</v>
      </c>
      <c r="C364">
        <v>5.5</v>
      </c>
      <c r="D364">
        <v>3.68</v>
      </c>
      <c r="E364" s="29">
        <v>1.4944999999999999</v>
      </c>
      <c r="F364">
        <v>7.43</v>
      </c>
      <c r="G364">
        <v>0.43</v>
      </c>
      <c r="H364">
        <v>7.86</v>
      </c>
      <c r="I364" s="29">
        <v>0.94530000000000003</v>
      </c>
      <c r="J364" s="29">
        <v>0.69969999999999999</v>
      </c>
      <c r="K364" s="9">
        <v>45300</v>
      </c>
      <c r="L364">
        <f xml:space="preserve"> (交易處理資料__3[[#This Row],[售出工時]] * 60) / 5</f>
        <v>66</v>
      </c>
      <c r="M364" t="str">
        <f>VLOOKUP(交易處理資料__3[[#This Row],[人員代號]],團隊分組!$B$1:$C$52,2,FALSE)</f>
        <v>快速保養團隊A</v>
      </c>
      <c r="N364" t="str">
        <f>IF(交易處理資料__3[[#This Row],[上班時間]]=0,"否","是")</f>
        <v>是</v>
      </c>
      <c r="O364" t="s">
        <v>76</v>
      </c>
      <c r="P364" s="37">
        <v>1.4944999999999999</v>
      </c>
      <c r="Q364" s="37">
        <v>0.69969999999999999</v>
      </c>
      <c r="R364" s="37">
        <v>0.94530000000000003</v>
      </c>
    </row>
    <row r="365" spans="1:18" hidden="1">
      <c r="A365" t="s">
        <v>76</v>
      </c>
      <c r="B365" t="s">
        <v>19</v>
      </c>
      <c r="C365">
        <v>1</v>
      </c>
      <c r="D365">
        <v>1.82</v>
      </c>
      <c r="E365" s="29">
        <v>0.5494</v>
      </c>
      <c r="F365">
        <v>7.05</v>
      </c>
      <c r="G365">
        <v>0.94</v>
      </c>
      <c r="H365">
        <v>7.99</v>
      </c>
      <c r="I365" s="29">
        <v>0.88239999999999996</v>
      </c>
      <c r="J365" s="29">
        <v>0.12520000000000001</v>
      </c>
      <c r="K365" s="9">
        <v>45300</v>
      </c>
      <c r="L365">
        <f xml:space="preserve"> (交易處理資料__3[[#This Row],[售出工時]] * 60) / 5</f>
        <v>12</v>
      </c>
      <c r="M365" t="str">
        <f>VLOOKUP(交易處理資料__3[[#This Row],[人員代號]],團隊分組!$B$1:$C$52,2,FALSE)</f>
        <v>查修團隊A</v>
      </c>
      <c r="N365" t="str">
        <f>IF(交易處理資料__3[[#This Row],[上班時間]]=0,"否","是")</f>
        <v>是</v>
      </c>
      <c r="O365" t="s">
        <v>76</v>
      </c>
      <c r="P365" s="38">
        <v>0.5494</v>
      </c>
      <c r="Q365" s="38">
        <v>0.12520000000000001</v>
      </c>
      <c r="R365" s="38">
        <v>0.88239999999999996</v>
      </c>
    </row>
    <row r="366" spans="1:18" hidden="1">
      <c r="A366" t="s">
        <v>76</v>
      </c>
      <c r="B366" t="s">
        <v>20</v>
      </c>
      <c r="C366">
        <v>0</v>
      </c>
      <c r="D366">
        <v>0</v>
      </c>
      <c r="E366" s="29">
        <v>0</v>
      </c>
      <c r="F366">
        <v>3.52</v>
      </c>
      <c r="G366">
        <v>0.9</v>
      </c>
      <c r="H366">
        <v>4.42</v>
      </c>
      <c r="I366" s="29">
        <v>0.7964</v>
      </c>
      <c r="J366" s="29">
        <v>0</v>
      </c>
      <c r="K366" s="9">
        <v>45300</v>
      </c>
      <c r="L366">
        <f xml:space="preserve"> (交易處理資料__3[[#This Row],[售出工時]] * 60) / 5</f>
        <v>0</v>
      </c>
      <c r="M366" t="str">
        <f>VLOOKUP(交易處理資料__3[[#This Row],[人員代號]],團隊分組!$B$1:$C$52,2,FALSE)</f>
        <v>查修團隊B</v>
      </c>
      <c r="N366" t="str">
        <f>IF(交易處理資料__3[[#This Row],[上班時間]]=0,"否","是")</f>
        <v>是</v>
      </c>
      <c r="O366" t="s">
        <v>76</v>
      </c>
      <c r="P366" s="37">
        <v>0</v>
      </c>
      <c r="Q366" s="37">
        <v>0</v>
      </c>
      <c r="R366" s="37">
        <v>0.7964</v>
      </c>
    </row>
    <row r="367" spans="1:18" hidden="1">
      <c r="A367" t="s">
        <v>76</v>
      </c>
      <c r="B367" t="s">
        <v>22</v>
      </c>
      <c r="C367">
        <v>0</v>
      </c>
      <c r="D367">
        <v>0</v>
      </c>
      <c r="E367" s="29">
        <v>0</v>
      </c>
      <c r="F367">
        <v>0</v>
      </c>
      <c r="G367">
        <v>0</v>
      </c>
      <c r="H367">
        <v>0</v>
      </c>
      <c r="I367" s="29">
        <v>0</v>
      </c>
      <c r="J367" s="29">
        <v>0</v>
      </c>
      <c r="K367" s="9">
        <v>45300</v>
      </c>
      <c r="L367">
        <f xml:space="preserve"> (交易處理資料__3[[#This Row],[售出工時]] * 60) / 5</f>
        <v>0</v>
      </c>
      <c r="M367" t="str">
        <f>VLOOKUP(交易處理資料__3[[#This Row],[人員代號]],團隊分組!$B$1:$C$52,2,FALSE)</f>
        <v>快速保養團隊A</v>
      </c>
      <c r="N367" t="str">
        <f>IF(交易處理資料__3[[#This Row],[上班時間]]=0,"否","是")</f>
        <v>否</v>
      </c>
      <c r="O367" t="s">
        <v>76</v>
      </c>
      <c r="P367" s="38">
        <v>0</v>
      </c>
      <c r="Q367" s="38">
        <v>0</v>
      </c>
      <c r="R367" s="38">
        <v>0</v>
      </c>
    </row>
    <row r="368" spans="1:18" hidden="1">
      <c r="A368" t="s">
        <v>76</v>
      </c>
      <c r="B368" t="s">
        <v>23</v>
      </c>
      <c r="C368">
        <v>8.32</v>
      </c>
      <c r="D368">
        <v>5.4</v>
      </c>
      <c r="E368" s="29">
        <v>1.5412999999999999</v>
      </c>
      <c r="F368">
        <v>7.33</v>
      </c>
      <c r="G368">
        <v>1.68</v>
      </c>
      <c r="H368">
        <v>9.01</v>
      </c>
      <c r="I368" s="29">
        <v>0.81349999999999989</v>
      </c>
      <c r="J368" s="29">
        <v>0.92379999999999995</v>
      </c>
      <c r="K368" s="9">
        <v>45300</v>
      </c>
      <c r="L368">
        <f xml:space="preserve"> (交易處理資料__3[[#This Row],[售出工時]] * 60) / 5</f>
        <v>99.84</v>
      </c>
      <c r="M368" t="str">
        <f>VLOOKUP(交易處理資料__3[[#This Row],[人員代號]],團隊分組!$B$1:$C$52,2,FALSE)</f>
        <v>快速保養團隊B</v>
      </c>
      <c r="N368" t="str">
        <f>IF(交易處理資料__3[[#This Row],[上班時間]]=0,"否","是")</f>
        <v>是</v>
      </c>
      <c r="O368" t="s">
        <v>76</v>
      </c>
      <c r="P368" s="37">
        <v>1.5412999999999999</v>
      </c>
      <c r="Q368" s="37">
        <v>0.92379999999999995</v>
      </c>
      <c r="R368" s="37">
        <v>0.81349999999999989</v>
      </c>
    </row>
    <row r="369" spans="1:18" hidden="1">
      <c r="A369" t="s">
        <v>76</v>
      </c>
      <c r="B369" t="s">
        <v>26</v>
      </c>
      <c r="C369">
        <v>1.08</v>
      </c>
      <c r="D369">
        <v>0.6</v>
      </c>
      <c r="E369" s="29">
        <v>1.8</v>
      </c>
      <c r="F369">
        <v>2.58</v>
      </c>
      <c r="G369">
        <v>5.93</v>
      </c>
      <c r="H369">
        <v>8.51</v>
      </c>
      <c r="I369" s="29">
        <v>0.30320000000000003</v>
      </c>
      <c r="J369" s="29">
        <v>0.12689999999999999</v>
      </c>
      <c r="K369" s="9">
        <v>45300</v>
      </c>
      <c r="L369">
        <f xml:space="preserve"> (交易處理資料__3[[#This Row],[售出工時]] * 60) / 5</f>
        <v>12.960000000000003</v>
      </c>
      <c r="M369" t="str">
        <f>VLOOKUP(交易處理資料__3[[#This Row],[人員代號]],團隊分組!$B$1:$C$52,2,FALSE)</f>
        <v>查修團隊B</v>
      </c>
      <c r="N369" t="str">
        <f>IF(交易處理資料__3[[#This Row],[上班時間]]=0,"否","是")</f>
        <v>是</v>
      </c>
      <c r="O369" t="s">
        <v>76</v>
      </c>
      <c r="P369" s="38">
        <v>1.8</v>
      </c>
      <c r="Q369" s="38">
        <v>0.12689999999999999</v>
      </c>
      <c r="R369" s="38">
        <v>0.30320000000000003</v>
      </c>
    </row>
    <row r="370" spans="1:18" hidden="1">
      <c r="A370" t="s">
        <v>76</v>
      </c>
      <c r="B370" t="s">
        <v>27</v>
      </c>
      <c r="C370">
        <v>0</v>
      </c>
      <c r="D370">
        <v>0</v>
      </c>
      <c r="E370" s="29">
        <v>0</v>
      </c>
      <c r="F370">
        <v>10.4</v>
      </c>
      <c r="G370">
        <v>0.08</v>
      </c>
      <c r="H370">
        <v>10.48</v>
      </c>
      <c r="I370" s="29">
        <v>0.99239999999999995</v>
      </c>
      <c r="J370" s="29">
        <v>0</v>
      </c>
      <c r="K370" s="9">
        <v>45300</v>
      </c>
      <c r="L370">
        <f xml:space="preserve"> (交易處理資料__3[[#This Row],[售出工時]] * 60) / 5</f>
        <v>0</v>
      </c>
      <c r="M370" t="str">
        <f>VLOOKUP(交易處理資料__3[[#This Row],[人員代號]],團隊分組!$B$1:$C$52,2,FALSE)</f>
        <v>快速保養團隊B</v>
      </c>
      <c r="N370" t="str">
        <f>IF(交易處理資料__3[[#This Row],[上班時間]]=0,"否","是")</f>
        <v>是</v>
      </c>
      <c r="O370" t="s">
        <v>76</v>
      </c>
      <c r="P370" s="37">
        <v>0</v>
      </c>
      <c r="Q370" s="37">
        <v>0</v>
      </c>
      <c r="R370" s="37">
        <v>0.99239999999999995</v>
      </c>
    </row>
    <row r="371" spans="1:18" hidden="1">
      <c r="A371" t="s">
        <v>76</v>
      </c>
      <c r="B371" t="s">
        <v>28</v>
      </c>
      <c r="C371">
        <v>12.16</v>
      </c>
      <c r="D371">
        <v>7.37</v>
      </c>
      <c r="E371" s="29">
        <v>1.6508</v>
      </c>
      <c r="F371">
        <v>7.37</v>
      </c>
      <c r="G371">
        <v>1.01</v>
      </c>
      <c r="H371">
        <v>8.3800000000000008</v>
      </c>
      <c r="I371" s="29">
        <v>0.87950000000000006</v>
      </c>
      <c r="J371" s="29">
        <v>1.4519</v>
      </c>
      <c r="K371" s="9">
        <v>45300</v>
      </c>
      <c r="L371">
        <f xml:space="preserve"> (交易處理資料__3[[#This Row],[售出工時]] * 60) / 5</f>
        <v>145.92000000000002</v>
      </c>
      <c r="M371" t="str">
        <f>VLOOKUP(交易處理資料__3[[#This Row],[人員代號]],團隊分組!$B$1:$C$52,2,FALSE)</f>
        <v>快速保養團隊A</v>
      </c>
      <c r="N371" t="str">
        <f>IF(交易處理資料__3[[#This Row],[上班時間]]=0,"否","是")</f>
        <v>是</v>
      </c>
      <c r="O371" t="s">
        <v>76</v>
      </c>
      <c r="P371" s="38">
        <v>1.6508</v>
      </c>
      <c r="Q371" s="38">
        <v>1.4519</v>
      </c>
      <c r="R371" s="38">
        <v>0.87950000000000006</v>
      </c>
    </row>
    <row r="372" spans="1:18" hidden="1">
      <c r="A372" t="s">
        <v>76</v>
      </c>
      <c r="B372" t="s">
        <v>29</v>
      </c>
      <c r="C372">
        <v>1</v>
      </c>
      <c r="D372">
        <v>0.87</v>
      </c>
      <c r="E372" s="29">
        <v>1.1494</v>
      </c>
      <c r="F372">
        <v>3.2</v>
      </c>
      <c r="G372">
        <v>5.03</v>
      </c>
      <c r="H372">
        <v>8.23</v>
      </c>
      <c r="I372" s="29">
        <v>0.38880000000000003</v>
      </c>
      <c r="J372" s="29">
        <v>0.1215</v>
      </c>
      <c r="K372" s="9">
        <v>45300</v>
      </c>
      <c r="L372">
        <f xml:space="preserve"> (交易處理資料__3[[#This Row],[售出工時]] * 60) / 5</f>
        <v>12</v>
      </c>
      <c r="M372" t="str">
        <f>VLOOKUP(交易處理資料__3[[#This Row],[人員代號]],團隊分組!$B$1:$C$52,2,FALSE)</f>
        <v>查修團隊B</v>
      </c>
      <c r="N372" t="str">
        <f>IF(交易處理資料__3[[#This Row],[上班時間]]=0,"否","是")</f>
        <v>是</v>
      </c>
      <c r="O372" t="s">
        <v>76</v>
      </c>
      <c r="P372" s="37">
        <v>1.1494</v>
      </c>
      <c r="Q372" s="37">
        <v>0.1215</v>
      </c>
      <c r="R372" s="37">
        <v>0.38880000000000003</v>
      </c>
    </row>
    <row r="373" spans="1:18" hidden="1">
      <c r="A373" t="s">
        <v>76</v>
      </c>
      <c r="B373" t="s">
        <v>30</v>
      </c>
      <c r="C373">
        <v>2.29</v>
      </c>
      <c r="D373">
        <v>2.02</v>
      </c>
      <c r="E373" s="29">
        <v>1.1340000000000001</v>
      </c>
      <c r="F373">
        <v>10.45</v>
      </c>
      <c r="G373">
        <v>0.06</v>
      </c>
      <c r="H373">
        <v>10.51</v>
      </c>
      <c r="I373" s="29">
        <v>0.99430000000000007</v>
      </c>
      <c r="J373" s="29">
        <v>0.218</v>
      </c>
      <c r="K373" s="9">
        <v>45300</v>
      </c>
      <c r="L373">
        <f xml:space="preserve"> (交易處理資料__3[[#This Row],[售出工時]] * 60) / 5</f>
        <v>27.48</v>
      </c>
      <c r="M373" t="str">
        <f>VLOOKUP(交易處理資料__3[[#This Row],[人員代號]],團隊分組!$B$1:$C$52,2,FALSE)</f>
        <v>快速保養團隊B</v>
      </c>
      <c r="N373" t="str">
        <f>IF(交易處理資料__3[[#This Row],[上班時間]]=0,"否","是")</f>
        <v>是</v>
      </c>
      <c r="O373" t="s">
        <v>76</v>
      </c>
      <c r="P373" s="38">
        <v>1.1340000000000001</v>
      </c>
      <c r="Q373" s="38">
        <v>0.218</v>
      </c>
      <c r="R373" s="38">
        <v>0.99430000000000007</v>
      </c>
    </row>
    <row r="374" spans="1:18" hidden="1">
      <c r="A374" t="s">
        <v>76</v>
      </c>
      <c r="B374" t="s">
        <v>31</v>
      </c>
      <c r="C374">
        <v>0</v>
      </c>
      <c r="D374">
        <v>0</v>
      </c>
      <c r="E374" s="29">
        <v>0</v>
      </c>
      <c r="F374">
        <v>0</v>
      </c>
      <c r="G374">
        <v>0</v>
      </c>
      <c r="H374">
        <v>0</v>
      </c>
      <c r="I374" s="29">
        <v>0</v>
      </c>
      <c r="J374" s="29">
        <v>0</v>
      </c>
      <c r="K374" s="9">
        <v>45300</v>
      </c>
      <c r="L374">
        <f xml:space="preserve"> (交易處理資料__3[[#This Row],[售出工時]] * 60) / 5</f>
        <v>0</v>
      </c>
      <c r="M374" t="str">
        <f>VLOOKUP(交易處理資料__3[[#This Row],[人員代號]],團隊分組!$B$1:$C$52,2,FALSE)</f>
        <v>快速保養團隊A</v>
      </c>
      <c r="N374" t="str">
        <f>IF(交易處理資料__3[[#This Row],[上班時間]]=0,"否","是")</f>
        <v>否</v>
      </c>
      <c r="O374" t="s">
        <v>76</v>
      </c>
      <c r="P374" s="37">
        <v>0</v>
      </c>
      <c r="Q374" s="37">
        <v>0</v>
      </c>
      <c r="R374" s="37">
        <v>0</v>
      </c>
    </row>
    <row r="375" spans="1:18" hidden="1">
      <c r="A375" t="s">
        <v>76</v>
      </c>
      <c r="B375" t="s">
        <v>32</v>
      </c>
      <c r="C375">
        <v>0</v>
      </c>
      <c r="D375">
        <v>0</v>
      </c>
      <c r="E375" s="29">
        <v>0</v>
      </c>
      <c r="F375">
        <v>0</v>
      </c>
      <c r="G375">
        <v>0</v>
      </c>
      <c r="H375">
        <v>0</v>
      </c>
      <c r="I375" s="29">
        <v>0</v>
      </c>
      <c r="J375" s="29">
        <v>0</v>
      </c>
      <c r="K375" s="9">
        <v>45300</v>
      </c>
      <c r="L375">
        <f xml:space="preserve"> (交易處理資料__3[[#This Row],[售出工時]] * 60) / 5</f>
        <v>0</v>
      </c>
      <c r="M375" t="str">
        <f>VLOOKUP(交易處理資料__3[[#This Row],[人員代號]],團隊分組!$B$1:$C$52,2,FALSE)</f>
        <v>快速保養團隊B</v>
      </c>
      <c r="N375" t="str">
        <f>IF(交易處理資料__3[[#This Row],[上班時間]]=0,"否","是")</f>
        <v>否</v>
      </c>
      <c r="O375" t="s">
        <v>76</v>
      </c>
      <c r="P375" s="38">
        <v>0</v>
      </c>
      <c r="Q375" s="38">
        <v>0</v>
      </c>
      <c r="R375" s="38">
        <v>0</v>
      </c>
    </row>
    <row r="376" spans="1:18" hidden="1">
      <c r="A376" t="s">
        <v>76</v>
      </c>
      <c r="B376" t="s">
        <v>33</v>
      </c>
      <c r="C376">
        <v>0</v>
      </c>
      <c r="D376">
        <v>0</v>
      </c>
      <c r="E376" s="29">
        <v>0</v>
      </c>
      <c r="F376">
        <v>0</v>
      </c>
      <c r="G376">
        <v>0</v>
      </c>
      <c r="H376">
        <v>0</v>
      </c>
      <c r="I376" s="29">
        <v>0</v>
      </c>
      <c r="J376" s="29">
        <v>0</v>
      </c>
      <c r="K376" s="9">
        <v>45300</v>
      </c>
      <c r="L376">
        <f xml:space="preserve"> (交易處理資料__3[[#This Row],[售出工時]] * 60) / 5</f>
        <v>0</v>
      </c>
      <c r="M376" t="str">
        <f>VLOOKUP(交易處理資料__3[[#This Row],[人員代號]],團隊分組!$B$1:$C$52,2,FALSE)</f>
        <v>快速保養團隊B</v>
      </c>
      <c r="N376" t="str">
        <f>IF(交易處理資料__3[[#This Row],[上班時間]]=0,"否","是")</f>
        <v>否</v>
      </c>
      <c r="O376" t="s">
        <v>76</v>
      </c>
      <c r="P376" s="37">
        <v>0</v>
      </c>
      <c r="Q376" s="37">
        <v>0</v>
      </c>
      <c r="R376" s="37">
        <v>0</v>
      </c>
    </row>
    <row r="377" spans="1:18" hidden="1">
      <c r="A377" t="s">
        <v>76</v>
      </c>
      <c r="B377" t="s">
        <v>34</v>
      </c>
      <c r="C377">
        <v>8.41</v>
      </c>
      <c r="D377">
        <v>5.86</v>
      </c>
      <c r="E377" s="29">
        <v>1.4362000000000001</v>
      </c>
      <c r="F377">
        <v>8.07</v>
      </c>
      <c r="G377">
        <v>0.53</v>
      </c>
      <c r="H377">
        <v>8.6</v>
      </c>
      <c r="I377" s="29">
        <v>0.93840000000000001</v>
      </c>
      <c r="J377" s="29">
        <v>0.97870000000000001</v>
      </c>
      <c r="K377" s="9">
        <v>45300</v>
      </c>
      <c r="L377">
        <f xml:space="preserve"> (交易處理資料__3[[#This Row],[售出工時]] * 60) / 5</f>
        <v>100.92</v>
      </c>
      <c r="M377" t="str">
        <f>VLOOKUP(交易處理資料__3[[#This Row],[人員代號]],團隊分組!$B$1:$C$52,2,FALSE)</f>
        <v>快速保養團隊A</v>
      </c>
      <c r="N377" t="str">
        <f>IF(交易處理資料__3[[#This Row],[上班時間]]=0,"否","是")</f>
        <v>是</v>
      </c>
      <c r="O377" t="s">
        <v>76</v>
      </c>
      <c r="P377" s="38">
        <v>1.4362000000000001</v>
      </c>
      <c r="Q377" s="38">
        <v>0.97870000000000001</v>
      </c>
      <c r="R377" s="38">
        <v>0.93840000000000001</v>
      </c>
    </row>
    <row r="378" spans="1:18" hidden="1">
      <c r="A378" t="s">
        <v>76</v>
      </c>
      <c r="B378" t="s">
        <v>35</v>
      </c>
      <c r="C378">
        <v>1.95</v>
      </c>
      <c r="D378">
        <v>7.42</v>
      </c>
      <c r="E378" s="29">
        <v>0.26280000000000003</v>
      </c>
      <c r="F378">
        <v>3.77</v>
      </c>
      <c r="G378">
        <v>4.76</v>
      </c>
      <c r="H378">
        <v>8.5299999999999994</v>
      </c>
      <c r="I378" s="29">
        <v>0.442</v>
      </c>
      <c r="J378" s="29">
        <v>0.2286</v>
      </c>
      <c r="K378" s="9">
        <v>45300</v>
      </c>
      <c r="L378">
        <f xml:space="preserve"> (交易處理資料__3[[#This Row],[售出工時]] * 60) / 5</f>
        <v>23.4</v>
      </c>
      <c r="M378" t="str">
        <f>VLOOKUP(交易處理資料__3[[#This Row],[人員代號]],團隊分組!$B$1:$C$52,2,FALSE)</f>
        <v>查修團隊B</v>
      </c>
      <c r="N378" t="str">
        <f>IF(交易處理資料__3[[#This Row],[上班時間]]=0,"否","是")</f>
        <v>是</v>
      </c>
      <c r="O378" t="s">
        <v>76</v>
      </c>
      <c r="P378" s="37">
        <v>0.26280000000000003</v>
      </c>
      <c r="Q378" s="37">
        <v>0.2286</v>
      </c>
      <c r="R378" s="37">
        <v>0.442</v>
      </c>
    </row>
    <row r="379" spans="1:18" hidden="1">
      <c r="A379" t="s">
        <v>76</v>
      </c>
      <c r="B379" t="s">
        <v>36</v>
      </c>
      <c r="C379">
        <v>0</v>
      </c>
      <c r="D379">
        <v>0</v>
      </c>
      <c r="E379" s="29">
        <v>0</v>
      </c>
      <c r="F379">
        <v>7.87</v>
      </c>
      <c r="G379">
        <v>0.35</v>
      </c>
      <c r="H379">
        <v>8.2200000000000006</v>
      </c>
      <c r="I379" s="29">
        <v>0.95739999999999992</v>
      </c>
      <c r="J379" s="29">
        <v>0</v>
      </c>
      <c r="K379" s="9">
        <v>45300</v>
      </c>
      <c r="L379">
        <f xml:space="preserve"> (交易處理資料__3[[#This Row],[售出工時]] * 60) / 5</f>
        <v>0</v>
      </c>
      <c r="M379" t="str">
        <f>VLOOKUP(交易處理資料__3[[#This Row],[人員代號]],團隊分組!$B$1:$C$52,2,FALSE)</f>
        <v>查修團隊B</v>
      </c>
      <c r="N379" t="str">
        <f>IF(交易處理資料__3[[#This Row],[上班時間]]=0,"否","是")</f>
        <v>是</v>
      </c>
      <c r="O379" t="s">
        <v>76</v>
      </c>
      <c r="P379" s="38">
        <v>0</v>
      </c>
      <c r="Q379" s="38">
        <v>0</v>
      </c>
      <c r="R379" s="38">
        <v>0.95739999999999992</v>
      </c>
    </row>
    <row r="380" spans="1:18" hidden="1">
      <c r="A380" t="s">
        <v>76</v>
      </c>
      <c r="B380" t="s">
        <v>37</v>
      </c>
      <c r="C380">
        <v>1.66</v>
      </c>
      <c r="D380">
        <v>1.57</v>
      </c>
      <c r="E380" s="29">
        <v>1.0615000000000001</v>
      </c>
      <c r="F380">
        <v>7.4</v>
      </c>
      <c r="G380">
        <v>2.52</v>
      </c>
      <c r="H380">
        <v>9.92</v>
      </c>
      <c r="I380" s="29">
        <v>0.746</v>
      </c>
      <c r="J380" s="29">
        <v>0.16800000000000001</v>
      </c>
      <c r="K380" s="9">
        <v>45300</v>
      </c>
      <c r="L380">
        <f xml:space="preserve"> (交易處理資料__3[[#This Row],[售出工時]] * 60) / 5</f>
        <v>19.919999999999998</v>
      </c>
      <c r="M380" t="str">
        <f>VLOOKUP(交易處理資料__3[[#This Row],[人員代號]],團隊分組!$B$1:$C$52,2,FALSE)</f>
        <v>查修團隊A</v>
      </c>
      <c r="N380" t="str">
        <f>IF(交易處理資料__3[[#This Row],[上班時間]]=0,"否","是")</f>
        <v>是</v>
      </c>
      <c r="O380" t="s">
        <v>76</v>
      </c>
      <c r="P380" s="37">
        <v>1.0615000000000001</v>
      </c>
      <c r="Q380" s="37">
        <v>0.16800000000000001</v>
      </c>
      <c r="R380" s="37">
        <v>0.746</v>
      </c>
    </row>
    <row r="381" spans="1:18" hidden="1">
      <c r="A381" t="s">
        <v>76</v>
      </c>
      <c r="B381" t="s">
        <v>38</v>
      </c>
      <c r="C381">
        <v>14.91</v>
      </c>
      <c r="D381">
        <v>6.49</v>
      </c>
      <c r="E381" s="29">
        <v>2.2984</v>
      </c>
      <c r="F381">
        <v>11.03</v>
      </c>
      <c r="G381">
        <v>0.1</v>
      </c>
      <c r="H381">
        <v>11.13</v>
      </c>
      <c r="I381" s="29">
        <v>0.99099999999999999</v>
      </c>
      <c r="J381" s="29">
        <v>1.3402000000000001</v>
      </c>
      <c r="K381" s="9">
        <v>45300</v>
      </c>
      <c r="L381">
        <f xml:space="preserve"> (交易處理資料__3[[#This Row],[售出工時]] * 60) / 5</f>
        <v>178.92000000000002</v>
      </c>
      <c r="M381" t="str">
        <f>VLOOKUP(交易處理資料__3[[#This Row],[人員代號]],團隊分組!$B$1:$C$52,2,FALSE)</f>
        <v>快速保養團隊A</v>
      </c>
      <c r="N381" t="str">
        <f>IF(交易處理資料__3[[#This Row],[上班時間]]=0,"否","是")</f>
        <v>是</v>
      </c>
      <c r="O381" t="s">
        <v>76</v>
      </c>
      <c r="P381" s="38">
        <v>2.2984</v>
      </c>
      <c r="Q381" s="38">
        <v>1.3402000000000001</v>
      </c>
      <c r="R381" s="38">
        <v>0.99099999999999999</v>
      </c>
    </row>
    <row r="382" spans="1:18" hidden="1">
      <c r="A382" t="s">
        <v>76</v>
      </c>
      <c r="B382" t="s">
        <v>39</v>
      </c>
      <c r="C382">
        <v>0</v>
      </c>
      <c r="D382">
        <v>0</v>
      </c>
      <c r="E382" s="29">
        <v>0</v>
      </c>
      <c r="F382">
        <v>7.38</v>
      </c>
      <c r="G382">
        <v>2.58</v>
      </c>
      <c r="H382">
        <v>9.9600000000000009</v>
      </c>
      <c r="I382" s="29">
        <v>0.74099999999999999</v>
      </c>
      <c r="J382" s="29">
        <v>0</v>
      </c>
      <c r="K382" s="9">
        <v>45300</v>
      </c>
      <c r="L382">
        <f xml:space="preserve"> (交易處理資料__3[[#This Row],[售出工時]] * 60) / 5</f>
        <v>0</v>
      </c>
      <c r="M382" t="str">
        <f>VLOOKUP(交易處理資料__3[[#This Row],[人員代號]],團隊分組!$B$1:$C$52,2,FALSE)</f>
        <v>查修團隊A</v>
      </c>
      <c r="N382" t="str">
        <f>IF(交易處理資料__3[[#This Row],[上班時間]]=0,"否","是")</f>
        <v>是</v>
      </c>
      <c r="O382" t="s">
        <v>76</v>
      </c>
      <c r="P382" s="37">
        <v>0</v>
      </c>
      <c r="Q382" s="37">
        <v>0</v>
      </c>
      <c r="R382" s="37">
        <v>0.74099999999999999</v>
      </c>
    </row>
    <row r="383" spans="1:18" hidden="1">
      <c r="A383" t="s">
        <v>76</v>
      </c>
      <c r="B383" t="s">
        <v>40</v>
      </c>
      <c r="C383">
        <v>0.33</v>
      </c>
      <c r="D383">
        <v>0.45</v>
      </c>
      <c r="E383" s="29">
        <v>0.74069999999999991</v>
      </c>
      <c r="F383">
        <v>6.09</v>
      </c>
      <c r="G383">
        <v>0.51</v>
      </c>
      <c r="H383">
        <v>6.6</v>
      </c>
      <c r="I383" s="29">
        <v>0.92269999999999996</v>
      </c>
      <c r="J383" s="29">
        <v>5.0499999999999996E-2</v>
      </c>
      <c r="K383" s="9">
        <v>45300</v>
      </c>
      <c r="L383">
        <f xml:space="preserve"> (交易處理資料__3[[#This Row],[售出工時]] * 60) / 5</f>
        <v>3.96</v>
      </c>
      <c r="M383" t="str">
        <f>VLOOKUP(交易處理資料__3[[#This Row],[人員代號]],團隊分組!$B$1:$C$52,2,FALSE)</f>
        <v>查修團隊A</v>
      </c>
      <c r="N383" t="str">
        <f>IF(交易處理資料__3[[#This Row],[上班時間]]=0,"否","是")</f>
        <v>是</v>
      </c>
      <c r="O383" t="s">
        <v>76</v>
      </c>
      <c r="P383" s="38">
        <v>0.74069999999999991</v>
      </c>
      <c r="Q383" s="38">
        <v>5.0499999999999996E-2</v>
      </c>
      <c r="R383" s="38">
        <v>0.92269999999999996</v>
      </c>
    </row>
    <row r="384" spans="1:18" hidden="1">
      <c r="A384" t="s">
        <v>76</v>
      </c>
      <c r="B384" t="s">
        <v>41</v>
      </c>
      <c r="C384">
        <v>13.41</v>
      </c>
      <c r="D384">
        <v>6.5</v>
      </c>
      <c r="E384" s="29">
        <v>2.0640999999999998</v>
      </c>
      <c r="F384">
        <v>8.1</v>
      </c>
      <c r="G384">
        <v>0.13</v>
      </c>
      <c r="H384">
        <v>8.23</v>
      </c>
      <c r="I384" s="29">
        <v>0.98419999999999996</v>
      </c>
      <c r="J384" s="29">
        <v>1.6302000000000001</v>
      </c>
      <c r="K384" s="9">
        <v>45300</v>
      </c>
      <c r="L384">
        <f xml:space="preserve"> (交易處理資料__3[[#This Row],[售出工時]] * 60) / 5</f>
        <v>160.92000000000002</v>
      </c>
      <c r="M384" t="str">
        <f>VLOOKUP(交易處理資料__3[[#This Row],[人員代號]],團隊分組!$B$1:$C$52,2,FALSE)</f>
        <v>快速保養團隊A</v>
      </c>
      <c r="N384" t="str">
        <f>IF(交易處理資料__3[[#This Row],[上班時間]]=0,"否","是")</f>
        <v>是</v>
      </c>
      <c r="O384" t="s">
        <v>76</v>
      </c>
      <c r="P384" s="37">
        <v>2.0640999999999998</v>
      </c>
      <c r="Q384" s="37">
        <v>1.6302000000000001</v>
      </c>
      <c r="R384" s="37">
        <v>0.98419999999999996</v>
      </c>
    </row>
    <row r="385" spans="1:18" hidden="1">
      <c r="A385" t="s">
        <v>76</v>
      </c>
      <c r="B385" t="s">
        <v>42</v>
      </c>
      <c r="C385">
        <v>0</v>
      </c>
      <c r="D385">
        <v>0</v>
      </c>
      <c r="E385" s="29">
        <v>0</v>
      </c>
      <c r="F385">
        <v>0</v>
      </c>
      <c r="G385">
        <v>0</v>
      </c>
      <c r="H385">
        <v>0</v>
      </c>
      <c r="I385" s="29">
        <v>0</v>
      </c>
      <c r="J385" s="29">
        <v>0</v>
      </c>
      <c r="K385" s="9">
        <v>45300</v>
      </c>
      <c r="L385">
        <f xml:space="preserve"> (交易處理資料__3[[#This Row],[售出工時]] * 60) / 5</f>
        <v>0</v>
      </c>
      <c r="M385" t="str">
        <f>VLOOKUP(交易處理資料__3[[#This Row],[人員代號]],團隊分組!$B$1:$C$52,2,FALSE)</f>
        <v>快速保養團隊A</v>
      </c>
      <c r="N385" t="str">
        <f>IF(交易處理資料__3[[#This Row],[上班時間]]=0,"否","是")</f>
        <v>否</v>
      </c>
      <c r="O385" t="s">
        <v>76</v>
      </c>
      <c r="P385" s="38">
        <v>0</v>
      </c>
      <c r="Q385" s="38">
        <v>0</v>
      </c>
      <c r="R385" s="38">
        <v>0</v>
      </c>
    </row>
    <row r="386" spans="1:18" hidden="1">
      <c r="A386" t="s">
        <v>76</v>
      </c>
      <c r="B386" t="s">
        <v>43</v>
      </c>
      <c r="C386">
        <v>0</v>
      </c>
      <c r="D386">
        <v>0</v>
      </c>
      <c r="E386" s="29">
        <v>0</v>
      </c>
      <c r="F386">
        <v>7.86</v>
      </c>
      <c r="G386">
        <v>0.34</v>
      </c>
      <c r="H386">
        <v>8.1999999999999993</v>
      </c>
      <c r="I386" s="29">
        <v>0.95849999999999991</v>
      </c>
      <c r="J386" s="29">
        <v>0</v>
      </c>
      <c r="K386" s="9">
        <v>45300</v>
      </c>
      <c r="L386">
        <f xml:space="preserve"> (交易處理資料__3[[#This Row],[售出工時]] * 60) / 5</f>
        <v>0</v>
      </c>
      <c r="M386" t="str">
        <f>VLOOKUP(交易處理資料__3[[#This Row],[人員代號]],團隊分組!$B$1:$C$52,2,FALSE)</f>
        <v>查修團隊B</v>
      </c>
      <c r="N386" t="str">
        <f>IF(交易處理資料__3[[#This Row],[上班時間]]=0,"否","是")</f>
        <v>是</v>
      </c>
      <c r="O386" t="s">
        <v>76</v>
      </c>
      <c r="P386" s="37">
        <v>0</v>
      </c>
      <c r="Q386" s="37">
        <v>0</v>
      </c>
      <c r="R386" s="37">
        <v>0.95849999999999991</v>
      </c>
    </row>
    <row r="387" spans="1:18" hidden="1">
      <c r="A387" t="s">
        <v>76</v>
      </c>
      <c r="B387" t="s">
        <v>44</v>
      </c>
      <c r="C387">
        <v>9.52</v>
      </c>
      <c r="D387">
        <v>11.38</v>
      </c>
      <c r="E387" s="29">
        <v>0.83650000000000002</v>
      </c>
      <c r="F387">
        <v>8.4600000000000009</v>
      </c>
      <c r="G387">
        <v>3.12</v>
      </c>
      <c r="H387">
        <v>11.58</v>
      </c>
      <c r="I387" s="29">
        <v>0.73060000000000003</v>
      </c>
      <c r="J387" s="29">
        <v>0.82209999999999994</v>
      </c>
      <c r="K387" s="9">
        <v>45300</v>
      </c>
      <c r="L387">
        <f xml:space="preserve"> (交易處理資料__3[[#This Row],[售出工時]] * 60) / 5</f>
        <v>114.23999999999998</v>
      </c>
      <c r="M387" t="str">
        <f>VLOOKUP(交易處理資料__3[[#This Row],[人員代號]],團隊分組!$B$1:$C$52,2,FALSE)</f>
        <v>快速保養團隊B</v>
      </c>
      <c r="N387" t="str">
        <f>IF(交易處理資料__3[[#This Row],[上班時間]]=0,"否","是")</f>
        <v>是</v>
      </c>
      <c r="O387" t="s">
        <v>76</v>
      </c>
      <c r="P387" s="38">
        <v>0.83650000000000002</v>
      </c>
      <c r="Q387" s="38">
        <v>0.82209999999999994</v>
      </c>
      <c r="R387" s="38">
        <v>0.73060000000000003</v>
      </c>
    </row>
    <row r="388" spans="1:18" hidden="1">
      <c r="A388" t="s">
        <v>76</v>
      </c>
      <c r="B388" t="s">
        <v>47</v>
      </c>
      <c r="C388">
        <v>0</v>
      </c>
      <c r="D388">
        <v>0</v>
      </c>
      <c r="E388" s="29">
        <v>0</v>
      </c>
      <c r="F388">
        <v>6.83</v>
      </c>
      <c r="G388">
        <v>1.51</v>
      </c>
      <c r="H388">
        <v>8.34</v>
      </c>
      <c r="I388" s="29">
        <v>0.81889999999999996</v>
      </c>
      <c r="J388" s="29">
        <v>0</v>
      </c>
      <c r="K388" s="9">
        <v>45300</v>
      </c>
      <c r="L388">
        <f xml:space="preserve"> (交易處理資料__3[[#This Row],[售出工時]] * 60) / 5</f>
        <v>0</v>
      </c>
      <c r="M388" t="str">
        <f>VLOOKUP(交易處理資料__3[[#This Row],[人員代號]],團隊分組!$B$1:$C$52,2,FALSE)</f>
        <v>查修團隊B</v>
      </c>
      <c r="N388" t="str">
        <f>IF(交易處理資料__3[[#This Row],[上班時間]]=0,"否","是")</f>
        <v>是</v>
      </c>
      <c r="O388" t="s">
        <v>76</v>
      </c>
      <c r="P388" s="37">
        <v>0</v>
      </c>
      <c r="Q388" s="37">
        <v>0</v>
      </c>
      <c r="R388" s="37">
        <v>0.81889999999999996</v>
      </c>
    </row>
    <row r="389" spans="1:18" hidden="1">
      <c r="A389" t="s">
        <v>76</v>
      </c>
      <c r="B389" t="s">
        <v>48</v>
      </c>
      <c r="C389">
        <v>1.91</v>
      </c>
      <c r="D389">
        <v>3.58</v>
      </c>
      <c r="E389" s="29">
        <v>0.5353</v>
      </c>
      <c r="F389">
        <v>5.83</v>
      </c>
      <c r="G389">
        <v>2.5499999999999998</v>
      </c>
      <c r="H389">
        <v>8.3800000000000008</v>
      </c>
      <c r="I389" s="29">
        <v>0.69569999999999999</v>
      </c>
      <c r="J389" s="29">
        <v>0.22870000000000001</v>
      </c>
      <c r="K389" s="9">
        <v>45300</v>
      </c>
      <c r="L389">
        <f xml:space="preserve"> (交易處理資料__3[[#This Row],[售出工時]] * 60) / 5</f>
        <v>22.919999999999998</v>
      </c>
      <c r="M389" t="str">
        <f>VLOOKUP(交易處理資料__3[[#This Row],[人員代號]],團隊分組!$B$1:$C$52,2,FALSE)</f>
        <v>查修團隊A</v>
      </c>
      <c r="N389" t="str">
        <f>IF(交易處理資料__3[[#This Row],[上班時間]]=0,"否","是")</f>
        <v>是</v>
      </c>
      <c r="O389" t="s">
        <v>76</v>
      </c>
      <c r="P389" s="38">
        <v>0.5353</v>
      </c>
      <c r="Q389" s="38">
        <v>0.22870000000000001</v>
      </c>
      <c r="R389" s="38">
        <v>0.69569999999999999</v>
      </c>
    </row>
    <row r="390" spans="1:18" hidden="1">
      <c r="A390" t="s">
        <v>76</v>
      </c>
      <c r="B390" t="s">
        <v>49</v>
      </c>
      <c r="C390">
        <v>1.83</v>
      </c>
      <c r="D390">
        <v>2.13</v>
      </c>
      <c r="E390" s="29">
        <v>0.86069999999999991</v>
      </c>
      <c r="F390">
        <v>7.05</v>
      </c>
      <c r="G390">
        <v>0.94</v>
      </c>
      <c r="H390">
        <v>7.99</v>
      </c>
      <c r="I390" s="29">
        <v>0.88239999999999996</v>
      </c>
      <c r="J390" s="29">
        <v>0.22949999999999998</v>
      </c>
      <c r="K390" s="9">
        <v>45300</v>
      </c>
      <c r="L390">
        <f xml:space="preserve"> (交易處理資料__3[[#This Row],[售出工時]] * 60) / 5</f>
        <v>21.96</v>
      </c>
      <c r="M390" t="str">
        <f>VLOOKUP(交易處理資料__3[[#This Row],[人員代號]],團隊分組!$B$1:$C$52,2,FALSE)</f>
        <v>查修團隊A</v>
      </c>
      <c r="N390" t="str">
        <f>IF(交易處理資料__3[[#This Row],[上班時間]]=0,"否","是")</f>
        <v>是</v>
      </c>
      <c r="O390" t="s">
        <v>76</v>
      </c>
      <c r="P390" s="37">
        <v>0.86069999999999991</v>
      </c>
      <c r="Q390" s="37">
        <v>0.22949999999999998</v>
      </c>
      <c r="R390" s="37">
        <v>0.88239999999999996</v>
      </c>
    </row>
    <row r="391" spans="1:18" hidden="1">
      <c r="A391" t="s">
        <v>76</v>
      </c>
      <c r="B391" t="s">
        <v>51</v>
      </c>
      <c r="C391">
        <v>0</v>
      </c>
      <c r="D391">
        <v>0</v>
      </c>
      <c r="E391" s="29">
        <v>0</v>
      </c>
      <c r="F391">
        <v>0</v>
      </c>
      <c r="G391">
        <v>0</v>
      </c>
      <c r="H391">
        <v>0</v>
      </c>
      <c r="I391" s="29">
        <v>0</v>
      </c>
      <c r="J391" s="29">
        <v>0</v>
      </c>
      <c r="K391" s="9">
        <v>45300</v>
      </c>
      <c r="L391">
        <f xml:space="preserve"> (交易處理資料__3[[#This Row],[售出工時]] * 60) / 5</f>
        <v>0</v>
      </c>
      <c r="M391" t="str">
        <f>VLOOKUP(交易處理資料__3[[#This Row],[人員代號]],團隊分組!$B$1:$C$52,2,FALSE)</f>
        <v>無效數據</v>
      </c>
      <c r="N391" t="str">
        <f>IF(交易處理資料__3[[#This Row],[上班時間]]=0,"否","是")</f>
        <v>否</v>
      </c>
      <c r="O391" t="s">
        <v>76</v>
      </c>
      <c r="P391" s="38">
        <v>0</v>
      </c>
      <c r="Q391" s="38">
        <v>0</v>
      </c>
      <c r="R391" s="38">
        <v>0</v>
      </c>
    </row>
    <row r="392" spans="1:18" hidden="1">
      <c r="A392" t="s">
        <v>76</v>
      </c>
      <c r="B392" t="s">
        <v>52</v>
      </c>
      <c r="C392">
        <v>6.42</v>
      </c>
      <c r="D392">
        <v>8.0399999999999991</v>
      </c>
      <c r="E392" s="29">
        <v>0.79849999999999999</v>
      </c>
      <c r="F392">
        <v>7.82</v>
      </c>
      <c r="G392">
        <v>0.41</v>
      </c>
      <c r="H392">
        <v>8.23</v>
      </c>
      <c r="I392" s="29">
        <v>0.95019999999999993</v>
      </c>
      <c r="J392" s="29">
        <v>0.78010000000000002</v>
      </c>
      <c r="K392" s="9">
        <v>45300</v>
      </c>
      <c r="L392">
        <f xml:space="preserve"> (交易處理資料__3[[#This Row],[售出工時]] * 60) / 5</f>
        <v>77.039999999999992</v>
      </c>
      <c r="M392" t="str">
        <f>VLOOKUP(交易處理資料__3[[#This Row],[人員代號]],團隊分組!$B$1:$C$52,2,FALSE)</f>
        <v>查修團隊B</v>
      </c>
      <c r="N392" t="str">
        <f>IF(交易處理資料__3[[#This Row],[上班時間]]=0,"否","是")</f>
        <v>是</v>
      </c>
      <c r="O392" t="s">
        <v>76</v>
      </c>
      <c r="P392" s="37">
        <v>0.79849999999999999</v>
      </c>
      <c r="Q392" s="37">
        <v>0.78010000000000002</v>
      </c>
      <c r="R392" s="37">
        <v>0.95019999999999993</v>
      </c>
    </row>
    <row r="393" spans="1:18" hidden="1">
      <c r="A393" t="s">
        <v>76</v>
      </c>
      <c r="B393" t="s">
        <v>53</v>
      </c>
      <c r="C393">
        <v>0</v>
      </c>
      <c r="D393">
        <v>0</v>
      </c>
      <c r="E393" s="29">
        <v>0</v>
      </c>
      <c r="F393">
        <v>8.75</v>
      </c>
      <c r="G393">
        <v>0.62</v>
      </c>
      <c r="H393">
        <v>9.3699999999999992</v>
      </c>
      <c r="I393" s="29">
        <v>0.93379999999999996</v>
      </c>
      <c r="J393" s="29">
        <v>0</v>
      </c>
      <c r="K393" s="9">
        <v>45300</v>
      </c>
      <c r="L393">
        <f xml:space="preserve"> (交易處理資料__3[[#This Row],[售出工時]] * 60) / 5</f>
        <v>0</v>
      </c>
      <c r="M393" t="str">
        <f>VLOOKUP(交易處理資料__3[[#This Row],[人員代號]],團隊分組!$B$1:$C$52,2,FALSE)</f>
        <v>查修團隊A</v>
      </c>
      <c r="N393" t="str">
        <f>IF(交易處理資料__3[[#This Row],[上班時間]]=0,"否","是")</f>
        <v>是</v>
      </c>
      <c r="O393" t="s">
        <v>76</v>
      </c>
      <c r="P393" s="38">
        <v>0</v>
      </c>
      <c r="Q393" s="38">
        <v>0</v>
      </c>
      <c r="R393" s="38">
        <v>0.93379999999999996</v>
      </c>
    </row>
    <row r="394" spans="1:18" hidden="1">
      <c r="A394" s="10" t="s">
        <v>74</v>
      </c>
      <c r="B394" t="s">
        <v>8</v>
      </c>
      <c r="C394">
        <v>2.77</v>
      </c>
      <c r="D394">
        <v>7.48</v>
      </c>
      <c r="E394" s="29">
        <v>0.37030000000000002</v>
      </c>
      <c r="F394">
        <v>6.8</v>
      </c>
      <c r="G394">
        <v>1.25</v>
      </c>
      <c r="H394">
        <v>8.0500000000000007</v>
      </c>
      <c r="I394" s="29">
        <v>0.84470000000000001</v>
      </c>
      <c r="J394" s="29">
        <v>0.34409999999999996</v>
      </c>
      <c r="K394" s="9">
        <v>45301</v>
      </c>
      <c r="L394">
        <f xml:space="preserve"> (交易處理資料__3[[#This Row],[售出工時]] * 60) / 5</f>
        <v>33.239999999999995</v>
      </c>
      <c r="M394" t="str">
        <f>VLOOKUP(交易處理資料__3[[#This Row],[人員代號]],團隊分組!$B$1:$C$52,2,FALSE)</f>
        <v>噴漆維修組</v>
      </c>
      <c r="N394" t="str">
        <f>IF(交易處理資料__3[[#This Row],[上班時間]]=0,"否","是")</f>
        <v>是</v>
      </c>
      <c r="O394" s="10" t="s">
        <v>74</v>
      </c>
      <c r="P394" s="37">
        <v>0.37030000000000002</v>
      </c>
      <c r="Q394" s="37">
        <v>0.34409999999999996</v>
      </c>
      <c r="R394" s="37">
        <v>0.84470000000000001</v>
      </c>
    </row>
    <row r="395" spans="1:18" hidden="1">
      <c r="A395" t="s">
        <v>75</v>
      </c>
      <c r="B395" t="s">
        <v>13</v>
      </c>
      <c r="C395">
        <v>7.28</v>
      </c>
      <c r="D395">
        <v>4.3499999999999996</v>
      </c>
      <c r="E395" s="29">
        <v>1.6735</v>
      </c>
      <c r="F395">
        <v>5.36</v>
      </c>
      <c r="G395">
        <v>2.69</v>
      </c>
      <c r="H395">
        <v>8.0500000000000007</v>
      </c>
      <c r="I395" s="29">
        <v>0.66579999999999995</v>
      </c>
      <c r="J395" s="29">
        <v>0.9043000000000001</v>
      </c>
      <c r="K395" s="9">
        <v>45301</v>
      </c>
      <c r="L395">
        <f xml:space="preserve"> (交易處理資料__3[[#This Row],[售出工時]] * 60) / 5</f>
        <v>87.36</v>
      </c>
      <c r="M395" t="str">
        <f>VLOOKUP(交易處理資料__3[[#This Row],[人員代號]],團隊分組!$B$1:$C$52,2,FALSE)</f>
        <v>鈑金維修組</v>
      </c>
      <c r="N395" t="str">
        <f>IF(交易處理資料__3[[#This Row],[上班時間]]=0,"否","是")</f>
        <v>是</v>
      </c>
      <c r="O395" t="s">
        <v>75</v>
      </c>
      <c r="P395" s="38">
        <v>1.6735</v>
      </c>
      <c r="Q395" s="38">
        <v>0.9043000000000001</v>
      </c>
      <c r="R395" s="38">
        <v>0.66579999999999995</v>
      </c>
    </row>
    <row r="396" spans="1:18" hidden="1">
      <c r="A396" t="s">
        <v>76</v>
      </c>
      <c r="B396" t="s">
        <v>18</v>
      </c>
      <c r="C396">
        <v>6</v>
      </c>
      <c r="D396">
        <v>6.81</v>
      </c>
      <c r="E396" s="29">
        <v>0.88099999999999989</v>
      </c>
      <c r="F396">
        <v>8.1999999999999993</v>
      </c>
      <c r="G396">
        <v>0.21</v>
      </c>
      <c r="H396">
        <v>8.41</v>
      </c>
      <c r="I396" s="29">
        <v>0.97499999999999998</v>
      </c>
      <c r="J396" s="29">
        <v>0.71340000000000003</v>
      </c>
      <c r="K396" s="9">
        <v>45301</v>
      </c>
      <c r="L396">
        <f xml:space="preserve"> (交易處理資料__3[[#This Row],[售出工時]] * 60) / 5</f>
        <v>72</v>
      </c>
      <c r="M396" t="str">
        <f>VLOOKUP(交易處理資料__3[[#This Row],[人員代號]],團隊分組!$B$1:$C$52,2,FALSE)</f>
        <v>查修團隊B</v>
      </c>
      <c r="N396" t="str">
        <f>IF(交易處理資料__3[[#This Row],[上班時間]]=0,"否","是")</f>
        <v>是</v>
      </c>
      <c r="O396" t="s">
        <v>76</v>
      </c>
      <c r="P396" s="37">
        <v>0.88099999999999989</v>
      </c>
      <c r="Q396" s="37">
        <v>0.71340000000000003</v>
      </c>
      <c r="R396" s="37">
        <v>0.97499999999999998</v>
      </c>
    </row>
    <row r="397" spans="1:18" hidden="1">
      <c r="A397" t="s">
        <v>76</v>
      </c>
      <c r="B397" t="s">
        <v>19</v>
      </c>
      <c r="C397">
        <v>5.33</v>
      </c>
      <c r="D397">
        <v>5.55</v>
      </c>
      <c r="E397" s="29">
        <v>0.96030000000000004</v>
      </c>
      <c r="F397">
        <v>6.85</v>
      </c>
      <c r="G397">
        <v>1.07</v>
      </c>
      <c r="H397">
        <v>7.92</v>
      </c>
      <c r="I397" s="29">
        <v>0.8649</v>
      </c>
      <c r="J397" s="29">
        <v>0.67299999999999993</v>
      </c>
      <c r="K397" s="9">
        <v>45301</v>
      </c>
      <c r="L397">
        <f xml:space="preserve"> (交易處理資料__3[[#This Row],[售出工時]] * 60) / 5</f>
        <v>63.96</v>
      </c>
      <c r="M397" t="str">
        <f>VLOOKUP(交易處理資料__3[[#This Row],[人員代號]],團隊分組!$B$1:$C$52,2,FALSE)</f>
        <v>查修團隊A</v>
      </c>
      <c r="N397" t="str">
        <f>IF(交易處理資料__3[[#This Row],[上班時間]]=0,"否","是")</f>
        <v>是</v>
      </c>
      <c r="O397" t="s">
        <v>76</v>
      </c>
      <c r="P397" s="38">
        <v>0.96030000000000004</v>
      </c>
      <c r="Q397" s="38">
        <v>0.67299999999999993</v>
      </c>
      <c r="R397" s="38">
        <v>0.8649</v>
      </c>
    </row>
    <row r="398" spans="1:18" hidden="1">
      <c r="A398" t="s">
        <v>76</v>
      </c>
      <c r="B398" t="s">
        <v>20</v>
      </c>
      <c r="C398">
        <v>4.25</v>
      </c>
      <c r="D398">
        <v>9.2799999999999994</v>
      </c>
      <c r="E398" s="29">
        <v>0.45789999999999997</v>
      </c>
      <c r="F398">
        <v>0</v>
      </c>
      <c r="G398">
        <v>10.08</v>
      </c>
      <c r="H398">
        <v>10.08</v>
      </c>
      <c r="I398" s="29">
        <v>0</v>
      </c>
      <c r="J398" s="29">
        <v>0.42159999999999997</v>
      </c>
      <c r="K398" s="9">
        <v>45301</v>
      </c>
      <c r="L398">
        <f xml:space="preserve"> (交易處理資料__3[[#This Row],[售出工時]] * 60) / 5</f>
        <v>51</v>
      </c>
      <c r="M398" t="str">
        <f>VLOOKUP(交易處理資料__3[[#This Row],[人員代號]],團隊分組!$B$1:$C$52,2,FALSE)</f>
        <v>查修團隊B</v>
      </c>
      <c r="N398" t="str">
        <f>IF(交易處理資料__3[[#This Row],[上班時間]]=0,"否","是")</f>
        <v>是</v>
      </c>
      <c r="O398" t="s">
        <v>76</v>
      </c>
      <c r="P398" s="37">
        <v>0.45789999999999997</v>
      </c>
      <c r="Q398" s="37">
        <v>0.42159999999999997</v>
      </c>
      <c r="R398" s="37">
        <v>0</v>
      </c>
    </row>
    <row r="399" spans="1:18" hidden="1">
      <c r="A399" t="s">
        <v>76</v>
      </c>
      <c r="B399" t="s">
        <v>22</v>
      </c>
      <c r="C399">
        <v>0</v>
      </c>
      <c r="D399">
        <v>0</v>
      </c>
      <c r="E399" s="29">
        <v>0</v>
      </c>
      <c r="F399">
        <v>0</v>
      </c>
      <c r="G399">
        <v>0</v>
      </c>
      <c r="H399">
        <v>0</v>
      </c>
      <c r="I399" s="29">
        <v>0</v>
      </c>
      <c r="J399" s="29">
        <v>0</v>
      </c>
      <c r="K399" s="9">
        <v>45301</v>
      </c>
      <c r="L399">
        <f xml:space="preserve"> (交易處理資料__3[[#This Row],[售出工時]] * 60) / 5</f>
        <v>0</v>
      </c>
      <c r="M399" t="str">
        <f>VLOOKUP(交易處理資料__3[[#This Row],[人員代號]],團隊分組!$B$1:$C$52,2,FALSE)</f>
        <v>快速保養團隊A</v>
      </c>
      <c r="N399" t="str">
        <f>IF(交易處理資料__3[[#This Row],[上班時間]]=0,"否","是")</f>
        <v>否</v>
      </c>
      <c r="O399" t="s">
        <v>76</v>
      </c>
      <c r="P399" s="38">
        <v>0</v>
      </c>
      <c r="Q399" s="38">
        <v>0</v>
      </c>
      <c r="R399" s="38">
        <v>0</v>
      </c>
    </row>
    <row r="400" spans="1:18" hidden="1">
      <c r="A400" t="s">
        <v>76</v>
      </c>
      <c r="B400" t="s">
        <v>23</v>
      </c>
      <c r="C400">
        <v>17.989999999999998</v>
      </c>
      <c r="D400">
        <v>8.48</v>
      </c>
      <c r="E400" s="29">
        <v>2.1214</v>
      </c>
      <c r="F400">
        <v>7.19</v>
      </c>
      <c r="G400">
        <v>1.66</v>
      </c>
      <c r="H400">
        <v>8.85</v>
      </c>
      <c r="I400" s="29">
        <v>0.8123999999999999</v>
      </c>
      <c r="J400" s="29">
        <v>2.0327999999999999</v>
      </c>
      <c r="K400" s="9">
        <v>45301</v>
      </c>
      <c r="L400">
        <f xml:space="preserve"> (交易處理資料__3[[#This Row],[售出工時]] * 60) / 5</f>
        <v>215.87999999999997</v>
      </c>
      <c r="M400" t="str">
        <f>VLOOKUP(交易處理資料__3[[#This Row],[人員代號]],團隊分組!$B$1:$C$52,2,FALSE)</f>
        <v>快速保養團隊B</v>
      </c>
      <c r="N400" t="str">
        <f>IF(交易處理資料__3[[#This Row],[上班時間]]=0,"否","是")</f>
        <v>是</v>
      </c>
      <c r="O400" t="s">
        <v>76</v>
      </c>
      <c r="P400" s="37">
        <v>2.1214</v>
      </c>
      <c r="Q400" s="37">
        <v>2.0327999999999999</v>
      </c>
      <c r="R400" s="37">
        <v>0.8123999999999999</v>
      </c>
    </row>
    <row r="401" spans="1:18" hidden="1">
      <c r="A401" t="s">
        <v>76</v>
      </c>
      <c r="B401" t="s">
        <v>24</v>
      </c>
      <c r="C401">
        <v>10.08</v>
      </c>
      <c r="D401">
        <v>6.44</v>
      </c>
      <c r="E401" s="29">
        <v>1.5656999999999999</v>
      </c>
      <c r="F401">
        <v>7.82</v>
      </c>
      <c r="G401">
        <v>0.38</v>
      </c>
      <c r="H401">
        <v>8.1999999999999993</v>
      </c>
      <c r="I401" s="29">
        <v>0.95369999999999999</v>
      </c>
      <c r="J401" s="29">
        <v>1.2297</v>
      </c>
      <c r="K401" s="9">
        <v>45301</v>
      </c>
      <c r="L401">
        <f xml:space="preserve"> (交易處理資料__3[[#This Row],[售出工時]] * 60) / 5</f>
        <v>120.96</v>
      </c>
      <c r="M401" t="str">
        <f>VLOOKUP(交易處理資料__3[[#This Row],[人員代號]],團隊分組!$B$1:$C$52,2,FALSE)</f>
        <v>快速保養團隊A</v>
      </c>
      <c r="N401" t="str">
        <f>IF(交易處理資料__3[[#This Row],[上班時間]]=0,"否","是")</f>
        <v>是</v>
      </c>
      <c r="O401" t="s">
        <v>76</v>
      </c>
      <c r="P401" s="38">
        <v>1.5656999999999999</v>
      </c>
      <c r="Q401" s="38">
        <v>1.2297</v>
      </c>
      <c r="R401" s="38">
        <v>0.95369999999999999</v>
      </c>
    </row>
    <row r="402" spans="1:18" hidden="1">
      <c r="A402" t="s">
        <v>76</v>
      </c>
      <c r="B402" t="s">
        <v>25</v>
      </c>
      <c r="C402">
        <v>3.83</v>
      </c>
      <c r="D402">
        <v>5.29</v>
      </c>
      <c r="E402" s="29">
        <v>0.72459999999999991</v>
      </c>
      <c r="F402">
        <v>6.18</v>
      </c>
      <c r="G402">
        <v>1.81</v>
      </c>
      <c r="H402">
        <v>7.99</v>
      </c>
      <c r="I402" s="29">
        <v>0.77349999999999997</v>
      </c>
      <c r="J402" s="29">
        <v>0.47979999999999995</v>
      </c>
      <c r="K402" s="9">
        <v>45301</v>
      </c>
      <c r="L402">
        <f xml:space="preserve"> (交易處理資料__3[[#This Row],[售出工時]] * 60) / 5</f>
        <v>45.96</v>
      </c>
      <c r="M402" t="str">
        <f>VLOOKUP(交易處理資料__3[[#This Row],[人員代號]],團隊分組!$B$1:$C$52,2,FALSE)</f>
        <v>查修團隊A</v>
      </c>
      <c r="N402" t="str">
        <f>IF(交易處理資料__3[[#This Row],[上班時間]]=0,"否","是")</f>
        <v>是</v>
      </c>
      <c r="O402" t="s">
        <v>76</v>
      </c>
      <c r="P402" s="37">
        <v>0.72459999999999991</v>
      </c>
      <c r="Q402" s="37">
        <v>0.47979999999999995</v>
      </c>
      <c r="R402" s="37">
        <v>0.77349999999999997</v>
      </c>
    </row>
    <row r="403" spans="1:18" hidden="1">
      <c r="A403" t="s">
        <v>76</v>
      </c>
      <c r="B403" t="s">
        <v>26</v>
      </c>
      <c r="C403">
        <v>0.92</v>
      </c>
      <c r="D403">
        <v>1.58</v>
      </c>
      <c r="E403" s="29">
        <v>0.58219999999999994</v>
      </c>
      <c r="F403">
        <v>2.83</v>
      </c>
      <c r="G403">
        <v>7.26</v>
      </c>
      <c r="H403">
        <v>10.09</v>
      </c>
      <c r="I403" s="29">
        <v>0.28050000000000003</v>
      </c>
      <c r="J403" s="29">
        <v>9.1199999999999989E-2</v>
      </c>
      <c r="K403" s="9">
        <v>45301</v>
      </c>
      <c r="L403">
        <f xml:space="preserve"> (交易處理資料__3[[#This Row],[售出工時]] * 60) / 5</f>
        <v>11.040000000000001</v>
      </c>
      <c r="M403" t="str">
        <f>VLOOKUP(交易處理資料__3[[#This Row],[人員代號]],團隊分組!$B$1:$C$52,2,FALSE)</f>
        <v>查修團隊B</v>
      </c>
      <c r="N403" t="str">
        <f>IF(交易處理資料__3[[#This Row],[上班時間]]=0,"否","是")</f>
        <v>是</v>
      </c>
      <c r="O403" t="s">
        <v>76</v>
      </c>
      <c r="P403" s="38">
        <v>0.58219999999999994</v>
      </c>
      <c r="Q403" s="38">
        <v>9.1199999999999989E-2</v>
      </c>
      <c r="R403" s="38">
        <v>0.28050000000000003</v>
      </c>
    </row>
    <row r="404" spans="1:18" hidden="1">
      <c r="A404" t="s">
        <v>76</v>
      </c>
      <c r="B404" t="s">
        <v>28</v>
      </c>
      <c r="C404">
        <v>11.58</v>
      </c>
      <c r="D404">
        <v>8.2899999999999991</v>
      </c>
      <c r="E404" s="29">
        <v>1.3972</v>
      </c>
      <c r="F404">
        <v>9.92</v>
      </c>
      <c r="G404">
        <v>0.47</v>
      </c>
      <c r="H404">
        <v>10.39</v>
      </c>
      <c r="I404" s="29">
        <v>0.95480000000000009</v>
      </c>
      <c r="J404" s="29">
        <v>1.1149</v>
      </c>
      <c r="K404" s="9">
        <v>45301</v>
      </c>
      <c r="L404">
        <f xml:space="preserve"> (交易處理資料__3[[#This Row],[售出工時]] * 60) / 5</f>
        <v>138.95999999999998</v>
      </c>
      <c r="M404" t="str">
        <f>VLOOKUP(交易處理資料__3[[#This Row],[人員代號]],團隊分組!$B$1:$C$52,2,FALSE)</f>
        <v>快速保養團隊A</v>
      </c>
      <c r="N404" t="str">
        <f>IF(交易處理資料__3[[#This Row],[上班時間]]=0,"否","是")</f>
        <v>是</v>
      </c>
      <c r="O404" t="s">
        <v>76</v>
      </c>
      <c r="P404" s="37">
        <v>1.3972</v>
      </c>
      <c r="Q404" s="37">
        <v>1.1149</v>
      </c>
      <c r="R404" s="37">
        <v>0.95480000000000009</v>
      </c>
    </row>
    <row r="405" spans="1:18" hidden="1">
      <c r="A405" t="s">
        <v>76</v>
      </c>
      <c r="B405" t="s">
        <v>31</v>
      </c>
      <c r="C405">
        <v>0</v>
      </c>
      <c r="D405">
        <v>0</v>
      </c>
      <c r="E405" s="29">
        <v>0</v>
      </c>
      <c r="F405">
        <v>0</v>
      </c>
      <c r="G405">
        <v>0</v>
      </c>
      <c r="H405">
        <v>0</v>
      </c>
      <c r="I405" s="29">
        <v>0</v>
      </c>
      <c r="J405" s="29">
        <v>0</v>
      </c>
      <c r="K405" s="9">
        <v>45301</v>
      </c>
      <c r="L405">
        <f xml:space="preserve"> (交易處理資料__3[[#This Row],[售出工時]] * 60) / 5</f>
        <v>0</v>
      </c>
      <c r="M405" t="str">
        <f>VLOOKUP(交易處理資料__3[[#This Row],[人員代號]],團隊分組!$B$1:$C$52,2,FALSE)</f>
        <v>快速保養團隊A</v>
      </c>
      <c r="N405" t="str">
        <f>IF(交易處理資料__3[[#This Row],[上班時間]]=0,"否","是")</f>
        <v>否</v>
      </c>
      <c r="O405" t="s">
        <v>76</v>
      </c>
      <c r="P405" s="38">
        <v>0</v>
      </c>
      <c r="Q405" s="38">
        <v>0</v>
      </c>
      <c r="R405" s="38">
        <v>0</v>
      </c>
    </row>
    <row r="406" spans="1:18" hidden="1">
      <c r="A406" t="s">
        <v>76</v>
      </c>
      <c r="B406" t="s">
        <v>33</v>
      </c>
      <c r="C406">
        <v>0</v>
      </c>
      <c r="D406">
        <v>0</v>
      </c>
      <c r="E406" s="29">
        <v>0</v>
      </c>
      <c r="F406">
        <v>0</v>
      </c>
      <c r="G406">
        <v>0</v>
      </c>
      <c r="H406">
        <v>0</v>
      </c>
      <c r="I406" s="29">
        <v>0</v>
      </c>
      <c r="J406" s="29">
        <v>0</v>
      </c>
      <c r="K406" s="9">
        <v>45301</v>
      </c>
      <c r="L406">
        <f xml:space="preserve"> (交易處理資料__3[[#This Row],[售出工時]] * 60) / 5</f>
        <v>0</v>
      </c>
      <c r="M406" t="str">
        <f>VLOOKUP(交易處理資料__3[[#This Row],[人員代號]],團隊分組!$B$1:$C$52,2,FALSE)</f>
        <v>快速保養團隊B</v>
      </c>
      <c r="N406" t="str">
        <f>IF(交易處理資料__3[[#This Row],[上班時間]]=0,"否","是")</f>
        <v>否</v>
      </c>
      <c r="O406" t="s">
        <v>76</v>
      </c>
      <c r="P406" s="37">
        <v>0</v>
      </c>
      <c r="Q406" s="37">
        <v>0</v>
      </c>
      <c r="R406" s="37">
        <v>0</v>
      </c>
    </row>
    <row r="407" spans="1:18" hidden="1">
      <c r="A407" t="s">
        <v>76</v>
      </c>
      <c r="B407" t="s">
        <v>34</v>
      </c>
      <c r="C407">
        <v>4.99</v>
      </c>
      <c r="D407">
        <v>3.49</v>
      </c>
      <c r="E407" s="29">
        <v>1.4306999999999999</v>
      </c>
      <c r="F407">
        <v>8.32</v>
      </c>
      <c r="G407">
        <v>0.46</v>
      </c>
      <c r="H407">
        <v>8.7799999999999994</v>
      </c>
      <c r="I407" s="29">
        <v>0.9476</v>
      </c>
      <c r="J407" s="29">
        <v>0.56869999999999998</v>
      </c>
      <c r="K407" s="9">
        <v>45301</v>
      </c>
      <c r="L407">
        <f xml:space="preserve"> (交易處理資料__3[[#This Row],[售出工時]] * 60) / 5</f>
        <v>59.88000000000001</v>
      </c>
      <c r="M407" t="str">
        <f>VLOOKUP(交易處理資料__3[[#This Row],[人員代號]],團隊分組!$B$1:$C$52,2,FALSE)</f>
        <v>快速保養團隊A</v>
      </c>
      <c r="N407" t="str">
        <f>IF(交易處理資料__3[[#This Row],[上班時間]]=0,"否","是")</f>
        <v>是</v>
      </c>
      <c r="O407" t="s">
        <v>76</v>
      </c>
      <c r="P407" s="38">
        <v>1.4306999999999999</v>
      </c>
      <c r="Q407" s="38">
        <v>0.56869999999999998</v>
      </c>
      <c r="R407" s="38">
        <v>0.9476</v>
      </c>
    </row>
    <row r="408" spans="1:18" hidden="1">
      <c r="A408" t="s">
        <v>76</v>
      </c>
      <c r="B408" t="s">
        <v>35</v>
      </c>
      <c r="C408">
        <v>4.16</v>
      </c>
      <c r="D408">
        <v>5.38</v>
      </c>
      <c r="E408" s="29">
        <v>0.77439999999999998</v>
      </c>
      <c r="F408">
        <v>4.8899999999999997</v>
      </c>
      <c r="G408">
        <v>5.21</v>
      </c>
      <c r="H408">
        <v>10.1</v>
      </c>
      <c r="I408" s="29">
        <v>0.48420000000000002</v>
      </c>
      <c r="J408" s="29">
        <v>0.41249999999999998</v>
      </c>
      <c r="K408" s="9">
        <v>45301</v>
      </c>
      <c r="L408">
        <f xml:space="preserve"> (交易處理資料__3[[#This Row],[售出工時]] * 60) / 5</f>
        <v>49.92</v>
      </c>
      <c r="M408" t="str">
        <f>VLOOKUP(交易處理資料__3[[#This Row],[人員代號]],團隊分組!$B$1:$C$52,2,FALSE)</f>
        <v>查修團隊B</v>
      </c>
      <c r="N408" t="str">
        <f>IF(交易處理資料__3[[#This Row],[上班時間]]=0,"否","是")</f>
        <v>是</v>
      </c>
      <c r="O408" t="s">
        <v>76</v>
      </c>
      <c r="P408" s="37">
        <v>0.77439999999999998</v>
      </c>
      <c r="Q408" s="37">
        <v>0.41249999999999998</v>
      </c>
      <c r="R408" s="37">
        <v>0.48420000000000002</v>
      </c>
    </row>
    <row r="409" spans="1:18" hidden="1">
      <c r="A409" t="s">
        <v>76</v>
      </c>
      <c r="B409" t="s">
        <v>36</v>
      </c>
      <c r="C409">
        <v>6.82</v>
      </c>
      <c r="D409">
        <v>6.48</v>
      </c>
      <c r="E409" s="29">
        <v>1.0524</v>
      </c>
      <c r="F409">
        <v>9.09</v>
      </c>
      <c r="G409">
        <v>1.04</v>
      </c>
      <c r="H409">
        <v>10.130000000000001</v>
      </c>
      <c r="I409" s="29">
        <v>0.89729999999999999</v>
      </c>
      <c r="J409" s="29">
        <v>0.67319999999999991</v>
      </c>
      <c r="K409" s="9">
        <v>45301</v>
      </c>
      <c r="L409">
        <f xml:space="preserve"> (交易處理資料__3[[#This Row],[售出工時]] * 60) / 5</f>
        <v>81.84</v>
      </c>
      <c r="M409" t="str">
        <f>VLOOKUP(交易處理資料__3[[#This Row],[人員代號]],團隊分組!$B$1:$C$52,2,FALSE)</f>
        <v>查修團隊B</v>
      </c>
      <c r="N409" t="str">
        <f>IF(交易處理資料__3[[#This Row],[上班時間]]=0,"否","是")</f>
        <v>是</v>
      </c>
      <c r="O409" t="s">
        <v>76</v>
      </c>
      <c r="P409" s="38">
        <v>1.0524</v>
      </c>
      <c r="Q409" s="38">
        <v>0.67319999999999991</v>
      </c>
      <c r="R409" s="38">
        <v>0.89729999999999999</v>
      </c>
    </row>
    <row r="410" spans="1:18" hidden="1">
      <c r="A410" t="s">
        <v>76</v>
      </c>
      <c r="B410" t="s">
        <v>37</v>
      </c>
      <c r="C410">
        <v>2.2200000000000002</v>
      </c>
      <c r="D410">
        <v>1.66</v>
      </c>
      <c r="E410" s="29">
        <v>1.3372999999999999</v>
      </c>
      <c r="F410">
        <v>8.2799999999999994</v>
      </c>
      <c r="G410">
        <v>1.03</v>
      </c>
      <c r="H410">
        <v>9.31</v>
      </c>
      <c r="I410" s="29">
        <v>0.88939999999999997</v>
      </c>
      <c r="J410" s="29">
        <v>0.23850000000000002</v>
      </c>
      <c r="K410" s="9">
        <v>45301</v>
      </c>
      <c r="L410">
        <f xml:space="preserve"> (交易處理資料__3[[#This Row],[售出工時]] * 60) / 5</f>
        <v>26.640000000000004</v>
      </c>
      <c r="M410" t="str">
        <f>VLOOKUP(交易處理資料__3[[#This Row],[人員代號]],團隊分組!$B$1:$C$52,2,FALSE)</f>
        <v>查修團隊A</v>
      </c>
      <c r="N410" t="str">
        <f>IF(交易處理資料__3[[#This Row],[上班時間]]=0,"否","是")</f>
        <v>是</v>
      </c>
      <c r="O410" t="s">
        <v>76</v>
      </c>
      <c r="P410" s="37">
        <v>1.3372999999999999</v>
      </c>
      <c r="Q410" s="37">
        <v>0.23850000000000002</v>
      </c>
      <c r="R410" s="37">
        <v>0.88939999999999997</v>
      </c>
    </row>
    <row r="411" spans="1:18" hidden="1">
      <c r="A411" t="s">
        <v>76</v>
      </c>
      <c r="B411" t="s">
        <v>42</v>
      </c>
      <c r="C411">
        <v>0</v>
      </c>
      <c r="D411">
        <v>0</v>
      </c>
      <c r="E411" s="29">
        <v>0</v>
      </c>
      <c r="F411">
        <v>0</v>
      </c>
      <c r="G411">
        <v>0</v>
      </c>
      <c r="H411">
        <v>0</v>
      </c>
      <c r="I411" s="29">
        <v>0</v>
      </c>
      <c r="J411" s="29">
        <v>0</v>
      </c>
      <c r="K411" s="9">
        <v>45301</v>
      </c>
      <c r="L411">
        <f xml:space="preserve"> (交易處理資料__3[[#This Row],[售出工時]] * 60) / 5</f>
        <v>0</v>
      </c>
      <c r="M411" t="str">
        <f>VLOOKUP(交易處理資料__3[[#This Row],[人員代號]],團隊分組!$B$1:$C$52,2,FALSE)</f>
        <v>快速保養團隊A</v>
      </c>
      <c r="N411" t="str">
        <f>IF(交易處理資料__3[[#This Row],[上班時間]]=0,"否","是")</f>
        <v>否</v>
      </c>
      <c r="O411" t="s">
        <v>76</v>
      </c>
      <c r="P411" s="38">
        <v>0</v>
      </c>
      <c r="Q411" s="38">
        <v>0</v>
      </c>
      <c r="R411" s="38">
        <v>0</v>
      </c>
    </row>
    <row r="412" spans="1:18" hidden="1">
      <c r="A412" t="s">
        <v>76</v>
      </c>
      <c r="B412" t="s">
        <v>43</v>
      </c>
      <c r="C412">
        <v>2.76</v>
      </c>
      <c r="D412">
        <v>2.48</v>
      </c>
      <c r="E412" s="29">
        <v>1.1129</v>
      </c>
      <c r="F412">
        <v>4.6500000000000004</v>
      </c>
      <c r="G412">
        <v>0.48</v>
      </c>
      <c r="H412">
        <v>5.13</v>
      </c>
      <c r="I412" s="29">
        <v>0.90639999999999998</v>
      </c>
      <c r="J412" s="29">
        <v>0.53799999999999992</v>
      </c>
      <c r="K412" s="9">
        <v>45301</v>
      </c>
      <c r="L412">
        <f xml:space="preserve"> (交易處理資料__3[[#This Row],[售出工時]] * 60) / 5</f>
        <v>33.119999999999997</v>
      </c>
      <c r="M412" t="str">
        <f>VLOOKUP(交易處理資料__3[[#This Row],[人員代號]],團隊分組!$B$1:$C$52,2,FALSE)</f>
        <v>查修團隊B</v>
      </c>
      <c r="N412" t="str">
        <f>IF(交易處理資料__3[[#This Row],[上班時間]]=0,"否","是")</f>
        <v>是</v>
      </c>
      <c r="O412" t="s">
        <v>76</v>
      </c>
      <c r="P412" s="37">
        <v>1.1129</v>
      </c>
      <c r="Q412" s="37">
        <v>0.53799999999999992</v>
      </c>
      <c r="R412" s="37">
        <v>0.90639999999999998</v>
      </c>
    </row>
    <row r="413" spans="1:18" hidden="1">
      <c r="A413" t="s">
        <v>76</v>
      </c>
      <c r="B413" t="s">
        <v>44</v>
      </c>
      <c r="C413">
        <v>4.4800000000000004</v>
      </c>
      <c r="D413">
        <v>3.39</v>
      </c>
      <c r="E413" s="29">
        <v>1.3225</v>
      </c>
      <c r="F413">
        <v>7.54</v>
      </c>
      <c r="G413">
        <v>0.61</v>
      </c>
      <c r="H413">
        <v>8.15</v>
      </c>
      <c r="I413" s="29">
        <v>0.92519999999999991</v>
      </c>
      <c r="J413" s="29">
        <v>0.55010000000000003</v>
      </c>
      <c r="K413" s="9">
        <v>45301</v>
      </c>
      <c r="L413">
        <f xml:space="preserve"> (交易處理資料__3[[#This Row],[售出工時]] * 60) / 5</f>
        <v>53.760000000000005</v>
      </c>
      <c r="M413" t="str">
        <f>VLOOKUP(交易處理資料__3[[#This Row],[人員代號]],團隊分組!$B$1:$C$52,2,FALSE)</f>
        <v>快速保養團隊B</v>
      </c>
      <c r="N413" t="str">
        <f>IF(交易處理資料__3[[#This Row],[上班時間]]=0,"否","是")</f>
        <v>是</v>
      </c>
      <c r="O413" t="s">
        <v>76</v>
      </c>
      <c r="P413" s="38">
        <v>1.3225</v>
      </c>
      <c r="Q413" s="38">
        <v>0.55010000000000003</v>
      </c>
      <c r="R413" s="38">
        <v>0.92519999999999991</v>
      </c>
    </row>
    <row r="414" spans="1:18" hidden="1">
      <c r="A414" t="s">
        <v>76</v>
      </c>
      <c r="B414" t="s">
        <v>46</v>
      </c>
      <c r="C414">
        <v>1.41</v>
      </c>
      <c r="D414">
        <v>3.64</v>
      </c>
      <c r="E414" s="29">
        <v>0.38909999999999995</v>
      </c>
      <c r="F414">
        <v>6.29</v>
      </c>
      <c r="G414">
        <v>1.94</v>
      </c>
      <c r="H414">
        <v>8.23</v>
      </c>
      <c r="I414" s="29">
        <v>0.76430000000000009</v>
      </c>
      <c r="J414" s="29">
        <v>0.1721</v>
      </c>
      <c r="K414" s="9">
        <v>45301</v>
      </c>
      <c r="L414">
        <f xml:space="preserve"> (交易處理資料__3[[#This Row],[售出工時]] * 60) / 5</f>
        <v>16.919999999999998</v>
      </c>
      <c r="M414" t="str">
        <f>VLOOKUP(交易處理資料__3[[#This Row],[人員代號]],團隊分組!$B$1:$C$52,2,FALSE)</f>
        <v>查修團隊B</v>
      </c>
      <c r="N414" t="str">
        <f>IF(交易處理資料__3[[#This Row],[上班時間]]=0,"否","是")</f>
        <v>是</v>
      </c>
      <c r="O414" t="s">
        <v>76</v>
      </c>
      <c r="P414" s="37">
        <v>0.38909999999999995</v>
      </c>
      <c r="Q414" s="37">
        <v>0.1721</v>
      </c>
      <c r="R414" s="37">
        <v>0.76430000000000009</v>
      </c>
    </row>
    <row r="415" spans="1:18" hidden="1">
      <c r="A415" t="s">
        <v>76</v>
      </c>
      <c r="B415" t="s">
        <v>47</v>
      </c>
      <c r="C415">
        <v>1</v>
      </c>
      <c r="D415">
        <v>0.91</v>
      </c>
      <c r="E415" s="29">
        <v>1.0989</v>
      </c>
      <c r="F415">
        <v>6.73</v>
      </c>
      <c r="G415">
        <v>1.42</v>
      </c>
      <c r="H415">
        <v>8.15</v>
      </c>
      <c r="I415" s="29">
        <v>0.82579999999999998</v>
      </c>
      <c r="J415" s="29">
        <v>0.12269999999999999</v>
      </c>
      <c r="K415" s="9">
        <v>45301</v>
      </c>
      <c r="L415">
        <f xml:space="preserve"> (交易處理資料__3[[#This Row],[售出工時]] * 60) / 5</f>
        <v>12</v>
      </c>
      <c r="M415" t="str">
        <f>VLOOKUP(交易處理資料__3[[#This Row],[人員代號]],團隊分組!$B$1:$C$52,2,FALSE)</f>
        <v>查修團隊B</v>
      </c>
      <c r="N415" t="str">
        <f>IF(交易處理資料__3[[#This Row],[上班時間]]=0,"否","是")</f>
        <v>是</v>
      </c>
      <c r="O415" t="s">
        <v>76</v>
      </c>
      <c r="P415" s="38">
        <v>1.0989</v>
      </c>
      <c r="Q415" s="38">
        <v>0.12269999999999999</v>
      </c>
      <c r="R415" s="38">
        <v>0.82579999999999998</v>
      </c>
    </row>
    <row r="416" spans="1:18" hidden="1">
      <c r="A416" t="s">
        <v>76</v>
      </c>
      <c r="B416" t="s">
        <v>48</v>
      </c>
      <c r="C416">
        <v>0.5</v>
      </c>
      <c r="D416">
        <v>0.01</v>
      </c>
      <c r="E416" s="29">
        <v>50</v>
      </c>
      <c r="F416">
        <v>7.45</v>
      </c>
      <c r="G416">
        <v>1.1200000000000001</v>
      </c>
      <c r="H416">
        <v>8.57</v>
      </c>
      <c r="I416" s="29">
        <v>0.86930000000000007</v>
      </c>
      <c r="J416" s="29">
        <v>5.8299999999999998E-2</v>
      </c>
      <c r="K416" s="9">
        <v>45301</v>
      </c>
      <c r="L416">
        <f xml:space="preserve"> (交易處理資料__3[[#This Row],[售出工時]] * 60) / 5</f>
        <v>6</v>
      </c>
      <c r="M416" t="str">
        <f>VLOOKUP(交易處理資料__3[[#This Row],[人員代號]],團隊分組!$B$1:$C$52,2,FALSE)</f>
        <v>查修團隊A</v>
      </c>
      <c r="N416" t="str">
        <f>IF(交易處理資料__3[[#This Row],[上班時間]]=0,"否","是")</f>
        <v>是</v>
      </c>
      <c r="O416" t="s">
        <v>76</v>
      </c>
      <c r="P416" s="37">
        <v>50</v>
      </c>
      <c r="Q416" s="37">
        <v>5.8299999999999998E-2</v>
      </c>
      <c r="R416" s="37">
        <v>0.86930000000000007</v>
      </c>
    </row>
    <row r="417" spans="1:18" hidden="1">
      <c r="A417" t="s">
        <v>76</v>
      </c>
      <c r="B417" t="s">
        <v>50</v>
      </c>
      <c r="C417">
        <v>6.9</v>
      </c>
      <c r="D417">
        <v>3.05</v>
      </c>
      <c r="E417" s="29">
        <v>2.2622</v>
      </c>
      <c r="F417">
        <v>7.63</v>
      </c>
      <c r="G417">
        <v>0.55000000000000004</v>
      </c>
      <c r="H417">
        <v>8.18</v>
      </c>
      <c r="I417" s="29">
        <v>0.93279999999999996</v>
      </c>
      <c r="J417" s="29">
        <v>0.84349999999999992</v>
      </c>
      <c r="K417" s="9">
        <v>45301</v>
      </c>
      <c r="L417">
        <f xml:space="preserve"> (交易處理資料__3[[#This Row],[售出工時]] * 60) / 5</f>
        <v>82.8</v>
      </c>
      <c r="M417" t="str">
        <f>VLOOKUP(交易處理資料__3[[#This Row],[人員代號]],團隊分組!$B$1:$C$52,2,FALSE)</f>
        <v>快速保養團隊B</v>
      </c>
      <c r="N417" t="str">
        <f>IF(交易處理資料__3[[#This Row],[上班時間]]=0,"否","是")</f>
        <v>是</v>
      </c>
      <c r="O417" t="s">
        <v>76</v>
      </c>
      <c r="P417" s="38">
        <v>2.2622</v>
      </c>
      <c r="Q417" s="38">
        <v>0.84349999999999992</v>
      </c>
      <c r="R417" s="38">
        <v>0.93279999999999996</v>
      </c>
    </row>
    <row r="418" spans="1:18" hidden="1">
      <c r="A418" t="s">
        <v>76</v>
      </c>
      <c r="B418" t="s">
        <v>51</v>
      </c>
      <c r="C418">
        <v>0</v>
      </c>
      <c r="D418">
        <v>0</v>
      </c>
      <c r="E418" s="29">
        <v>0</v>
      </c>
      <c r="F418">
        <v>0</v>
      </c>
      <c r="G418">
        <v>0</v>
      </c>
      <c r="H418">
        <v>0</v>
      </c>
      <c r="I418" s="29">
        <v>0</v>
      </c>
      <c r="J418" s="29">
        <v>0</v>
      </c>
      <c r="K418" s="9">
        <v>45301</v>
      </c>
      <c r="L418">
        <f xml:space="preserve"> (交易處理資料__3[[#This Row],[售出工時]] * 60) / 5</f>
        <v>0</v>
      </c>
      <c r="M418" t="str">
        <f>VLOOKUP(交易處理資料__3[[#This Row],[人員代號]],團隊分組!$B$1:$C$52,2,FALSE)</f>
        <v>無效數據</v>
      </c>
      <c r="N418" t="str">
        <f>IF(交易處理資料__3[[#This Row],[上班時間]]=0,"否","是")</f>
        <v>否</v>
      </c>
      <c r="O418" t="s">
        <v>76</v>
      </c>
      <c r="P418" s="37">
        <v>0</v>
      </c>
      <c r="Q418" s="37">
        <v>0</v>
      </c>
      <c r="R418" s="37">
        <v>0</v>
      </c>
    </row>
    <row r="419" spans="1:18" hidden="1">
      <c r="A419" t="s">
        <v>76</v>
      </c>
      <c r="B419" t="s">
        <v>52</v>
      </c>
      <c r="C419">
        <v>5.91</v>
      </c>
      <c r="D419">
        <v>7.53</v>
      </c>
      <c r="E419" s="29">
        <v>0.78569999999999995</v>
      </c>
      <c r="F419">
        <v>7.74</v>
      </c>
      <c r="G419">
        <v>0.39</v>
      </c>
      <c r="H419">
        <v>8.1300000000000008</v>
      </c>
      <c r="I419" s="29">
        <v>0.95200000000000007</v>
      </c>
      <c r="J419" s="29">
        <v>0.7278</v>
      </c>
      <c r="K419" s="9">
        <v>45301</v>
      </c>
      <c r="L419">
        <f xml:space="preserve"> (交易處理資料__3[[#This Row],[售出工時]] * 60) / 5</f>
        <v>70.92</v>
      </c>
      <c r="M419" t="str">
        <f>VLOOKUP(交易處理資料__3[[#This Row],[人員代號]],團隊分組!$B$1:$C$52,2,FALSE)</f>
        <v>查修團隊B</v>
      </c>
      <c r="N419" t="str">
        <f>IF(交易處理資料__3[[#This Row],[上班時間]]=0,"否","是")</f>
        <v>是</v>
      </c>
      <c r="O419" t="s">
        <v>76</v>
      </c>
      <c r="P419" s="38">
        <v>0.78569999999999995</v>
      </c>
      <c r="Q419" s="38">
        <v>0.7278</v>
      </c>
      <c r="R419" s="38">
        <v>0.95200000000000007</v>
      </c>
    </row>
    <row r="420" spans="1:18" hidden="1">
      <c r="A420" t="s">
        <v>76</v>
      </c>
      <c r="B420" t="s">
        <v>53</v>
      </c>
      <c r="C420">
        <v>2.64</v>
      </c>
      <c r="D420">
        <v>3.15</v>
      </c>
      <c r="E420" s="29">
        <v>0.84019999999999995</v>
      </c>
      <c r="F420">
        <v>8.39</v>
      </c>
      <c r="G420">
        <v>1.43</v>
      </c>
      <c r="H420">
        <v>9.82</v>
      </c>
      <c r="I420" s="29">
        <v>0.85439999999999994</v>
      </c>
      <c r="J420" s="29">
        <v>0.26950000000000002</v>
      </c>
      <c r="K420" s="9">
        <v>45301</v>
      </c>
      <c r="L420">
        <f xml:space="preserve"> (交易處理資料__3[[#This Row],[售出工時]] * 60) / 5</f>
        <v>31.68</v>
      </c>
      <c r="M420" t="str">
        <f>VLOOKUP(交易處理資料__3[[#This Row],[人員代號]],團隊分組!$B$1:$C$52,2,FALSE)</f>
        <v>查修團隊A</v>
      </c>
      <c r="N420" t="str">
        <f>IF(交易處理資料__3[[#This Row],[上班時間]]=0,"否","是")</f>
        <v>是</v>
      </c>
      <c r="O420" t="s">
        <v>76</v>
      </c>
      <c r="P420" s="37">
        <v>0.84019999999999995</v>
      </c>
      <c r="Q420" s="37">
        <v>0.26950000000000002</v>
      </c>
      <c r="R420" s="37">
        <v>0.85439999999999994</v>
      </c>
    </row>
    <row r="421" spans="1:18" hidden="1">
      <c r="A421" s="10" t="s">
        <v>74</v>
      </c>
      <c r="B421" t="s">
        <v>1</v>
      </c>
      <c r="C421">
        <v>0</v>
      </c>
      <c r="D421">
        <v>0</v>
      </c>
      <c r="E421" s="29">
        <v>0</v>
      </c>
      <c r="F421">
        <v>6.83</v>
      </c>
      <c r="G421">
        <v>1.19</v>
      </c>
      <c r="H421">
        <v>8.02</v>
      </c>
      <c r="I421" s="29">
        <v>0.85159999999999991</v>
      </c>
      <c r="J421" s="29">
        <v>0</v>
      </c>
      <c r="K421" s="9">
        <v>45302</v>
      </c>
      <c r="L421">
        <f xml:space="preserve"> (交易處理資料__3[[#This Row],[售出工時]] * 60) / 5</f>
        <v>0</v>
      </c>
      <c r="M421" t="str">
        <f>VLOOKUP(交易處理資料__3[[#This Row],[人員代號]],團隊分組!$B$1:$C$52,2,FALSE)</f>
        <v>噴漆維修組</v>
      </c>
      <c r="N421" t="str">
        <f>IF(交易處理資料__3[[#This Row],[上班時間]]=0,"否","是")</f>
        <v>是</v>
      </c>
      <c r="O421" s="10" t="s">
        <v>74</v>
      </c>
      <c r="P421" s="38">
        <v>0</v>
      </c>
      <c r="Q421" s="38">
        <v>0</v>
      </c>
      <c r="R421" s="38">
        <v>0.85159999999999991</v>
      </c>
    </row>
    <row r="422" spans="1:18" hidden="1">
      <c r="A422" s="10" t="s">
        <v>74</v>
      </c>
      <c r="B422" t="s">
        <v>4</v>
      </c>
      <c r="C422">
        <v>0</v>
      </c>
      <c r="D422">
        <v>0</v>
      </c>
      <c r="E422" s="29">
        <v>0</v>
      </c>
      <c r="F422">
        <v>1.8</v>
      </c>
      <c r="G422">
        <v>6.19</v>
      </c>
      <c r="H422">
        <v>7.99</v>
      </c>
      <c r="I422" s="29">
        <v>0.2253</v>
      </c>
      <c r="J422" s="29">
        <v>0</v>
      </c>
      <c r="K422" s="9">
        <v>45302</v>
      </c>
      <c r="L422">
        <f xml:space="preserve"> (交易處理資料__3[[#This Row],[售出工時]] * 60) / 5</f>
        <v>0</v>
      </c>
      <c r="M422" t="str">
        <f>VLOOKUP(交易處理資料__3[[#This Row],[人員代號]],團隊分組!$B$1:$C$52,2,FALSE)</f>
        <v>噴漆維修組</v>
      </c>
      <c r="N422" t="str">
        <f>IF(交易處理資料__3[[#This Row],[上班時間]]=0,"否","是")</f>
        <v>是</v>
      </c>
      <c r="O422" s="10" t="s">
        <v>74</v>
      </c>
      <c r="P422" s="37">
        <v>0</v>
      </c>
      <c r="Q422" s="37">
        <v>0</v>
      </c>
      <c r="R422" s="37">
        <v>0.2253</v>
      </c>
    </row>
    <row r="423" spans="1:18" hidden="1">
      <c r="A423" s="10" t="s">
        <v>74</v>
      </c>
      <c r="B423" t="s">
        <v>5</v>
      </c>
      <c r="C423">
        <v>6.17</v>
      </c>
      <c r="D423">
        <v>9.42</v>
      </c>
      <c r="E423" s="29">
        <v>0.65489999999999993</v>
      </c>
      <c r="F423">
        <v>10.33</v>
      </c>
      <c r="G423">
        <v>0.24</v>
      </c>
      <c r="H423">
        <v>10.57</v>
      </c>
      <c r="I423" s="29">
        <v>0.97730000000000006</v>
      </c>
      <c r="J423" s="29">
        <v>0.5837</v>
      </c>
      <c r="K423" s="9">
        <v>45302</v>
      </c>
      <c r="L423">
        <f xml:space="preserve"> (交易處理資料__3[[#This Row],[售出工時]] * 60) / 5</f>
        <v>74.039999999999992</v>
      </c>
      <c r="M423" t="str">
        <f>VLOOKUP(交易處理資料__3[[#This Row],[人員代號]],團隊分組!$B$1:$C$52,2,FALSE)</f>
        <v>噴漆維修組</v>
      </c>
      <c r="N423" t="str">
        <f>IF(交易處理資料__3[[#This Row],[上班時間]]=0,"否","是")</f>
        <v>是</v>
      </c>
      <c r="O423" s="10" t="s">
        <v>74</v>
      </c>
      <c r="P423" s="38">
        <v>0.65489999999999993</v>
      </c>
      <c r="Q423" s="38">
        <v>0.5837</v>
      </c>
      <c r="R423" s="38">
        <v>0.97730000000000006</v>
      </c>
    </row>
    <row r="424" spans="1:18" hidden="1">
      <c r="A424" s="10" t="s">
        <v>74</v>
      </c>
      <c r="B424" t="s">
        <v>8</v>
      </c>
      <c r="C424">
        <v>0</v>
      </c>
      <c r="D424">
        <v>0</v>
      </c>
      <c r="E424" s="29">
        <v>0</v>
      </c>
      <c r="F424">
        <v>1.8</v>
      </c>
      <c r="G424">
        <v>6.19</v>
      </c>
      <c r="H424">
        <v>7.99</v>
      </c>
      <c r="I424" s="29">
        <v>0.2253</v>
      </c>
      <c r="J424" s="29">
        <v>0</v>
      </c>
      <c r="K424" s="9">
        <v>45302</v>
      </c>
      <c r="L424">
        <f xml:space="preserve"> (交易處理資料__3[[#This Row],[售出工時]] * 60) / 5</f>
        <v>0</v>
      </c>
      <c r="M424" t="str">
        <f>VLOOKUP(交易處理資料__3[[#This Row],[人員代號]],團隊分組!$B$1:$C$52,2,FALSE)</f>
        <v>噴漆維修組</v>
      </c>
      <c r="N424" t="str">
        <f>IF(交易處理資料__3[[#This Row],[上班時間]]=0,"否","是")</f>
        <v>是</v>
      </c>
      <c r="O424" s="10" t="s">
        <v>74</v>
      </c>
      <c r="P424" s="37">
        <v>0</v>
      </c>
      <c r="Q424" s="37">
        <v>0</v>
      </c>
      <c r="R424" s="37">
        <v>0.2253</v>
      </c>
    </row>
    <row r="425" spans="1:18" hidden="1">
      <c r="A425" t="s">
        <v>75</v>
      </c>
      <c r="B425" t="s">
        <v>11</v>
      </c>
      <c r="C425">
        <v>1</v>
      </c>
      <c r="D425">
        <v>0.5</v>
      </c>
      <c r="E425" s="29">
        <v>2</v>
      </c>
      <c r="F425">
        <v>9.02</v>
      </c>
      <c r="G425">
        <v>1.63</v>
      </c>
      <c r="H425">
        <v>10.65</v>
      </c>
      <c r="I425" s="29">
        <v>0.84689999999999999</v>
      </c>
      <c r="J425" s="29">
        <v>9.3900000000000011E-2</v>
      </c>
      <c r="K425" s="9">
        <v>45302</v>
      </c>
      <c r="L425">
        <f xml:space="preserve"> (交易處理資料__3[[#This Row],[售出工時]] * 60) / 5</f>
        <v>12</v>
      </c>
      <c r="M425" t="str">
        <f>VLOOKUP(交易處理資料__3[[#This Row],[人員代號]],團隊分組!$B$1:$C$52,2,FALSE)</f>
        <v>鈑金維修組</v>
      </c>
      <c r="N425" t="str">
        <f>IF(交易處理資料__3[[#This Row],[上班時間]]=0,"否","是")</f>
        <v>是</v>
      </c>
      <c r="O425" t="s">
        <v>75</v>
      </c>
      <c r="P425" s="38">
        <v>2</v>
      </c>
      <c r="Q425" s="38">
        <v>9.3900000000000011E-2</v>
      </c>
      <c r="R425" s="38">
        <v>0.84689999999999999</v>
      </c>
    </row>
    <row r="426" spans="1:18" hidden="1">
      <c r="A426" t="s">
        <v>75</v>
      </c>
      <c r="B426" t="s">
        <v>13</v>
      </c>
      <c r="C426">
        <v>0.63</v>
      </c>
      <c r="D426">
        <v>0.96</v>
      </c>
      <c r="E426" s="29">
        <v>0.65620000000000001</v>
      </c>
      <c r="F426">
        <v>7.15</v>
      </c>
      <c r="G426">
        <v>0.92</v>
      </c>
      <c r="H426">
        <v>8.07</v>
      </c>
      <c r="I426" s="29">
        <v>0.8859999999999999</v>
      </c>
      <c r="J426" s="29">
        <v>7.8100000000000003E-2</v>
      </c>
      <c r="K426" s="9">
        <v>45302</v>
      </c>
      <c r="L426">
        <f xml:space="preserve"> (交易處理資料__3[[#This Row],[售出工時]] * 60) / 5</f>
        <v>7.56</v>
      </c>
      <c r="M426" t="str">
        <f>VLOOKUP(交易處理資料__3[[#This Row],[人員代號]],團隊分組!$B$1:$C$52,2,FALSE)</f>
        <v>鈑金維修組</v>
      </c>
      <c r="N426" t="str">
        <f>IF(交易處理資料__3[[#This Row],[上班時間]]=0,"否","是")</f>
        <v>是</v>
      </c>
      <c r="O426" t="s">
        <v>75</v>
      </c>
      <c r="P426" s="37">
        <v>0.65620000000000001</v>
      </c>
      <c r="Q426" s="37">
        <v>7.8100000000000003E-2</v>
      </c>
      <c r="R426" s="37">
        <v>0.8859999999999999</v>
      </c>
    </row>
    <row r="427" spans="1:18" hidden="1">
      <c r="A427" t="s">
        <v>76</v>
      </c>
      <c r="B427" t="s">
        <v>17</v>
      </c>
      <c r="C427">
        <v>11.35</v>
      </c>
      <c r="D427">
        <v>6.2</v>
      </c>
      <c r="E427" s="29">
        <v>1.8311000000000002</v>
      </c>
      <c r="F427">
        <v>8.65</v>
      </c>
      <c r="G427">
        <v>0.42</v>
      </c>
      <c r="H427">
        <v>9.07</v>
      </c>
      <c r="I427" s="29">
        <v>0.95369999999999999</v>
      </c>
      <c r="J427" s="29">
        <v>1.2517</v>
      </c>
      <c r="K427" s="9">
        <v>45302</v>
      </c>
      <c r="L427">
        <f xml:space="preserve"> (交易處理資料__3[[#This Row],[售出工時]] * 60) / 5</f>
        <v>136.19999999999999</v>
      </c>
      <c r="M427" t="str">
        <f>VLOOKUP(交易處理資料__3[[#This Row],[人員代號]],團隊分組!$B$1:$C$52,2,FALSE)</f>
        <v>快速保養團隊A</v>
      </c>
      <c r="N427" t="str">
        <f>IF(交易處理資料__3[[#This Row],[上班時間]]=0,"否","是")</f>
        <v>是</v>
      </c>
      <c r="O427" t="s">
        <v>76</v>
      </c>
      <c r="P427" s="38">
        <v>1.8311000000000002</v>
      </c>
      <c r="Q427" s="38">
        <v>1.2517</v>
      </c>
      <c r="R427" s="38">
        <v>0.95369999999999999</v>
      </c>
    </row>
    <row r="428" spans="1:18" hidden="1">
      <c r="A428" t="s">
        <v>76</v>
      </c>
      <c r="B428" t="s">
        <v>19</v>
      </c>
      <c r="C428">
        <v>4.33</v>
      </c>
      <c r="D428">
        <v>8.52</v>
      </c>
      <c r="E428" s="29">
        <v>0.50890000000000002</v>
      </c>
      <c r="F428">
        <v>7.46</v>
      </c>
      <c r="G428">
        <v>1.3</v>
      </c>
      <c r="H428">
        <v>8.76</v>
      </c>
      <c r="I428" s="29">
        <v>0.85159999999999991</v>
      </c>
      <c r="J428" s="29">
        <v>0.49509999999999998</v>
      </c>
      <c r="K428" s="9">
        <v>45302</v>
      </c>
      <c r="L428">
        <f xml:space="preserve"> (交易處理資料__3[[#This Row],[售出工時]] * 60) / 5</f>
        <v>51.96</v>
      </c>
      <c r="M428" t="str">
        <f>VLOOKUP(交易處理資料__3[[#This Row],[人員代號]],團隊分組!$B$1:$C$52,2,FALSE)</f>
        <v>查修團隊A</v>
      </c>
      <c r="N428" t="str">
        <f>IF(交易處理資料__3[[#This Row],[上班時間]]=0,"否","是")</f>
        <v>是</v>
      </c>
      <c r="O428" t="s">
        <v>76</v>
      </c>
      <c r="P428" s="37">
        <v>0.50890000000000002</v>
      </c>
      <c r="Q428" s="37">
        <v>0.49509999999999998</v>
      </c>
      <c r="R428" s="37">
        <v>0.85159999999999991</v>
      </c>
    </row>
    <row r="429" spans="1:18" hidden="1">
      <c r="A429" t="s">
        <v>76</v>
      </c>
      <c r="B429" t="s">
        <v>20</v>
      </c>
      <c r="C429">
        <v>1.61</v>
      </c>
      <c r="D429">
        <v>1.67</v>
      </c>
      <c r="E429" s="29">
        <v>0.96599999999999997</v>
      </c>
      <c r="F429">
        <v>1.67</v>
      </c>
      <c r="G429">
        <v>6.63</v>
      </c>
      <c r="H429">
        <v>8.3000000000000007</v>
      </c>
      <c r="I429" s="29">
        <v>0.20120000000000002</v>
      </c>
      <c r="J429" s="29">
        <v>0.19440000000000002</v>
      </c>
      <c r="K429" s="9">
        <v>45302</v>
      </c>
      <c r="L429">
        <f xml:space="preserve"> (交易處理資料__3[[#This Row],[售出工時]] * 60) / 5</f>
        <v>19.32</v>
      </c>
      <c r="M429" t="str">
        <f>VLOOKUP(交易處理資料__3[[#This Row],[人員代號]],團隊分組!$B$1:$C$52,2,FALSE)</f>
        <v>查修團隊B</v>
      </c>
      <c r="N429" t="str">
        <f>IF(交易處理資料__3[[#This Row],[上班時間]]=0,"否","是")</f>
        <v>是</v>
      </c>
      <c r="O429" t="s">
        <v>76</v>
      </c>
      <c r="P429" s="38">
        <v>0.96599999999999997</v>
      </c>
      <c r="Q429" s="38">
        <v>0.19440000000000002</v>
      </c>
      <c r="R429" s="38">
        <v>0.20120000000000002</v>
      </c>
    </row>
    <row r="430" spans="1:18" hidden="1">
      <c r="A430" t="s">
        <v>76</v>
      </c>
      <c r="B430" t="s">
        <v>21</v>
      </c>
      <c r="C430">
        <v>6.5</v>
      </c>
      <c r="D430">
        <v>7.86</v>
      </c>
      <c r="E430" s="29">
        <v>0.82689999999999997</v>
      </c>
      <c r="F430">
        <v>6.57</v>
      </c>
      <c r="G430">
        <v>1.52</v>
      </c>
      <c r="H430">
        <v>8.09</v>
      </c>
      <c r="I430" s="29">
        <v>0.81209999999999993</v>
      </c>
      <c r="J430" s="29">
        <v>0.80349999999999999</v>
      </c>
      <c r="K430" s="9">
        <v>45302</v>
      </c>
      <c r="L430">
        <f xml:space="preserve"> (交易處理資料__3[[#This Row],[售出工時]] * 60) / 5</f>
        <v>78</v>
      </c>
      <c r="M430" t="str">
        <f>VLOOKUP(交易處理資料__3[[#This Row],[人員代號]],團隊分組!$B$1:$C$52,2,FALSE)</f>
        <v>查修團隊B</v>
      </c>
      <c r="N430" t="str">
        <f>IF(交易處理資料__3[[#This Row],[上班時間]]=0,"否","是")</f>
        <v>是</v>
      </c>
      <c r="O430" t="s">
        <v>76</v>
      </c>
      <c r="P430" s="37">
        <v>0.82689999999999997</v>
      </c>
      <c r="Q430" s="37">
        <v>0.80349999999999999</v>
      </c>
      <c r="R430" s="37">
        <v>0.81209999999999993</v>
      </c>
    </row>
    <row r="431" spans="1:18" hidden="1">
      <c r="A431" t="s">
        <v>76</v>
      </c>
      <c r="B431" t="s">
        <v>22</v>
      </c>
      <c r="C431">
        <v>0</v>
      </c>
      <c r="D431">
        <v>0</v>
      </c>
      <c r="E431" s="29">
        <v>0</v>
      </c>
      <c r="F431">
        <v>0</v>
      </c>
      <c r="G431">
        <v>0</v>
      </c>
      <c r="H431">
        <v>0</v>
      </c>
      <c r="I431" s="29">
        <v>0</v>
      </c>
      <c r="J431" s="29">
        <v>0</v>
      </c>
      <c r="K431" s="9">
        <v>45302</v>
      </c>
      <c r="L431">
        <f xml:space="preserve"> (交易處理資料__3[[#This Row],[售出工時]] * 60) / 5</f>
        <v>0</v>
      </c>
      <c r="M431" t="str">
        <f>VLOOKUP(交易處理資料__3[[#This Row],[人員代號]],團隊分組!$B$1:$C$52,2,FALSE)</f>
        <v>快速保養團隊A</v>
      </c>
      <c r="N431" t="str">
        <f>IF(交易處理資料__3[[#This Row],[上班時間]]=0,"否","是")</f>
        <v>否</v>
      </c>
      <c r="O431" t="s">
        <v>76</v>
      </c>
      <c r="P431" s="38">
        <v>0</v>
      </c>
      <c r="Q431" s="38">
        <v>0</v>
      </c>
      <c r="R431" s="38">
        <v>0</v>
      </c>
    </row>
    <row r="432" spans="1:18" hidden="1">
      <c r="A432" t="s">
        <v>76</v>
      </c>
      <c r="B432" t="s">
        <v>23</v>
      </c>
      <c r="C432">
        <v>16.170000000000002</v>
      </c>
      <c r="D432">
        <v>10.39</v>
      </c>
      <c r="E432" s="29">
        <v>1.5569</v>
      </c>
      <c r="F432">
        <v>9.4700000000000006</v>
      </c>
      <c r="G432">
        <v>1.05</v>
      </c>
      <c r="H432">
        <v>10.52</v>
      </c>
      <c r="I432" s="29">
        <v>0.9002</v>
      </c>
      <c r="J432" s="29">
        <v>1.5377000000000001</v>
      </c>
      <c r="K432" s="9">
        <v>45302</v>
      </c>
      <c r="L432">
        <f xml:space="preserve"> (交易處理資料__3[[#This Row],[售出工時]] * 60) / 5</f>
        <v>194.04000000000002</v>
      </c>
      <c r="M432" t="str">
        <f>VLOOKUP(交易處理資料__3[[#This Row],[人員代號]],團隊分組!$B$1:$C$52,2,FALSE)</f>
        <v>快速保養團隊B</v>
      </c>
      <c r="N432" t="str">
        <f>IF(交易處理資料__3[[#This Row],[上班時間]]=0,"否","是")</f>
        <v>是</v>
      </c>
      <c r="O432" t="s">
        <v>76</v>
      </c>
      <c r="P432" s="37">
        <v>1.5569</v>
      </c>
      <c r="Q432" s="37">
        <v>1.5377000000000001</v>
      </c>
      <c r="R432" s="37">
        <v>0.9002</v>
      </c>
    </row>
    <row r="433" spans="1:18" hidden="1">
      <c r="A433" t="s">
        <v>76</v>
      </c>
      <c r="B433" t="s">
        <v>25</v>
      </c>
      <c r="C433">
        <v>6.08</v>
      </c>
      <c r="D433">
        <v>6.94</v>
      </c>
      <c r="E433" s="29">
        <v>0.87650000000000006</v>
      </c>
      <c r="F433">
        <v>7.41</v>
      </c>
      <c r="G433">
        <v>1.02</v>
      </c>
      <c r="H433">
        <v>8.43</v>
      </c>
      <c r="I433" s="29">
        <v>0.879</v>
      </c>
      <c r="J433" s="29">
        <v>0.72160000000000002</v>
      </c>
      <c r="K433" s="9">
        <v>45302</v>
      </c>
      <c r="L433">
        <f xml:space="preserve"> (交易處理資料__3[[#This Row],[售出工時]] * 60) / 5</f>
        <v>72.960000000000008</v>
      </c>
      <c r="M433" t="str">
        <f>VLOOKUP(交易處理資料__3[[#This Row],[人員代號]],團隊分組!$B$1:$C$52,2,FALSE)</f>
        <v>查修團隊A</v>
      </c>
      <c r="N433" t="str">
        <f>IF(交易處理資料__3[[#This Row],[上班時間]]=0,"否","是")</f>
        <v>是</v>
      </c>
      <c r="O433" t="s">
        <v>76</v>
      </c>
      <c r="P433" s="38">
        <v>0.87650000000000006</v>
      </c>
      <c r="Q433" s="38">
        <v>0.72160000000000002</v>
      </c>
      <c r="R433" s="38">
        <v>0.879</v>
      </c>
    </row>
    <row r="434" spans="1:18" hidden="1">
      <c r="A434" t="s">
        <v>76</v>
      </c>
      <c r="B434" t="s">
        <v>26</v>
      </c>
      <c r="C434">
        <v>1</v>
      </c>
      <c r="D434">
        <v>5.41</v>
      </c>
      <c r="E434" s="29">
        <v>0.18479999999999999</v>
      </c>
      <c r="F434">
        <v>5.2</v>
      </c>
      <c r="G434">
        <v>3.13</v>
      </c>
      <c r="H434">
        <v>8.33</v>
      </c>
      <c r="I434" s="29">
        <v>0.62419999999999998</v>
      </c>
      <c r="J434" s="29">
        <v>0.12</v>
      </c>
      <c r="K434" s="9">
        <v>45302</v>
      </c>
      <c r="L434">
        <f xml:space="preserve"> (交易處理資料__3[[#This Row],[售出工時]] * 60) / 5</f>
        <v>12</v>
      </c>
      <c r="M434" t="str">
        <f>VLOOKUP(交易處理資料__3[[#This Row],[人員代號]],團隊分組!$B$1:$C$52,2,FALSE)</f>
        <v>查修團隊B</v>
      </c>
      <c r="N434" t="str">
        <f>IF(交易處理資料__3[[#This Row],[上班時間]]=0,"否","是")</f>
        <v>是</v>
      </c>
      <c r="O434" t="s">
        <v>76</v>
      </c>
      <c r="P434" s="37">
        <v>0.18479999999999999</v>
      </c>
      <c r="Q434" s="37">
        <v>0.12</v>
      </c>
      <c r="R434" s="37">
        <v>0.62419999999999998</v>
      </c>
    </row>
    <row r="435" spans="1:18" hidden="1">
      <c r="A435" t="s">
        <v>76</v>
      </c>
      <c r="B435" t="s">
        <v>28</v>
      </c>
      <c r="C435">
        <v>3.16</v>
      </c>
      <c r="D435">
        <v>3.15</v>
      </c>
      <c r="E435" s="29">
        <v>1.0051999999999999</v>
      </c>
      <c r="F435">
        <v>6.92</v>
      </c>
      <c r="G435">
        <v>1.45</v>
      </c>
      <c r="H435">
        <v>8.3699999999999992</v>
      </c>
      <c r="I435" s="29">
        <v>0.82680000000000009</v>
      </c>
      <c r="J435" s="29">
        <v>0.37829999999999997</v>
      </c>
      <c r="K435" s="9">
        <v>45302</v>
      </c>
      <c r="L435">
        <f xml:space="preserve"> (交易處理資料__3[[#This Row],[售出工時]] * 60) / 5</f>
        <v>37.92</v>
      </c>
      <c r="M435" t="str">
        <f>VLOOKUP(交易處理資料__3[[#This Row],[人員代號]],團隊分組!$B$1:$C$52,2,FALSE)</f>
        <v>快速保養團隊A</v>
      </c>
      <c r="N435" t="str">
        <f>IF(交易處理資料__3[[#This Row],[上班時間]]=0,"否","是")</f>
        <v>是</v>
      </c>
      <c r="O435" t="s">
        <v>76</v>
      </c>
      <c r="P435" s="38">
        <v>1.0051999999999999</v>
      </c>
      <c r="Q435" s="38">
        <v>0.37829999999999997</v>
      </c>
      <c r="R435" s="38">
        <v>0.82680000000000009</v>
      </c>
    </row>
    <row r="436" spans="1:18" hidden="1">
      <c r="A436" t="s">
        <v>76</v>
      </c>
      <c r="B436" t="s">
        <v>29</v>
      </c>
      <c r="C436">
        <v>4.16</v>
      </c>
      <c r="D436">
        <v>5.84</v>
      </c>
      <c r="E436" s="29">
        <v>0.71340000000000003</v>
      </c>
      <c r="F436">
        <v>6.19</v>
      </c>
      <c r="G436">
        <v>1.83</v>
      </c>
      <c r="H436">
        <v>8.02</v>
      </c>
      <c r="I436" s="29">
        <v>0.77180000000000004</v>
      </c>
      <c r="J436" s="29">
        <v>0.51950000000000007</v>
      </c>
      <c r="K436" s="9">
        <v>45302</v>
      </c>
      <c r="L436">
        <f xml:space="preserve"> (交易處理資料__3[[#This Row],[售出工時]] * 60) / 5</f>
        <v>49.92</v>
      </c>
      <c r="M436" t="str">
        <f>VLOOKUP(交易處理資料__3[[#This Row],[人員代號]],團隊分組!$B$1:$C$52,2,FALSE)</f>
        <v>查修團隊B</v>
      </c>
      <c r="N436" t="str">
        <f>IF(交易處理資料__3[[#This Row],[上班時間]]=0,"否","是")</f>
        <v>是</v>
      </c>
      <c r="O436" t="s">
        <v>76</v>
      </c>
      <c r="P436" s="37">
        <v>0.71340000000000003</v>
      </c>
      <c r="Q436" s="37">
        <v>0.51950000000000007</v>
      </c>
      <c r="R436" s="37">
        <v>0.77180000000000004</v>
      </c>
    </row>
    <row r="437" spans="1:18" hidden="1">
      <c r="A437" t="s">
        <v>76</v>
      </c>
      <c r="B437" t="s">
        <v>30</v>
      </c>
      <c r="C437">
        <v>6.78</v>
      </c>
      <c r="D437">
        <v>7.62</v>
      </c>
      <c r="E437" s="29">
        <v>0.89060000000000006</v>
      </c>
      <c r="F437">
        <v>10.07</v>
      </c>
      <c r="G437">
        <v>0.4</v>
      </c>
      <c r="H437">
        <v>10.47</v>
      </c>
      <c r="I437" s="29">
        <v>0.9618000000000001</v>
      </c>
      <c r="J437" s="29">
        <v>0.64819999999999989</v>
      </c>
      <c r="K437" s="9">
        <v>45302</v>
      </c>
      <c r="L437">
        <f xml:space="preserve"> (交易處理資料__3[[#This Row],[售出工時]] * 60) / 5</f>
        <v>81.36</v>
      </c>
      <c r="M437" t="str">
        <f>VLOOKUP(交易處理資料__3[[#This Row],[人員代號]],團隊分組!$B$1:$C$52,2,FALSE)</f>
        <v>快速保養團隊B</v>
      </c>
      <c r="N437" t="str">
        <f>IF(交易處理資料__3[[#This Row],[上班時間]]=0,"否","是")</f>
        <v>是</v>
      </c>
      <c r="O437" t="s">
        <v>76</v>
      </c>
      <c r="P437" s="38">
        <v>0.89060000000000006</v>
      </c>
      <c r="Q437" s="38">
        <v>0.64819999999999989</v>
      </c>
      <c r="R437" s="38">
        <v>0.9618000000000001</v>
      </c>
    </row>
    <row r="438" spans="1:18" hidden="1">
      <c r="A438" t="s">
        <v>76</v>
      </c>
      <c r="B438" t="s">
        <v>31</v>
      </c>
      <c r="C438">
        <v>0</v>
      </c>
      <c r="D438">
        <v>0</v>
      </c>
      <c r="E438" s="29">
        <v>0</v>
      </c>
      <c r="F438">
        <v>0</v>
      </c>
      <c r="G438">
        <v>0</v>
      </c>
      <c r="H438">
        <v>0</v>
      </c>
      <c r="I438" s="29">
        <v>0</v>
      </c>
      <c r="J438" s="29">
        <v>0</v>
      </c>
      <c r="K438" s="9">
        <v>45302</v>
      </c>
      <c r="L438">
        <f xml:space="preserve"> (交易處理資料__3[[#This Row],[售出工時]] * 60) / 5</f>
        <v>0</v>
      </c>
      <c r="M438" t="str">
        <f>VLOOKUP(交易處理資料__3[[#This Row],[人員代號]],團隊分組!$B$1:$C$52,2,FALSE)</f>
        <v>快速保養團隊A</v>
      </c>
      <c r="N438" t="str">
        <f>IF(交易處理資料__3[[#This Row],[上班時間]]=0,"否","是")</f>
        <v>否</v>
      </c>
      <c r="O438" t="s">
        <v>76</v>
      </c>
      <c r="P438" s="37">
        <v>0</v>
      </c>
      <c r="Q438" s="37">
        <v>0</v>
      </c>
      <c r="R438" s="37">
        <v>0</v>
      </c>
    </row>
    <row r="439" spans="1:18" hidden="1">
      <c r="A439" t="s">
        <v>76</v>
      </c>
      <c r="B439" t="s">
        <v>32</v>
      </c>
      <c r="C439">
        <v>7.72</v>
      </c>
      <c r="D439">
        <v>6.12</v>
      </c>
      <c r="E439" s="29">
        <v>1.2614000000000001</v>
      </c>
      <c r="F439">
        <v>9.73</v>
      </c>
      <c r="G439">
        <v>0.93</v>
      </c>
      <c r="H439">
        <v>10.66</v>
      </c>
      <c r="I439" s="29">
        <v>0.91280000000000006</v>
      </c>
      <c r="J439" s="29">
        <v>0.72420000000000007</v>
      </c>
      <c r="K439" s="9">
        <v>45302</v>
      </c>
      <c r="L439">
        <f xml:space="preserve"> (交易處理資料__3[[#This Row],[售出工時]] * 60) / 5</f>
        <v>92.64</v>
      </c>
      <c r="M439" t="str">
        <f>VLOOKUP(交易處理資料__3[[#This Row],[人員代號]],團隊分組!$B$1:$C$52,2,FALSE)</f>
        <v>快速保養團隊B</v>
      </c>
      <c r="N439" t="str">
        <f>IF(交易處理資料__3[[#This Row],[上班時間]]=0,"否","是")</f>
        <v>是</v>
      </c>
      <c r="O439" t="s">
        <v>76</v>
      </c>
      <c r="P439" s="38">
        <v>1.2614000000000001</v>
      </c>
      <c r="Q439" s="38">
        <v>0.72420000000000007</v>
      </c>
      <c r="R439" s="38">
        <v>0.91280000000000006</v>
      </c>
    </row>
    <row r="440" spans="1:18" hidden="1">
      <c r="A440" t="s">
        <v>76</v>
      </c>
      <c r="B440" t="s">
        <v>33</v>
      </c>
      <c r="C440">
        <v>0</v>
      </c>
      <c r="D440">
        <v>0</v>
      </c>
      <c r="E440" s="29">
        <v>0</v>
      </c>
      <c r="F440">
        <v>0</v>
      </c>
      <c r="G440">
        <v>0</v>
      </c>
      <c r="H440">
        <v>0</v>
      </c>
      <c r="I440" s="29">
        <v>0</v>
      </c>
      <c r="J440" s="29">
        <v>0</v>
      </c>
      <c r="K440" s="9">
        <v>45302</v>
      </c>
      <c r="L440">
        <f xml:space="preserve"> (交易處理資料__3[[#This Row],[售出工時]] * 60) / 5</f>
        <v>0</v>
      </c>
      <c r="M440" t="str">
        <f>VLOOKUP(交易處理資料__3[[#This Row],[人員代號]],團隊分組!$B$1:$C$52,2,FALSE)</f>
        <v>快速保養團隊B</v>
      </c>
      <c r="N440" t="str">
        <f>IF(交易處理資料__3[[#This Row],[上班時間]]=0,"否","是")</f>
        <v>否</v>
      </c>
      <c r="O440" t="s">
        <v>76</v>
      </c>
      <c r="P440" s="37">
        <v>0</v>
      </c>
      <c r="Q440" s="37">
        <v>0</v>
      </c>
      <c r="R440" s="37">
        <v>0</v>
      </c>
    </row>
    <row r="441" spans="1:18" hidden="1">
      <c r="A441" t="s">
        <v>76</v>
      </c>
      <c r="B441" t="s">
        <v>34</v>
      </c>
      <c r="C441">
        <v>6.66</v>
      </c>
      <c r="D441">
        <v>6.1</v>
      </c>
      <c r="E441" s="29">
        <v>1.0928</v>
      </c>
      <c r="F441">
        <v>7.59</v>
      </c>
      <c r="G441">
        <v>0.51</v>
      </c>
      <c r="H441">
        <v>8.1</v>
      </c>
      <c r="I441" s="29">
        <v>0.93700000000000006</v>
      </c>
      <c r="J441" s="29">
        <v>0.82299999999999995</v>
      </c>
      <c r="K441" s="9">
        <v>45302</v>
      </c>
      <c r="L441">
        <f xml:space="preserve"> (交易處理資料__3[[#This Row],[售出工時]] * 60) / 5</f>
        <v>79.92</v>
      </c>
      <c r="M441" t="str">
        <f>VLOOKUP(交易處理資料__3[[#This Row],[人員代號]],團隊分組!$B$1:$C$52,2,FALSE)</f>
        <v>快速保養團隊A</v>
      </c>
      <c r="N441" t="str">
        <f>IF(交易處理資料__3[[#This Row],[上班時間]]=0,"否","是")</f>
        <v>是</v>
      </c>
      <c r="O441" t="s">
        <v>76</v>
      </c>
      <c r="P441" s="38">
        <v>1.0928</v>
      </c>
      <c r="Q441" s="38">
        <v>0.82299999999999995</v>
      </c>
      <c r="R441" s="38">
        <v>0.93700000000000006</v>
      </c>
    </row>
    <row r="442" spans="1:18" hidden="1">
      <c r="A442" t="s">
        <v>76</v>
      </c>
      <c r="B442" t="s">
        <v>35</v>
      </c>
      <c r="C442">
        <v>1.72</v>
      </c>
      <c r="D442">
        <v>5.85</v>
      </c>
      <c r="E442" s="29">
        <v>0.29399999999999998</v>
      </c>
      <c r="F442">
        <v>4.2699999999999996</v>
      </c>
      <c r="G442">
        <v>4.05</v>
      </c>
      <c r="H442">
        <v>8.32</v>
      </c>
      <c r="I442" s="29">
        <v>0.51319999999999999</v>
      </c>
      <c r="J442" s="29">
        <v>0.20670000000000002</v>
      </c>
      <c r="K442" s="9">
        <v>45302</v>
      </c>
      <c r="L442">
        <f xml:space="preserve"> (交易處理資料__3[[#This Row],[售出工時]] * 60) / 5</f>
        <v>20.64</v>
      </c>
      <c r="M442" t="str">
        <f>VLOOKUP(交易處理資料__3[[#This Row],[人員代號]],團隊分組!$B$1:$C$52,2,FALSE)</f>
        <v>查修團隊B</v>
      </c>
      <c r="N442" t="str">
        <f>IF(交易處理資料__3[[#This Row],[上班時間]]=0,"否","是")</f>
        <v>是</v>
      </c>
      <c r="O442" t="s">
        <v>76</v>
      </c>
      <c r="P442" s="37">
        <v>0.29399999999999998</v>
      </c>
      <c r="Q442" s="37">
        <v>0.20670000000000002</v>
      </c>
      <c r="R442" s="37">
        <v>0.51319999999999999</v>
      </c>
    </row>
    <row r="443" spans="1:18" hidden="1">
      <c r="A443" t="s">
        <v>76</v>
      </c>
      <c r="B443" t="s">
        <v>39</v>
      </c>
      <c r="C443">
        <v>8.08</v>
      </c>
      <c r="D443">
        <v>8.41</v>
      </c>
      <c r="E443" s="29">
        <v>0.96109999999999995</v>
      </c>
      <c r="F443">
        <v>6.83</v>
      </c>
      <c r="G443">
        <v>3.11</v>
      </c>
      <c r="H443">
        <v>9.94</v>
      </c>
      <c r="I443" s="29">
        <v>0.68709999999999993</v>
      </c>
      <c r="J443" s="29">
        <v>0.81319999999999992</v>
      </c>
      <c r="K443" s="9">
        <v>45302</v>
      </c>
      <c r="L443">
        <f xml:space="preserve"> (交易處理資料__3[[#This Row],[售出工時]] * 60) / 5</f>
        <v>96.960000000000008</v>
      </c>
      <c r="M443" t="str">
        <f>VLOOKUP(交易處理資料__3[[#This Row],[人員代號]],團隊分組!$B$1:$C$52,2,FALSE)</f>
        <v>查修團隊A</v>
      </c>
      <c r="N443" t="str">
        <f>IF(交易處理資料__3[[#This Row],[上班時間]]=0,"否","是")</f>
        <v>是</v>
      </c>
      <c r="O443" t="s">
        <v>76</v>
      </c>
      <c r="P443" s="38">
        <v>0.96109999999999995</v>
      </c>
      <c r="Q443" s="38">
        <v>0.81319999999999992</v>
      </c>
      <c r="R443" s="38">
        <v>0.68709999999999993</v>
      </c>
    </row>
    <row r="444" spans="1:18" hidden="1">
      <c r="A444" t="s">
        <v>76</v>
      </c>
      <c r="B444" t="s">
        <v>40</v>
      </c>
      <c r="C444">
        <v>3.5</v>
      </c>
      <c r="D444">
        <v>5.38</v>
      </c>
      <c r="E444" s="29">
        <v>0.65049999999999997</v>
      </c>
      <c r="F444">
        <v>7.01</v>
      </c>
      <c r="G444">
        <v>1.19</v>
      </c>
      <c r="H444">
        <v>8.1999999999999993</v>
      </c>
      <c r="I444" s="29">
        <v>0.85489999999999999</v>
      </c>
      <c r="J444" s="29">
        <v>0.42680000000000001</v>
      </c>
      <c r="K444" s="9">
        <v>45302</v>
      </c>
      <c r="L444">
        <f xml:space="preserve"> (交易處理資料__3[[#This Row],[售出工時]] * 60) / 5</f>
        <v>42</v>
      </c>
      <c r="M444" t="str">
        <f>VLOOKUP(交易處理資料__3[[#This Row],[人員代號]],團隊分組!$B$1:$C$52,2,FALSE)</f>
        <v>查修團隊A</v>
      </c>
      <c r="N444" t="str">
        <f>IF(交易處理資料__3[[#This Row],[上班時間]]=0,"否","是")</f>
        <v>是</v>
      </c>
      <c r="O444" t="s">
        <v>76</v>
      </c>
      <c r="P444" s="37">
        <v>0.65049999999999997</v>
      </c>
      <c r="Q444" s="37">
        <v>0.42680000000000001</v>
      </c>
      <c r="R444" s="37">
        <v>0.85489999999999999</v>
      </c>
    </row>
    <row r="445" spans="1:18" hidden="1">
      <c r="A445" t="s">
        <v>76</v>
      </c>
      <c r="B445" t="s">
        <v>41</v>
      </c>
      <c r="C445">
        <v>21.33</v>
      </c>
      <c r="D445">
        <v>4.32</v>
      </c>
      <c r="E445" s="29">
        <v>4.9382000000000001</v>
      </c>
      <c r="F445">
        <v>7.65</v>
      </c>
      <c r="G445">
        <v>0.5</v>
      </c>
      <c r="H445">
        <v>8.15</v>
      </c>
      <c r="I445" s="29">
        <v>0.93870000000000009</v>
      </c>
      <c r="J445" s="29">
        <v>2.6175999999999999</v>
      </c>
      <c r="K445" s="9">
        <v>45302</v>
      </c>
      <c r="L445">
        <f xml:space="preserve"> (交易處理資料__3[[#This Row],[售出工時]] * 60) / 5</f>
        <v>255.95999999999998</v>
      </c>
      <c r="M445" t="str">
        <f>VLOOKUP(交易處理資料__3[[#This Row],[人員代號]],團隊分組!$B$1:$C$52,2,FALSE)</f>
        <v>快速保養團隊A</v>
      </c>
      <c r="N445" t="str">
        <f>IF(交易處理資料__3[[#This Row],[上班時間]]=0,"否","是")</f>
        <v>是</v>
      </c>
      <c r="O445" t="s">
        <v>76</v>
      </c>
      <c r="P445" s="38">
        <v>4.9382000000000001</v>
      </c>
      <c r="Q445" s="38">
        <v>2.6175999999999999</v>
      </c>
      <c r="R445" s="38">
        <v>0.93870000000000009</v>
      </c>
    </row>
    <row r="446" spans="1:18" hidden="1">
      <c r="A446" t="s">
        <v>76</v>
      </c>
      <c r="B446" t="s">
        <v>42</v>
      </c>
      <c r="C446">
        <v>0</v>
      </c>
      <c r="D446">
        <v>0</v>
      </c>
      <c r="E446" s="29">
        <v>0</v>
      </c>
      <c r="F446">
        <v>0</v>
      </c>
      <c r="G446">
        <v>0</v>
      </c>
      <c r="H446">
        <v>0</v>
      </c>
      <c r="I446" s="29">
        <v>0</v>
      </c>
      <c r="J446" s="29">
        <v>0</v>
      </c>
      <c r="K446" s="9">
        <v>45302</v>
      </c>
      <c r="L446">
        <f xml:space="preserve"> (交易處理資料__3[[#This Row],[售出工時]] * 60) / 5</f>
        <v>0</v>
      </c>
      <c r="M446" t="str">
        <f>VLOOKUP(交易處理資料__3[[#This Row],[人員代號]],團隊分組!$B$1:$C$52,2,FALSE)</f>
        <v>快速保養團隊A</v>
      </c>
      <c r="N446" t="str">
        <f>IF(交易處理資料__3[[#This Row],[上班時間]]=0,"否","是")</f>
        <v>否</v>
      </c>
      <c r="O446" t="s">
        <v>76</v>
      </c>
      <c r="P446" s="37">
        <v>0</v>
      </c>
      <c r="Q446" s="37">
        <v>0</v>
      </c>
      <c r="R446" s="37">
        <v>0</v>
      </c>
    </row>
    <row r="447" spans="1:18" hidden="1">
      <c r="A447" t="s">
        <v>76</v>
      </c>
      <c r="B447" t="s">
        <v>44</v>
      </c>
      <c r="C447">
        <v>5.47</v>
      </c>
      <c r="D447">
        <v>4.8600000000000003</v>
      </c>
      <c r="E447" s="29">
        <v>1.1254999999999999</v>
      </c>
      <c r="F447">
        <v>8.93</v>
      </c>
      <c r="G447">
        <v>1.72</v>
      </c>
      <c r="H447">
        <v>10.65</v>
      </c>
      <c r="I447" s="29">
        <v>0.83849999999999991</v>
      </c>
      <c r="J447" s="29">
        <v>0.51359999999999995</v>
      </c>
      <c r="K447" s="9">
        <v>45302</v>
      </c>
      <c r="L447">
        <f xml:space="preserve"> (交易處理資料__3[[#This Row],[售出工時]] * 60) / 5</f>
        <v>65.64</v>
      </c>
      <c r="M447" t="str">
        <f>VLOOKUP(交易處理資料__3[[#This Row],[人員代號]],團隊分組!$B$1:$C$52,2,FALSE)</f>
        <v>快速保養團隊B</v>
      </c>
      <c r="N447" t="str">
        <f>IF(交易處理資料__3[[#This Row],[上班時間]]=0,"否","是")</f>
        <v>是</v>
      </c>
      <c r="O447" t="s">
        <v>76</v>
      </c>
      <c r="P447" s="38">
        <v>1.1254999999999999</v>
      </c>
      <c r="Q447" s="38">
        <v>0.51359999999999995</v>
      </c>
      <c r="R447" s="38">
        <v>0.83849999999999991</v>
      </c>
    </row>
    <row r="448" spans="1:18" hidden="1">
      <c r="A448" t="s">
        <v>76</v>
      </c>
      <c r="B448" t="s">
        <v>46</v>
      </c>
      <c r="C448">
        <v>2.25</v>
      </c>
      <c r="D448">
        <v>4.3899999999999997</v>
      </c>
      <c r="E448" s="29">
        <v>0.51249999999999996</v>
      </c>
      <c r="F448">
        <v>6.1</v>
      </c>
      <c r="G448">
        <v>1.89</v>
      </c>
      <c r="H448">
        <v>7.99</v>
      </c>
      <c r="I448" s="29">
        <v>0.76349999999999996</v>
      </c>
      <c r="J448" s="29">
        <v>0.28160000000000002</v>
      </c>
      <c r="K448" s="9">
        <v>45302</v>
      </c>
      <c r="L448">
        <f xml:space="preserve"> (交易處理資料__3[[#This Row],[售出工時]] * 60) / 5</f>
        <v>27</v>
      </c>
      <c r="M448" t="str">
        <f>VLOOKUP(交易處理資料__3[[#This Row],[人員代號]],團隊分組!$B$1:$C$52,2,FALSE)</f>
        <v>查修團隊B</v>
      </c>
      <c r="N448" t="str">
        <f>IF(交易處理資料__3[[#This Row],[上班時間]]=0,"否","是")</f>
        <v>是</v>
      </c>
      <c r="O448" t="s">
        <v>76</v>
      </c>
      <c r="P448" s="37">
        <v>0.51249999999999996</v>
      </c>
      <c r="Q448" s="37">
        <v>0.28160000000000002</v>
      </c>
      <c r="R448" s="37">
        <v>0.76349999999999996</v>
      </c>
    </row>
    <row r="449" spans="1:18" hidden="1">
      <c r="A449" t="s">
        <v>76</v>
      </c>
      <c r="B449" t="s">
        <v>48</v>
      </c>
      <c r="C449">
        <v>5.41</v>
      </c>
      <c r="D449">
        <v>4.63</v>
      </c>
      <c r="E449" s="29">
        <v>1.1698999999999999</v>
      </c>
      <c r="F449">
        <v>7.3</v>
      </c>
      <c r="G449">
        <v>2.58</v>
      </c>
      <c r="H449">
        <v>9.8800000000000008</v>
      </c>
      <c r="I449" s="29">
        <v>0.7389</v>
      </c>
      <c r="J449" s="29">
        <v>0.54820000000000002</v>
      </c>
      <c r="K449" s="9">
        <v>45302</v>
      </c>
      <c r="L449">
        <f xml:space="preserve"> (交易處理資料__3[[#This Row],[售出工時]] * 60) / 5</f>
        <v>64.92</v>
      </c>
      <c r="M449" t="str">
        <f>VLOOKUP(交易處理資料__3[[#This Row],[人員代號]],團隊分組!$B$1:$C$52,2,FALSE)</f>
        <v>查修團隊A</v>
      </c>
      <c r="N449" t="str">
        <f>IF(交易處理資料__3[[#This Row],[上班時間]]=0,"否","是")</f>
        <v>是</v>
      </c>
      <c r="O449" t="s">
        <v>76</v>
      </c>
      <c r="P449" s="38">
        <v>1.1698999999999999</v>
      </c>
      <c r="Q449" s="38">
        <v>0.54820000000000002</v>
      </c>
      <c r="R449" s="38">
        <v>0.7389</v>
      </c>
    </row>
    <row r="450" spans="1:18" hidden="1">
      <c r="A450" t="s">
        <v>76</v>
      </c>
      <c r="B450" t="s">
        <v>51</v>
      </c>
      <c r="C450">
        <v>0</v>
      </c>
      <c r="D450">
        <v>0</v>
      </c>
      <c r="E450" s="29">
        <v>0</v>
      </c>
      <c r="F450">
        <v>0</v>
      </c>
      <c r="G450">
        <v>0</v>
      </c>
      <c r="H450">
        <v>0</v>
      </c>
      <c r="I450" s="29">
        <v>0</v>
      </c>
      <c r="J450" s="29">
        <v>0</v>
      </c>
      <c r="K450" s="9">
        <v>45302</v>
      </c>
      <c r="L450">
        <f xml:space="preserve"> (交易處理資料__3[[#This Row],[售出工時]] * 60) / 5</f>
        <v>0</v>
      </c>
      <c r="M450" t="str">
        <f>VLOOKUP(交易處理資料__3[[#This Row],[人員代號]],團隊分組!$B$1:$C$52,2,FALSE)</f>
        <v>無效數據</v>
      </c>
      <c r="N450" t="str">
        <f>IF(交易處理資料__3[[#This Row],[上班時間]]=0,"否","是")</f>
        <v>否</v>
      </c>
      <c r="O450" t="s">
        <v>76</v>
      </c>
      <c r="P450" s="37">
        <v>0</v>
      </c>
      <c r="Q450" s="37">
        <v>0</v>
      </c>
      <c r="R450" s="37">
        <v>0</v>
      </c>
    </row>
    <row r="451" spans="1:18" hidden="1">
      <c r="A451" t="s">
        <v>76</v>
      </c>
      <c r="B451" t="s">
        <v>52</v>
      </c>
      <c r="C451">
        <v>0</v>
      </c>
      <c r="D451">
        <v>0</v>
      </c>
      <c r="E451" s="29">
        <v>0</v>
      </c>
      <c r="F451">
        <v>7.89</v>
      </c>
      <c r="G451">
        <v>0.1</v>
      </c>
      <c r="H451">
        <v>7.99</v>
      </c>
      <c r="I451" s="29">
        <v>0.98750000000000004</v>
      </c>
      <c r="J451" s="29">
        <v>0</v>
      </c>
      <c r="K451" s="9">
        <v>45302</v>
      </c>
      <c r="L451">
        <f xml:space="preserve"> (交易處理資料__3[[#This Row],[售出工時]] * 60) / 5</f>
        <v>0</v>
      </c>
      <c r="M451" t="str">
        <f>VLOOKUP(交易處理資料__3[[#This Row],[人員代號]],團隊分組!$B$1:$C$52,2,FALSE)</f>
        <v>查修團隊B</v>
      </c>
      <c r="N451" t="str">
        <f>IF(交易處理資料__3[[#This Row],[上班時間]]=0,"否","是")</f>
        <v>是</v>
      </c>
      <c r="O451" t="s">
        <v>76</v>
      </c>
      <c r="P451" s="38">
        <v>0</v>
      </c>
      <c r="Q451" s="38">
        <v>0</v>
      </c>
      <c r="R451" s="38">
        <v>0.98750000000000004</v>
      </c>
    </row>
    <row r="452" spans="1:18" hidden="1">
      <c r="A452" t="s">
        <v>76</v>
      </c>
      <c r="B452" t="s">
        <v>53</v>
      </c>
      <c r="C452">
        <v>2.58</v>
      </c>
      <c r="D452">
        <v>2.98</v>
      </c>
      <c r="E452" s="29">
        <v>0.86680000000000001</v>
      </c>
      <c r="F452">
        <v>7.32</v>
      </c>
      <c r="G452">
        <v>2.31</v>
      </c>
      <c r="H452">
        <v>9.6300000000000008</v>
      </c>
      <c r="I452" s="29">
        <v>0.7601</v>
      </c>
      <c r="J452" s="29">
        <v>0.26829999999999998</v>
      </c>
      <c r="K452" s="9">
        <v>45302</v>
      </c>
      <c r="L452">
        <f xml:space="preserve"> (交易處理資料__3[[#This Row],[售出工時]] * 60) / 5</f>
        <v>30.96</v>
      </c>
      <c r="M452" t="str">
        <f>VLOOKUP(交易處理資料__3[[#This Row],[人員代號]],團隊分組!$B$1:$C$52,2,FALSE)</f>
        <v>查修團隊A</v>
      </c>
      <c r="N452" t="str">
        <f>IF(交易處理資料__3[[#This Row],[上班時間]]=0,"否","是")</f>
        <v>是</v>
      </c>
      <c r="O452" t="s">
        <v>76</v>
      </c>
      <c r="P452" s="37">
        <v>0.86680000000000001</v>
      </c>
      <c r="Q452" s="37">
        <v>0.26829999999999998</v>
      </c>
      <c r="R452" s="37">
        <v>0.7601</v>
      </c>
    </row>
    <row r="453" spans="1:18" hidden="1">
      <c r="A453" s="10" t="s">
        <v>74</v>
      </c>
      <c r="B453" t="s">
        <v>5</v>
      </c>
      <c r="C453">
        <v>5.66</v>
      </c>
      <c r="D453">
        <v>5.33</v>
      </c>
      <c r="E453" s="29">
        <v>1.0619000000000001</v>
      </c>
      <c r="F453">
        <v>7.75</v>
      </c>
      <c r="G453">
        <v>0.23</v>
      </c>
      <c r="H453">
        <v>7.98</v>
      </c>
      <c r="I453" s="29">
        <v>0.97120000000000006</v>
      </c>
      <c r="J453" s="29">
        <v>0.70930000000000004</v>
      </c>
      <c r="K453" s="9">
        <v>45303</v>
      </c>
      <c r="L453">
        <f xml:space="preserve"> (交易處理資料__3[[#This Row],[售出工時]] * 60) / 5</f>
        <v>67.92</v>
      </c>
      <c r="M453" t="str">
        <f>VLOOKUP(交易處理資料__3[[#This Row],[人員代號]],團隊分組!$B$1:$C$52,2,FALSE)</f>
        <v>噴漆維修組</v>
      </c>
      <c r="N453" t="str">
        <f>IF(交易處理資料__3[[#This Row],[上班時間]]=0,"否","是")</f>
        <v>是</v>
      </c>
      <c r="O453" s="10" t="s">
        <v>74</v>
      </c>
      <c r="P453" s="38">
        <v>1.0619000000000001</v>
      </c>
      <c r="Q453" s="38">
        <v>0.70930000000000004</v>
      </c>
      <c r="R453" s="38">
        <v>0.97120000000000006</v>
      </c>
    </row>
    <row r="454" spans="1:18">
      <c r="A454" s="10" t="s">
        <v>74</v>
      </c>
      <c r="B454" t="s">
        <v>7</v>
      </c>
      <c r="C454">
        <v>5.68</v>
      </c>
      <c r="D454">
        <v>5.35</v>
      </c>
      <c r="E454" s="29">
        <v>1.0615999999999999</v>
      </c>
      <c r="F454">
        <v>7.75</v>
      </c>
      <c r="G454">
        <v>0.23</v>
      </c>
      <c r="H454">
        <v>7.98</v>
      </c>
      <c r="I454" s="29">
        <v>0.97120000000000006</v>
      </c>
      <c r="J454" s="29">
        <v>0.7118000000000001</v>
      </c>
      <c r="K454" s="9">
        <v>45303</v>
      </c>
      <c r="L454">
        <f xml:space="preserve"> (交易處理資料__3[[#This Row],[售出工時]] * 60) / 5</f>
        <v>68.16</v>
      </c>
      <c r="M454" t="str">
        <f>VLOOKUP(交易處理資料__3[[#This Row],[人員代號]],團隊分組!$B$1:$C$52,2,FALSE)</f>
        <v>噴漆維修組</v>
      </c>
      <c r="N454" t="str">
        <f>IF(交易處理資料__3[[#This Row],[上班時間]]=0,"否","是")</f>
        <v>是</v>
      </c>
      <c r="O454" s="10" t="s">
        <v>74</v>
      </c>
      <c r="P454" s="37">
        <v>1.0615999999999999</v>
      </c>
      <c r="Q454" s="37">
        <v>0.7118000000000001</v>
      </c>
      <c r="R454" s="37">
        <v>0.97120000000000006</v>
      </c>
    </row>
    <row r="455" spans="1:18" hidden="1">
      <c r="A455" t="s">
        <v>75</v>
      </c>
      <c r="B455" t="s">
        <v>14</v>
      </c>
      <c r="C455">
        <v>2.02</v>
      </c>
      <c r="D455">
        <v>0.9</v>
      </c>
      <c r="E455" s="29">
        <v>2.2444000000000002</v>
      </c>
      <c r="F455">
        <v>3.07</v>
      </c>
      <c r="G455">
        <v>4.9800000000000004</v>
      </c>
      <c r="H455">
        <v>8.0500000000000007</v>
      </c>
      <c r="I455" s="29">
        <v>0.38140000000000002</v>
      </c>
      <c r="J455" s="29">
        <v>0.25090000000000001</v>
      </c>
      <c r="K455" s="9">
        <v>45303</v>
      </c>
      <c r="L455">
        <f xml:space="preserve"> (交易處理資料__3[[#This Row],[售出工時]] * 60) / 5</f>
        <v>24.240000000000002</v>
      </c>
      <c r="M455" t="str">
        <f>VLOOKUP(交易處理資料__3[[#This Row],[人員代號]],團隊分組!$B$1:$C$52,2,FALSE)</f>
        <v>鈑金維修組</v>
      </c>
      <c r="N455" t="str">
        <f>IF(交易處理資料__3[[#This Row],[上班時間]]=0,"否","是")</f>
        <v>是</v>
      </c>
      <c r="O455" t="s">
        <v>75</v>
      </c>
      <c r="P455" s="38">
        <v>2.2444000000000002</v>
      </c>
      <c r="Q455" s="38">
        <v>0.25090000000000001</v>
      </c>
      <c r="R455" s="38">
        <v>0.38140000000000002</v>
      </c>
    </row>
    <row r="456" spans="1:18" hidden="1">
      <c r="A456" t="s">
        <v>75</v>
      </c>
      <c r="B456" t="s">
        <v>15</v>
      </c>
      <c r="C456">
        <v>0.71</v>
      </c>
      <c r="D456">
        <v>0.15</v>
      </c>
      <c r="E456" s="29">
        <v>4.7332999999999998</v>
      </c>
      <c r="F456">
        <v>6.04</v>
      </c>
      <c r="G456">
        <v>2.0099999999999998</v>
      </c>
      <c r="H456">
        <v>8.0500000000000007</v>
      </c>
      <c r="I456" s="29">
        <v>0.75029999999999997</v>
      </c>
      <c r="J456" s="29">
        <v>8.8200000000000001E-2</v>
      </c>
      <c r="K456" s="9">
        <v>45303</v>
      </c>
      <c r="L456">
        <f xml:space="preserve"> (交易處理資料__3[[#This Row],[售出工時]] * 60) / 5</f>
        <v>8.52</v>
      </c>
      <c r="M456" t="str">
        <f>VLOOKUP(交易處理資料__3[[#This Row],[人員代號]],團隊分組!$B$1:$C$52,2,FALSE)</f>
        <v>鈑金維修組</v>
      </c>
      <c r="N456" t="str">
        <f>IF(交易處理資料__3[[#This Row],[上班時間]]=0,"否","是")</f>
        <v>是</v>
      </c>
      <c r="O456" t="s">
        <v>75</v>
      </c>
      <c r="P456" s="37">
        <v>4.7332999999999998</v>
      </c>
      <c r="Q456" s="37">
        <v>8.8200000000000001E-2</v>
      </c>
      <c r="R456" s="37">
        <v>0.75029999999999997</v>
      </c>
    </row>
    <row r="457" spans="1:18" hidden="1">
      <c r="A457" t="s">
        <v>76</v>
      </c>
      <c r="B457" t="s">
        <v>18</v>
      </c>
      <c r="C457">
        <v>2.25</v>
      </c>
      <c r="D457">
        <v>4.28</v>
      </c>
      <c r="E457" s="29">
        <v>0.52570000000000006</v>
      </c>
      <c r="F457">
        <v>6.28</v>
      </c>
      <c r="G457">
        <v>1.69</v>
      </c>
      <c r="H457">
        <v>7.97</v>
      </c>
      <c r="I457" s="29">
        <v>0.78799999999999992</v>
      </c>
      <c r="J457" s="29">
        <v>0.2823</v>
      </c>
      <c r="K457" s="9">
        <v>45303</v>
      </c>
      <c r="L457">
        <f xml:space="preserve"> (交易處理資料__3[[#This Row],[售出工時]] * 60) / 5</f>
        <v>27</v>
      </c>
      <c r="M457" t="str">
        <f>VLOOKUP(交易處理資料__3[[#This Row],[人員代號]],團隊分組!$B$1:$C$52,2,FALSE)</f>
        <v>查修團隊B</v>
      </c>
      <c r="N457" t="str">
        <f>IF(交易處理資料__3[[#This Row],[上班時間]]=0,"否","是")</f>
        <v>是</v>
      </c>
      <c r="O457" t="s">
        <v>76</v>
      </c>
      <c r="P457" s="38">
        <v>0.52570000000000006</v>
      </c>
      <c r="Q457" s="38">
        <v>0.2823</v>
      </c>
      <c r="R457" s="38">
        <v>0.78799999999999992</v>
      </c>
    </row>
    <row r="458" spans="1:18" hidden="1">
      <c r="A458" t="s">
        <v>76</v>
      </c>
      <c r="B458" t="s">
        <v>19</v>
      </c>
      <c r="C458">
        <v>4.13</v>
      </c>
      <c r="D458">
        <v>4.55</v>
      </c>
      <c r="E458" s="29">
        <v>0.90760000000000007</v>
      </c>
      <c r="F458">
        <v>5.48</v>
      </c>
      <c r="G458">
        <v>3.03</v>
      </c>
      <c r="H458">
        <v>8.51</v>
      </c>
      <c r="I458" s="29">
        <v>0.64390000000000003</v>
      </c>
      <c r="J458" s="29">
        <v>0.48530000000000001</v>
      </c>
      <c r="K458" s="9">
        <v>45303</v>
      </c>
      <c r="L458">
        <f xml:space="preserve"> (交易處理資料__3[[#This Row],[售出工時]] * 60) / 5</f>
        <v>49.559999999999995</v>
      </c>
      <c r="M458" t="str">
        <f>VLOOKUP(交易處理資料__3[[#This Row],[人員代號]],團隊分組!$B$1:$C$52,2,FALSE)</f>
        <v>查修團隊A</v>
      </c>
      <c r="N458" t="str">
        <f>IF(交易處理資料__3[[#This Row],[上班時間]]=0,"否","是")</f>
        <v>是</v>
      </c>
      <c r="O458" t="s">
        <v>76</v>
      </c>
      <c r="P458" s="37">
        <v>0.90760000000000007</v>
      </c>
      <c r="Q458" s="37">
        <v>0.48530000000000001</v>
      </c>
      <c r="R458" s="37">
        <v>0.64390000000000003</v>
      </c>
    </row>
    <row r="459" spans="1:18" hidden="1">
      <c r="A459" t="s">
        <v>76</v>
      </c>
      <c r="B459" t="s">
        <v>20</v>
      </c>
      <c r="C459">
        <v>1.18</v>
      </c>
      <c r="D459">
        <v>0.6</v>
      </c>
      <c r="E459" s="29">
        <v>1.9665999999999999</v>
      </c>
      <c r="F459">
        <v>0.6</v>
      </c>
      <c r="G459">
        <v>7.69</v>
      </c>
      <c r="H459">
        <v>8.2899999999999991</v>
      </c>
      <c r="I459" s="29">
        <v>7.2400000000000006E-2</v>
      </c>
      <c r="J459" s="29">
        <v>0.14230000000000001</v>
      </c>
      <c r="K459" s="9">
        <v>45303</v>
      </c>
      <c r="L459">
        <f xml:space="preserve"> (交易處理資料__3[[#This Row],[售出工時]] * 60) / 5</f>
        <v>14.16</v>
      </c>
      <c r="M459" t="str">
        <f>VLOOKUP(交易處理資料__3[[#This Row],[人員代號]],團隊分組!$B$1:$C$52,2,FALSE)</f>
        <v>查修團隊B</v>
      </c>
      <c r="N459" t="str">
        <f>IF(交易處理資料__3[[#This Row],[上班時間]]=0,"否","是")</f>
        <v>是</v>
      </c>
      <c r="O459" t="s">
        <v>76</v>
      </c>
      <c r="P459" s="38">
        <v>1.9665999999999999</v>
      </c>
      <c r="Q459" s="38">
        <v>0.14230000000000001</v>
      </c>
      <c r="R459" s="38">
        <v>7.2400000000000006E-2</v>
      </c>
    </row>
    <row r="460" spans="1:18" hidden="1">
      <c r="A460" t="s">
        <v>76</v>
      </c>
      <c r="B460" t="s">
        <v>22</v>
      </c>
      <c r="C460">
        <v>0</v>
      </c>
      <c r="D460">
        <v>0</v>
      </c>
      <c r="E460" s="29">
        <v>0</v>
      </c>
      <c r="F460">
        <v>0</v>
      </c>
      <c r="G460">
        <v>0</v>
      </c>
      <c r="H460">
        <v>0</v>
      </c>
      <c r="I460" s="29">
        <v>0</v>
      </c>
      <c r="J460" s="29">
        <v>0</v>
      </c>
      <c r="K460" s="9">
        <v>45303</v>
      </c>
      <c r="L460">
        <f xml:space="preserve"> (交易處理資料__3[[#This Row],[售出工時]] * 60) / 5</f>
        <v>0</v>
      </c>
      <c r="M460" t="str">
        <f>VLOOKUP(交易處理資料__3[[#This Row],[人員代號]],團隊分組!$B$1:$C$52,2,FALSE)</f>
        <v>快速保養團隊A</v>
      </c>
      <c r="N460" t="str">
        <f>IF(交易處理資料__3[[#This Row],[上班時間]]=0,"否","是")</f>
        <v>否</v>
      </c>
      <c r="O460" t="s">
        <v>76</v>
      </c>
      <c r="P460" s="37">
        <v>0</v>
      </c>
      <c r="Q460" s="37">
        <v>0</v>
      </c>
      <c r="R460" s="37">
        <v>0</v>
      </c>
    </row>
    <row r="461" spans="1:18" hidden="1">
      <c r="A461" t="s">
        <v>76</v>
      </c>
      <c r="B461" t="s">
        <v>24</v>
      </c>
      <c r="C461">
        <v>12.13</v>
      </c>
      <c r="D461">
        <v>6.93</v>
      </c>
      <c r="E461" s="29">
        <v>1.7503</v>
      </c>
      <c r="F461">
        <v>9.85</v>
      </c>
      <c r="G461">
        <v>1.29</v>
      </c>
      <c r="H461">
        <v>11.14</v>
      </c>
      <c r="I461" s="29">
        <v>0.88419999999999999</v>
      </c>
      <c r="J461" s="29">
        <v>1.0889</v>
      </c>
      <c r="K461" s="9">
        <v>45303</v>
      </c>
      <c r="L461">
        <f xml:space="preserve"> (交易處理資料__3[[#This Row],[售出工時]] * 60) / 5</f>
        <v>145.56</v>
      </c>
      <c r="M461" t="str">
        <f>VLOOKUP(交易處理資料__3[[#This Row],[人員代號]],團隊分組!$B$1:$C$52,2,FALSE)</f>
        <v>快速保養團隊A</v>
      </c>
      <c r="N461" t="str">
        <f>IF(交易處理資料__3[[#This Row],[上班時間]]=0,"否","是")</f>
        <v>是</v>
      </c>
      <c r="O461" t="s">
        <v>76</v>
      </c>
      <c r="P461" s="38">
        <v>1.7503</v>
      </c>
      <c r="Q461" s="38">
        <v>1.0889</v>
      </c>
      <c r="R461" s="38">
        <v>0.88419999999999999</v>
      </c>
    </row>
    <row r="462" spans="1:18" hidden="1">
      <c r="A462" t="s">
        <v>76</v>
      </c>
      <c r="B462" t="s">
        <v>25</v>
      </c>
      <c r="C462">
        <v>1.5</v>
      </c>
      <c r="D462">
        <v>0.77</v>
      </c>
      <c r="E462" s="29">
        <v>1.9480000000000002</v>
      </c>
      <c r="F462">
        <v>5.59</v>
      </c>
      <c r="G462">
        <v>2.29</v>
      </c>
      <c r="H462">
        <v>7.88</v>
      </c>
      <c r="I462" s="29">
        <v>0.70940000000000003</v>
      </c>
      <c r="J462" s="29">
        <v>0.19039999999999999</v>
      </c>
      <c r="K462" s="9">
        <v>45303</v>
      </c>
      <c r="L462">
        <f xml:space="preserve"> (交易處理資料__3[[#This Row],[售出工時]] * 60) / 5</f>
        <v>18</v>
      </c>
      <c r="M462" t="str">
        <f>VLOOKUP(交易處理資料__3[[#This Row],[人員代號]],團隊分組!$B$1:$C$52,2,FALSE)</f>
        <v>查修團隊A</v>
      </c>
      <c r="N462" t="str">
        <f>IF(交易處理資料__3[[#This Row],[上班時間]]=0,"否","是")</f>
        <v>是</v>
      </c>
      <c r="O462" t="s">
        <v>76</v>
      </c>
      <c r="P462" s="37">
        <v>1.9480000000000002</v>
      </c>
      <c r="Q462" s="37">
        <v>0.19039999999999999</v>
      </c>
      <c r="R462" s="37">
        <v>0.70940000000000003</v>
      </c>
    </row>
    <row r="463" spans="1:18" hidden="1">
      <c r="A463" t="s">
        <v>76</v>
      </c>
      <c r="B463" t="s">
        <v>26</v>
      </c>
      <c r="C463">
        <v>2.2200000000000002</v>
      </c>
      <c r="D463">
        <v>4.7699999999999996</v>
      </c>
      <c r="E463" s="29">
        <v>0.46539999999999998</v>
      </c>
      <c r="F463">
        <v>2.15</v>
      </c>
      <c r="G463">
        <v>7.97</v>
      </c>
      <c r="H463">
        <v>10.119999999999999</v>
      </c>
      <c r="I463" s="29">
        <v>0.21249999999999999</v>
      </c>
      <c r="J463" s="29">
        <v>0.21940000000000001</v>
      </c>
      <c r="K463" s="9">
        <v>45303</v>
      </c>
      <c r="L463">
        <f xml:space="preserve"> (交易處理資料__3[[#This Row],[售出工時]] * 60) / 5</f>
        <v>26.640000000000004</v>
      </c>
      <c r="M463" t="str">
        <f>VLOOKUP(交易處理資料__3[[#This Row],[人員代號]],團隊分組!$B$1:$C$52,2,FALSE)</f>
        <v>查修團隊B</v>
      </c>
      <c r="N463" t="str">
        <f>IF(交易處理資料__3[[#This Row],[上班時間]]=0,"否","是")</f>
        <v>是</v>
      </c>
      <c r="O463" t="s">
        <v>76</v>
      </c>
      <c r="P463" s="38">
        <v>0.46539999999999998</v>
      </c>
      <c r="Q463" s="38">
        <v>0.21940000000000001</v>
      </c>
      <c r="R463" s="38">
        <v>0.21249999999999999</v>
      </c>
    </row>
    <row r="464" spans="1:18" hidden="1">
      <c r="A464" t="s">
        <v>76</v>
      </c>
      <c r="B464" t="s">
        <v>28</v>
      </c>
      <c r="C464">
        <v>12</v>
      </c>
      <c r="D464">
        <v>8.7200000000000006</v>
      </c>
      <c r="E464" s="29">
        <v>1.3761000000000001</v>
      </c>
      <c r="F464">
        <v>6.99</v>
      </c>
      <c r="G464">
        <v>2.54</v>
      </c>
      <c r="H464">
        <v>9.5299999999999994</v>
      </c>
      <c r="I464" s="29">
        <v>0.73349999999999993</v>
      </c>
      <c r="J464" s="29">
        <v>1.2592000000000001</v>
      </c>
      <c r="K464" s="9">
        <v>45303</v>
      </c>
      <c r="L464">
        <f xml:space="preserve"> (交易處理資料__3[[#This Row],[售出工時]] * 60) / 5</f>
        <v>144</v>
      </c>
      <c r="M464" t="str">
        <f>VLOOKUP(交易處理資料__3[[#This Row],[人員代號]],團隊分組!$B$1:$C$52,2,FALSE)</f>
        <v>快速保養團隊A</v>
      </c>
      <c r="N464" t="str">
        <f>IF(交易處理資料__3[[#This Row],[上班時間]]=0,"否","是")</f>
        <v>是</v>
      </c>
      <c r="O464" t="s">
        <v>76</v>
      </c>
      <c r="P464" s="37">
        <v>1.3761000000000001</v>
      </c>
      <c r="Q464" s="37">
        <v>1.2592000000000001</v>
      </c>
      <c r="R464" s="37">
        <v>0.73349999999999993</v>
      </c>
    </row>
    <row r="465" spans="1:18" hidden="1">
      <c r="A465" t="s">
        <v>76</v>
      </c>
      <c r="B465" t="s">
        <v>31</v>
      </c>
      <c r="C465">
        <v>0</v>
      </c>
      <c r="D465">
        <v>0</v>
      </c>
      <c r="E465" s="29">
        <v>0</v>
      </c>
      <c r="F465">
        <v>0</v>
      </c>
      <c r="G465">
        <v>0</v>
      </c>
      <c r="H465">
        <v>0</v>
      </c>
      <c r="I465" s="29">
        <v>0</v>
      </c>
      <c r="J465" s="29">
        <v>0</v>
      </c>
      <c r="K465" s="9">
        <v>45303</v>
      </c>
      <c r="L465">
        <f xml:space="preserve"> (交易處理資料__3[[#This Row],[售出工時]] * 60) / 5</f>
        <v>0</v>
      </c>
      <c r="M465" t="str">
        <f>VLOOKUP(交易處理資料__3[[#This Row],[人員代號]],團隊分組!$B$1:$C$52,2,FALSE)</f>
        <v>快速保養團隊A</v>
      </c>
      <c r="N465" t="str">
        <f>IF(交易處理資料__3[[#This Row],[上班時間]]=0,"否","是")</f>
        <v>否</v>
      </c>
      <c r="O465" t="s">
        <v>76</v>
      </c>
      <c r="P465" s="38">
        <v>0</v>
      </c>
      <c r="Q465" s="38">
        <v>0</v>
      </c>
      <c r="R465" s="38">
        <v>0</v>
      </c>
    </row>
    <row r="466" spans="1:18" hidden="1">
      <c r="A466" t="s">
        <v>76</v>
      </c>
      <c r="B466" t="s">
        <v>33</v>
      </c>
      <c r="C466">
        <v>0</v>
      </c>
      <c r="D466">
        <v>0</v>
      </c>
      <c r="E466" s="29">
        <v>0</v>
      </c>
      <c r="F466">
        <v>0</v>
      </c>
      <c r="G466">
        <v>0</v>
      </c>
      <c r="H466">
        <v>0</v>
      </c>
      <c r="I466" s="29">
        <v>0</v>
      </c>
      <c r="J466" s="29">
        <v>0</v>
      </c>
      <c r="K466" s="9">
        <v>45303</v>
      </c>
      <c r="L466">
        <f xml:space="preserve"> (交易處理資料__3[[#This Row],[售出工時]] * 60) / 5</f>
        <v>0</v>
      </c>
      <c r="M466" t="str">
        <f>VLOOKUP(交易處理資料__3[[#This Row],[人員代號]],團隊分組!$B$1:$C$52,2,FALSE)</f>
        <v>快速保養團隊B</v>
      </c>
      <c r="N466" t="str">
        <f>IF(交易處理資料__3[[#This Row],[上班時間]]=0,"否","是")</f>
        <v>否</v>
      </c>
      <c r="O466" t="s">
        <v>76</v>
      </c>
      <c r="P466" s="37">
        <v>0</v>
      </c>
      <c r="Q466" s="37">
        <v>0</v>
      </c>
      <c r="R466" s="37">
        <v>0</v>
      </c>
    </row>
    <row r="467" spans="1:18" hidden="1">
      <c r="A467" t="s">
        <v>76</v>
      </c>
      <c r="B467" t="s">
        <v>35</v>
      </c>
      <c r="C467">
        <v>3.25</v>
      </c>
      <c r="D467">
        <v>6.61</v>
      </c>
      <c r="E467" s="29">
        <v>0.49159999999999998</v>
      </c>
      <c r="F467">
        <v>6.11</v>
      </c>
      <c r="G467">
        <v>2.19</v>
      </c>
      <c r="H467">
        <v>8.3000000000000007</v>
      </c>
      <c r="I467" s="29">
        <v>0.73609999999999998</v>
      </c>
      <c r="J467" s="29">
        <v>0.39159999999999995</v>
      </c>
      <c r="K467" s="9">
        <v>45303</v>
      </c>
      <c r="L467">
        <f xml:space="preserve"> (交易處理資料__3[[#This Row],[售出工時]] * 60) / 5</f>
        <v>39</v>
      </c>
      <c r="M467" t="str">
        <f>VLOOKUP(交易處理資料__3[[#This Row],[人員代號]],團隊分組!$B$1:$C$52,2,FALSE)</f>
        <v>查修團隊B</v>
      </c>
      <c r="N467" t="str">
        <f>IF(交易處理資料__3[[#This Row],[上班時間]]=0,"否","是")</f>
        <v>是</v>
      </c>
      <c r="O467" t="s">
        <v>76</v>
      </c>
      <c r="P467" s="38">
        <v>0.49159999999999998</v>
      </c>
      <c r="Q467" s="38">
        <v>0.39159999999999995</v>
      </c>
      <c r="R467" s="38">
        <v>0.73609999999999998</v>
      </c>
    </row>
    <row r="468" spans="1:18" hidden="1">
      <c r="A468" t="s">
        <v>76</v>
      </c>
      <c r="B468" t="s">
        <v>36</v>
      </c>
      <c r="C468">
        <v>0</v>
      </c>
      <c r="D468">
        <v>0</v>
      </c>
      <c r="E468" s="29">
        <v>0</v>
      </c>
      <c r="F468">
        <v>0</v>
      </c>
      <c r="G468">
        <v>0</v>
      </c>
      <c r="H468">
        <v>0</v>
      </c>
      <c r="I468" s="29">
        <v>0</v>
      </c>
      <c r="J468" s="29">
        <v>0</v>
      </c>
      <c r="K468" s="9">
        <v>45303</v>
      </c>
      <c r="L468">
        <f xml:space="preserve"> (交易處理資料__3[[#This Row],[售出工時]] * 60) / 5</f>
        <v>0</v>
      </c>
      <c r="M468" t="str">
        <f>VLOOKUP(交易處理資料__3[[#This Row],[人員代號]],團隊分組!$B$1:$C$52,2,FALSE)</f>
        <v>查修團隊B</v>
      </c>
      <c r="N468" t="str">
        <f>IF(交易處理資料__3[[#This Row],[上班時間]]=0,"否","是")</f>
        <v>否</v>
      </c>
      <c r="O468" t="s">
        <v>76</v>
      </c>
      <c r="P468" s="37">
        <v>0</v>
      </c>
      <c r="Q468" s="37">
        <v>0</v>
      </c>
      <c r="R468" s="37">
        <v>0</v>
      </c>
    </row>
    <row r="469" spans="1:18" hidden="1">
      <c r="A469" t="s">
        <v>76</v>
      </c>
      <c r="B469" t="s">
        <v>37</v>
      </c>
      <c r="C469">
        <v>5.41</v>
      </c>
      <c r="D469">
        <v>5.31</v>
      </c>
      <c r="E469" s="29">
        <v>1.02</v>
      </c>
      <c r="F469">
        <v>6.67</v>
      </c>
      <c r="G469">
        <v>1.17</v>
      </c>
      <c r="H469">
        <v>7.84</v>
      </c>
      <c r="I469" s="29">
        <v>0.8508</v>
      </c>
      <c r="J469" s="29">
        <v>0.69090000000000007</v>
      </c>
      <c r="K469" s="9">
        <v>45303</v>
      </c>
      <c r="L469">
        <f xml:space="preserve"> (交易處理資料__3[[#This Row],[售出工時]] * 60) / 5</f>
        <v>64.92</v>
      </c>
      <c r="M469" t="str">
        <f>VLOOKUP(交易處理資料__3[[#This Row],[人員代號]],團隊分組!$B$1:$C$52,2,FALSE)</f>
        <v>查修團隊A</v>
      </c>
      <c r="N469" t="str">
        <f>IF(交易處理資料__3[[#This Row],[上班時間]]=0,"否","是")</f>
        <v>是</v>
      </c>
      <c r="O469" t="s">
        <v>76</v>
      </c>
      <c r="P469" s="38">
        <v>1.02</v>
      </c>
      <c r="Q469" s="38">
        <v>0.69090000000000007</v>
      </c>
      <c r="R469" s="38">
        <v>0.8508</v>
      </c>
    </row>
    <row r="470" spans="1:18" hidden="1">
      <c r="A470" t="s">
        <v>76</v>
      </c>
      <c r="B470" t="s">
        <v>38</v>
      </c>
      <c r="C470">
        <v>0</v>
      </c>
      <c r="D470">
        <v>0</v>
      </c>
      <c r="E470" s="29">
        <v>0</v>
      </c>
      <c r="F470">
        <v>0</v>
      </c>
      <c r="G470">
        <v>0</v>
      </c>
      <c r="H470">
        <v>0</v>
      </c>
      <c r="I470" s="29">
        <v>0</v>
      </c>
      <c r="J470" s="29">
        <v>0</v>
      </c>
      <c r="K470" s="9">
        <v>45303</v>
      </c>
      <c r="L470">
        <f xml:space="preserve"> (交易處理資料__3[[#This Row],[售出工時]] * 60) / 5</f>
        <v>0</v>
      </c>
      <c r="M470" t="str">
        <f>VLOOKUP(交易處理資料__3[[#This Row],[人員代號]],團隊分組!$B$1:$C$52,2,FALSE)</f>
        <v>快速保養團隊A</v>
      </c>
      <c r="N470" t="str">
        <f>IF(交易處理資料__3[[#This Row],[上班時間]]=0,"否","是")</f>
        <v>否</v>
      </c>
      <c r="O470" t="s">
        <v>76</v>
      </c>
      <c r="P470" s="37">
        <v>0</v>
      </c>
      <c r="Q470" s="37">
        <v>0</v>
      </c>
      <c r="R470" s="37">
        <v>0</v>
      </c>
    </row>
    <row r="471" spans="1:18" hidden="1">
      <c r="A471" t="s">
        <v>76</v>
      </c>
      <c r="B471" t="s">
        <v>39</v>
      </c>
      <c r="C471">
        <v>1.25</v>
      </c>
      <c r="D471">
        <v>1.75</v>
      </c>
      <c r="E471" s="29">
        <v>0.71420000000000006</v>
      </c>
      <c r="F471">
        <v>5.65</v>
      </c>
      <c r="G471">
        <v>2.16</v>
      </c>
      <c r="H471">
        <v>7.81</v>
      </c>
      <c r="I471" s="29">
        <v>0.72340000000000004</v>
      </c>
      <c r="J471" s="29">
        <v>0.16010000000000002</v>
      </c>
      <c r="K471" s="9">
        <v>45303</v>
      </c>
      <c r="L471">
        <f xml:space="preserve"> (交易處理資料__3[[#This Row],[售出工時]] * 60) / 5</f>
        <v>15</v>
      </c>
      <c r="M471" t="str">
        <f>VLOOKUP(交易處理資料__3[[#This Row],[人員代號]],團隊分組!$B$1:$C$52,2,FALSE)</f>
        <v>查修團隊A</v>
      </c>
      <c r="N471" t="str">
        <f>IF(交易處理資料__3[[#This Row],[上班時間]]=0,"否","是")</f>
        <v>是</v>
      </c>
      <c r="O471" t="s">
        <v>76</v>
      </c>
      <c r="P471" s="38">
        <v>0.71420000000000006</v>
      </c>
      <c r="Q471" s="38">
        <v>0.16010000000000002</v>
      </c>
      <c r="R471" s="38">
        <v>0.72340000000000004</v>
      </c>
    </row>
    <row r="472" spans="1:18" hidden="1">
      <c r="A472" t="s">
        <v>76</v>
      </c>
      <c r="B472" t="s">
        <v>40</v>
      </c>
      <c r="C472">
        <v>3.41</v>
      </c>
      <c r="D472">
        <v>7.5</v>
      </c>
      <c r="E472" s="29">
        <v>0.45549999999999996</v>
      </c>
      <c r="F472">
        <v>6.49</v>
      </c>
      <c r="G472">
        <v>1.84</v>
      </c>
      <c r="H472">
        <v>8.33</v>
      </c>
      <c r="I472" s="29">
        <v>0.77910000000000001</v>
      </c>
      <c r="J472" s="29">
        <v>0.41020000000000001</v>
      </c>
      <c r="K472" s="9">
        <v>45303</v>
      </c>
      <c r="L472">
        <f xml:space="preserve"> (交易處理資料__3[[#This Row],[售出工時]] * 60) / 5</f>
        <v>40.92</v>
      </c>
      <c r="M472" t="str">
        <f>VLOOKUP(交易處理資料__3[[#This Row],[人員代號]],團隊分組!$B$1:$C$52,2,FALSE)</f>
        <v>查修團隊A</v>
      </c>
      <c r="N472" t="str">
        <f>IF(交易處理資料__3[[#This Row],[上班時間]]=0,"否","是")</f>
        <v>是</v>
      </c>
      <c r="O472" t="s">
        <v>76</v>
      </c>
      <c r="P472" s="37">
        <v>0.45549999999999996</v>
      </c>
      <c r="Q472" s="37">
        <v>0.41020000000000001</v>
      </c>
      <c r="R472" s="37">
        <v>0.77910000000000001</v>
      </c>
    </row>
    <row r="473" spans="1:18" hidden="1">
      <c r="A473" t="s">
        <v>76</v>
      </c>
      <c r="B473" t="s">
        <v>41</v>
      </c>
      <c r="C473">
        <v>16.829999999999998</v>
      </c>
      <c r="D473">
        <v>6.03</v>
      </c>
      <c r="E473" s="29">
        <v>2.7914999999999996</v>
      </c>
      <c r="F473">
        <v>7.41</v>
      </c>
      <c r="G473">
        <v>1.41</v>
      </c>
      <c r="H473">
        <v>8.82</v>
      </c>
      <c r="I473" s="29">
        <v>0.84010000000000007</v>
      </c>
      <c r="J473" s="29">
        <v>1.9084999999999999</v>
      </c>
      <c r="K473" s="9">
        <v>45303</v>
      </c>
      <c r="L473">
        <f xml:space="preserve"> (交易處理資料__3[[#This Row],[售出工時]] * 60) / 5</f>
        <v>201.95999999999998</v>
      </c>
      <c r="M473" t="str">
        <f>VLOOKUP(交易處理資料__3[[#This Row],[人員代號]],團隊分組!$B$1:$C$52,2,FALSE)</f>
        <v>快速保養團隊A</v>
      </c>
      <c r="N473" t="str">
        <f>IF(交易處理資料__3[[#This Row],[上班時間]]=0,"否","是")</f>
        <v>是</v>
      </c>
      <c r="O473" t="s">
        <v>76</v>
      </c>
      <c r="P473" s="38">
        <v>2.7914999999999996</v>
      </c>
      <c r="Q473" s="38">
        <v>1.9084999999999999</v>
      </c>
      <c r="R473" s="38">
        <v>0.84010000000000007</v>
      </c>
    </row>
    <row r="474" spans="1:18" hidden="1">
      <c r="A474" t="s">
        <v>76</v>
      </c>
      <c r="B474" t="s">
        <v>42</v>
      </c>
      <c r="C474">
        <v>6.58</v>
      </c>
      <c r="D474">
        <v>5.2</v>
      </c>
      <c r="E474" s="29">
        <v>1.266</v>
      </c>
      <c r="F474">
        <v>7.1</v>
      </c>
      <c r="G474">
        <v>0.96</v>
      </c>
      <c r="H474">
        <v>8.06</v>
      </c>
      <c r="I474" s="29">
        <v>0.88090000000000002</v>
      </c>
      <c r="J474" s="29">
        <v>0.81680000000000008</v>
      </c>
      <c r="K474" s="9">
        <v>45303</v>
      </c>
      <c r="L474">
        <f xml:space="preserve"> (交易處理資料__3[[#This Row],[售出工時]] * 60) / 5</f>
        <v>78.960000000000008</v>
      </c>
      <c r="M474" t="str">
        <f>VLOOKUP(交易處理資料__3[[#This Row],[人員代號]],團隊分組!$B$1:$C$52,2,FALSE)</f>
        <v>快速保養團隊A</v>
      </c>
      <c r="N474" t="str">
        <f>IF(交易處理資料__3[[#This Row],[上班時間]]=0,"否","是")</f>
        <v>是</v>
      </c>
      <c r="O474" t="s">
        <v>76</v>
      </c>
      <c r="P474" s="37">
        <v>1.266</v>
      </c>
      <c r="Q474" s="37">
        <v>0.81680000000000008</v>
      </c>
      <c r="R474" s="37">
        <v>0.88090000000000002</v>
      </c>
    </row>
    <row r="475" spans="1:18" hidden="1">
      <c r="A475" t="s">
        <v>76</v>
      </c>
      <c r="B475" t="s">
        <v>43</v>
      </c>
      <c r="C475">
        <v>1.41</v>
      </c>
      <c r="D475">
        <v>1.36</v>
      </c>
      <c r="E475" s="29">
        <v>1.0415999999999999</v>
      </c>
      <c r="F475">
        <v>8.0500000000000007</v>
      </c>
      <c r="G475">
        <v>0.28000000000000003</v>
      </c>
      <c r="H475">
        <v>8.33</v>
      </c>
      <c r="I475" s="29">
        <v>0.96640000000000004</v>
      </c>
      <c r="J475" s="29">
        <v>0.17010000000000003</v>
      </c>
      <c r="K475" s="9">
        <v>45303</v>
      </c>
      <c r="L475">
        <f xml:space="preserve"> (交易處理資料__3[[#This Row],[售出工時]] * 60) / 5</f>
        <v>16.919999999999998</v>
      </c>
      <c r="M475" t="str">
        <f>VLOOKUP(交易處理資料__3[[#This Row],[人員代號]],團隊分組!$B$1:$C$52,2,FALSE)</f>
        <v>查修團隊B</v>
      </c>
      <c r="N475" t="str">
        <f>IF(交易處理資料__3[[#This Row],[上班時間]]=0,"否","是")</f>
        <v>是</v>
      </c>
      <c r="O475" t="s">
        <v>76</v>
      </c>
      <c r="P475" s="38">
        <v>1.0415999999999999</v>
      </c>
      <c r="Q475" s="38">
        <v>0.17010000000000003</v>
      </c>
      <c r="R475" s="38">
        <v>0.96640000000000004</v>
      </c>
    </row>
    <row r="476" spans="1:18" hidden="1">
      <c r="A476" t="s">
        <v>76</v>
      </c>
      <c r="B476" t="s">
        <v>46</v>
      </c>
      <c r="C476">
        <v>1</v>
      </c>
      <c r="D476">
        <v>0.77</v>
      </c>
      <c r="E476" s="29">
        <v>1.2987</v>
      </c>
      <c r="F476">
        <v>7.41</v>
      </c>
      <c r="G476">
        <v>0.92</v>
      </c>
      <c r="H476">
        <v>8.33</v>
      </c>
      <c r="I476" s="29">
        <v>0.88959999999999995</v>
      </c>
      <c r="J476" s="29">
        <v>0.12</v>
      </c>
      <c r="K476" s="9">
        <v>45303</v>
      </c>
      <c r="L476">
        <f xml:space="preserve"> (交易處理資料__3[[#This Row],[售出工時]] * 60) / 5</f>
        <v>12</v>
      </c>
      <c r="M476" t="str">
        <f>VLOOKUP(交易處理資料__3[[#This Row],[人員代號]],團隊分組!$B$1:$C$52,2,FALSE)</f>
        <v>查修團隊B</v>
      </c>
      <c r="N476" t="str">
        <f>IF(交易處理資料__3[[#This Row],[上班時間]]=0,"否","是")</f>
        <v>是</v>
      </c>
      <c r="O476" t="s">
        <v>76</v>
      </c>
      <c r="P476" s="37">
        <v>1.2987</v>
      </c>
      <c r="Q476" s="37">
        <v>0.12</v>
      </c>
      <c r="R476" s="37">
        <v>0.88959999999999995</v>
      </c>
    </row>
    <row r="477" spans="1:18" hidden="1">
      <c r="A477" t="s">
        <v>76</v>
      </c>
      <c r="B477" t="s">
        <v>47</v>
      </c>
      <c r="C477">
        <v>1</v>
      </c>
      <c r="D477">
        <v>1.58</v>
      </c>
      <c r="E477" s="29">
        <v>0.63290000000000002</v>
      </c>
      <c r="F477">
        <v>6.35</v>
      </c>
      <c r="G477">
        <v>1.61</v>
      </c>
      <c r="H477">
        <v>7.96</v>
      </c>
      <c r="I477" s="29">
        <v>0.79769999999999996</v>
      </c>
      <c r="J477" s="29">
        <v>0.12560000000000002</v>
      </c>
      <c r="K477" s="9">
        <v>45303</v>
      </c>
      <c r="L477">
        <f xml:space="preserve"> (交易處理資料__3[[#This Row],[售出工時]] * 60) / 5</f>
        <v>12</v>
      </c>
      <c r="M477" t="str">
        <f>VLOOKUP(交易處理資料__3[[#This Row],[人員代號]],團隊分組!$B$1:$C$52,2,FALSE)</f>
        <v>查修團隊B</v>
      </c>
      <c r="N477" t="str">
        <f>IF(交易處理資料__3[[#This Row],[上班時間]]=0,"否","是")</f>
        <v>是</v>
      </c>
      <c r="O477" t="s">
        <v>76</v>
      </c>
      <c r="P477" s="38">
        <v>0.63290000000000002</v>
      </c>
      <c r="Q477" s="38">
        <v>0.12560000000000002</v>
      </c>
      <c r="R477" s="38">
        <v>0.79769999999999996</v>
      </c>
    </row>
    <row r="478" spans="1:18" hidden="1">
      <c r="A478" t="s">
        <v>76</v>
      </c>
      <c r="B478" t="s">
        <v>48</v>
      </c>
      <c r="C478">
        <v>0</v>
      </c>
      <c r="D478">
        <v>0</v>
      </c>
      <c r="E478" s="29">
        <v>0</v>
      </c>
      <c r="F478">
        <v>6.97</v>
      </c>
      <c r="G478">
        <v>0.99</v>
      </c>
      <c r="H478">
        <v>7.96</v>
      </c>
      <c r="I478" s="29">
        <v>0.87560000000000004</v>
      </c>
      <c r="J478" s="29">
        <v>0</v>
      </c>
      <c r="K478" s="9">
        <v>45303</v>
      </c>
      <c r="L478">
        <f xml:space="preserve"> (交易處理資料__3[[#This Row],[售出工時]] * 60) / 5</f>
        <v>0</v>
      </c>
      <c r="M478" t="str">
        <f>VLOOKUP(交易處理資料__3[[#This Row],[人員代號]],團隊分組!$B$1:$C$52,2,FALSE)</f>
        <v>查修團隊A</v>
      </c>
      <c r="N478" t="str">
        <f>IF(交易處理資料__3[[#This Row],[上班時間]]=0,"否","是")</f>
        <v>是</v>
      </c>
      <c r="O478" t="s">
        <v>76</v>
      </c>
      <c r="P478" s="37">
        <v>0</v>
      </c>
      <c r="Q478" s="37">
        <v>0</v>
      </c>
      <c r="R478" s="37">
        <v>0.87560000000000004</v>
      </c>
    </row>
    <row r="479" spans="1:18" hidden="1">
      <c r="A479" t="s">
        <v>76</v>
      </c>
      <c r="B479" t="s">
        <v>49</v>
      </c>
      <c r="C479">
        <v>0</v>
      </c>
      <c r="D479">
        <v>0</v>
      </c>
      <c r="E479" s="29">
        <v>0</v>
      </c>
      <c r="F479">
        <v>0</v>
      </c>
      <c r="G479">
        <v>0</v>
      </c>
      <c r="H479">
        <v>0</v>
      </c>
      <c r="I479" s="29">
        <v>0</v>
      </c>
      <c r="J479" s="29">
        <v>0</v>
      </c>
      <c r="K479" s="9">
        <v>45303</v>
      </c>
      <c r="L479">
        <f xml:space="preserve"> (交易處理資料__3[[#This Row],[售出工時]] * 60) / 5</f>
        <v>0</v>
      </c>
      <c r="M479" t="str">
        <f>VLOOKUP(交易處理資料__3[[#This Row],[人員代號]],團隊分組!$B$1:$C$52,2,FALSE)</f>
        <v>查修團隊A</v>
      </c>
      <c r="N479" t="str">
        <f>IF(交易處理資料__3[[#This Row],[上班時間]]=0,"否","是")</f>
        <v>否</v>
      </c>
      <c r="O479" t="s">
        <v>76</v>
      </c>
      <c r="P479" s="38">
        <v>0</v>
      </c>
      <c r="Q479" s="38">
        <v>0</v>
      </c>
      <c r="R479" s="38">
        <v>0</v>
      </c>
    </row>
    <row r="480" spans="1:18" hidden="1">
      <c r="A480" t="s">
        <v>76</v>
      </c>
      <c r="B480" t="s">
        <v>51</v>
      </c>
      <c r="C480">
        <v>0</v>
      </c>
      <c r="D480">
        <v>0</v>
      </c>
      <c r="E480" s="29">
        <v>0</v>
      </c>
      <c r="F480">
        <v>0</v>
      </c>
      <c r="G480">
        <v>0</v>
      </c>
      <c r="H480">
        <v>0</v>
      </c>
      <c r="I480" s="29">
        <v>0</v>
      </c>
      <c r="J480" s="29">
        <v>0</v>
      </c>
      <c r="K480" s="9">
        <v>45303</v>
      </c>
      <c r="L480">
        <f xml:space="preserve"> (交易處理資料__3[[#This Row],[售出工時]] * 60) / 5</f>
        <v>0</v>
      </c>
      <c r="M480" t="str">
        <f>VLOOKUP(交易處理資料__3[[#This Row],[人員代號]],團隊分組!$B$1:$C$52,2,FALSE)</f>
        <v>無效數據</v>
      </c>
      <c r="N480" t="str">
        <f>IF(交易處理資料__3[[#This Row],[上班時間]]=0,"否","是")</f>
        <v>否</v>
      </c>
      <c r="O480" t="s">
        <v>76</v>
      </c>
      <c r="P480" s="37">
        <v>0</v>
      </c>
      <c r="Q480" s="37">
        <v>0</v>
      </c>
      <c r="R480" s="37">
        <v>0</v>
      </c>
    </row>
    <row r="481" spans="1:18" hidden="1">
      <c r="A481" t="s">
        <v>76</v>
      </c>
      <c r="B481" t="s">
        <v>53</v>
      </c>
      <c r="C481">
        <v>3.5</v>
      </c>
      <c r="D481">
        <v>3.97</v>
      </c>
      <c r="E481" s="29">
        <v>0.88159999999999994</v>
      </c>
      <c r="F481">
        <v>7.24</v>
      </c>
      <c r="G481">
        <v>0.85</v>
      </c>
      <c r="H481">
        <v>8.09</v>
      </c>
      <c r="I481" s="29">
        <v>0.89489999999999992</v>
      </c>
      <c r="J481" s="29">
        <v>0.43259999999999998</v>
      </c>
      <c r="K481" s="9">
        <v>45303</v>
      </c>
      <c r="L481">
        <f xml:space="preserve"> (交易處理資料__3[[#This Row],[售出工時]] * 60) / 5</f>
        <v>42</v>
      </c>
      <c r="M481" t="str">
        <f>VLOOKUP(交易處理資料__3[[#This Row],[人員代號]],團隊分組!$B$1:$C$52,2,FALSE)</f>
        <v>查修團隊A</v>
      </c>
      <c r="N481" t="str">
        <f>IF(交易處理資料__3[[#This Row],[上班時間]]=0,"否","是")</f>
        <v>是</v>
      </c>
      <c r="O481" t="s">
        <v>76</v>
      </c>
      <c r="P481" s="38">
        <v>0.88159999999999994</v>
      </c>
      <c r="Q481" s="38">
        <v>0.43259999999999998</v>
      </c>
      <c r="R481" s="38">
        <v>0.89489999999999992</v>
      </c>
    </row>
    <row r="482" spans="1:18" hidden="1">
      <c r="A482" s="10" t="s">
        <v>74</v>
      </c>
      <c r="B482" t="s">
        <v>1</v>
      </c>
      <c r="C482">
        <v>0</v>
      </c>
      <c r="D482">
        <v>0</v>
      </c>
      <c r="E482" s="29">
        <v>0</v>
      </c>
      <c r="F482">
        <v>0</v>
      </c>
      <c r="G482">
        <v>0</v>
      </c>
      <c r="H482">
        <v>0</v>
      </c>
      <c r="I482" s="29">
        <v>0</v>
      </c>
      <c r="J482" s="29">
        <v>0</v>
      </c>
      <c r="K482" s="9">
        <v>45304</v>
      </c>
      <c r="L482">
        <f xml:space="preserve"> (交易處理資料__3[[#This Row],[售出工時]] * 60) / 5</f>
        <v>0</v>
      </c>
      <c r="M482" t="str">
        <f>VLOOKUP(交易處理資料__3[[#This Row],[人員代號]],團隊分組!$B$1:$C$52,2,FALSE)</f>
        <v>噴漆維修組</v>
      </c>
      <c r="N482" t="str">
        <f>IF(交易處理資料__3[[#This Row],[上班時間]]=0,"否","是")</f>
        <v>否</v>
      </c>
      <c r="O482" s="10" t="s">
        <v>74</v>
      </c>
      <c r="P482" s="37">
        <v>0</v>
      </c>
      <c r="Q482" s="37">
        <v>0</v>
      </c>
      <c r="R482" s="37">
        <v>0</v>
      </c>
    </row>
    <row r="483" spans="1:18" hidden="1">
      <c r="A483" s="10" t="s">
        <v>74</v>
      </c>
      <c r="B483" t="s">
        <v>2</v>
      </c>
      <c r="C483">
        <v>0</v>
      </c>
      <c r="D483">
        <v>0</v>
      </c>
      <c r="E483" s="29">
        <v>0</v>
      </c>
      <c r="F483">
        <v>0</v>
      </c>
      <c r="G483">
        <v>0</v>
      </c>
      <c r="H483">
        <v>0</v>
      </c>
      <c r="I483" s="29">
        <v>0</v>
      </c>
      <c r="J483" s="29">
        <v>0</v>
      </c>
      <c r="K483" s="9">
        <v>45304</v>
      </c>
      <c r="L483">
        <f xml:space="preserve"> (交易處理資料__3[[#This Row],[售出工時]] * 60) / 5</f>
        <v>0</v>
      </c>
      <c r="M483" t="str">
        <f>VLOOKUP(交易處理資料__3[[#This Row],[人員代號]],團隊分組!$B$1:$C$52,2,FALSE)</f>
        <v>噴漆維修組</v>
      </c>
      <c r="N483" t="str">
        <f>IF(交易處理資料__3[[#This Row],[上班時間]]=0,"否","是")</f>
        <v>否</v>
      </c>
      <c r="O483" s="10" t="s">
        <v>74</v>
      </c>
      <c r="P483" s="38">
        <v>0</v>
      </c>
      <c r="Q483" s="38">
        <v>0</v>
      </c>
      <c r="R483" s="38">
        <v>0</v>
      </c>
    </row>
    <row r="484" spans="1:18" hidden="1">
      <c r="A484" s="10" t="s">
        <v>74</v>
      </c>
      <c r="B484" t="s">
        <v>3</v>
      </c>
      <c r="C484">
        <v>0</v>
      </c>
      <c r="D484">
        <v>0</v>
      </c>
      <c r="E484" s="29">
        <v>0</v>
      </c>
      <c r="F484">
        <v>0</v>
      </c>
      <c r="G484">
        <v>0</v>
      </c>
      <c r="H484">
        <v>0</v>
      </c>
      <c r="I484" s="29">
        <v>0</v>
      </c>
      <c r="J484" s="29">
        <v>0</v>
      </c>
      <c r="K484" s="9">
        <v>45304</v>
      </c>
      <c r="L484">
        <f xml:space="preserve"> (交易處理資料__3[[#This Row],[售出工時]] * 60) / 5</f>
        <v>0</v>
      </c>
      <c r="M484" t="str">
        <f>VLOOKUP(交易處理資料__3[[#This Row],[人員代號]],團隊分組!$B$1:$C$52,2,FALSE)</f>
        <v>噴漆維修組</v>
      </c>
      <c r="N484" t="str">
        <f>IF(交易處理資料__3[[#This Row],[上班時間]]=0,"否","是")</f>
        <v>否</v>
      </c>
      <c r="O484" s="10" t="s">
        <v>74</v>
      </c>
      <c r="P484" s="37">
        <v>0</v>
      </c>
      <c r="Q484" s="37">
        <v>0</v>
      </c>
      <c r="R484" s="37">
        <v>0</v>
      </c>
    </row>
    <row r="485" spans="1:18" hidden="1">
      <c r="A485" s="10" t="s">
        <v>74</v>
      </c>
      <c r="B485" t="s">
        <v>5</v>
      </c>
      <c r="C485">
        <v>0</v>
      </c>
      <c r="D485">
        <v>0</v>
      </c>
      <c r="E485" s="29">
        <v>0</v>
      </c>
      <c r="F485">
        <v>5.65</v>
      </c>
      <c r="G485">
        <v>2.37</v>
      </c>
      <c r="H485">
        <v>8.02</v>
      </c>
      <c r="I485" s="29">
        <v>0.70450000000000002</v>
      </c>
      <c r="J485" s="29">
        <v>0</v>
      </c>
      <c r="K485" s="9">
        <v>45304</v>
      </c>
      <c r="L485">
        <f xml:space="preserve"> (交易處理資料__3[[#This Row],[售出工時]] * 60) / 5</f>
        <v>0</v>
      </c>
      <c r="M485" t="str">
        <f>VLOOKUP(交易處理資料__3[[#This Row],[人員代號]],團隊分組!$B$1:$C$52,2,FALSE)</f>
        <v>噴漆維修組</v>
      </c>
      <c r="N485" t="str">
        <f>IF(交易處理資料__3[[#This Row],[上班時間]]=0,"否","是")</f>
        <v>是</v>
      </c>
      <c r="O485" s="10" t="s">
        <v>74</v>
      </c>
      <c r="P485" s="38">
        <v>0</v>
      </c>
      <c r="Q485" s="38">
        <v>0</v>
      </c>
      <c r="R485" s="38">
        <v>0.70450000000000002</v>
      </c>
    </row>
    <row r="486" spans="1:18" hidden="1">
      <c r="A486" s="10" t="s">
        <v>74</v>
      </c>
      <c r="B486" t="s">
        <v>6</v>
      </c>
      <c r="C486">
        <v>0</v>
      </c>
      <c r="D486">
        <v>0</v>
      </c>
      <c r="E486" s="29">
        <v>0</v>
      </c>
      <c r="F486">
        <v>5.72</v>
      </c>
      <c r="G486">
        <v>2.3199999999999998</v>
      </c>
      <c r="H486">
        <v>8.0399999999999991</v>
      </c>
      <c r="I486" s="29">
        <v>0.71140000000000003</v>
      </c>
      <c r="J486" s="29">
        <v>0</v>
      </c>
      <c r="K486" s="9">
        <v>45304</v>
      </c>
      <c r="L486">
        <f xml:space="preserve"> (交易處理資料__3[[#This Row],[售出工時]] * 60) / 5</f>
        <v>0</v>
      </c>
      <c r="M486" t="str">
        <f>VLOOKUP(交易處理資料__3[[#This Row],[人員代號]],團隊分組!$B$1:$C$52,2,FALSE)</f>
        <v>噴漆維修組</v>
      </c>
      <c r="N486" t="str">
        <f>IF(交易處理資料__3[[#This Row],[上班時間]]=0,"否","是")</f>
        <v>是</v>
      </c>
      <c r="O486" s="10" t="s">
        <v>74</v>
      </c>
      <c r="P486" s="37">
        <v>0</v>
      </c>
      <c r="Q486" s="37">
        <v>0</v>
      </c>
      <c r="R486" s="37">
        <v>0.71140000000000003</v>
      </c>
    </row>
    <row r="487" spans="1:18">
      <c r="A487" s="10" t="s">
        <v>74</v>
      </c>
      <c r="B487" t="s">
        <v>7</v>
      </c>
      <c r="C487">
        <v>0</v>
      </c>
      <c r="D487">
        <v>0</v>
      </c>
      <c r="E487" s="29">
        <v>0</v>
      </c>
      <c r="F487">
        <v>5.67</v>
      </c>
      <c r="G487">
        <v>2.36</v>
      </c>
      <c r="H487">
        <v>8.0299999999999994</v>
      </c>
      <c r="I487" s="29">
        <v>0.70609999999999995</v>
      </c>
      <c r="J487" s="29">
        <v>0</v>
      </c>
      <c r="K487" s="9">
        <v>45304</v>
      </c>
      <c r="L487">
        <f xml:space="preserve"> (交易處理資料__3[[#This Row],[售出工時]] * 60) / 5</f>
        <v>0</v>
      </c>
      <c r="M487" t="str">
        <f>VLOOKUP(交易處理資料__3[[#This Row],[人員代號]],團隊分組!$B$1:$C$52,2,FALSE)</f>
        <v>噴漆維修組</v>
      </c>
      <c r="N487" t="str">
        <f>IF(交易處理資料__3[[#This Row],[上班時間]]=0,"否","是")</f>
        <v>是</v>
      </c>
      <c r="O487" s="10" t="s">
        <v>74</v>
      </c>
      <c r="P487" s="38">
        <v>0</v>
      </c>
      <c r="Q487" s="38">
        <v>0</v>
      </c>
      <c r="R487" s="38">
        <v>0.70609999999999995</v>
      </c>
    </row>
    <row r="488" spans="1:18" hidden="1">
      <c r="A488" s="10" t="s">
        <v>74</v>
      </c>
      <c r="B488" t="s">
        <v>9</v>
      </c>
      <c r="C488">
        <v>0</v>
      </c>
      <c r="D488">
        <v>0</v>
      </c>
      <c r="E488" s="29">
        <v>0</v>
      </c>
      <c r="F488">
        <v>0</v>
      </c>
      <c r="G488">
        <v>0</v>
      </c>
      <c r="H488">
        <v>0</v>
      </c>
      <c r="I488" s="29">
        <v>0</v>
      </c>
      <c r="J488" s="29">
        <v>0</v>
      </c>
      <c r="K488" s="9">
        <v>45304</v>
      </c>
      <c r="L488">
        <f xml:space="preserve"> (交易處理資料__3[[#This Row],[售出工時]] * 60) / 5</f>
        <v>0</v>
      </c>
      <c r="M488" t="str">
        <f>VLOOKUP(交易處理資料__3[[#This Row],[人員代號]],團隊分組!$B$1:$C$52,2,FALSE)</f>
        <v>噴漆維修組</v>
      </c>
      <c r="N488" t="str">
        <f>IF(交易處理資料__3[[#This Row],[上班時間]]=0,"否","是")</f>
        <v>否</v>
      </c>
      <c r="O488" s="10" t="s">
        <v>74</v>
      </c>
      <c r="P488" s="37">
        <v>0</v>
      </c>
      <c r="Q488" s="37">
        <v>0</v>
      </c>
      <c r="R488" s="37">
        <v>0</v>
      </c>
    </row>
    <row r="489" spans="1:18" hidden="1">
      <c r="A489" t="s">
        <v>75</v>
      </c>
      <c r="B489" t="s">
        <v>11</v>
      </c>
      <c r="C489">
        <v>0</v>
      </c>
      <c r="D489">
        <v>0</v>
      </c>
      <c r="E489" s="29">
        <v>0</v>
      </c>
      <c r="F489">
        <v>6.85</v>
      </c>
      <c r="G489">
        <v>1.18</v>
      </c>
      <c r="H489">
        <v>8.0299999999999994</v>
      </c>
      <c r="I489" s="29">
        <v>0.85309999999999997</v>
      </c>
      <c r="J489" s="29">
        <v>0</v>
      </c>
      <c r="K489" s="9">
        <v>45304</v>
      </c>
      <c r="L489">
        <f xml:space="preserve"> (交易處理資料__3[[#This Row],[售出工時]] * 60) / 5</f>
        <v>0</v>
      </c>
      <c r="M489" t="str">
        <f>VLOOKUP(交易處理資料__3[[#This Row],[人員代號]],團隊分組!$B$1:$C$52,2,FALSE)</f>
        <v>鈑金維修組</v>
      </c>
      <c r="N489" t="str">
        <f>IF(交易處理資料__3[[#This Row],[上班時間]]=0,"否","是")</f>
        <v>是</v>
      </c>
      <c r="O489" t="s">
        <v>75</v>
      </c>
      <c r="P489" s="38">
        <v>0</v>
      </c>
      <c r="Q489" s="38">
        <v>0</v>
      </c>
      <c r="R489" s="38">
        <v>0.85309999999999997</v>
      </c>
    </row>
    <row r="490" spans="1:18" hidden="1">
      <c r="A490" t="s">
        <v>75</v>
      </c>
      <c r="B490" t="s">
        <v>12</v>
      </c>
      <c r="C490">
        <v>0</v>
      </c>
      <c r="D490">
        <v>0</v>
      </c>
      <c r="E490" s="29">
        <v>0</v>
      </c>
      <c r="F490">
        <v>0</v>
      </c>
      <c r="G490">
        <v>0</v>
      </c>
      <c r="H490">
        <v>0</v>
      </c>
      <c r="I490" s="29">
        <v>0</v>
      </c>
      <c r="J490" s="29">
        <v>0</v>
      </c>
      <c r="K490" s="9">
        <v>45304</v>
      </c>
      <c r="L490">
        <f xml:space="preserve"> (交易處理資料__3[[#This Row],[售出工時]] * 60) / 5</f>
        <v>0</v>
      </c>
      <c r="M490" t="str">
        <f>VLOOKUP(交易處理資料__3[[#This Row],[人員代號]],團隊分組!$B$1:$C$52,2,FALSE)</f>
        <v>鈑金維修組</v>
      </c>
      <c r="N490" t="str">
        <f>IF(交易處理資料__3[[#This Row],[上班時間]]=0,"否","是")</f>
        <v>否</v>
      </c>
      <c r="O490" t="s">
        <v>75</v>
      </c>
      <c r="P490" s="37">
        <v>0</v>
      </c>
      <c r="Q490" s="37">
        <v>0</v>
      </c>
      <c r="R490" s="37">
        <v>0</v>
      </c>
    </row>
    <row r="491" spans="1:18" hidden="1">
      <c r="A491" t="s">
        <v>75</v>
      </c>
      <c r="B491" t="s">
        <v>13</v>
      </c>
      <c r="C491">
        <v>0</v>
      </c>
      <c r="D491">
        <v>0</v>
      </c>
      <c r="E491" s="29">
        <v>0</v>
      </c>
      <c r="F491">
        <v>0</v>
      </c>
      <c r="G491">
        <v>0</v>
      </c>
      <c r="H491">
        <v>0</v>
      </c>
      <c r="I491" s="29">
        <v>0</v>
      </c>
      <c r="J491" s="29">
        <v>0</v>
      </c>
      <c r="K491" s="9">
        <v>45304</v>
      </c>
      <c r="L491">
        <f xml:space="preserve"> (交易處理資料__3[[#This Row],[售出工時]] * 60) / 5</f>
        <v>0</v>
      </c>
      <c r="M491" t="str">
        <f>VLOOKUP(交易處理資料__3[[#This Row],[人員代號]],團隊分組!$B$1:$C$52,2,FALSE)</f>
        <v>鈑金維修組</v>
      </c>
      <c r="N491" t="str">
        <f>IF(交易處理資料__3[[#This Row],[上班時間]]=0,"否","是")</f>
        <v>否</v>
      </c>
      <c r="O491" t="s">
        <v>75</v>
      </c>
      <c r="P491" s="38">
        <v>0</v>
      </c>
      <c r="Q491" s="38">
        <v>0</v>
      </c>
      <c r="R491" s="38">
        <v>0</v>
      </c>
    </row>
    <row r="492" spans="1:18" hidden="1">
      <c r="A492" t="s">
        <v>75</v>
      </c>
      <c r="B492" t="s">
        <v>14</v>
      </c>
      <c r="C492">
        <v>0</v>
      </c>
      <c r="D492">
        <v>0</v>
      </c>
      <c r="E492" s="29">
        <v>0</v>
      </c>
      <c r="F492">
        <v>0</v>
      </c>
      <c r="G492">
        <v>0</v>
      </c>
      <c r="H492">
        <v>0</v>
      </c>
      <c r="I492" s="29">
        <v>0</v>
      </c>
      <c r="J492" s="29">
        <v>0</v>
      </c>
      <c r="K492" s="9">
        <v>45304</v>
      </c>
      <c r="L492">
        <f xml:space="preserve"> (交易處理資料__3[[#This Row],[售出工時]] * 60) / 5</f>
        <v>0</v>
      </c>
      <c r="M492" t="str">
        <f>VLOOKUP(交易處理資料__3[[#This Row],[人員代號]],團隊分組!$B$1:$C$52,2,FALSE)</f>
        <v>鈑金維修組</v>
      </c>
      <c r="N492" t="str">
        <f>IF(交易處理資料__3[[#This Row],[上班時間]]=0,"否","是")</f>
        <v>否</v>
      </c>
      <c r="O492" t="s">
        <v>75</v>
      </c>
      <c r="P492" s="37">
        <v>0</v>
      </c>
      <c r="Q492" s="37">
        <v>0</v>
      </c>
      <c r="R492" s="37">
        <v>0</v>
      </c>
    </row>
    <row r="493" spans="1:18" hidden="1">
      <c r="A493" t="s">
        <v>75</v>
      </c>
      <c r="B493" t="s">
        <v>15</v>
      </c>
      <c r="C493">
        <v>0</v>
      </c>
      <c r="D493">
        <v>0</v>
      </c>
      <c r="E493" s="29">
        <v>0</v>
      </c>
      <c r="F493">
        <v>0</v>
      </c>
      <c r="G493">
        <v>0</v>
      </c>
      <c r="H493">
        <v>0</v>
      </c>
      <c r="I493" s="29">
        <v>0</v>
      </c>
      <c r="J493" s="29">
        <v>0</v>
      </c>
      <c r="K493" s="9">
        <v>45304</v>
      </c>
      <c r="L493">
        <f xml:space="preserve"> (交易處理資料__3[[#This Row],[售出工時]] * 60) / 5</f>
        <v>0</v>
      </c>
      <c r="M493" t="str">
        <f>VLOOKUP(交易處理資料__3[[#This Row],[人員代號]],團隊分組!$B$1:$C$52,2,FALSE)</f>
        <v>鈑金維修組</v>
      </c>
      <c r="N493" t="str">
        <f>IF(交易處理資料__3[[#This Row],[上班時間]]=0,"否","是")</f>
        <v>否</v>
      </c>
      <c r="O493" t="s">
        <v>75</v>
      </c>
      <c r="P493" s="38">
        <v>0</v>
      </c>
      <c r="Q493" s="38">
        <v>0</v>
      </c>
      <c r="R493" s="38">
        <v>0</v>
      </c>
    </row>
    <row r="494" spans="1:18" hidden="1">
      <c r="A494" t="s">
        <v>76</v>
      </c>
      <c r="B494" t="s">
        <v>17</v>
      </c>
      <c r="C494">
        <v>2.08</v>
      </c>
      <c r="D494">
        <v>3.03</v>
      </c>
      <c r="E494" s="29">
        <v>0.6875</v>
      </c>
      <c r="F494">
        <v>3.7</v>
      </c>
      <c r="G494">
        <v>3.77</v>
      </c>
      <c r="H494">
        <v>7.47</v>
      </c>
      <c r="I494" s="29">
        <v>0.49530000000000002</v>
      </c>
      <c r="J494" s="29">
        <v>0.27889999999999998</v>
      </c>
      <c r="K494" s="9">
        <v>45304</v>
      </c>
      <c r="L494">
        <f xml:space="preserve"> (交易處理資料__3[[#This Row],[售出工時]] * 60) / 5</f>
        <v>24.96</v>
      </c>
      <c r="M494" t="str">
        <f>VLOOKUP(交易處理資料__3[[#This Row],[人員代號]],團隊分組!$B$1:$C$52,2,FALSE)</f>
        <v>快速保養團隊A</v>
      </c>
      <c r="N494" t="str">
        <f>IF(交易處理資料__3[[#This Row],[上班時間]]=0,"否","是")</f>
        <v>是</v>
      </c>
      <c r="O494" t="s">
        <v>76</v>
      </c>
      <c r="P494" s="37">
        <v>0.6875</v>
      </c>
      <c r="Q494" s="37">
        <v>0.27889999999999998</v>
      </c>
      <c r="R494" s="37">
        <v>0.49530000000000002</v>
      </c>
    </row>
    <row r="495" spans="1:18" hidden="1">
      <c r="A495" t="s">
        <v>76</v>
      </c>
      <c r="B495" t="s">
        <v>18</v>
      </c>
      <c r="C495">
        <v>3.95</v>
      </c>
      <c r="D495">
        <v>4.29</v>
      </c>
      <c r="E495" s="29">
        <v>0.92220000000000002</v>
      </c>
      <c r="F495">
        <v>3.27</v>
      </c>
      <c r="G495">
        <v>2.29</v>
      </c>
      <c r="H495">
        <v>5.56</v>
      </c>
      <c r="I495" s="29">
        <v>0.58810000000000007</v>
      </c>
      <c r="J495" s="29">
        <v>0.71160000000000001</v>
      </c>
      <c r="K495" s="9">
        <v>45304</v>
      </c>
      <c r="L495">
        <f xml:space="preserve"> (交易處理資料__3[[#This Row],[售出工時]] * 60) / 5</f>
        <v>47.4</v>
      </c>
      <c r="M495" t="str">
        <f>VLOOKUP(交易處理資料__3[[#This Row],[人員代號]],團隊分組!$B$1:$C$52,2,FALSE)</f>
        <v>查修團隊B</v>
      </c>
      <c r="N495" t="str">
        <f>IF(交易處理資料__3[[#This Row],[上班時間]]=0,"否","是")</f>
        <v>是</v>
      </c>
      <c r="O495" t="s">
        <v>76</v>
      </c>
      <c r="P495" s="38">
        <v>0.92220000000000002</v>
      </c>
      <c r="Q495" s="38">
        <v>0.71160000000000001</v>
      </c>
      <c r="R495" s="38">
        <v>0.58810000000000007</v>
      </c>
    </row>
    <row r="496" spans="1:18" hidden="1">
      <c r="A496" t="s">
        <v>76</v>
      </c>
      <c r="B496" t="s">
        <v>20</v>
      </c>
      <c r="C496">
        <v>1.08</v>
      </c>
      <c r="D496">
        <v>2.35</v>
      </c>
      <c r="E496" s="29">
        <v>0.46090000000000003</v>
      </c>
      <c r="F496">
        <v>2.35</v>
      </c>
      <c r="G496">
        <v>1.07</v>
      </c>
      <c r="H496">
        <v>3.42</v>
      </c>
      <c r="I496" s="29">
        <v>0.68709999999999993</v>
      </c>
      <c r="J496" s="29">
        <v>0.31679999999999997</v>
      </c>
      <c r="K496" s="9">
        <v>45304</v>
      </c>
      <c r="L496">
        <f xml:space="preserve"> (交易處理資料__3[[#This Row],[售出工時]] * 60) / 5</f>
        <v>12.960000000000003</v>
      </c>
      <c r="M496" t="str">
        <f>VLOOKUP(交易處理資料__3[[#This Row],[人員代號]],團隊分組!$B$1:$C$52,2,FALSE)</f>
        <v>查修團隊B</v>
      </c>
      <c r="N496" t="str">
        <f>IF(交易處理資料__3[[#This Row],[上班時間]]=0,"否","是")</f>
        <v>是</v>
      </c>
      <c r="O496" t="s">
        <v>76</v>
      </c>
      <c r="P496" s="37">
        <v>0.46090000000000003</v>
      </c>
      <c r="Q496" s="37">
        <v>0.31679999999999997</v>
      </c>
      <c r="R496" s="37">
        <v>0.68709999999999993</v>
      </c>
    </row>
    <row r="497" spans="1:18" hidden="1">
      <c r="A497" t="s">
        <v>76</v>
      </c>
      <c r="B497" t="s">
        <v>21</v>
      </c>
      <c r="C497">
        <v>0</v>
      </c>
      <c r="D497">
        <v>0</v>
      </c>
      <c r="E497" s="29">
        <v>0</v>
      </c>
      <c r="F497">
        <v>0</v>
      </c>
      <c r="G497">
        <v>0</v>
      </c>
      <c r="H497">
        <v>0</v>
      </c>
      <c r="I497" s="29">
        <v>0</v>
      </c>
      <c r="J497" s="29">
        <v>0</v>
      </c>
      <c r="K497" s="9">
        <v>45304</v>
      </c>
      <c r="L497">
        <f xml:space="preserve"> (交易處理資料__3[[#This Row],[售出工時]] * 60) / 5</f>
        <v>0</v>
      </c>
      <c r="M497" t="str">
        <f>VLOOKUP(交易處理資料__3[[#This Row],[人員代號]],團隊分組!$B$1:$C$52,2,FALSE)</f>
        <v>查修團隊B</v>
      </c>
      <c r="N497" t="str">
        <f>IF(交易處理資料__3[[#This Row],[上班時間]]=0,"否","是")</f>
        <v>否</v>
      </c>
      <c r="O497" t="s">
        <v>76</v>
      </c>
      <c r="P497" s="38">
        <v>0</v>
      </c>
      <c r="Q497" s="38">
        <v>0</v>
      </c>
      <c r="R497" s="38">
        <v>0</v>
      </c>
    </row>
    <row r="498" spans="1:18" hidden="1">
      <c r="A498" t="s">
        <v>76</v>
      </c>
      <c r="B498" t="s">
        <v>22</v>
      </c>
      <c r="C498">
        <v>0</v>
      </c>
      <c r="D498">
        <v>0</v>
      </c>
      <c r="E498" s="29">
        <v>0</v>
      </c>
      <c r="F498">
        <v>0</v>
      </c>
      <c r="G498">
        <v>0</v>
      </c>
      <c r="H498">
        <v>0</v>
      </c>
      <c r="I498" s="29">
        <v>0</v>
      </c>
      <c r="J498" s="29">
        <v>0</v>
      </c>
      <c r="K498" s="9">
        <v>45304</v>
      </c>
      <c r="L498">
        <f xml:space="preserve"> (交易處理資料__3[[#This Row],[售出工時]] * 60) / 5</f>
        <v>0</v>
      </c>
      <c r="M498" t="str">
        <f>VLOOKUP(交易處理資料__3[[#This Row],[人員代號]],團隊分組!$B$1:$C$52,2,FALSE)</f>
        <v>快速保養團隊A</v>
      </c>
      <c r="N498" t="str">
        <f>IF(交易處理資料__3[[#This Row],[上班時間]]=0,"否","是")</f>
        <v>否</v>
      </c>
      <c r="O498" t="s">
        <v>76</v>
      </c>
      <c r="P498" s="37">
        <v>0</v>
      </c>
      <c r="Q498" s="37">
        <v>0</v>
      </c>
      <c r="R498" s="37">
        <v>0</v>
      </c>
    </row>
    <row r="499" spans="1:18" hidden="1">
      <c r="A499" t="s">
        <v>76</v>
      </c>
      <c r="B499" t="s">
        <v>25</v>
      </c>
      <c r="C499">
        <v>3.03</v>
      </c>
      <c r="D499">
        <v>2.2000000000000002</v>
      </c>
      <c r="E499" s="29">
        <v>1.3772</v>
      </c>
      <c r="F499">
        <v>2.2000000000000002</v>
      </c>
      <c r="G499">
        <v>1.89</v>
      </c>
      <c r="H499">
        <v>4.09</v>
      </c>
      <c r="I499" s="29">
        <v>0.53790000000000004</v>
      </c>
      <c r="J499" s="29">
        <v>0.74080000000000001</v>
      </c>
      <c r="K499" s="9">
        <v>45304</v>
      </c>
      <c r="L499">
        <f xml:space="preserve"> (交易處理資料__3[[#This Row],[售出工時]] * 60) / 5</f>
        <v>36.36</v>
      </c>
      <c r="M499" t="str">
        <f>VLOOKUP(交易處理資料__3[[#This Row],[人員代號]],團隊分組!$B$1:$C$52,2,FALSE)</f>
        <v>查修團隊A</v>
      </c>
      <c r="N499" t="str">
        <f>IF(交易處理資料__3[[#This Row],[上班時間]]=0,"否","是")</f>
        <v>是</v>
      </c>
      <c r="O499" t="s">
        <v>76</v>
      </c>
      <c r="P499" s="38">
        <v>1.3772</v>
      </c>
      <c r="Q499" s="38">
        <v>0.74080000000000001</v>
      </c>
      <c r="R499" s="38">
        <v>0.53790000000000004</v>
      </c>
    </row>
    <row r="500" spans="1:18" hidden="1">
      <c r="A500" t="s">
        <v>76</v>
      </c>
      <c r="B500" t="s">
        <v>26</v>
      </c>
      <c r="C500">
        <v>0</v>
      </c>
      <c r="D500">
        <v>0</v>
      </c>
      <c r="E500" s="29">
        <v>0</v>
      </c>
      <c r="F500">
        <v>0</v>
      </c>
      <c r="G500">
        <v>0</v>
      </c>
      <c r="H500">
        <v>0</v>
      </c>
      <c r="I500" s="29">
        <v>0</v>
      </c>
      <c r="J500" s="29">
        <v>0</v>
      </c>
      <c r="K500" s="9">
        <v>45304</v>
      </c>
      <c r="L500">
        <f xml:space="preserve"> (交易處理資料__3[[#This Row],[售出工時]] * 60) / 5</f>
        <v>0</v>
      </c>
      <c r="M500" t="str">
        <f>VLOOKUP(交易處理資料__3[[#This Row],[人員代號]],團隊分組!$B$1:$C$52,2,FALSE)</f>
        <v>查修團隊B</v>
      </c>
      <c r="N500" t="str">
        <f>IF(交易處理資料__3[[#This Row],[上班時間]]=0,"否","是")</f>
        <v>否</v>
      </c>
      <c r="O500" t="s">
        <v>76</v>
      </c>
      <c r="P500" s="37">
        <v>0</v>
      </c>
      <c r="Q500" s="37">
        <v>0</v>
      </c>
      <c r="R500" s="37">
        <v>0</v>
      </c>
    </row>
    <row r="501" spans="1:18" hidden="1">
      <c r="A501" t="s">
        <v>76</v>
      </c>
      <c r="B501" t="s">
        <v>27</v>
      </c>
      <c r="C501">
        <v>0</v>
      </c>
      <c r="D501">
        <v>0</v>
      </c>
      <c r="E501" s="29">
        <v>0</v>
      </c>
      <c r="F501">
        <v>0</v>
      </c>
      <c r="G501">
        <v>0</v>
      </c>
      <c r="H501">
        <v>0</v>
      </c>
      <c r="I501" s="29">
        <v>0</v>
      </c>
      <c r="J501" s="29">
        <v>0</v>
      </c>
      <c r="K501" s="9">
        <v>45304</v>
      </c>
      <c r="L501">
        <f xml:space="preserve"> (交易處理資料__3[[#This Row],[售出工時]] * 60) / 5</f>
        <v>0</v>
      </c>
      <c r="M501" t="str">
        <f>VLOOKUP(交易處理資料__3[[#This Row],[人員代號]],團隊分組!$B$1:$C$52,2,FALSE)</f>
        <v>快速保養團隊B</v>
      </c>
      <c r="N501" t="str">
        <f>IF(交易處理資料__3[[#This Row],[上班時間]]=0,"否","是")</f>
        <v>否</v>
      </c>
      <c r="O501" t="s">
        <v>76</v>
      </c>
      <c r="P501" s="38">
        <v>0</v>
      </c>
      <c r="Q501" s="38">
        <v>0</v>
      </c>
      <c r="R501" s="38">
        <v>0</v>
      </c>
    </row>
    <row r="502" spans="1:18" hidden="1">
      <c r="A502" t="s">
        <v>76</v>
      </c>
      <c r="B502" t="s">
        <v>29</v>
      </c>
      <c r="C502">
        <v>1.08</v>
      </c>
      <c r="D502">
        <v>0.9</v>
      </c>
      <c r="E502" s="29">
        <v>1.2037</v>
      </c>
      <c r="F502">
        <v>1.5</v>
      </c>
      <c r="G502">
        <v>2.33</v>
      </c>
      <c r="H502">
        <v>3.83</v>
      </c>
      <c r="I502" s="29">
        <v>0.39159999999999995</v>
      </c>
      <c r="J502" s="29">
        <v>0.28289999999999998</v>
      </c>
      <c r="K502" s="9">
        <v>45304</v>
      </c>
      <c r="L502">
        <f xml:space="preserve"> (交易處理資料__3[[#This Row],[售出工時]] * 60) / 5</f>
        <v>12.960000000000003</v>
      </c>
      <c r="M502" t="str">
        <f>VLOOKUP(交易處理資料__3[[#This Row],[人員代號]],團隊分組!$B$1:$C$52,2,FALSE)</f>
        <v>查修團隊B</v>
      </c>
      <c r="N502" t="str">
        <f>IF(交易處理資料__3[[#This Row],[上班時間]]=0,"否","是")</f>
        <v>是</v>
      </c>
      <c r="O502" t="s">
        <v>76</v>
      </c>
      <c r="P502" s="37">
        <v>1.2037</v>
      </c>
      <c r="Q502" s="37">
        <v>0.28289999999999998</v>
      </c>
      <c r="R502" s="37">
        <v>0.39159999999999995</v>
      </c>
    </row>
    <row r="503" spans="1:18" hidden="1">
      <c r="A503" t="s">
        <v>76</v>
      </c>
      <c r="B503" t="s">
        <v>31</v>
      </c>
      <c r="C503">
        <v>0</v>
      </c>
      <c r="D503">
        <v>0</v>
      </c>
      <c r="E503" s="29">
        <v>0</v>
      </c>
      <c r="F503">
        <v>0</v>
      </c>
      <c r="G503">
        <v>0</v>
      </c>
      <c r="H503">
        <v>0</v>
      </c>
      <c r="I503" s="29">
        <v>0</v>
      </c>
      <c r="J503" s="29">
        <v>0</v>
      </c>
      <c r="K503" s="9">
        <v>45304</v>
      </c>
      <c r="L503">
        <f xml:space="preserve"> (交易處理資料__3[[#This Row],[售出工時]] * 60) / 5</f>
        <v>0</v>
      </c>
      <c r="M503" t="str">
        <f>VLOOKUP(交易處理資料__3[[#This Row],[人員代號]],團隊分組!$B$1:$C$52,2,FALSE)</f>
        <v>快速保養團隊A</v>
      </c>
      <c r="N503" t="str">
        <f>IF(交易處理資料__3[[#This Row],[上班時間]]=0,"否","是")</f>
        <v>否</v>
      </c>
      <c r="O503" t="s">
        <v>76</v>
      </c>
      <c r="P503" s="38">
        <v>0</v>
      </c>
      <c r="Q503" s="38">
        <v>0</v>
      </c>
      <c r="R503" s="38">
        <v>0</v>
      </c>
    </row>
    <row r="504" spans="1:18" hidden="1">
      <c r="A504" t="s">
        <v>76</v>
      </c>
      <c r="B504" t="s">
        <v>33</v>
      </c>
      <c r="C504">
        <v>0</v>
      </c>
      <c r="D504">
        <v>0</v>
      </c>
      <c r="E504" s="29">
        <v>0</v>
      </c>
      <c r="F504">
        <v>0</v>
      </c>
      <c r="G504">
        <v>0</v>
      </c>
      <c r="H504">
        <v>0</v>
      </c>
      <c r="I504" s="29">
        <v>0</v>
      </c>
      <c r="J504" s="29">
        <v>0</v>
      </c>
      <c r="K504" s="9">
        <v>45304</v>
      </c>
      <c r="L504">
        <f xml:space="preserve"> (交易處理資料__3[[#This Row],[售出工時]] * 60) / 5</f>
        <v>0</v>
      </c>
      <c r="M504" t="str">
        <f>VLOOKUP(交易處理資料__3[[#This Row],[人員代號]],團隊分組!$B$1:$C$52,2,FALSE)</f>
        <v>快速保養團隊B</v>
      </c>
      <c r="N504" t="str">
        <f>IF(交易處理資料__3[[#This Row],[上班時間]]=0,"否","是")</f>
        <v>否</v>
      </c>
      <c r="O504" t="s">
        <v>76</v>
      </c>
      <c r="P504" s="37">
        <v>0</v>
      </c>
      <c r="Q504" s="37">
        <v>0</v>
      </c>
      <c r="R504" s="37">
        <v>0</v>
      </c>
    </row>
    <row r="505" spans="1:18" hidden="1">
      <c r="A505" t="s">
        <v>76</v>
      </c>
      <c r="B505" t="s">
        <v>34</v>
      </c>
      <c r="C505">
        <v>0</v>
      </c>
      <c r="D505">
        <v>0</v>
      </c>
      <c r="E505" s="29">
        <v>0</v>
      </c>
      <c r="F505">
        <v>0</v>
      </c>
      <c r="G505">
        <v>0</v>
      </c>
      <c r="H505">
        <v>0</v>
      </c>
      <c r="I505" s="29">
        <v>0</v>
      </c>
      <c r="J505" s="29">
        <v>0</v>
      </c>
      <c r="K505" s="9">
        <v>45304</v>
      </c>
      <c r="L505">
        <f xml:space="preserve"> (交易處理資料__3[[#This Row],[售出工時]] * 60) / 5</f>
        <v>0</v>
      </c>
      <c r="M505" t="str">
        <f>VLOOKUP(交易處理資料__3[[#This Row],[人員代號]],團隊分組!$B$1:$C$52,2,FALSE)</f>
        <v>快速保養團隊A</v>
      </c>
      <c r="N505" t="str">
        <f>IF(交易處理資料__3[[#This Row],[上班時間]]=0,"否","是")</f>
        <v>否</v>
      </c>
      <c r="O505" t="s">
        <v>76</v>
      </c>
      <c r="P505" s="38">
        <v>0</v>
      </c>
      <c r="Q505" s="38">
        <v>0</v>
      </c>
      <c r="R505" s="38">
        <v>0</v>
      </c>
    </row>
    <row r="506" spans="1:18" hidden="1">
      <c r="A506" t="s">
        <v>76</v>
      </c>
      <c r="B506" t="s">
        <v>35</v>
      </c>
      <c r="C506">
        <v>1</v>
      </c>
      <c r="D506">
        <v>2.35</v>
      </c>
      <c r="E506" s="29">
        <v>0.42549999999999999</v>
      </c>
      <c r="F506">
        <v>2.35</v>
      </c>
      <c r="G506">
        <v>1.65</v>
      </c>
      <c r="H506">
        <v>4</v>
      </c>
      <c r="I506" s="29">
        <v>0.58750000000000002</v>
      </c>
      <c r="J506" s="29">
        <v>0.25</v>
      </c>
      <c r="K506" s="9">
        <v>45304</v>
      </c>
      <c r="L506">
        <f xml:space="preserve"> (交易處理資料__3[[#This Row],[售出工時]] * 60) / 5</f>
        <v>12</v>
      </c>
      <c r="M506" t="str">
        <f>VLOOKUP(交易處理資料__3[[#This Row],[人員代號]],團隊分組!$B$1:$C$52,2,FALSE)</f>
        <v>查修團隊B</v>
      </c>
      <c r="N506" t="str">
        <f>IF(交易處理資料__3[[#This Row],[上班時間]]=0,"否","是")</f>
        <v>是</v>
      </c>
      <c r="O506" t="s">
        <v>76</v>
      </c>
      <c r="P506" s="37">
        <v>0.42549999999999999</v>
      </c>
      <c r="Q506" s="37">
        <v>0.25</v>
      </c>
      <c r="R506" s="37">
        <v>0.58750000000000002</v>
      </c>
    </row>
    <row r="507" spans="1:18" hidden="1">
      <c r="A507" t="s">
        <v>76</v>
      </c>
      <c r="B507" t="s">
        <v>36</v>
      </c>
      <c r="C507">
        <v>1.66</v>
      </c>
      <c r="D507">
        <v>0.35</v>
      </c>
      <c r="E507" s="29">
        <v>4.7618999999999998</v>
      </c>
      <c r="F507">
        <v>2.62</v>
      </c>
      <c r="G507">
        <v>1.36</v>
      </c>
      <c r="H507">
        <v>3.98</v>
      </c>
      <c r="I507" s="29">
        <v>0.6583</v>
      </c>
      <c r="J507" s="29">
        <v>0.41880000000000001</v>
      </c>
      <c r="K507" s="9">
        <v>45304</v>
      </c>
      <c r="L507">
        <f xml:space="preserve"> (交易處理資料__3[[#This Row],[售出工時]] * 60) / 5</f>
        <v>19.919999999999998</v>
      </c>
      <c r="M507" t="str">
        <f>VLOOKUP(交易處理資料__3[[#This Row],[人員代號]],團隊分組!$B$1:$C$52,2,FALSE)</f>
        <v>查修團隊B</v>
      </c>
      <c r="N507" t="str">
        <f>IF(交易處理資料__3[[#This Row],[上班時間]]=0,"否","是")</f>
        <v>是</v>
      </c>
      <c r="O507" t="s">
        <v>76</v>
      </c>
      <c r="P507" s="38">
        <v>4.7618999999999998</v>
      </c>
      <c r="Q507" s="38">
        <v>0.41880000000000001</v>
      </c>
      <c r="R507" s="38">
        <v>0.6583</v>
      </c>
    </row>
    <row r="508" spans="1:18" hidden="1">
      <c r="A508" t="s">
        <v>76</v>
      </c>
      <c r="B508" t="s">
        <v>38</v>
      </c>
      <c r="C508">
        <v>3.75</v>
      </c>
      <c r="D508">
        <v>2.5</v>
      </c>
      <c r="E508" s="29">
        <v>1.5</v>
      </c>
      <c r="F508">
        <v>2.5</v>
      </c>
      <c r="G508">
        <v>1.55</v>
      </c>
      <c r="H508">
        <v>4.05</v>
      </c>
      <c r="I508" s="29">
        <v>0.61729999999999996</v>
      </c>
      <c r="J508" s="29">
        <v>0.92590000000000006</v>
      </c>
      <c r="K508" s="9">
        <v>45304</v>
      </c>
      <c r="L508">
        <f xml:space="preserve"> (交易處理資料__3[[#This Row],[售出工時]] * 60) / 5</f>
        <v>45</v>
      </c>
      <c r="M508" t="str">
        <f>VLOOKUP(交易處理資料__3[[#This Row],[人員代號]],團隊分組!$B$1:$C$52,2,FALSE)</f>
        <v>快速保養團隊A</v>
      </c>
      <c r="N508" t="str">
        <f>IF(交易處理資料__3[[#This Row],[上班時間]]=0,"否","是")</f>
        <v>是</v>
      </c>
      <c r="O508" t="s">
        <v>76</v>
      </c>
      <c r="P508" s="37">
        <v>1.5</v>
      </c>
      <c r="Q508" s="37">
        <v>0.92590000000000006</v>
      </c>
      <c r="R508" s="37">
        <v>0.61729999999999996</v>
      </c>
    </row>
    <row r="509" spans="1:18" hidden="1">
      <c r="A509" t="s">
        <v>76</v>
      </c>
      <c r="B509" t="s">
        <v>39</v>
      </c>
      <c r="C509">
        <v>1.4</v>
      </c>
      <c r="D509">
        <v>2.7</v>
      </c>
      <c r="E509" s="29">
        <v>0.51849999999999996</v>
      </c>
      <c r="F509">
        <v>4.1500000000000004</v>
      </c>
      <c r="G509">
        <v>3.38</v>
      </c>
      <c r="H509">
        <v>7.53</v>
      </c>
      <c r="I509" s="29">
        <v>0.55110000000000003</v>
      </c>
      <c r="J509" s="29">
        <v>0.18590000000000001</v>
      </c>
      <c r="K509" s="9">
        <v>45304</v>
      </c>
      <c r="L509">
        <f xml:space="preserve"> (交易處理資料__3[[#This Row],[售出工時]] * 60) / 5</f>
        <v>16.8</v>
      </c>
      <c r="M509" t="str">
        <f>VLOOKUP(交易處理資料__3[[#This Row],[人員代號]],團隊分組!$B$1:$C$52,2,FALSE)</f>
        <v>查修團隊A</v>
      </c>
      <c r="N509" t="str">
        <f>IF(交易處理資料__3[[#This Row],[上班時間]]=0,"否","是")</f>
        <v>是</v>
      </c>
      <c r="O509" t="s">
        <v>76</v>
      </c>
      <c r="P509" s="38">
        <v>0.51849999999999996</v>
      </c>
      <c r="Q509" s="38">
        <v>0.18590000000000001</v>
      </c>
      <c r="R509" s="38">
        <v>0.55110000000000003</v>
      </c>
    </row>
    <row r="510" spans="1:18" hidden="1">
      <c r="A510" t="s">
        <v>76</v>
      </c>
      <c r="B510" t="s">
        <v>40</v>
      </c>
      <c r="C510">
        <v>1.3</v>
      </c>
      <c r="D510">
        <v>2.04</v>
      </c>
      <c r="E510" s="29">
        <v>0.63719999999999999</v>
      </c>
      <c r="F510">
        <v>2.04</v>
      </c>
      <c r="G510">
        <v>1.94</v>
      </c>
      <c r="H510">
        <v>3.98</v>
      </c>
      <c r="I510" s="29">
        <v>0.51259999999999994</v>
      </c>
      <c r="J510" s="29">
        <v>0.32659999999999995</v>
      </c>
      <c r="K510" s="9">
        <v>45304</v>
      </c>
      <c r="L510">
        <f xml:space="preserve"> (交易處理資料__3[[#This Row],[售出工時]] * 60) / 5</f>
        <v>15.6</v>
      </c>
      <c r="M510" t="str">
        <f>VLOOKUP(交易處理資料__3[[#This Row],[人員代號]],團隊分組!$B$1:$C$52,2,FALSE)</f>
        <v>查修團隊A</v>
      </c>
      <c r="N510" t="str">
        <f>IF(交易處理資料__3[[#This Row],[上班時間]]=0,"否","是")</f>
        <v>是</v>
      </c>
      <c r="O510" t="s">
        <v>76</v>
      </c>
      <c r="P510" s="37">
        <v>0.63719999999999999</v>
      </c>
      <c r="Q510" s="37">
        <v>0.32659999999999995</v>
      </c>
      <c r="R510" s="37">
        <v>0.51259999999999994</v>
      </c>
    </row>
    <row r="511" spans="1:18" hidden="1">
      <c r="A511" t="s">
        <v>76</v>
      </c>
      <c r="B511" t="s">
        <v>43</v>
      </c>
      <c r="C511">
        <v>2</v>
      </c>
      <c r="D511">
        <v>2.35</v>
      </c>
      <c r="E511" s="29">
        <v>0.85099999999999998</v>
      </c>
      <c r="F511">
        <v>2.35</v>
      </c>
      <c r="G511">
        <v>1.65</v>
      </c>
      <c r="H511">
        <v>4</v>
      </c>
      <c r="I511" s="29">
        <v>0.58750000000000002</v>
      </c>
      <c r="J511" s="29">
        <v>0.5</v>
      </c>
      <c r="K511" s="9">
        <v>45304</v>
      </c>
      <c r="L511">
        <f xml:space="preserve"> (交易處理資料__3[[#This Row],[售出工時]] * 60) / 5</f>
        <v>24</v>
      </c>
      <c r="M511" t="str">
        <f>VLOOKUP(交易處理資料__3[[#This Row],[人員代號]],團隊分組!$B$1:$C$52,2,FALSE)</f>
        <v>查修團隊B</v>
      </c>
      <c r="N511" t="str">
        <f>IF(交易處理資料__3[[#This Row],[上班時間]]=0,"否","是")</f>
        <v>是</v>
      </c>
      <c r="O511" t="s">
        <v>76</v>
      </c>
      <c r="P511" s="38">
        <v>0.85099999999999998</v>
      </c>
      <c r="Q511" s="38">
        <v>0.5</v>
      </c>
      <c r="R511" s="38">
        <v>0.58750000000000002</v>
      </c>
    </row>
    <row r="512" spans="1:18" hidden="1">
      <c r="A512" t="s">
        <v>76</v>
      </c>
      <c r="B512" t="s">
        <v>44</v>
      </c>
      <c r="C512">
        <v>2.42</v>
      </c>
      <c r="D512">
        <v>1.1299999999999999</v>
      </c>
      <c r="E512" s="29">
        <v>2.1415000000000002</v>
      </c>
      <c r="F512">
        <v>2.98</v>
      </c>
      <c r="G512">
        <v>1.04</v>
      </c>
      <c r="H512">
        <v>4.0199999999999996</v>
      </c>
      <c r="I512" s="29">
        <v>0.74129999999999996</v>
      </c>
      <c r="J512" s="29">
        <v>0.60199999999999998</v>
      </c>
      <c r="K512" s="9">
        <v>45304</v>
      </c>
      <c r="L512">
        <f xml:space="preserve"> (交易處理資料__3[[#This Row],[售出工時]] * 60) / 5</f>
        <v>29.04</v>
      </c>
      <c r="M512" t="str">
        <f>VLOOKUP(交易處理資料__3[[#This Row],[人員代號]],團隊分組!$B$1:$C$52,2,FALSE)</f>
        <v>快速保養團隊B</v>
      </c>
      <c r="N512" t="str">
        <f>IF(交易處理資料__3[[#This Row],[上班時間]]=0,"否","是")</f>
        <v>是</v>
      </c>
      <c r="O512" t="s">
        <v>76</v>
      </c>
      <c r="P512" s="37">
        <v>2.1415000000000002</v>
      </c>
      <c r="Q512" s="37">
        <v>0.60199999999999998</v>
      </c>
      <c r="R512" s="37">
        <v>0.74129999999999996</v>
      </c>
    </row>
    <row r="513" spans="1:18" hidden="1">
      <c r="A513" t="s">
        <v>76</v>
      </c>
      <c r="B513" t="s">
        <v>45</v>
      </c>
      <c r="C513">
        <v>0</v>
      </c>
      <c r="D513">
        <v>0</v>
      </c>
      <c r="E513" s="29">
        <v>0</v>
      </c>
      <c r="F513">
        <v>0</v>
      </c>
      <c r="G513">
        <v>0</v>
      </c>
      <c r="H513">
        <v>0</v>
      </c>
      <c r="I513" s="29">
        <v>0</v>
      </c>
      <c r="J513" s="29">
        <v>0</v>
      </c>
      <c r="K513" s="9">
        <v>45304</v>
      </c>
      <c r="L513">
        <f xml:space="preserve"> (交易處理資料__3[[#This Row],[售出工時]] * 60) / 5</f>
        <v>0</v>
      </c>
      <c r="M513" t="str">
        <f>VLOOKUP(交易處理資料__3[[#This Row],[人員代號]],團隊分組!$B$1:$C$52,2,FALSE)</f>
        <v>快速保養團隊A</v>
      </c>
      <c r="N513" t="str">
        <f>IF(交易處理資料__3[[#This Row],[上班時間]]=0,"否","是")</f>
        <v>否</v>
      </c>
      <c r="O513" t="s">
        <v>76</v>
      </c>
      <c r="P513" s="38">
        <v>0</v>
      </c>
      <c r="Q513" s="38">
        <v>0</v>
      </c>
      <c r="R513" s="38">
        <v>0</v>
      </c>
    </row>
    <row r="514" spans="1:18" hidden="1">
      <c r="A514" t="s">
        <v>76</v>
      </c>
      <c r="B514" t="s">
        <v>46</v>
      </c>
      <c r="C514">
        <v>0</v>
      </c>
      <c r="D514">
        <v>0</v>
      </c>
      <c r="E514" s="29">
        <v>0</v>
      </c>
      <c r="F514">
        <v>0</v>
      </c>
      <c r="G514">
        <v>0</v>
      </c>
      <c r="H514">
        <v>0</v>
      </c>
      <c r="I514" s="29">
        <v>0</v>
      </c>
      <c r="J514" s="29">
        <v>0</v>
      </c>
      <c r="K514" s="9">
        <v>45304</v>
      </c>
      <c r="L514">
        <f xml:space="preserve"> (交易處理資料__3[[#This Row],[售出工時]] * 60) / 5</f>
        <v>0</v>
      </c>
      <c r="M514" t="str">
        <f>VLOOKUP(交易處理資料__3[[#This Row],[人員代號]],團隊分組!$B$1:$C$52,2,FALSE)</f>
        <v>查修團隊B</v>
      </c>
      <c r="N514" t="str">
        <f>IF(交易處理資料__3[[#This Row],[上班時間]]=0,"否","是")</f>
        <v>否</v>
      </c>
      <c r="O514" t="s">
        <v>76</v>
      </c>
      <c r="P514" s="37">
        <v>0</v>
      </c>
      <c r="Q514" s="37">
        <v>0</v>
      </c>
      <c r="R514" s="37">
        <v>0</v>
      </c>
    </row>
    <row r="515" spans="1:18" hidden="1">
      <c r="A515" t="s">
        <v>76</v>
      </c>
      <c r="B515" t="s">
        <v>49</v>
      </c>
      <c r="C515">
        <v>0</v>
      </c>
      <c r="D515">
        <v>0</v>
      </c>
      <c r="E515" s="29">
        <v>0</v>
      </c>
      <c r="F515">
        <v>0</v>
      </c>
      <c r="G515">
        <v>0</v>
      </c>
      <c r="H515">
        <v>0</v>
      </c>
      <c r="I515" s="29">
        <v>0</v>
      </c>
      <c r="J515" s="29">
        <v>0</v>
      </c>
      <c r="K515" s="9">
        <v>45304</v>
      </c>
      <c r="L515">
        <f xml:space="preserve"> (交易處理資料__3[[#This Row],[售出工時]] * 60) / 5</f>
        <v>0</v>
      </c>
      <c r="M515" t="str">
        <f>VLOOKUP(交易處理資料__3[[#This Row],[人員代號]],團隊分組!$B$1:$C$52,2,FALSE)</f>
        <v>查修團隊A</v>
      </c>
      <c r="N515" t="str">
        <f>IF(交易處理資料__3[[#This Row],[上班時間]]=0,"否","是")</f>
        <v>否</v>
      </c>
      <c r="O515" t="s">
        <v>76</v>
      </c>
      <c r="P515" s="38">
        <v>0</v>
      </c>
      <c r="Q515" s="38">
        <v>0</v>
      </c>
      <c r="R515" s="38">
        <v>0</v>
      </c>
    </row>
    <row r="516" spans="1:18" hidden="1">
      <c r="A516" t="s">
        <v>76</v>
      </c>
      <c r="B516" t="s">
        <v>51</v>
      </c>
      <c r="C516">
        <v>0</v>
      </c>
      <c r="D516">
        <v>0</v>
      </c>
      <c r="E516" s="29">
        <v>0</v>
      </c>
      <c r="F516">
        <v>0</v>
      </c>
      <c r="G516">
        <v>0</v>
      </c>
      <c r="H516">
        <v>0</v>
      </c>
      <c r="I516" s="29">
        <v>0</v>
      </c>
      <c r="J516" s="29">
        <v>0</v>
      </c>
      <c r="K516" s="9">
        <v>45304</v>
      </c>
      <c r="L516">
        <f xml:space="preserve"> (交易處理資料__3[[#This Row],[售出工時]] * 60) / 5</f>
        <v>0</v>
      </c>
      <c r="M516" t="str">
        <f>VLOOKUP(交易處理資料__3[[#This Row],[人員代號]],團隊分組!$B$1:$C$52,2,FALSE)</f>
        <v>無效數據</v>
      </c>
      <c r="N516" t="str">
        <f>IF(交易處理資料__3[[#This Row],[上班時間]]=0,"否","是")</f>
        <v>否</v>
      </c>
      <c r="O516" t="s">
        <v>76</v>
      </c>
      <c r="P516" s="37">
        <v>0</v>
      </c>
      <c r="Q516" s="37">
        <v>0</v>
      </c>
      <c r="R516" s="37">
        <v>0</v>
      </c>
    </row>
    <row r="517" spans="1:18" hidden="1">
      <c r="A517" t="s">
        <v>76</v>
      </c>
      <c r="B517" t="s">
        <v>52</v>
      </c>
      <c r="C517">
        <v>0</v>
      </c>
      <c r="D517">
        <v>0</v>
      </c>
      <c r="E517" s="29">
        <v>0</v>
      </c>
      <c r="F517">
        <v>0</v>
      </c>
      <c r="G517">
        <v>0</v>
      </c>
      <c r="H517">
        <v>0</v>
      </c>
      <c r="I517" s="29">
        <v>0</v>
      </c>
      <c r="J517" s="29">
        <v>0</v>
      </c>
      <c r="K517" s="9">
        <v>45304</v>
      </c>
      <c r="L517">
        <f xml:space="preserve"> (交易處理資料__3[[#This Row],[售出工時]] * 60) / 5</f>
        <v>0</v>
      </c>
      <c r="M517" t="str">
        <f>VLOOKUP(交易處理資料__3[[#This Row],[人員代號]],團隊分組!$B$1:$C$52,2,FALSE)</f>
        <v>查修團隊B</v>
      </c>
      <c r="N517" t="str">
        <f>IF(交易處理資料__3[[#This Row],[上班時間]]=0,"否","是")</f>
        <v>否</v>
      </c>
      <c r="O517" t="s">
        <v>76</v>
      </c>
      <c r="P517" s="38">
        <v>0</v>
      </c>
      <c r="Q517" s="38">
        <v>0</v>
      </c>
      <c r="R517" s="38">
        <v>0</v>
      </c>
    </row>
    <row r="518" spans="1:18" hidden="1">
      <c r="A518" t="s">
        <v>76</v>
      </c>
      <c r="B518" t="s">
        <v>53</v>
      </c>
      <c r="C518">
        <v>0</v>
      </c>
      <c r="D518">
        <v>0</v>
      </c>
      <c r="E518" s="29">
        <v>0</v>
      </c>
      <c r="F518">
        <v>0</v>
      </c>
      <c r="G518">
        <v>0</v>
      </c>
      <c r="H518">
        <v>0</v>
      </c>
      <c r="I518" s="29">
        <v>0</v>
      </c>
      <c r="J518" s="29">
        <v>0</v>
      </c>
      <c r="K518" s="9">
        <v>45304</v>
      </c>
      <c r="L518">
        <f xml:space="preserve"> (交易處理資料__3[[#This Row],[售出工時]] * 60) / 5</f>
        <v>0</v>
      </c>
      <c r="M518" t="str">
        <f>VLOOKUP(交易處理資料__3[[#This Row],[人員代號]],團隊分組!$B$1:$C$52,2,FALSE)</f>
        <v>查修團隊A</v>
      </c>
      <c r="N518" t="str">
        <f>IF(交易處理資料__3[[#This Row],[上班時間]]=0,"否","是")</f>
        <v>否</v>
      </c>
      <c r="O518" t="s">
        <v>76</v>
      </c>
      <c r="P518" s="37">
        <v>0</v>
      </c>
      <c r="Q518" s="37">
        <v>0</v>
      </c>
      <c r="R518" s="37">
        <v>0</v>
      </c>
    </row>
    <row r="519" spans="1:18" hidden="1">
      <c r="A519" s="10" t="s">
        <v>74</v>
      </c>
      <c r="B519" t="s">
        <v>1</v>
      </c>
      <c r="C519">
        <v>0</v>
      </c>
      <c r="D519">
        <v>0</v>
      </c>
      <c r="E519" s="29">
        <v>0</v>
      </c>
      <c r="F519">
        <v>0</v>
      </c>
      <c r="G519">
        <v>0</v>
      </c>
      <c r="H519">
        <v>0</v>
      </c>
      <c r="I519" s="29">
        <v>0</v>
      </c>
      <c r="J519" s="29">
        <v>0</v>
      </c>
      <c r="K519" s="9">
        <v>45305</v>
      </c>
      <c r="L519">
        <f xml:space="preserve"> (交易處理資料__3[[#This Row],[售出工時]] * 60) / 5</f>
        <v>0</v>
      </c>
      <c r="M519" t="str">
        <f>VLOOKUP(交易處理資料__3[[#This Row],[人員代號]],團隊分組!$B$1:$C$52,2,FALSE)</f>
        <v>噴漆維修組</v>
      </c>
      <c r="N519" t="str">
        <f>IF(交易處理資料__3[[#This Row],[上班時間]]=0,"否","是")</f>
        <v>否</v>
      </c>
      <c r="O519" s="10" t="s">
        <v>74</v>
      </c>
      <c r="P519" s="38">
        <v>0</v>
      </c>
      <c r="Q519" s="38">
        <v>0</v>
      </c>
      <c r="R519" s="38">
        <v>0</v>
      </c>
    </row>
    <row r="520" spans="1:18" hidden="1">
      <c r="A520" s="10" t="s">
        <v>74</v>
      </c>
      <c r="B520" t="s">
        <v>2</v>
      </c>
      <c r="C520">
        <v>0</v>
      </c>
      <c r="D520">
        <v>0</v>
      </c>
      <c r="E520" s="29">
        <v>0</v>
      </c>
      <c r="F520">
        <v>0</v>
      </c>
      <c r="G520">
        <v>0</v>
      </c>
      <c r="H520">
        <v>0</v>
      </c>
      <c r="I520" s="29">
        <v>0</v>
      </c>
      <c r="J520" s="29">
        <v>0</v>
      </c>
      <c r="K520" s="9">
        <v>45305</v>
      </c>
      <c r="L520">
        <f xml:space="preserve"> (交易處理資料__3[[#This Row],[售出工時]] * 60) / 5</f>
        <v>0</v>
      </c>
      <c r="M520" t="str">
        <f>VLOOKUP(交易處理資料__3[[#This Row],[人員代號]],團隊分組!$B$1:$C$52,2,FALSE)</f>
        <v>噴漆維修組</v>
      </c>
      <c r="N520" t="str">
        <f>IF(交易處理資料__3[[#This Row],[上班時間]]=0,"否","是")</f>
        <v>否</v>
      </c>
      <c r="O520" s="10" t="s">
        <v>74</v>
      </c>
      <c r="P520" s="37">
        <v>0</v>
      </c>
      <c r="Q520" s="37">
        <v>0</v>
      </c>
      <c r="R520" s="37">
        <v>0</v>
      </c>
    </row>
    <row r="521" spans="1:18" hidden="1">
      <c r="A521" s="10" t="s">
        <v>74</v>
      </c>
      <c r="B521" t="s">
        <v>3</v>
      </c>
      <c r="C521">
        <v>0</v>
      </c>
      <c r="D521">
        <v>0</v>
      </c>
      <c r="E521" s="29">
        <v>0</v>
      </c>
      <c r="F521">
        <v>0</v>
      </c>
      <c r="G521">
        <v>0</v>
      </c>
      <c r="H521">
        <v>0</v>
      </c>
      <c r="I521" s="29">
        <v>0</v>
      </c>
      <c r="J521" s="29">
        <v>0</v>
      </c>
      <c r="K521" s="9">
        <v>45305</v>
      </c>
      <c r="L521">
        <f xml:space="preserve"> (交易處理資料__3[[#This Row],[售出工時]] * 60) / 5</f>
        <v>0</v>
      </c>
      <c r="M521" t="str">
        <f>VLOOKUP(交易處理資料__3[[#This Row],[人員代號]],團隊分組!$B$1:$C$52,2,FALSE)</f>
        <v>噴漆維修組</v>
      </c>
      <c r="N521" t="str">
        <f>IF(交易處理資料__3[[#This Row],[上班時間]]=0,"否","是")</f>
        <v>否</v>
      </c>
      <c r="O521" s="10" t="s">
        <v>74</v>
      </c>
      <c r="P521" s="38">
        <v>0</v>
      </c>
      <c r="Q521" s="38">
        <v>0</v>
      </c>
      <c r="R521" s="38">
        <v>0</v>
      </c>
    </row>
    <row r="522" spans="1:18" hidden="1">
      <c r="A522" s="10" t="s">
        <v>74</v>
      </c>
      <c r="B522" t="s">
        <v>4</v>
      </c>
      <c r="C522">
        <v>0</v>
      </c>
      <c r="D522">
        <v>0</v>
      </c>
      <c r="E522" s="29">
        <v>0</v>
      </c>
      <c r="F522">
        <v>0</v>
      </c>
      <c r="G522">
        <v>0</v>
      </c>
      <c r="H522">
        <v>0</v>
      </c>
      <c r="I522" s="29">
        <v>0</v>
      </c>
      <c r="J522" s="29">
        <v>0</v>
      </c>
      <c r="K522" s="9">
        <v>45305</v>
      </c>
      <c r="L522">
        <f xml:space="preserve"> (交易處理資料__3[[#This Row],[售出工時]] * 60) / 5</f>
        <v>0</v>
      </c>
      <c r="M522" t="str">
        <f>VLOOKUP(交易處理資料__3[[#This Row],[人員代號]],團隊分組!$B$1:$C$52,2,FALSE)</f>
        <v>噴漆維修組</v>
      </c>
      <c r="N522" t="str">
        <f>IF(交易處理資料__3[[#This Row],[上班時間]]=0,"否","是")</f>
        <v>否</v>
      </c>
      <c r="O522" s="10" t="s">
        <v>74</v>
      </c>
      <c r="P522" s="37">
        <v>0</v>
      </c>
      <c r="Q522" s="37">
        <v>0</v>
      </c>
      <c r="R522" s="37">
        <v>0</v>
      </c>
    </row>
    <row r="523" spans="1:18" hidden="1">
      <c r="A523" s="10" t="s">
        <v>74</v>
      </c>
      <c r="B523" t="s">
        <v>5</v>
      </c>
      <c r="C523">
        <v>0</v>
      </c>
      <c r="D523">
        <v>0</v>
      </c>
      <c r="E523" s="29">
        <v>0</v>
      </c>
      <c r="F523">
        <v>0</v>
      </c>
      <c r="G523">
        <v>0</v>
      </c>
      <c r="H523">
        <v>0</v>
      </c>
      <c r="I523" s="29">
        <v>0</v>
      </c>
      <c r="J523" s="29">
        <v>0</v>
      </c>
      <c r="K523" s="9">
        <v>45305</v>
      </c>
      <c r="L523">
        <f xml:space="preserve"> (交易處理資料__3[[#This Row],[售出工時]] * 60) / 5</f>
        <v>0</v>
      </c>
      <c r="M523" t="str">
        <f>VLOOKUP(交易處理資料__3[[#This Row],[人員代號]],團隊分組!$B$1:$C$52,2,FALSE)</f>
        <v>噴漆維修組</v>
      </c>
      <c r="N523" t="str">
        <f>IF(交易處理資料__3[[#This Row],[上班時間]]=0,"否","是")</f>
        <v>否</v>
      </c>
      <c r="O523" s="10" t="s">
        <v>74</v>
      </c>
      <c r="P523" s="38">
        <v>0</v>
      </c>
      <c r="Q523" s="38">
        <v>0</v>
      </c>
      <c r="R523" s="38">
        <v>0</v>
      </c>
    </row>
    <row r="524" spans="1:18" hidden="1">
      <c r="A524" s="10" t="s">
        <v>74</v>
      </c>
      <c r="B524" t="s">
        <v>6</v>
      </c>
      <c r="C524">
        <v>0</v>
      </c>
      <c r="D524">
        <v>0</v>
      </c>
      <c r="E524" s="29">
        <v>0</v>
      </c>
      <c r="F524">
        <v>0</v>
      </c>
      <c r="G524">
        <v>0</v>
      </c>
      <c r="H524">
        <v>0</v>
      </c>
      <c r="I524" s="29">
        <v>0</v>
      </c>
      <c r="J524" s="29">
        <v>0</v>
      </c>
      <c r="K524" s="9">
        <v>45305</v>
      </c>
      <c r="L524">
        <f xml:space="preserve"> (交易處理資料__3[[#This Row],[售出工時]] * 60) / 5</f>
        <v>0</v>
      </c>
      <c r="M524" t="str">
        <f>VLOOKUP(交易處理資料__3[[#This Row],[人員代號]],團隊分組!$B$1:$C$52,2,FALSE)</f>
        <v>噴漆維修組</v>
      </c>
      <c r="N524" t="str">
        <f>IF(交易處理資料__3[[#This Row],[上班時間]]=0,"否","是")</f>
        <v>否</v>
      </c>
      <c r="O524" s="10" t="s">
        <v>74</v>
      </c>
      <c r="P524" s="37">
        <v>0</v>
      </c>
      <c r="Q524" s="37">
        <v>0</v>
      </c>
      <c r="R524" s="37">
        <v>0</v>
      </c>
    </row>
    <row r="525" spans="1:18">
      <c r="A525" s="10" t="s">
        <v>74</v>
      </c>
      <c r="B525" t="s">
        <v>7</v>
      </c>
      <c r="C525">
        <v>0</v>
      </c>
      <c r="D525">
        <v>0</v>
      </c>
      <c r="E525" s="29">
        <v>0</v>
      </c>
      <c r="F525">
        <v>0</v>
      </c>
      <c r="G525">
        <v>0</v>
      </c>
      <c r="H525">
        <v>0</v>
      </c>
      <c r="I525" s="29">
        <v>0</v>
      </c>
      <c r="J525" s="29">
        <v>0</v>
      </c>
      <c r="K525" s="9">
        <v>45305</v>
      </c>
      <c r="L525">
        <f xml:space="preserve"> (交易處理資料__3[[#This Row],[售出工時]] * 60) / 5</f>
        <v>0</v>
      </c>
      <c r="M525" t="str">
        <f>VLOOKUP(交易處理資料__3[[#This Row],[人員代號]],團隊分組!$B$1:$C$52,2,FALSE)</f>
        <v>噴漆維修組</v>
      </c>
      <c r="N525" t="str">
        <f>IF(交易處理資料__3[[#This Row],[上班時間]]=0,"否","是")</f>
        <v>否</v>
      </c>
      <c r="O525" s="10" t="s">
        <v>74</v>
      </c>
      <c r="P525" s="38">
        <v>0</v>
      </c>
      <c r="Q525" s="38">
        <v>0</v>
      </c>
      <c r="R525" s="38">
        <v>0</v>
      </c>
    </row>
    <row r="526" spans="1:18" hidden="1">
      <c r="A526" s="10" t="s">
        <v>74</v>
      </c>
      <c r="B526" t="s">
        <v>8</v>
      </c>
      <c r="C526">
        <v>0</v>
      </c>
      <c r="D526">
        <v>0</v>
      </c>
      <c r="E526" s="29">
        <v>0</v>
      </c>
      <c r="F526">
        <v>0</v>
      </c>
      <c r="G526">
        <v>0</v>
      </c>
      <c r="H526">
        <v>0</v>
      </c>
      <c r="I526" s="29">
        <v>0</v>
      </c>
      <c r="J526" s="29">
        <v>0</v>
      </c>
      <c r="K526" s="9">
        <v>45305</v>
      </c>
      <c r="L526">
        <f xml:space="preserve"> (交易處理資料__3[[#This Row],[售出工時]] * 60) / 5</f>
        <v>0</v>
      </c>
      <c r="M526" t="str">
        <f>VLOOKUP(交易處理資料__3[[#This Row],[人員代號]],團隊分組!$B$1:$C$52,2,FALSE)</f>
        <v>噴漆維修組</v>
      </c>
      <c r="N526" t="str">
        <f>IF(交易處理資料__3[[#This Row],[上班時間]]=0,"否","是")</f>
        <v>否</v>
      </c>
      <c r="O526" s="10" t="s">
        <v>74</v>
      </c>
      <c r="P526" s="37">
        <v>0</v>
      </c>
      <c r="Q526" s="37">
        <v>0</v>
      </c>
      <c r="R526" s="37">
        <v>0</v>
      </c>
    </row>
    <row r="527" spans="1:18" hidden="1">
      <c r="A527" s="10" t="s">
        <v>74</v>
      </c>
      <c r="B527" t="s">
        <v>9</v>
      </c>
      <c r="C527">
        <v>0</v>
      </c>
      <c r="D527">
        <v>0</v>
      </c>
      <c r="E527" s="29">
        <v>0</v>
      </c>
      <c r="F527">
        <v>0</v>
      </c>
      <c r="G527">
        <v>0</v>
      </c>
      <c r="H527">
        <v>0</v>
      </c>
      <c r="I527" s="29">
        <v>0</v>
      </c>
      <c r="J527" s="29">
        <v>0</v>
      </c>
      <c r="K527" s="9">
        <v>45305</v>
      </c>
      <c r="L527">
        <f xml:space="preserve"> (交易處理資料__3[[#This Row],[售出工時]] * 60) / 5</f>
        <v>0</v>
      </c>
      <c r="M527" t="str">
        <f>VLOOKUP(交易處理資料__3[[#This Row],[人員代號]],團隊分組!$B$1:$C$52,2,FALSE)</f>
        <v>噴漆維修組</v>
      </c>
      <c r="N527" t="str">
        <f>IF(交易處理資料__3[[#This Row],[上班時間]]=0,"否","是")</f>
        <v>否</v>
      </c>
      <c r="O527" s="10" t="s">
        <v>74</v>
      </c>
      <c r="P527" s="38">
        <v>0</v>
      </c>
      <c r="Q527" s="38">
        <v>0</v>
      </c>
      <c r="R527" s="38">
        <v>0</v>
      </c>
    </row>
    <row r="528" spans="1:18" hidden="1">
      <c r="A528" t="s">
        <v>75</v>
      </c>
      <c r="B528" t="s">
        <v>11</v>
      </c>
      <c r="C528">
        <v>0</v>
      </c>
      <c r="D528">
        <v>0</v>
      </c>
      <c r="E528" s="29">
        <v>0</v>
      </c>
      <c r="F528">
        <v>0</v>
      </c>
      <c r="G528">
        <v>0</v>
      </c>
      <c r="H528">
        <v>0</v>
      </c>
      <c r="I528" s="29">
        <v>0</v>
      </c>
      <c r="J528" s="29">
        <v>0</v>
      </c>
      <c r="K528" s="9">
        <v>45305</v>
      </c>
      <c r="L528">
        <f xml:space="preserve"> (交易處理資料__3[[#This Row],[售出工時]] * 60) / 5</f>
        <v>0</v>
      </c>
      <c r="M528" t="str">
        <f>VLOOKUP(交易處理資料__3[[#This Row],[人員代號]],團隊分組!$B$1:$C$52,2,FALSE)</f>
        <v>鈑金維修組</v>
      </c>
      <c r="N528" t="str">
        <f>IF(交易處理資料__3[[#This Row],[上班時間]]=0,"否","是")</f>
        <v>否</v>
      </c>
      <c r="O528" t="s">
        <v>75</v>
      </c>
      <c r="P528" s="37">
        <v>0</v>
      </c>
      <c r="Q528" s="37">
        <v>0</v>
      </c>
      <c r="R528" s="37">
        <v>0</v>
      </c>
    </row>
    <row r="529" spans="1:18" hidden="1">
      <c r="A529" t="s">
        <v>75</v>
      </c>
      <c r="B529" t="s">
        <v>12</v>
      </c>
      <c r="C529">
        <v>0</v>
      </c>
      <c r="D529">
        <v>0</v>
      </c>
      <c r="E529" s="29">
        <v>0</v>
      </c>
      <c r="F529">
        <v>0</v>
      </c>
      <c r="G529">
        <v>0</v>
      </c>
      <c r="H529">
        <v>0</v>
      </c>
      <c r="I529" s="29">
        <v>0</v>
      </c>
      <c r="J529" s="29">
        <v>0</v>
      </c>
      <c r="K529" s="9">
        <v>45305</v>
      </c>
      <c r="L529">
        <f xml:space="preserve"> (交易處理資料__3[[#This Row],[售出工時]] * 60) / 5</f>
        <v>0</v>
      </c>
      <c r="M529" t="str">
        <f>VLOOKUP(交易處理資料__3[[#This Row],[人員代號]],團隊分組!$B$1:$C$52,2,FALSE)</f>
        <v>鈑金維修組</v>
      </c>
      <c r="N529" t="str">
        <f>IF(交易處理資料__3[[#This Row],[上班時間]]=0,"否","是")</f>
        <v>否</v>
      </c>
      <c r="O529" t="s">
        <v>75</v>
      </c>
      <c r="P529" s="38">
        <v>0</v>
      </c>
      <c r="Q529" s="38">
        <v>0</v>
      </c>
      <c r="R529" s="38">
        <v>0</v>
      </c>
    </row>
    <row r="530" spans="1:18" hidden="1">
      <c r="A530" t="s">
        <v>75</v>
      </c>
      <c r="B530" t="s">
        <v>13</v>
      </c>
      <c r="C530">
        <v>0</v>
      </c>
      <c r="D530">
        <v>0</v>
      </c>
      <c r="E530" s="29">
        <v>0</v>
      </c>
      <c r="F530">
        <v>0</v>
      </c>
      <c r="G530">
        <v>0</v>
      </c>
      <c r="H530">
        <v>0</v>
      </c>
      <c r="I530" s="29">
        <v>0</v>
      </c>
      <c r="J530" s="29">
        <v>0</v>
      </c>
      <c r="K530" s="9">
        <v>45305</v>
      </c>
      <c r="L530">
        <f xml:space="preserve"> (交易處理資料__3[[#This Row],[售出工時]] * 60) / 5</f>
        <v>0</v>
      </c>
      <c r="M530" t="str">
        <f>VLOOKUP(交易處理資料__3[[#This Row],[人員代號]],團隊分組!$B$1:$C$52,2,FALSE)</f>
        <v>鈑金維修組</v>
      </c>
      <c r="N530" t="str">
        <f>IF(交易處理資料__3[[#This Row],[上班時間]]=0,"否","是")</f>
        <v>否</v>
      </c>
      <c r="O530" t="s">
        <v>75</v>
      </c>
      <c r="P530" s="37">
        <v>0</v>
      </c>
      <c r="Q530" s="37">
        <v>0</v>
      </c>
      <c r="R530" s="37">
        <v>0</v>
      </c>
    </row>
    <row r="531" spans="1:18" hidden="1">
      <c r="A531" t="s">
        <v>75</v>
      </c>
      <c r="B531" t="s">
        <v>14</v>
      </c>
      <c r="C531">
        <v>0</v>
      </c>
      <c r="D531">
        <v>0</v>
      </c>
      <c r="E531" s="29">
        <v>0</v>
      </c>
      <c r="F531">
        <v>0</v>
      </c>
      <c r="G531">
        <v>0</v>
      </c>
      <c r="H531">
        <v>0</v>
      </c>
      <c r="I531" s="29">
        <v>0</v>
      </c>
      <c r="J531" s="29">
        <v>0</v>
      </c>
      <c r="K531" s="9">
        <v>45305</v>
      </c>
      <c r="L531">
        <f xml:space="preserve"> (交易處理資料__3[[#This Row],[售出工時]] * 60) / 5</f>
        <v>0</v>
      </c>
      <c r="M531" t="str">
        <f>VLOOKUP(交易處理資料__3[[#This Row],[人員代號]],團隊分組!$B$1:$C$52,2,FALSE)</f>
        <v>鈑金維修組</v>
      </c>
      <c r="N531" t="str">
        <f>IF(交易處理資料__3[[#This Row],[上班時間]]=0,"否","是")</f>
        <v>否</v>
      </c>
      <c r="O531" t="s">
        <v>75</v>
      </c>
      <c r="P531" s="38">
        <v>0</v>
      </c>
      <c r="Q531" s="38">
        <v>0</v>
      </c>
      <c r="R531" s="38">
        <v>0</v>
      </c>
    </row>
    <row r="532" spans="1:18" hidden="1">
      <c r="A532" t="s">
        <v>75</v>
      </c>
      <c r="B532" t="s">
        <v>15</v>
      </c>
      <c r="C532">
        <v>0</v>
      </c>
      <c r="D532">
        <v>0</v>
      </c>
      <c r="E532" s="29">
        <v>0</v>
      </c>
      <c r="F532">
        <v>0</v>
      </c>
      <c r="G532">
        <v>0</v>
      </c>
      <c r="H532">
        <v>0</v>
      </c>
      <c r="I532" s="29">
        <v>0</v>
      </c>
      <c r="J532" s="29">
        <v>0</v>
      </c>
      <c r="K532" s="9">
        <v>45305</v>
      </c>
      <c r="L532">
        <f xml:space="preserve"> (交易處理資料__3[[#This Row],[售出工時]] * 60) / 5</f>
        <v>0</v>
      </c>
      <c r="M532" t="str">
        <f>VLOOKUP(交易處理資料__3[[#This Row],[人員代號]],團隊分組!$B$1:$C$52,2,FALSE)</f>
        <v>鈑金維修組</v>
      </c>
      <c r="N532" t="str">
        <f>IF(交易處理資料__3[[#This Row],[上班時間]]=0,"否","是")</f>
        <v>否</v>
      </c>
      <c r="O532" t="s">
        <v>75</v>
      </c>
      <c r="P532" s="37">
        <v>0</v>
      </c>
      <c r="Q532" s="37">
        <v>0</v>
      </c>
      <c r="R532" s="37">
        <v>0</v>
      </c>
    </row>
    <row r="533" spans="1:18" hidden="1">
      <c r="A533" t="s">
        <v>76</v>
      </c>
      <c r="B533" t="s">
        <v>17</v>
      </c>
      <c r="C533">
        <v>0</v>
      </c>
      <c r="D533">
        <v>0</v>
      </c>
      <c r="E533" s="29">
        <v>0</v>
      </c>
      <c r="F533">
        <v>0</v>
      </c>
      <c r="G533">
        <v>0</v>
      </c>
      <c r="H533">
        <v>0</v>
      </c>
      <c r="I533" s="29">
        <v>0</v>
      </c>
      <c r="J533" s="29">
        <v>0</v>
      </c>
      <c r="K533" s="9">
        <v>45305</v>
      </c>
      <c r="L533">
        <f xml:space="preserve"> (交易處理資料__3[[#This Row],[售出工時]] * 60) / 5</f>
        <v>0</v>
      </c>
      <c r="M533" t="str">
        <f>VLOOKUP(交易處理資料__3[[#This Row],[人員代號]],團隊分組!$B$1:$C$52,2,FALSE)</f>
        <v>快速保養團隊A</v>
      </c>
      <c r="N533" t="str">
        <f>IF(交易處理資料__3[[#This Row],[上班時間]]=0,"否","是")</f>
        <v>否</v>
      </c>
      <c r="O533" t="s">
        <v>76</v>
      </c>
      <c r="P533" s="38">
        <v>0</v>
      </c>
      <c r="Q533" s="38">
        <v>0</v>
      </c>
      <c r="R533" s="38">
        <v>0</v>
      </c>
    </row>
    <row r="534" spans="1:18" hidden="1">
      <c r="A534" t="s">
        <v>76</v>
      </c>
      <c r="B534" t="s">
        <v>18</v>
      </c>
      <c r="C534">
        <v>0</v>
      </c>
      <c r="D534">
        <v>0</v>
      </c>
      <c r="E534" s="29">
        <v>0</v>
      </c>
      <c r="F534">
        <v>0</v>
      </c>
      <c r="G534">
        <v>0</v>
      </c>
      <c r="H534">
        <v>0</v>
      </c>
      <c r="I534" s="29">
        <v>0</v>
      </c>
      <c r="J534" s="29">
        <v>0</v>
      </c>
      <c r="K534" s="9">
        <v>45305</v>
      </c>
      <c r="L534">
        <f xml:space="preserve"> (交易處理資料__3[[#This Row],[售出工時]] * 60) / 5</f>
        <v>0</v>
      </c>
      <c r="M534" t="str">
        <f>VLOOKUP(交易處理資料__3[[#This Row],[人員代號]],團隊分組!$B$1:$C$52,2,FALSE)</f>
        <v>查修團隊B</v>
      </c>
      <c r="N534" t="str">
        <f>IF(交易處理資料__3[[#This Row],[上班時間]]=0,"否","是")</f>
        <v>否</v>
      </c>
      <c r="O534" t="s">
        <v>76</v>
      </c>
      <c r="P534" s="37">
        <v>0</v>
      </c>
      <c r="Q534" s="37">
        <v>0</v>
      </c>
      <c r="R534" s="37">
        <v>0</v>
      </c>
    </row>
    <row r="535" spans="1:18" hidden="1">
      <c r="A535" t="s">
        <v>76</v>
      </c>
      <c r="B535" t="s">
        <v>19</v>
      </c>
      <c r="C535">
        <v>0</v>
      </c>
      <c r="D535">
        <v>0</v>
      </c>
      <c r="E535" s="29">
        <v>0</v>
      </c>
      <c r="F535">
        <v>0</v>
      </c>
      <c r="G535">
        <v>0</v>
      </c>
      <c r="H535">
        <v>0</v>
      </c>
      <c r="I535" s="29">
        <v>0</v>
      </c>
      <c r="J535" s="29">
        <v>0</v>
      </c>
      <c r="K535" s="9">
        <v>45305</v>
      </c>
      <c r="L535">
        <f xml:space="preserve"> (交易處理資料__3[[#This Row],[售出工時]] * 60) / 5</f>
        <v>0</v>
      </c>
      <c r="M535" t="str">
        <f>VLOOKUP(交易處理資料__3[[#This Row],[人員代號]],團隊分組!$B$1:$C$52,2,FALSE)</f>
        <v>查修團隊A</v>
      </c>
      <c r="N535" t="str">
        <f>IF(交易處理資料__3[[#This Row],[上班時間]]=0,"否","是")</f>
        <v>否</v>
      </c>
      <c r="O535" t="s">
        <v>76</v>
      </c>
      <c r="P535" s="38">
        <v>0</v>
      </c>
      <c r="Q535" s="38">
        <v>0</v>
      </c>
      <c r="R535" s="38">
        <v>0</v>
      </c>
    </row>
    <row r="536" spans="1:18" hidden="1">
      <c r="A536" t="s">
        <v>76</v>
      </c>
      <c r="B536" t="s">
        <v>20</v>
      </c>
      <c r="C536">
        <v>0</v>
      </c>
      <c r="D536">
        <v>0</v>
      </c>
      <c r="E536" s="29">
        <v>0</v>
      </c>
      <c r="F536">
        <v>0</v>
      </c>
      <c r="G536">
        <v>0</v>
      </c>
      <c r="H536">
        <v>0</v>
      </c>
      <c r="I536" s="29">
        <v>0</v>
      </c>
      <c r="J536" s="29">
        <v>0</v>
      </c>
      <c r="K536" s="9">
        <v>45305</v>
      </c>
      <c r="L536">
        <f xml:space="preserve"> (交易處理資料__3[[#This Row],[售出工時]] * 60) / 5</f>
        <v>0</v>
      </c>
      <c r="M536" t="str">
        <f>VLOOKUP(交易處理資料__3[[#This Row],[人員代號]],團隊分組!$B$1:$C$52,2,FALSE)</f>
        <v>查修團隊B</v>
      </c>
      <c r="N536" t="str">
        <f>IF(交易處理資料__3[[#This Row],[上班時間]]=0,"否","是")</f>
        <v>否</v>
      </c>
      <c r="O536" t="s">
        <v>76</v>
      </c>
      <c r="P536" s="37">
        <v>0</v>
      </c>
      <c r="Q536" s="37">
        <v>0</v>
      </c>
      <c r="R536" s="37">
        <v>0</v>
      </c>
    </row>
    <row r="537" spans="1:18" hidden="1">
      <c r="A537" t="s">
        <v>76</v>
      </c>
      <c r="B537" t="s">
        <v>21</v>
      </c>
      <c r="C537">
        <v>0</v>
      </c>
      <c r="D537">
        <v>0</v>
      </c>
      <c r="E537" s="29">
        <v>0</v>
      </c>
      <c r="F537">
        <v>0</v>
      </c>
      <c r="G537">
        <v>0</v>
      </c>
      <c r="H537">
        <v>0</v>
      </c>
      <c r="I537" s="29">
        <v>0</v>
      </c>
      <c r="J537" s="29">
        <v>0</v>
      </c>
      <c r="K537" s="9">
        <v>45305</v>
      </c>
      <c r="L537">
        <f xml:space="preserve"> (交易處理資料__3[[#This Row],[售出工時]] * 60) / 5</f>
        <v>0</v>
      </c>
      <c r="M537" t="str">
        <f>VLOOKUP(交易處理資料__3[[#This Row],[人員代號]],團隊分組!$B$1:$C$52,2,FALSE)</f>
        <v>查修團隊B</v>
      </c>
      <c r="N537" t="str">
        <f>IF(交易處理資料__3[[#This Row],[上班時間]]=0,"否","是")</f>
        <v>否</v>
      </c>
      <c r="O537" t="s">
        <v>76</v>
      </c>
      <c r="P537" s="38">
        <v>0</v>
      </c>
      <c r="Q537" s="38">
        <v>0</v>
      </c>
      <c r="R537" s="38">
        <v>0</v>
      </c>
    </row>
    <row r="538" spans="1:18" hidden="1">
      <c r="A538" t="s">
        <v>76</v>
      </c>
      <c r="B538" t="s">
        <v>22</v>
      </c>
      <c r="C538">
        <v>0</v>
      </c>
      <c r="D538">
        <v>0</v>
      </c>
      <c r="E538" s="29">
        <v>0</v>
      </c>
      <c r="F538">
        <v>0</v>
      </c>
      <c r="G538">
        <v>0</v>
      </c>
      <c r="H538">
        <v>0</v>
      </c>
      <c r="I538" s="29">
        <v>0</v>
      </c>
      <c r="J538" s="29">
        <v>0</v>
      </c>
      <c r="K538" s="9">
        <v>45305</v>
      </c>
      <c r="L538">
        <f xml:space="preserve"> (交易處理資料__3[[#This Row],[售出工時]] * 60) / 5</f>
        <v>0</v>
      </c>
      <c r="M538" t="str">
        <f>VLOOKUP(交易處理資料__3[[#This Row],[人員代號]],團隊分組!$B$1:$C$52,2,FALSE)</f>
        <v>快速保養團隊A</v>
      </c>
      <c r="N538" t="str">
        <f>IF(交易處理資料__3[[#This Row],[上班時間]]=0,"否","是")</f>
        <v>否</v>
      </c>
      <c r="O538" t="s">
        <v>76</v>
      </c>
      <c r="P538" s="37">
        <v>0</v>
      </c>
      <c r="Q538" s="37">
        <v>0</v>
      </c>
      <c r="R538" s="37">
        <v>0</v>
      </c>
    </row>
    <row r="539" spans="1:18" hidden="1">
      <c r="A539" t="s">
        <v>76</v>
      </c>
      <c r="B539" t="s">
        <v>23</v>
      </c>
      <c r="C539">
        <v>0</v>
      </c>
      <c r="D539">
        <v>0</v>
      </c>
      <c r="E539" s="29">
        <v>0</v>
      </c>
      <c r="F539">
        <v>0</v>
      </c>
      <c r="G539">
        <v>0</v>
      </c>
      <c r="H539">
        <v>0</v>
      </c>
      <c r="I539" s="29">
        <v>0</v>
      </c>
      <c r="J539" s="29">
        <v>0</v>
      </c>
      <c r="K539" s="9">
        <v>45305</v>
      </c>
      <c r="L539">
        <f xml:space="preserve"> (交易處理資料__3[[#This Row],[售出工時]] * 60) / 5</f>
        <v>0</v>
      </c>
      <c r="M539" t="str">
        <f>VLOOKUP(交易處理資料__3[[#This Row],[人員代號]],團隊分組!$B$1:$C$52,2,FALSE)</f>
        <v>快速保養團隊B</v>
      </c>
      <c r="N539" t="str">
        <f>IF(交易處理資料__3[[#This Row],[上班時間]]=0,"否","是")</f>
        <v>否</v>
      </c>
      <c r="O539" t="s">
        <v>76</v>
      </c>
      <c r="P539" s="38">
        <v>0</v>
      </c>
      <c r="Q539" s="38">
        <v>0</v>
      </c>
      <c r="R539" s="38">
        <v>0</v>
      </c>
    </row>
    <row r="540" spans="1:18" hidden="1">
      <c r="A540" t="s">
        <v>76</v>
      </c>
      <c r="B540" t="s">
        <v>24</v>
      </c>
      <c r="C540">
        <v>0</v>
      </c>
      <c r="D540">
        <v>0</v>
      </c>
      <c r="E540" s="29">
        <v>0</v>
      </c>
      <c r="F540">
        <v>0</v>
      </c>
      <c r="G540">
        <v>0</v>
      </c>
      <c r="H540">
        <v>0</v>
      </c>
      <c r="I540" s="29">
        <v>0</v>
      </c>
      <c r="J540" s="29">
        <v>0</v>
      </c>
      <c r="K540" s="9">
        <v>45305</v>
      </c>
      <c r="L540">
        <f xml:space="preserve"> (交易處理資料__3[[#This Row],[售出工時]] * 60) / 5</f>
        <v>0</v>
      </c>
      <c r="M540" t="str">
        <f>VLOOKUP(交易處理資料__3[[#This Row],[人員代號]],團隊分組!$B$1:$C$52,2,FALSE)</f>
        <v>快速保養團隊A</v>
      </c>
      <c r="N540" t="str">
        <f>IF(交易處理資料__3[[#This Row],[上班時間]]=0,"否","是")</f>
        <v>否</v>
      </c>
      <c r="O540" t="s">
        <v>76</v>
      </c>
      <c r="P540" s="37">
        <v>0</v>
      </c>
      <c r="Q540" s="37">
        <v>0</v>
      </c>
      <c r="R540" s="37">
        <v>0</v>
      </c>
    </row>
    <row r="541" spans="1:18" hidden="1">
      <c r="A541" t="s">
        <v>76</v>
      </c>
      <c r="B541" t="s">
        <v>25</v>
      </c>
      <c r="C541">
        <v>0</v>
      </c>
      <c r="D541">
        <v>0</v>
      </c>
      <c r="E541" s="29">
        <v>0</v>
      </c>
      <c r="F541">
        <v>0</v>
      </c>
      <c r="G541">
        <v>0</v>
      </c>
      <c r="H541">
        <v>0</v>
      </c>
      <c r="I541" s="29">
        <v>0</v>
      </c>
      <c r="J541" s="29">
        <v>0</v>
      </c>
      <c r="K541" s="9">
        <v>45305</v>
      </c>
      <c r="L541">
        <f xml:space="preserve"> (交易處理資料__3[[#This Row],[售出工時]] * 60) / 5</f>
        <v>0</v>
      </c>
      <c r="M541" t="str">
        <f>VLOOKUP(交易處理資料__3[[#This Row],[人員代號]],團隊分組!$B$1:$C$52,2,FALSE)</f>
        <v>查修團隊A</v>
      </c>
      <c r="N541" t="str">
        <f>IF(交易處理資料__3[[#This Row],[上班時間]]=0,"否","是")</f>
        <v>否</v>
      </c>
      <c r="O541" t="s">
        <v>76</v>
      </c>
      <c r="P541" s="38">
        <v>0</v>
      </c>
      <c r="Q541" s="38">
        <v>0</v>
      </c>
      <c r="R541" s="38">
        <v>0</v>
      </c>
    </row>
    <row r="542" spans="1:18" hidden="1">
      <c r="A542" t="s">
        <v>76</v>
      </c>
      <c r="B542" t="s">
        <v>26</v>
      </c>
      <c r="C542">
        <v>0</v>
      </c>
      <c r="D542">
        <v>0</v>
      </c>
      <c r="E542" s="29">
        <v>0</v>
      </c>
      <c r="F542">
        <v>0</v>
      </c>
      <c r="G542">
        <v>0</v>
      </c>
      <c r="H542">
        <v>0</v>
      </c>
      <c r="I542" s="29">
        <v>0</v>
      </c>
      <c r="J542" s="29">
        <v>0</v>
      </c>
      <c r="K542" s="9">
        <v>45305</v>
      </c>
      <c r="L542">
        <f xml:space="preserve"> (交易處理資料__3[[#This Row],[售出工時]] * 60) / 5</f>
        <v>0</v>
      </c>
      <c r="M542" t="str">
        <f>VLOOKUP(交易處理資料__3[[#This Row],[人員代號]],團隊分組!$B$1:$C$52,2,FALSE)</f>
        <v>查修團隊B</v>
      </c>
      <c r="N542" t="str">
        <f>IF(交易處理資料__3[[#This Row],[上班時間]]=0,"否","是")</f>
        <v>否</v>
      </c>
      <c r="O542" t="s">
        <v>76</v>
      </c>
      <c r="P542" s="37">
        <v>0</v>
      </c>
      <c r="Q542" s="37">
        <v>0</v>
      </c>
      <c r="R542" s="37">
        <v>0</v>
      </c>
    </row>
    <row r="543" spans="1:18" hidden="1">
      <c r="A543" t="s">
        <v>76</v>
      </c>
      <c r="B543" t="s">
        <v>27</v>
      </c>
      <c r="C543">
        <v>0</v>
      </c>
      <c r="D543">
        <v>0</v>
      </c>
      <c r="E543" s="29">
        <v>0</v>
      </c>
      <c r="F543">
        <v>0</v>
      </c>
      <c r="G543">
        <v>0</v>
      </c>
      <c r="H543">
        <v>0</v>
      </c>
      <c r="I543" s="29">
        <v>0</v>
      </c>
      <c r="J543" s="29">
        <v>0</v>
      </c>
      <c r="K543" s="9">
        <v>45305</v>
      </c>
      <c r="L543">
        <f xml:space="preserve"> (交易處理資料__3[[#This Row],[售出工時]] * 60) / 5</f>
        <v>0</v>
      </c>
      <c r="M543" t="str">
        <f>VLOOKUP(交易處理資料__3[[#This Row],[人員代號]],團隊分組!$B$1:$C$52,2,FALSE)</f>
        <v>快速保養團隊B</v>
      </c>
      <c r="N543" t="str">
        <f>IF(交易處理資料__3[[#This Row],[上班時間]]=0,"否","是")</f>
        <v>否</v>
      </c>
      <c r="O543" t="s">
        <v>76</v>
      </c>
      <c r="P543" s="38">
        <v>0</v>
      </c>
      <c r="Q543" s="38">
        <v>0</v>
      </c>
      <c r="R543" s="38">
        <v>0</v>
      </c>
    </row>
    <row r="544" spans="1:18" hidden="1">
      <c r="A544" t="s">
        <v>76</v>
      </c>
      <c r="B544" t="s">
        <v>28</v>
      </c>
      <c r="C544">
        <v>0</v>
      </c>
      <c r="D544">
        <v>0</v>
      </c>
      <c r="E544" s="29">
        <v>0</v>
      </c>
      <c r="F544">
        <v>0</v>
      </c>
      <c r="G544">
        <v>0</v>
      </c>
      <c r="H544">
        <v>0</v>
      </c>
      <c r="I544" s="29">
        <v>0</v>
      </c>
      <c r="J544" s="29">
        <v>0</v>
      </c>
      <c r="K544" s="9">
        <v>45305</v>
      </c>
      <c r="L544">
        <f xml:space="preserve"> (交易處理資料__3[[#This Row],[售出工時]] * 60) / 5</f>
        <v>0</v>
      </c>
      <c r="M544" t="str">
        <f>VLOOKUP(交易處理資料__3[[#This Row],[人員代號]],團隊分組!$B$1:$C$52,2,FALSE)</f>
        <v>快速保養團隊A</v>
      </c>
      <c r="N544" t="str">
        <f>IF(交易處理資料__3[[#This Row],[上班時間]]=0,"否","是")</f>
        <v>否</v>
      </c>
      <c r="O544" t="s">
        <v>76</v>
      </c>
      <c r="P544" s="37">
        <v>0</v>
      </c>
      <c r="Q544" s="37">
        <v>0</v>
      </c>
      <c r="R544" s="37">
        <v>0</v>
      </c>
    </row>
    <row r="545" spans="1:18" hidden="1">
      <c r="A545" t="s">
        <v>76</v>
      </c>
      <c r="B545" t="s">
        <v>29</v>
      </c>
      <c r="C545">
        <v>0</v>
      </c>
      <c r="D545">
        <v>0</v>
      </c>
      <c r="E545" s="29">
        <v>0</v>
      </c>
      <c r="F545">
        <v>0</v>
      </c>
      <c r="G545">
        <v>0</v>
      </c>
      <c r="H545">
        <v>0</v>
      </c>
      <c r="I545" s="29">
        <v>0</v>
      </c>
      <c r="J545" s="29">
        <v>0</v>
      </c>
      <c r="K545" s="9">
        <v>45305</v>
      </c>
      <c r="L545">
        <f xml:space="preserve"> (交易處理資料__3[[#This Row],[售出工時]] * 60) / 5</f>
        <v>0</v>
      </c>
      <c r="M545" t="str">
        <f>VLOOKUP(交易處理資料__3[[#This Row],[人員代號]],團隊分組!$B$1:$C$52,2,FALSE)</f>
        <v>查修團隊B</v>
      </c>
      <c r="N545" t="str">
        <f>IF(交易處理資料__3[[#This Row],[上班時間]]=0,"否","是")</f>
        <v>否</v>
      </c>
      <c r="O545" t="s">
        <v>76</v>
      </c>
      <c r="P545" s="38">
        <v>0</v>
      </c>
      <c r="Q545" s="38">
        <v>0</v>
      </c>
      <c r="R545" s="38">
        <v>0</v>
      </c>
    </row>
    <row r="546" spans="1:18" hidden="1">
      <c r="A546" t="s">
        <v>76</v>
      </c>
      <c r="B546" t="s">
        <v>30</v>
      </c>
      <c r="C546">
        <v>0</v>
      </c>
      <c r="D546">
        <v>0</v>
      </c>
      <c r="E546" s="29">
        <v>0</v>
      </c>
      <c r="F546">
        <v>0</v>
      </c>
      <c r="G546">
        <v>0</v>
      </c>
      <c r="H546">
        <v>0</v>
      </c>
      <c r="I546" s="29">
        <v>0</v>
      </c>
      <c r="J546" s="29">
        <v>0</v>
      </c>
      <c r="K546" s="9">
        <v>45305</v>
      </c>
      <c r="L546">
        <f xml:space="preserve"> (交易處理資料__3[[#This Row],[售出工時]] * 60) / 5</f>
        <v>0</v>
      </c>
      <c r="M546" t="str">
        <f>VLOOKUP(交易處理資料__3[[#This Row],[人員代號]],團隊分組!$B$1:$C$52,2,FALSE)</f>
        <v>快速保養團隊B</v>
      </c>
      <c r="N546" t="str">
        <f>IF(交易處理資料__3[[#This Row],[上班時間]]=0,"否","是")</f>
        <v>否</v>
      </c>
      <c r="O546" t="s">
        <v>76</v>
      </c>
      <c r="P546" s="37">
        <v>0</v>
      </c>
      <c r="Q546" s="37">
        <v>0</v>
      </c>
      <c r="R546" s="37">
        <v>0</v>
      </c>
    </row>
    <row r="547" spans="1:18" hidden="1">
      <c r="A547" t="s">
        <v>76</v>
      </c>
      <c r="B547" t="s">
        <v>31</v>
      </c>
      <c r="C547">
        <v>0</v>
      </c>
      <c r="D547">
        <v>0</v>
      </c>
      <c r="E547" s="29">
        <v>0</v>
      </c>
      <c r="F547">
        <v>0</v>
      </c>
      <c r="G547">
        <v>0</v>
      </c>
      <c r="H547">
        <v>0</v>
      </c>
      <c r="I547" s="29">
        <v>0</v>
      </c>
      <c r="J547" s="29">
        <v>0</v>
      </c>
      <c r="K547" s="9">
        <v>45305</v>
      </c>
      <c r="L547">
        <f xml:space="preserve"> (交易處理資料__3[[#This Row],[售出工時]] * 60) / 5</f>
        <v>0</v>
      </c>
      <c r="M547" t="str">
        <f>VLOOKUP(交易處理資料__3[[#This Row],[人員代號]],團隊分組!$B$1:$C$52,2,FALSE)</f>
        <v>快速保養團隊A</v>
      </c>
      <c r="N547" t="str">
        <f>IF(交易處理資料__3[[#This Row],[上班時間]]=0,"否","是")</f>
        <v>否</v>
      </c>
      <c r="O547" t="s">
        <v>76</v>
      </c>
      <c r="P547" s="38">
        <v>0</v>
      </c>
      <c r="Q547" s="38">
        <v>0</v>
      </c>
      <c r="R547" s="38">
        <v>0</v>
      </c>
    </row>
    <row r="548" spans="1:18" hidden="1">
      <c r="A548" t="s">
        <v>76</v>
      </c>
      <c r="B548" t="s">
        <v>32</v>
      </c>
      <c r="C548">
        <v>0</v>
      </c>
      <c r="D548">
        <v>0</v>
      </c>
      <c r="E548" s="29">
        <v>0</v>
      </c>
      <c r="F548">
        <v>0</v>
      </c>
      <c r="G548">
        <v>0</v>
      </c>
      <c r="H548">
        <v>0</v>
      </c>
      <c r="I548" s="29">
        <v>0</v>
      </c>
      <c r="J548" s="29">
        <v>0</v>
      </c>
      <c r="K548" s="9">
        <v>45305</v>
      </c>
      <c r="L548">
        <f xml:space="preserve"> (交易處理資料__3[[#This Row],[售出工時]] * 60) / 5</f>
        <v>0</v>
      </c>
      <c r="M548" t="str">
        <f>VLOOKUP(交易處理資料__3[[#This Row],[人員代號]],團隊分組!$B$1:$C$52,2,FALSE)</f>
        <v>快速保養團隊B</v>
      </c>
      <c r="N548" t="str">
        <f>IF(交易處理資料__3[[#This Row],[上班時間]]=0,"否","是")</f>
        <v>否</v>
      </c>
      <c r="O548" t="s">
        <v>76</v>
      </c>
      <c r="P548" s="37">
        <v>0</v>
      </c>
      <c r="Q548" s="37">
        <v>0</v>
      </c>
      <c r="R548" s="37">
        <v>0</v>
      </c>
    </row>
    <row r="549" spans="1:18" hidden="1">
      <c r="A549" t="s">
        <v>76</v>
      </c>
      <c r="B549" t="s">
        <v>33</v>
      </c>
      <c r="C549">
        <v>0</v>
      </c>
      <c r="D549">
        <v>0</v>
      </c>
      <c r="E549" s="29">
        <v>0</v>
      </c>
      <c r="F549">
        <v>0</v>
      </c>
      <c r="G549">
        <v>0</v>
      </c>
      <c r="H549">
        <v>0</v>
      </c>
      <c r="I549" s="29">
        <v>0</v>
      </c>
      <c r="J549" s="29">
        <v>0</v>
      </c>
      <c r="K549" s="9">
        <v>45305</v>
      </c>
      <c r="L549">
        <f xml:space="preserve"> (交易處理資料__3[[#This Row],[售出工時]] * 60) / 5</f>
        <v>0</v>
      </c>
      <c r="M549" t="str">
        <f>VLOOKUP(交易處理資料__3[[#This Row],[人員代號]],團隊分組!$B$1:$C$52,2,FALSE)</f>
        <v>快速保養團隊B</v>
      </c>
      <c r="N549" t="str">
        <f>IF(交易處理資料__3[[#This Row],[上班時間]]=0,"否","是")</f>
        <v>否</v>
      </c>
      <c r="O549" t="s">
        <v>76</v>
      </c>
      <c r="P549" s="38">
        <v>0</v>
      </c>
      <c r="Q549" s="38">
        <v>0</v>
      </c>
      <c r="R549" s="38">
        <v>0</v>
      </c>
    </row>
    <row r="550" spans="1:18" hidden="1">
      <c r="A550" t="s">
        <v>76</v>
      </c>
      <c r="B550" t="s">
        <v>34</v>
      </c>
      <c r="C550">
        <v>0</v>
      </c>
      <c r="D550">
        <v>0</v>
      </c>
      <c r="E550" s="29">
        <v>0</v>
      </c>
      <c r="F550">
        <v>0</v>
      </c>
      <c r="G550">
        <v>0</v>
      </c>
      <c r="H550">
        <v>0</v>
      </c>
      <c r="I550" s="29">
        <v>0</v>
      </c>
      <c r="J550" s="29">
        <v>0</v>
      </c>
      <c r="K550" s="9">
        <v>45305</v>
      </c>
      <c r="L550">
        <f xml:space="preserve"> (交易處理資料__3[[#This Row],[售出工時]] * 60) / 5</f>
        <v>0</v>
      </c>
      <c r="M550" t="str">
        <f>VLOOKUP(交易處理資料__3[[#This Row],[人員代號]],團隊分組!$B$1:$C$52,2,FALSE)</f>
        <v>快速保養團隊A</v>
      </c>
      <c r="N550" t="str">
        <f>IF(交易處理資料__3[[#This Row],[上班時間]]=0,"否","是")</f>
        <v>否</v>
      </c>
      <c r="O550" t="s">
        <v>76</v>
      </c>
      <c r="P550" s="37">
        <v>0</v>
      </c>
      <c r="Q550" s="37">
        <v>0</v>
      </c>
      <c r="R550" s="37">
        <v>0</v>
      </c>
    </row>
    <row r="551" spans="1:18" hidden="1">
      <c r="A551" t="s">
        <v>76</v>
      </c>
      <c r="B551" t="s">
        <v>35</v>
      </c>
      <c r="C551">
        <v>0</v>
      </c>
      <c r="D551">
        <v>0</v>
      </c>
      <c r="E551" s="29">
        <v>0</v>
      </c>
      <c r="F551">
        <v>0</v>
      </c>
      <c r="G551">
        <v>0</v>
      </c>
      <c r="H551">
        <v>0</v>
      </c>
      <c r="I551" s="29">
        <v>0</v>
      </c>
      <c r="J551" s="29">
        <v>0</v>
      </c>
      <c r="K551" s="9">
        <v>45305</v>
      </c>
      <c r="L551">
        <f xml:space="preserve"> (交易處理資料__3[[#This Row],[售出工時]] * 60) / 5</f>
        <v>0</v>
      </c>
      <c r="M551" t="str">
        <f>VLOOKUP(交易處理資料__3[[#This Row],[人員代號]],團隊分組!$B$1:$C$52,2,FALSE)</f>
        <v>查修團隊B</v>
      </c>
      <c r="N551" t="str">
        <f>IF(交易處理資料__3[[#This Row],[上班時間]]=0,"否","是")</f>
        <v>否</v>
      </c>
      <c r="O551" t="s">
        <v>76</v>
      </c>
      <c r="P551" s="38">
        <v>0</v>
      </c>
      <c r="Q551" s="38">
        <v>0</v>
      </c>
      <c r="R551" s="38">
        <v>0</v>
      </c>
    </row>
    <row r="552" spans="1:18" hidden="1">
      <c r="A552" t="s">
        <v>76</v>
      </c>
      <c r="B552" t="s">
        <v>36</v>
      </c>
      <c r="C552">
        <v>0</v>
      </c>
      <c r="D552">
        <v>0</v>
      </c>
      <c r="E552" s="29">
        <v>0</v>
      </c>
      <c r="F552">
        <v>0</v>
      </c>
      <c r="G552">
        <v>0</v>
      </c>
      <c r="H552">
        <v>0</v>
      </c>
      <c r="I552" s="29">
        <v>0</v>
      </c>
      <c r="J552" s="29">
        <v>0</v>
      </c>
      <c r="K552" s="9">
        <v>45305</v>
      </c>
      <c r="L552">
        <f xml:space="preserve"> (交易處理資料__3[[#This Row],[售出工時]] * 60) / 5</f>
        <v>0</v>
      </c>
      <c r="M552" t="str">
        <f>VLOOKUP(交易處理資料__3[[#This Row],[人員代號]],團隊分組!$B$1:$C$52,2,FALSE)</f>
        <v>查修團隊B</v>
      </c>
      <c r="N552" t="str">
        <f>IF(交易處理資料__3[[#This Row],[上班時間]]=0,"否","是")</f>
        <v>否</v>
      </c>
      <c r="O552" t="s">
        <v>76</v>
      </c>
      <c r="P552" s="37">
        <v>0</v>
      </c>
      <c r="Q552" s="37">
        <v>0</v>
      </c>
      <c r="R552" s="37">
        <v>0</v>
      </c>
    </row>
    <row r="553" spans="1:18" hidden="1">
      <c r="A553" t="s">
        <v>76</v>
      </c>
      <c r="B553" t="s">
        <v>37</v>
      </c>
      <c r="C553">
        <v>0</v>
      </c>
      <c r="D553">
        <v>0</v>
      </c>
      <c r="E553" s="29">
        <v>0</v>
      </c>
      <c r="F553">
        <v>0</v>
      </c>
      <c r="G553">
        <v>0</v>
      </c>
      <c r="H553">
        <v>0</v>
      </c>
      <c r="I553" s="29">
        <v>0</v>
      </c>
      <c r="J553" s="29">
        <v>0</v>
      </c>
      <c r="K553" s="9">
        <v>45305</v>
      </c>
      <c r="L553">
        <f xml:space="preserve"> (交易處理資料__3[[#This Row],[售出工時]] * 60) / 5</f>
        <v>0</v>
      </c>
      <c r="M553" t="str">
        <f>VLOOKUP(交易處理資料__3[[#This Row],[人員代號]],團隊分組!$B$1:$C$52,2,FALSE)</f>
        <v>查修團隊A</v>
      </c>
      <c r="N553" t="str">
        <f>IF(交易處理資料__3[[#This Row],[上班時間]]=0,"否","是")</f>
        <v>否</v>
      </c>
      <c r="O553" t="s">
        <v>76</v>
      </c>
      <c r="P553" s="38">
        <v>0</v>
      </c>
      <c r="Q553" s="38">
        <v>0</v>
      </c>
      <c r="R553" s="38">
        <v>0</v>
      </c>
    </row>
    <row r="554" spans="1:18" hidden="1">
      <c r="A554" t="s">
        <v>76</v>
      </c>
      <c r="B554" t="s">
        <v>38</v>
      </c>
      <c r="C554">
        <v>0</v>
      </c>
      <c r="D554">
        <v>0</v>
      </c>
      <c r="E554" s="29">
        <v>0</v>
      </c>
      <c r="F554">
        <v>0</v>
      </c>
      <c r="G554">
        <v>0</v>
      </c>
      <c r="H554">
        <v>0</v>
      </c>
      <c r="I554" s="29">
        <v>0</v>
      </c>
      <c r="J554" s="29">
        <v>0</v>
      </c>
      <c r="K554" s="9">
        <v>45305</v>
      </c>
      <c r="L554">
        <f xml:space="preserve"> (交易處理資料__3[[#This Row],[售出工時]] * 60) / 5</f>
        <v>0</v>
      </c>
      <c r="M554" t="str">
        <f>VLOOKUP(交易處理資料__3[[#This Row],[人員代號]],團隊分組!$B$1:$C$52,2,FALSE)</f>
        <v>快速保養團隊A</v>
      </c>
      <c r="N554" t="str">
        <f>IF(交易處理資料__3[[#This Row],[上班時間]]=0,"否","是")</f>
        <v>否</v>
      </c>
      <c r="O554" t="s">
        <v>76</v>
      </c>
      <c r="P554" s="37">
        <v>0</v>
      </c>
      <c r="Q554" s="37">
        <v>0</v>
      </c>
      <c r="R554" s="37">
        <v>0</v>
      </c>
    </row>
    <row r="555" spans="1:18" hidden="1">
      <c r="A555" t="s">
        <v>76</v>
      </c>
      <c r="B555" t="s">
        <v>39</v>
      </c>
      <c r="C555">
        <v>0</v>
      </c>
      <c r="D555">
        <v>0</v>
      </c>
      <c r="E555" s="29">
        <v>0</v>
      </c>
      <c r="F555">
        <v>0</v>
      </c>
      <c r="G555">
        <v>0</v>
      </c>
      <c r="H555">
        <v>0</v>
      </c>
      <c r="I555" s="29">
        <v>0</v>
      </c>
      <c r="J555" s="29">
        <v>0</v>
      </c>
      <c r="K555" s="9">
        <v>45305</v>
      </c>
      <c r="L555">
        <f xml:space="preserve"> (交易處理資料__3[[#This Row],[售出工時]] * 60) / 5</f>
        <v>0</v>
      </c>
      <c r="M555" t="str">
        <f>VLOOKUP(交易處理資料__3[[#This Row],[人員代號]],團隊分組!$B$1:$C$52,2,FALSE)</f>
        <v>查修團隊A</v>
      </c>
      <c r="N555" t="str">
        <f>IF(交易處理資料__3[[#This Row],[上班時間]]=0,"否","是")</f>
        <v>否</v>
      </c>
      <c r="O555" t="s">
        <v>76</v>
      </c>
      <c r="P555" s="38">
        <v>0</v>
      </c>
      <c r="Q555" s="38">
        <v>0</v>
      </c>
      <c r="R555" s="38">
        <v>0</v>
      </c>
    </row>
    <row r="556" spans="1:18" hidden="1">
      <c r="A556" t="s">
        <v>76</v>
      </c>
      <c r="B556" t="s">
        <v>40</v>
      </c>
      <c r="C556">
        <v>0</v>
      </c>
      <c r="D556">
        <v>0</v>
      </c>
      <c r="E556" s="29">
        <v>0</v>
      </c>
      <c r="F556">
        <v>0</v>
      </c>
      <c r="G556">
        <v>0</v>
      </c>
      <c r="H556">
        <v>0</v>
      </c>
      <c r="I556" s="29">
        <v>0</v>
      </c>
      <c r="J556" s="29">
        <v>0</v>
      </c>
      <c r="K556" s="9">
        <v>45305</v>
      </c>
      <c r="L556">
        <f xml:space="preserve"> (交易處理資料__3[[#This Row],[售出工時]] * 60) / 5</f>
        <v>0</v>
      </c>
      <c r="M556" t="str">
        <f>VLOOKUP(交易處理資料__3[[#This Row],[人員代號]],團隊分組!$B$1:$C$52,2,FALSE)</f>
        <v>查修團隊A</v>
      </c>
      <c r="N556" t="str">
        <f>IF(交易處理資料__3[[#This Row],[上班時間]]=0,"否","是")</f>
        <v>否</v>
      </c>
      <c r="O556" t="s">
        <v>76</v>
      </c>
      <c r="P556" s="37">
        <v>0</v>
      </c>
      <c r="Q556" s="37">
        <v>0</v>
      </c>
      <c r="R556" s="37">
        <v>0</v>
      </c>
    </row>
    <row r="557" spans="1:18" hidden="1">
      <c r="A557" t="s">
        <v>76</v>
      </c>
      <c r="B557" t="s">
        <v>41</v>
      </c>
      <c r="C557">
        <v>0</v>
      </c>
      <c r="D557">
        <v>0</v>
      </c>
      <c r="E557" s="29">
        <v>0</v>
      </c>
      <c r="F557">
        <v>0</v>
      </c>
      <c r="G557">
        <v>0</v>
      </c>
      <c r="H557">
        <v>0</v>
      </c>
      <c r="I557" s="29">
        <v>0</v>
      </c>
      <c r="J557" s="29">
        <v>0</v>
      </c>
      <c r="K557" s="9">
        <v>45305</v>
      </c>
      <c r="L557">
        <f xml:space="preserve"> (交易處理資料__3[[#This Row],[售出工時]] * 60) / 5</f>
        <v>0</v>
      </c>
      <c r="M557" t="str">
        <f>VLOOKUP(交易處理資料__3[[#This Row],[人員代號]],團隊分組!$B$1:$C$52,2,FALSE)</f>
        <v>快速保養團隊A</v>
      </c>
      <c r="N557" t="str">
        <f>IF(交易處理資料__3[[#This Row],[上班時間]]=0,"否","是")</f>
        <v>否</v>
      </c>
      <c r="O557" t="s">
        <v>76</v>
      </c>
      <c r="P557" s="38">
        <v>0</v>
      </c>
      <c r="Q557" s="38">
        <v>0</v>
      </c>
      <c r="R557" s="38">
        <v>0</v>
      </c>
    </row>
    <row r="558" spans="1:18" hidden="1">
      <c r="A558" t="s">
        <v>76</v>
      </c>
      <c r="B558" t="s">
        <v>42</v>
      </c>
      <c r="C558">
        <v>0</v>
      </c>
      <c r="D558">
        <v>0</v>
      </c>
      <c r="E558" s="29">
        <v>0</v>
      </c>
      <c r="F558">
        <v>0</v>
      </c>
      <c r="G558">
        <v>0</v>
      </c>
      <c r="H558">
        <v>0</v>
      </c>
      <c r="I558" s="29">
        <v>0</v>
      </c>
      <c r="J558" s="29">
        <v>0</v>
      </c>
      <c r="K558" s="9">
        <v>45305</v>
      </c>
      <c r="L558">
        <f xml:space="preserve"> (交易處理資料__3[[#This Row],[售出工時]] * 60) / 5</f>
        <v>0</v>
      </c>
      <c r="M558" t="str">
        <f>VLOOKUP(交易處理資料__3[[#This Row],[人員代號]],團隊分組!$B$1:$C$52,2,FALSE)</f>
        <v>快速保養團隊A</v>
      </c>
      <c r="N558" t="str">
        <f>IF(交易處理資料__3[[#This Row],[上班時間]]=0,"否","是")</f>
        <v>否</v>
      </c>
      <c r="O558" t="s">
        <v>76</v>
      </c>
      <c r="P558" s="37">
        <v>0</v>
      </c>
      <c r="Q558" s="37">
        <v>0</v>
      </c>
      <c r="R558" s="37">
        <v>0</v>
      </c>
    </row>
    <row r="559" spans="1:18" hidden="1">
      <c r="A559" t="s">
        <v>76</v>
      </c>
      <c r="B559" t="s">
        <v>43</v>
      </c>
      <c r="C559">
        <v>0</v>
      </c>
      <c r="D559">
        <v>0</v>
      </c>
      <c r="E559" s="29">
        <v>0</v>
      </c>
      <c r="F559">
        <v>0</v>
      </c>
      <c r="G559">
        <v>0</v>
      </c>
      <c r="H559">
        <v>0</v>
      </c>
      <c r="I559" s="29">
        <v>0</v>
      </c>
      <c r="J559" s="29">
        <v>0</v>
      </c>
      <c r="K559" s="9">
        <v>45305</v>
      </c>
      <c r="L559">
        <f xml:space="preserve"> (交易處理資料__3[[#This Row],[售出工時]] * 60) / 5</f>
        <v>0</v>
      </c>
      <c r="M559" t="str">
        <f>VLOOKUP(交易處理資料__3[[#This Row],[人員代號]],團隊分組!$B$1:$C$52,2,FALSE)</f>
        <v>查修團隊B</v>
      </c>
      <c r="N559" t="str">
        <f>IF(交易處理資料__3[[#This Row],[上班時間]]=0,"否","是")</f>
        <v>否</v>
      </c>
      <c r="O559" t="s">
        <v>76</v>
      </c>
      <c r="P559" s="38">
        <v>0</v>
      </c>
      <c r="Q559" s="38">
        <v>0</v>
      </c>
      <c r="R559" s="38">
        <v>0</v>
      </c>
    </row>
    <row r="560" spans="1:18" hidden="1">
      <c r="A560" t="s">
        <v>76</v>
      </c>
      <c r="B560" t="s">
        <v>44</v>
      </c>
      <c r="C560">
        <v>0</v>
      </c>
      <c r="D560">
        <v>0</v>
      </c>
      <c r="E560" s="29">
        <v>0</v>
      </c>
      <c r="F560">
        <v>0</v>
      </c>
      <c r="G560">
        <v>0</v>
      </c>
      <c r="H560">
        <v>0</v>
      </c>
      <c r="I560" s="29">
        <v>0</v>
      </c>
      <c r="J560" s="29">
        <v>0</v>
      </c>
      <c r="K560" s="9">
        <v>45305</v>
      </c>
      <c r="L560">
        <f xml:space="preserve"> (交易處理資料__3[[#This Row],[售出工時]] * 60) / 5</f>
        <v>0</v>
      </c>
      <c r="M560" t="str">
        <f>VLOOKUP(交易處理資料__3[[#This Row],[人員代號]],團隊分組!$B$1:$C$52,2,FALSE)</f>
        <v>快速保養團隊B</v>
      </c>
      <c r="N560" t="str">
        <f>IF(交易處理資料__3[[#This Row],[上班時間]]=0,"否","是")</f>
        <v>否</v>
      </c>
      <c r="O560" t="s">
        <v>76</v>
      </c>
      <c r="P560" s="37">
        <v>0</v>
      </c>
      <c r="Q560" s="37">
        <v>0</v>
      </c>
      <c r="R560" s="37">
        <v>0</v>
      </c>
    </row>
    <row r="561" spans="1:18" hidden="1">
      <c r="A561" t="s">
        <v>76</v>
      </c>
      <c r="B561" t="s">
        <v>45</v>
      </c>
      <c r="C561">
        <v>0</v>
      </c>
      <c r="D561">
        <v>0</v>
      </c>
      <c r="E561" s="29">
        <v>0</v>
      </c>
      <c r="F561">
        <v>0</v>
      </c>
      <c r="G561">
        <v>0</v>
      </c>
      <c r="H561">
        <v>0</v>
      </c>
      <c r="I561" s="29">
        <v>0</v>
      </c>
      <c r="J561" s="29">
        <v>0</v>
      </c>
      <c r="K561" s="9">
        <v>45305</v>
      </c>
      <c r="L561">
        <f xml:space="preserve"> (交易處理資料__3[[#This Row],[售出工時]] * 60) / 5</f>
        <v>0</v>
      </c>
      <c r="M561" t="str">
        <f>VLOOKUP(交易處理資料__3[[#This Row],[人員代號]],團隊分組!$B$1:$C$52,2,FALSE)</f>
        <v>快速保養團隊A</v>
      </c>
      <c r="N561" t="str">
        <f>IF(交易處理資料__3[[#This Row],[上班時間]]=0,"否","是")</f>
        <v>否</v>
      </c>
      <c r="O561" t="s">
        <v>76</v>
      </c>
      <c r="P561" s="38">
        <v>0</v>
      </c>
      <c r="Q561" s="38">
        <v>0</v>
      </c>
      <c r="R561" s="38">
        <v>0</v>
      </c>
    </row>
    <row r="562" spans="1:18" hidden="1">
      <c r="A562" t="s">
        <v>76</v>
      </c>
      <c r="B562" t="s">
        <v>46</v>
      </c>
      <c r="C562">
        <v>0</v>
      </c>
      <c r="D562">
        <v>0</v>
      </c>
      <c r="E562" s="29">
        <v>0</v>
      </c>
      <c r="F562">
        <v>0</v>
      </c>
      <c r="G562">
        <v>0</v>
      </c>
      <c r="H562">
        <v>0</v>
      </c>
      <c r="I562" s="29">
        <v>0</v>
      </c>
      <c r="J562" s="29">
        <v>0</v>
      </c>
      <c r="K562" s="9">
        <v>45305</v>
      </c>
      <c r="L562">
        <f xml:space="preserve"> (交易處理資料__3[[#This Row],[售出工時]] * 60) / 5</f>
        <v>0</v>
      </c>
      <c r="M562" t="str">
        <f>VLOOKUP(交易處理資料__3[[#This Row],[人員代號]],團隊分組!$B$1:$C$52,2,FALSE)</f>
        <v>查修團隊B</v>
      </c>
      <c r="N562" t="str">
        <f>IF(交易處理資料__3[[#This Row],[上班時間]]=0,"否","是")</f>
        <v>否</v>
      </c>
      <c r="O562" t="s">
        <v>76</v>
      </c>
      <c r="P562" s="37">
        <v>0</v>
      </c>
      <c r="Q562" s="37">
        <v>0</v>
      </c>
      <c r="R562" s="37">
        <v>0</v>
      </c>
    </row>
    <row r="563" spans="1:18" hidden="1">
      <c r="A563" t="s">
        <v>76</v>
      </c>
      <c r="B563" t="s">
        <v>47</v>
      </c>
      <c r="C563">
        <v>0</v>
      </c>
      <c r="D563">
        <v>0</v>
      </c>
      <c r="E563" s="29">
        <v>0</v>
      </c>
      <c r="F563">
        <v>0</v>
      </c>
      <c r="G563">
        <v>0</v>
      </c>
      <c r="H563">
        <v>0</v>
      </c>
      <c r="I563" s="29">
        <v>0</v>
      </c>
      <c r="J563" s="29">
        <v>0</v>
      </c>
      <c r="K563" s="9">
        <v>45305</v>
      </c>
      <c r="L563">
        <f xml:space="preserve"> (交易處理資料__3[[#This Row],[售出工時]] * 60) / 5</f>
        <v>0</v>
      </c>
      <c r="M563" t="str">
        <f>VLOOKUP(交易處理資料__3[[#This Row],[人員代號]],團隊分組!$B$1:$C$52,2,FALSE)</f>
        <v>查修團隊B</v>
      </c>
      <c r="N563" t="str">
        <f>IF(交易處理資料__3[[#This Row],[上班時間]]=0,"否","是")</f>
        <v>否</v>
      </c>
      <c r="O563" t="s">
        <v>76</v>
      </c>
      <c r="P563" s="38">
        <v>0</v>
      </c>
      <c r="Q563" s="38">
        <v>0</v>
      </c>
      <c r="R563" s="38">
        <v>0</v>
      </c>
    </row>
    <row r="564" spans="1:18" hidden="1">
      <c r="A564" t="s">
        <v>76</v>
      </c>
      <c r="B564" t="s">
        <v>48</v>
      </c>
      <c r="C564">
        <v>0</v>
      </c>
      <c r="D564">
        <v>0</v>
      </c>
      <c r="E564" s="29">
        <v>0</v>
      </c>
      <c r="F564">
        <v>0</v>
      </c>
      <c r="G564">
        <v>0</v>
      </c>
      <c r="H564">
        <v>0</v>
      </c>
      <c r="I564" s="29">
        <v>0</v>
      </c>
      <c r="J564" s="29">
        <v>0</v>
      </c>
      <c r="K564" s="9">
        <v>45305</v>
      </c>
      <c r="L564">
        <f xml:space="preserve"> (交易處理資料__3[[#This Row],[售出工時]] * 60) / 5</f>
        <v>0</v>
      </c>
      <c r="M564" t="str">
        <f>VLOOKUP(交易處理資料__3[[#This Row],[人員代號]],團隊分組!$B$1:$C$52,2,FALSE)</f>
        <v>查修團隊A</v>
      </c>
      <c r="N564" t="str">
        <f>IF(交易處理資料__3[[#This Row],[上班時間]]=0,"否","是")</f>
        <v>否</v>
      </c>
      <c r="O564" t="s">
        <v>76</v>
      </c>
      <c r="P564" s="37">
        <v>0</v>
      </c>
      <c r="Q564" s="37">
        <v>0</v>
      </c>
      <c r="R564" s="37">
        <v>0</v>
      </c>
    </row>
    <row r="565" spans="1:18" hidden="1">
      <c r="A565" t="s">
        <v>76</v>
      </c>
      <c r="B565" t="s">
        <v>49</v>
      </c>
      <c r="C565">
        <v>0</v>
      </c>
      <c r="D565">
        <v>0</v>
      </c>
      <c r="E565" s="29">
        <v>0</v>
      </c>
      <c r="F565">
        <v>0</v>
      </c>
      <c r="G565">
        <v>0</v>
      </c>
      <c r="H565">
        <v>0</v>
      </c>
      <c r="I565" s="29">
        <v>0</v>
      </c>
      <c r="J565" s="29">
        <v>0</v>
      </c>
      <c r="K565" s="9">
        <v>45305</v>
      </c>
      <c r="L565">
        <f xml:space="preserve"> (交易處理資料__3[[#This Row],[售出工時]] * 60) / 5</f>
        <v>0</v>
      </c>
      <c r="M565" t="str">
        <f>VLOOKUP(交易處理資料__3[[#This Row],[人員代號]],團隊分組!$B$1:$C$52,2,FALSE)</f>
        <v>查修團隊A</v>
      </c>
      <c r="N565" t="str">
        <f>IF(交易處理資料__3[[#This Row],[上班時間]]=0,"否","是")</f>
        <v>否</v>
      </c>
      <c r="O565" t="s">
        <v>76</v>
      </c>
      <c r="P565" s="38">
        <v>0</v>
      </c>
      <c r="Q565" s="38">
        <v>0</v>
      </c>
      <c r="R565" s="38">
        <v>0</v>
      </c>
    </row>
    <row r="566" spans="1:18" hidden="1">
      <c r="A566" t="s">
        <v>76</v>
      </c>
      <c r="B566" t="s">
        <v>50</v>
      </c>
      <c r="C566">
        <v>0</v>
      </c>
      <c r="D566">
        <v>0</v>
      </c>
      <c r="E566" s="29">
        <v>0</v>
      </c>
      <c r="F566">
        <v>0</v>
      </c>
      <c r="G566">
        <v>0</v>
      </c>
      <c r="H566">
        <v>0</v>
      </c>
      <c r="I566" s="29">
        <v>0</v>
      </c>
      <c r="J566" s="29">
        <v>0</v>
      </c>
      <c r="K566" s="9">
        <v>45305</v>
      </c>
      <c r="L566">
        <f xml:space="preserve"> (交易處理資料__3[[#This Row],[售出工時]] * 60) / 5</f>
        <v>0</v>
      </c>
      <c r="M566" t="str">
        <f>VLOOKUP(交易處理資料__3[[#This Row],[人員代號]],團隊分組!$B$1:$C$52,2,FALSE)</f>
        <v>快速保養團隊B</v>
      </c>
      <c r="N566" t="str">
        <f>IF(交易處理資料__3[[#This Row],[上班時間]]=0,"否","是")</f>
        <v>否</v>
      </c>
      <c r="O566" t="s">
        <v>76</v>
      </c>
      <c r="P566" s="37">
        <v>0</v>
      </c>
      <c r="Q566" s="37">
        <v>0</v>
      </c>
      <c r="R566" s="37">
        <v>0</v>
      </c>
    </row>
    <row r="567" spans="1:18" hidden="1">
      <c r="A567" t="s">
        <v>76</v>
      </c>
      <c r="B567" t="s">
        <v>51</v>
      </c>
      <c r="C567">
        <v>0</v>
      </c>
      <c r="D567">
        <v>0</v>
      </c>
      <c r="E567" s="29">
        <v>0</v>
      </c>
      <c r="F567">
        <v>0</v>
      </c>
      <c r="G567">
        <v>0</v>
      </c>
      <c r="H567">
        <v>0</v>
      </c>
      <c r="I567" s="29">
        <v>0</v>
      </c>
      <c r="J567" s="29">
        <v>0</v>
      </c>
      <c r="K567" s="9">
        <v>45305</v>
      </c>
      <c r="L567">
        <f xml:space="preserve"> (交易處理資料__3[[#This Row],[售出工時]] * 60) / 5</f>
        <v>0</v>
      </c>
      <c r="M567" t="str">
        <f>VLOOKUP(交易處理資料__3[[#This Row],[人員代號]],團隊分組!$B$1:$C$52,2,FALSE)</f>
        <v>無效數據</v>
      </c>
      <c r="N567" t="str">
        <f>IF(交易處理資料__3[[#This Row],[上班時間]]=0,"否","是")</f>
        <v>否</v>
      </c>
      <c r="O567" t="s">
        <v>76</v>
      </c>
      <c r="P567" s="38">
        <v>0</v>
      </c>
      <c r="Q567" s="38">
        <v>0</v>
      </c>
      <c r="R567" s="38">
        <v>0</v>
      </c>
    </row>
    <row r="568" spans="1:18" hidden="1">
      <c r="A568" t="s">
        <v>76</v>
      </c>
      <c r="B568" t="s">
        <v>52</v>
      </c>
      <c r="C568">
        <v>0</v>
      </c>
      <c r="D568">
        <v>0</v>
      </c>
      <c r="E568" s="29">
        <v>0</v>
      </c>
      <c r="F568">
        <v>0</v>
      </c>
      <c r="G568">
        <v>0</v>
      </c>
      <c r="H568">
        <v>0</v>
      </c>
      <c r="I568" s="29">
        <v>0</v>
      </c>
      <c r="J568" s="29">
        <v>0</v>
      </c>
      <c r="K568" s="9">
        <v>45305</v>
      </c>
      <c r="L568">
        <f xml:space="preserve"> (交易處理資料__3[[#This Row],[售出工時]] * 60) / 5</f>
        <v>0</v>
      </c>
      <c r="M568" t="str">
        <f>VLOOKUP(交易處理資料__3[[#This Row],[人員代號]],團隊分組!$B$1:$C$52,2,FALSE)</f>
        <v>查修團隊B</v>
      </c>
      <c r="N568" t="str">
        <f>IF(交易處理資料__3[[#This Row],[上班時間]]=0,"否","是")</f>
        <v>否</v>
      </c>
      <c r="O568" t="s">
        <v>76</v>
      </c>
      <c r="P568" s="37">
        <v>0</v>
      </c>
      <c r="Q568" s="37">
        <v>0</v>
      </c>
      <c r="R568" s="37">
        <v>0</v>
      </c>
    </row>
    <row r="569" spans="1:18" hidden="1">
      <c r="A569" t="s">
        <v>76</v>
      </c>
      <c r="B569" t="s">
        <v>53</v>
      </c>
      <c r="C569">
        <v>0</v>
      </c>
      <c r="D569">
        <v>0</v>
      </c>
      <c r="E569" s="29">
        <v>0</v>
      </c>
      <c r="F569">
        <v>0</v>
      </c>
      <c r="G569">
        <v>0</v>
      </c>
      <c r="H569">
        <v>0</v>
      </c>
      <c r="I569" s="29">
        <v>0</v>
      </c>
      <c r="J569" s="29">
        <v>0</v>
      </c>
      <c r="K569" s="9">
        <v>45305</v>
      </c>
      <c r="L569">
        <f xml:space="preserve"> (交易處理資料__3[[#This Row],[售出工時]] * 60) / 5</f>
        <v>0</v>
      </c>
      <c r="M569" t="str">
        <f>VLOOKUP(交易處理資料__3[[#This Row],[人員代號]],團隊分組!$B$1:$C$52,2,FALSE)</f>
        <v>查修團隊A</v>
      </c>
      <c r="N569" t="str">
        <f>IF(交易處理資料__3[[#This Row],[上班時間]]=0,"否","是")</f>
        <v>否</v>
      </c>
      <c r="O569" t="s">
        <v>76</v>
      </c>
      <c r="P569" s="38">
        <v>0</v>
      </c>
      <c r="Q569" s="38">
        <v>0</v>
      </c>
      <c r="R569" s="38">
        <v>0</v>
      </c>
    </row>
    <row r="570" spans="1:18" hidden="1">
      <c r="A570" s="10" t="s">
        <v>74</v>
      </c>
      <c r="B570" t="s">
        <v>1</v>
      </c>
      <c r="C570">
        <v>0</v>
      </c>
      <c r="D570">
        <v>0</v>
      </c>
      <c r="E570" s="29">
        <v>0</v>
      </c>
      <c r="F570">
        <v>7.55</v>
      </c>
      <c r="G570">
        <v>0.57999999999999996</v>
      </c>
      <c r="H570">
        <v>8.1300000000000008</v>
      </c>
      <c r="I570" s="29">
        <v>0.92870000000000008</v>
      </c>
      <c r="J570" s="29">
        <v>0</v>
      </c>
      <c r="K570" s="9">
        <v>45306</v>
      </c>
      <c r="L570">
        <f xml:space="preserve"> (交易處理資料__3[[#This Row],[售出工時]] * 60) / 5</f>
        <v>0</v>
      </c>
      <c r="M570" t="str">
        <f>VLOOKUP(交易處理資料__3[[#This Row],[人員代號]],團隊分組!$B$1:$C$52,2,FALSE)</f>
        <v>噴漆維修組</v>
      </c>
      <c r="N570" t="str">
        <f>IF(交易處理資料__3[[#This Row],[上班時間]]=0,"否","是")</f>
        <v>是</v>
      </c>
      <c r="O570" s="10" t="s">
        <v>74</v>
      </c>
      <c r="P570" s="37">
        <v>0</v>
      </c>
      <c r="Q570" s="37">
        <v>0</v>
      </c>
      <c r="R570" s="37">
        <v>0.92870000000000008</v>
      </c>
    </row>
    <row r="571" spans="1:18" hidden="1">
      <c r="A571" s="10" t="s">
        <v>74</v>
      </c>
      <c r="B571" t="s">
        <v>4</v>
      </c>
      <c r="C571">
        <v>0</v>
      </c>
      <c r="D571">
        <v>0</v>
      </c>
      <c r="E571" s="29">
        <v>0</v>
      </c>
      <c r="F571">
        <v>7.55</v>
      </c>
      <c r="G571">
        <v>0.59</v>
      </c>
      <c r="H571">
        <v>8.14</v>
      </c>
      <c r="I571" s="29">
        <v>0.92749999999999999</v>
      </c>
      <c r="J571" s="29">
        <v>0</v>
      </c>
      <c r="K571" s="9">
        <v>45306</v>
      </c>
      <c r="L571">
        <f xml:space="preserve"> (交易處理資料__3[[#This Row],[售出工時]] * 60) / 5</f>
        <v>0</v>
      </c>
      <c r="M571" t="str">
        <f>VLOOKUP(交易處理資料__3[[#This Row],[人員代號]],團隊分組!$B$1:$C$52,2,FALSE)</f>
        <v>噴漆維修組</v>
      </c>
      <c r="N571" t="str">
        <f>IF(交易處理資料__3[[#This Row],[上班時間]]=0,"否","是")</f>
        <v>是</v>
      </c>
      <c r="O571" s="10" t="s">
        <v>74</v>
      </c>
      <c r="P571" s="38">
        <v>0</v>
      </c>
      <c r="Q571" s="38">
        <v>0</v>
      </c>
      <c r="R571" s="38">
        <v>0.92749999999999999</v>
      </c>
    </row>
    <row r="572" spans="1:18">
      <c r="A572" s="10" t="s">
        <v>74</v>
      </c>
      <c r="B572" t="s">
        <v>7</v>
      </c>
      <c r="C572">
        <v>3.13</v>
      </c>
      <c r="D572">
        <v>3.55</v>
      </c>
      <c r="E572" s="29">
        <v>0.88159999999999994</v>
      </c>
      <c r="F572">
        <v>5.78</v>
      </c>
      <c r="G572">
        <v>2.31</v>
      </c>
      <c r="H572">
        <v>8.09</v>
      </c>
      <c r="I572" s="29">
        <v>0.71450000000000002</v>
      </c>
      <c r="J572" s="29">
        <v>0.38689999999999997</v>
      </c>
      <c r="K572" s="9">
        <v>45306</v>
      </c>
      <c r="L572">
        <f xml:space="preserve"> (交易處理資料__3[[#This Row],[售出工時]] * 60) / 5</f>
        <v>37.559999999999995</v>
      </c>
      <c r="M572" t="str">
        <f>VLOOKUP(交易處理資料__3[[#This Row],[人員代號]],團隊分組!$B$1:$C$52,2,FALSE)</f>
        <v>噴漆維修組</v>
      </c>
      <c r="N572" t="str">
        <f>IF(交易處理資料__3[[#This Row],[上班時間]]=0,"否","是")</f>
        <v>是</v>
      </c>
      <c r="O572" s="10" t="s">
        <v>74</v>
      </c>
      <c r="P572" s="37">
        <v>0.88159999999999994</v>
      </c>
      <c r="Q572" s="37">
        <v>0.38689999999999997</v>
      </c>
      <c r="R572" s="37">
        <v>0.71450000000000002</v>
      </c>
    </row>
    <row r="573" spans="1:18" hidden="1">
      <c r="A573" s="10" t="s">
        <v>74</v>
      </c>
      <c r="B573" t="s">
        <v>8</v>
      </c>
      <c r="C573">
        <v>0</v>
      </c>
      <c r="D573">
        <v>0</v>
      </c>
      <c r="E573" s="29">
        <v>0</v>
      </c>
      <c r="F573">
        <v>7.56</v>
      </c>
      <c r="G573">
        <v>0.59</v>
      </c>
      <c r="H573">
        <v>8.15</v>
      </c>
      <c r="I573" s="29">
        <v>0.92760000000000009</v>
      </c>
      <c r="J573" s="29">
        <v>0</v>
      </c>
      <c r="K573" s="9">
        <v>45306</v>
      </c>
      <c r="L573">
        <f xml:space="preserve"> (交易處理資料__3[[#This Row],[售出工時]] * 60) / 5</f>
        <v>0</v>
      </c>
      <c r="M573" t="str">
        <f>VLOOKUP(交易處理資料__3[[#This Row],[人員代號]],團隊分組!$B$1:$C$52,2,FALSE)</f>
        <v>噴漆維修組</v>
      </c>
      <c r="N573" t="str">
        <f>IF(交易處理資料__3[[#This Row],[上班時間]]=0,"否","是")</f>
        <v>是</v>
      </c>
      <c r="O573" s="10" t="s">
        <v>74</v>
      </c>
      <c r="P573" s="38">
        <v>0</v>
      </c>
      <c r="Q573" s="38">
        <v>0</v>
      </c>
      <c r="R573" s="38">
        <v>0.92760000000000009</v>
      </c>
    </row>
    <row r="574" spans="1:18" hidden="1">
      <c r="A574" s="10" t="s">
        <v>74</v>
      </c>
      <c r="B574" t="s">
        <v>9</v>
      </c>
      <c r="C574">
        <v>3.91</v>
      </c>
      <c r="D574">
        <v>3.7</v>
      </c>
      <c r="E574" s="29">
        <v>1.0585</v>
      </c>
      <c r="F574">
        <v>7.51</v>
      </c>
      <c r="G574">
        <v>0.6</v>
      </c>
      <c r="H574">
        <v>8.11</v>
      </c>
      <c r="I574" s="29">
        <v>0.92599999999999993</v>
      </c>
      <c r="J574" s="29">
        <v>0.4829</v>
      </c>
      <c r="K574" s="9">
        <v>45306</v>
      </c>
      <c r="L574">
        <f xml:space="preserve"> (交易處理資料__3[[#This Row],[售出工時]] * 60) / 5</f>
        <v>46.92</v>
      </c>
      <c r="M574" t="str">
        <f>VLOOKUP(交易處理資料__3[[#This Row],[人員代號]],團隊分組!$B$1:$C$52,2,FALSE)</f>
        <v>噴漆維修組</v>
      </c>
      <c r="N574" t="str">
        <f>IF(交易處理資料__3[[#This Row],[上班時間]]=0,"否","是")</f>
        <v>是</v>
      </c>
      <c r="O574" s="10" t="s">
        <v>74</v>
      </c>
      <c r="P574" s="37">
        <v>1.0585</v>
      </c>
      <c r="Q574" s="37">
        <v>0.4829</v>
      </c>
      <c r="R574" s="37">
        <v>0.92599999999999993</v>
      </c>
    </row>
    <row r="575" spans="1:18" hidden="1">
      <c r="A575" t="s">
        <v>75</v>
      </c>
      <c r="B575" t="s">
        <v>11</v>
      </c>
      <c r="C575">
        <v>5</v>
      </c>
      <c r="D575">
        <v>2.13</v>
      </c>
      <c r="E575" s="29">
        <v>2.3473999999999999</v>
      </c>
      <c r="F575">
        <v>6.33</v>
      </c>
      <c r="G575">
        <v>1.89</v>
      </c>
      <c r="H575">
        <v>8.2200000000000006</v>
      </c>
      <c r="I575" s="29">
        <v>0.77010000000000001</v>
      </c>
      <c r="J575" s="29">
        <v>0.60829999999999995</v>
      </c>
      <c r="K575" s="9">
        <v>45306</v>
      </c>
      <c r="L575">
        <f xml:space="preserve"> (交易處理資料__3[[#This Row],[售出工時]] * 60) / 5</f>
        <v>60</v>
      </c>
      <c r="M575" t="str">
        <f>VLOOKUP(交易處理資料__3[[#This Row],[人員代號]],團隊分組!$B$1:$C$52,2,FALSE)</f>
        <v>鈑金維修組</v>
      </c>
      <c r="N575" t="str">
        <f>IF(交易處理資料__3[[#This Row],[上班時間]]=0,"否","是")</f>
        <v>是</v>
      </c>
      <c r="O575" t="s">
        <v>75</v>
      </c>
      <c r="P575" s="38">
        <v>2.3473999999999999</v>
      </c>
      <c r="Q575" s="38">
        <v>0.60829999999999995</v>
      </c>
      <c r="R575" s="38">
        <v>0.77010000000000001</v>
      </c>
    </row>
    <row r="576" spans="1:18" hidden="1">
      <c r="A576" t="s">
        <v>75</v>
      </c>
      <c r="B576" t="s">
        <v>12</v>
      </c>
      <c r="C576">
        <v>3</v>
      </c>
      <c r="D576">
        <v>2.5299999999999998</v>
      </c>
      <c r="E576" s="29">
        <v>1.1857</v>
      </c>
      <c r="F576">
        <v>6.9</v>
      </c>
      <c r="G576">
        <v>1.17</v>
      </c>
      <c r="H576">
        <v>8.07</v>
      </c>
      <c r="I576" s="29">
        <v>0.85499999999999998</v>
      </c>
      <c r="J576" s="29">
        <v>0.37170000000000003</v>
      </c>
      <c r="K576" s="9">
        <v>45306</v>
      </c>
      <c r="L576">
        <f xml:space="preserve"> (交易處理資料__3[[#This Row],[售出工時]] * 60) / 5</f>
        <v>36</v>
      </c>
      <c r="M576" t="str">
        <f>VLOOKUP(交易處理資料__3[[#This Row],[人員代號]],團隊分組!$B$1:$C$52,2,FALSE)</f>
        <v>鈑金維修組</v>
      </c>
      <c r="N576" t="str">
        <f>IF(交易處理資料__3[[#This Row],[上班時間]]=0,"否","是")</f>
        <v>是</v>
      </c>
      <c r="O576" t="s">
        <v>75</v>
      </c>
      <c r="P576" s="37">
        <v>1.1857</v>
      </c>
      <c r="Q576" s="37">
        <v>0.37170000000000003</v>
      </c>
      <c r="R576" s="37">
        <v>0.85499999999999998</v>
      </c>
    </row>
    <row r="577" spans="1:18" hidden="1">
      <c r="A577" t="s">
        <v>75</v>
      </c>
      <c r="B577" t="s">
        <v>13</v>
      </c>
      <c r="C577">
        <v>5.33</v>
      </c>
      <c r="D577">
        <v>5.97</v>
      </c>
      <c r="E577" s="29">
        <v>0.89329999999999998</v>
      </c>
      <c r="F577">
        <v>7.5</v>
      </c>
      <c r="G577">
        <v>0.77</v>
      </c>
      <c r="H577">
        <v>8.27</v>
      </c>
      <c r="I577" s="29">
        <v>0.90689999999999993</v>
      </c>
      <c r="J577" s="29">
        <v>0.64489999999999992</v>
      </c>
      <c r="K577" s="9">
        <v>45306</v>
      </c>
      <c r="L577">
        <f xml:space="preserve"> (交易處理資料__3[[#This Row],[售出工時]] * 60) / 5</f>
        <v>63.96</v>
      </c>
      <c r="M577" t="str">
        <f>VLOOKUP(交易處理資料__3[[#This Row],[人員代號]],團隊分組!$B$1:$C$52,2,FALSE)</f>
        <v>鈑金維修組</v>
      </c>
      <c r="N577" t="str">
        <f>IF(交易處理資料__3[[#This Row],[上班時間]]=0,"否","是")</f>
        <v>是</v>
      </c>
      <c r="O577" t="s">
        <v>75</v>
      </c>
      <c r="P577" s="38">
        <v>0.89329999999999998</v>
      </c>
      <c r="Q577" s="38">
        <v>0.64489999999999992</v>
      </c>
      <c r="R577" s="38">
        <v>0.90689999999999993</v>
      </c>
    </row>
    <row r="578" spans="1:18" hidden="1">
      <c r="A578" t="s">
        <v>75</v>
      </c>
      <c r="B578" t="s">
        <v>14</v>
      </c>
      <c r="C578">
        <v>3.89</v>
      </c>
      <c r="D578">
        <v>4.12</v>
      </c>
      <c r="E578" s="29">
        <v>0.94409999999999994</v>
      </c>
      <c r="F578">
        <v>6.02</v>
      </c>
      <c r="G578">
        <v>2.23</v>
      </c>
      <c r="H578">
        <v>8.25</v>
      </c>
      <c r="I578" s="29">
        <v>0.72970000000000002</v>
      </c>
      <c r="J578" s="29">
        <v>0.47149999999999997</v>
      </c>
      <c r="K578" s="9">
        <v>45306</v>
      </c>
      <c r="L578">
        <f xml:space="preserve"> (交易處理資料__3[[#This Row],[售出工時]] * 60) / 5</f>
        <v>46.68</v>
      </c>
      <c r="M578" t="str">
        <f>VLOOKUP(交易處理資料__3[[#This Row],[人員代號]],團隊分組!$B$1:$C$52,2,FALSE)</f>
        <v>鈑金維修組</v>
      </c>
      <c r="N578" t="str">
        <f>IF(交易處理資料__3[[#This Row],[上班時間]]=0,"否","是")</f>
        <v>是</v>
      </c>
      <c r="O578" t="s">
        <v>75</v>
      </c>
      <c r="P578" s="37">
        <v>0.94409999999999994</v>
      </c>
      <c r="Q578" s="37">
        <v>0.47149999999999997</v>
      </c>
      <c r="R578" s="37">
        <v>0.72970000000000002</v>
      </c>
    </row>
    <row r="579" spans="1:18" hidden="1">
      <c r="A579" t="s">
        <v>75</v>
      </c>
      <c r="B579" t="s">
        <v>15</v>
      </c>
      <c r="C579">
        <v>3.86</v>
      </c>
      <c r="D579">
        <v>4.82</v>
      </c>
      <c r="E579" s="29">
        <v>0.80079999999999996</v>
      </c>
      <c r="F579">
        <v>5.99</v>
      </c>
      <c r="G579">
        <v>2.27</v>
      </c>
      <c r="H579">
        <v>8.26</v>
      </c>
      <c r="I579" s="29">
        <v>0.72519999999999996</v>
      </c>
      <c r="J579" s="29">
        <v>0.46729999999999999</v>
      </c>
      <c r="K579" s="9">
        <v>45306</v>
      </c>
      <c r="L579">
        <f xml:space="preserve"> (交易處理資料__3[[#This Row],[售出工時]] * 60) / 5</f>
        <v>46.32</v>
      </c>
      <c r="M579" t="str">
        <f>VLOOKUP(交易處理資料__3[[#This Row],[人員代號]],團隊分組!$B$1:$C$52,2,FALSE)</f>
        <v>鈑金維修組</v>
      </c>
      <c r="N579" t="str">
        <f>IF(交易處理資料__3[[#This Row],[上班時間]]=0,"否","是")</f>
        <v>是</v>
      </c>
      <c r="O579" t="s">
        <v>75</v>
      </c>
      <c r="P579" s="38">
        <v>0.80079999999999996</v>
      </c>
      <c r="Q579" s="38">
        <v>0.46729999999999999</v>
      </c>
      <c r="R579" s="38">
        <v>0.72519999999999996</v>
      </c>
    </row>
    <row r="580" spans="1:18" hidden="1">
      <c r="A580" t="s">
        <v>76</v>
      </c>
      <c r="B580" t="s">
        <v>17</v>
      </c>
      <c r="C580">
        <v>9.69</v>
      </c>
      <c r="D580">
        <v>5.9</v>
      </c>
      <c r="E580" s="29">
        <v>1.6422999999999999</v>
      </c>
      <c r="F580">
        <v>6.37</v>
      </c>
      <c r="G580">
        <v>0.73</v>
      </c>
      <c r="H580">
        <v>7.1</v>
      </c>
      <c r="I580" s="29">
        <v>0.8972</v>
      </c>
      <c r="J580" s="29">
        <v>1.3647999999999998</v>
      </c>
      <c r="K580" s="9">
        <v>45306</v>
      </c>
      <c r="L580">
        <f xml:space="preserve"> (交易處理資料__3[[#This Row],[售出工時]] * 60) / 5</f>
        <v>116.28</v>
      </c>
      <c r="M580" t="str">
        <f>VLOOKUP(交易處理資料__3[[#This Row],[人員代號]],團隊分組!$B$1:$C$52,2,FALSE)</f>
        <v>快速保養團隊A</v>
      </c>
      <c r="N580" t="str">
        <f>IF(交易處理資料__3[[#This Row],[上班時間]]=0,"否","是")</f>
        <v>是</v>
      </c>
      <c r="O580" t="s">
        <v>76</v>
      </c>
      <c r="P580" s="37">
        <v>1.6422999999999999</v>
      </c>
      <c r="Q580" s="37">
        <v>1.3647999999999998</v>
      </c>
      <c r="R580" s="37">
        <v>0.8972</v>
      </c>
    </row>
    <row r="581" spans="1:18" hidden="1">
      <c r="A581" t="s">
        <v>76</v>
      </c>
      <c r="B581" t="s">
        <v>19</v>
      </c>
      <c r="C581">
        <v>0.74</v>
      </c>
      <c r="D581">
        <v>1.9</v>
      </c>
      <c r="E581" s="29">
        <v>0.38939999999999997</v>
      </c>
      <c r="F581">
        <v>5.44</v>
      </c>
      <c r="G581">
        <v>2.5299999999999998</v>
      </c>
      <c r="H581">
        <v>7.97</v>
      </c>
      <c r="I581" s="29">
        <v>0.6826000000000001</v>
      </c>
      <c r="J581" s="29">
        <v>9.2799999999999994E-2</v>
      </c>
      <c r="K581" s="9">
        <v>45306</v>
      </c>
      <c r="L581">
        <f xml:space="preserve"> (交易處理資料__3[[#This Row],[售出工時]] * 60) / 5</f>
        <v>8.879999999999999</v>
      </c>
      <c r="M581" t="str">
        <f>VLOOKUP(交易處理資料__3[[#This Row],[人員代號]],團隊分組!$B$1:$C$52,2,FALSE)</f>
        <v>查修團隊A</v>
      </c>
      <c r="N581" t="str">
        <f>IF(交易處理資料__3[[#This Row],[上班時間]]=0,"否","是")</f>
        <v>是</v>
      </c>
      <c r="O581" t="s">
        <v>76</v>
      </c>
      <c r="P581" s="38">
        <v>0.38939999999999997</v>
      </c>
      <c r="Q581" s="38">
        <v>9.2799999999999994E-2</v>
      </c>
      <c r="R581" s="38">
        <v>0.6826000000000001</v>
      </c>
    </row>
    <row r="582" spans="1:18" hidden="1">
      <c r="A582" t="s">
        <v>76</v>
      </c>
      <c r="B582" t="s">
        <v>20</v>
      </c>
      <c r="C582">
        <v>0</v>
      </c>
      <c r="D582">
        <v>0</v>
      </c>
      <c r="E582" s="29">
        <v>0</v>
      </c>
      <c r="F582">
        <v>2.95</v>
      </c>
      <c r="G582">
        <v>7.61</v>
      </c>
      <c r="H582">
        <v>10.56</v>
      </c>
      <c r="I582" s="29">
        <v>0.27940000000000004</v>
      </c>
      <c r="J582" s="29">
        <v>0</v>
      </c>
      <c r="K582" s="9">
        <v>45306</v>
      </c>
      <c r="L582">
        <f xml:space="preserve"> (交易處理資料__3[[#This Row],[售出工時]] * 60) / 5</f>
        <v>0</v>
      </c>
      <c r="M582" t="str">
        <f>VLOOKUP(交易處理資料__3[[#This Row],[人員代號]],團隊分組!$B$1:$C$52,2,FALSE)</f>
        <v>查修團隊B</v>
      </c>
      <c r="N582" t="str">
        <f>IF(交易處理資料__3[[#This Row],[上班時間]]=0,"否","是")</f>
        <v>是</v>
      </c>
      <c r="O582" t="s">
        <v>76</v>
      </c>
      <c r="P582" s="37">
        <v>0</v>
      </c>
      <c r="Q582" s="37">
        <v>0</v>
      </c>
      <c r="R582" s="37">
        <v>0.27940000000000004</v>
      </c>
    </row>
    <row r="583" spans="1:18" hidden="1">
      <c r="A583" t="s">
        <v>76</v>
      </c>
      <c r="B583" t="s">
        <v>22</v>
      </c>
      <c r="C583">
        <v>0</v>
      </c>
      <c r="D583">
        <v>0</v>
      </c>
      <c r="E583" s="29">
        <v>0</v>
      </c>
      <c r="F583">
        <v>0</v>
      </c>
      <c r="G583">
        <v>0</v>
      </c>
      <c r="H583">
        <v>0</v>
      </c>
      <c r="I583" s="29">
        <v>0</v>
      </c>
      <c r="J583" s="29">
        <v>0</v>
      </c>
      <c r="K583" s="9">
        <v>45306</v>
      </c>
      <c r="L583">
        <f xml:space="preserve"> (交易處理資料__3[[#This Row],[售出工時]] * 60) / 5</f>
        <v>0</v>
      </c>
      <c r="M583" t="str">
        <f>VLOOKUP(交易處理資料__3[[#This Row],[人員代號]],團隊分組!$B$1:$C$52,2,FALSE)</f>
        <v>快速保養團隊A</v>
      </c>
      <c r="N583" t="str">
        <f>IF(交易處理資料__3[[#This Row],[上班時間]]=0,"否","是")</f>
        <v>否</v>
      </c>
      <c r="O583" t="s">
        <v>76</v>
      </c>
      <c r="P583" s="38">
        <v>0</v>
      </c>
      <c r="Q583" s="38">
        <v>0</v>
      </c>
      <c r="R583" s="38">
        <v>0</v>
      </c>
    </row>
    <row r="584" spans="1:18" hidden="1">
      <c r="A584" t="s">
        <v>76</v>
      </c>
      <c r="B584" t="s">
        <v>23</v>
      </c>
      <c r="C584">
        <v>8.2799999999999994</v>
      </c>
      <c r="D584">
        <v>6.03</v>
      </c>
      <c r="E584" s="29">
        <v>1.3741999999999999</v>
      </c>
      <c r="F584">
        <v>8.17</v>
      </c>
      <c r="G584">
        <v>1.31</v>
      </c>
      <c r="H584">
        <v>9.48</v>
      </c>
      <c r="I584" s="29">
        <v>0.86180000000000012</v>
      </c>
      <c r="J584" s="29">
        <v>0.87409999999999999</v>
      </c>
      <c r="K584" s="9">
        <v>45306</v>
      </c>
      <c r="L584">
        <f xml:space="preserve"> (交易處理資料__3[[#This Row],[售出工時]] * 60) / 5</f>
        <v>99.359999999999985</v>
      </c>
      <c r="M584" t="str">
        <f>VLOOKUP(交易處理資料__3[[#This Row],[人員代號]],團隊分組!$B$1:$C$52,2,FALSE)</f>
        <v>快速保養團隊B</v>
      </c>
      <c r="N584" t="str">
        <f>IF(交易處理資料__3[[#This Row],[上班時間]]=0,"否","是")</f>
        <v>是</v>
      </c>
      <c r="O584" t="s">
        <v>76</v>
      </c>
      <c r="P584" s="37">
        <v>1.3741999999999999</v>
      </c>
      <c r="Q584" s="37">
        <v>0.87409999999999999</v>
      </c>
      <c r="R584" s="37">
        <v>0.86180000000000012</v>
      </c>
    </row>
    <row r="585" spans="1:18" hidden="1">
      <c r="A585" t="s">
        <v>76</v>
      </c>
      <c r="B585" t="s">
        <v>24</v>
      </c>
      <c r="C585">
        <v>3.96</v>
      </c>
      <c r="D585">
        <v>3.16</v>
      </c>
      <c r="E585" s="29">
        <v>1.2551999999999999</v>
      </c>
      <c r="F585">
        <v>5.45</v>
      </c>
      <c r="G585">
        <v>2.61</v>
      </c>
      <c r="H585">
        <v>8.06</v>
      </c>
      <c r="I585" s="29">
        <v>0.67620000000000002</v>
      </c>
      <c r="J585" s="29">
        <v>0.49209999999999998</v>
      </c>
      <c r="K585" s="9">
        <v>45306</v>
      </c>
      <c r="L585">
        <f xml:space="preserve"> (交易處理資料__3[[#This Row],[售出工時]] * 60) / 5</f>
        <v>47.519999999999996</v>
      </c>
      <c r="M585" t="str">
        <f>VLOOKUP(交易處理資料__3[[#This Row],[人員代號]],團隊分組!$B$1:$C$52,2,FALSE)</f>
        <v>快速保養團隊A</v>
      </c>
      <c r="N585" t="str">
        <f>IF(交易處理資料__3[[#This Row],[上班時間]]=0,"否","是")</f>
        <v>是</v>
      </c>
      <c r="O585" t="s">
        <v>76</v>
      </c>
      <c r="P585" s="38">
        <v>1.2551999999999999</v>
      </c>
      <c r="Q585" s="38">
        <v>0.49209999999999998</v>
      </c>
      <c r="R585" s="38">
        <v>0.67620000000000002</v>
      </c>
    </row>
    <row r="586" spans="1:18" hidden="1">
      <c r="A586" t="s">
        <v>76</v>
      </c>
      <c r="B586" t="s">
        <v>25</v>
      </c>
      <c r="C586">
        <v>2.25</v>
      </c>
      <c r="D586">
        <v>1.58</v>
      </c>
      <c r="E586" s="29">
        <v>1.4240000000000002</v>
      </c>
      <c r="F586">
        <v>5.07</v>
      </c>
      <c r="G586">
        <v>2.94</v>
      </c>
      <c r="H586">
        <v>8.01</v>
      </c>
      <c r="I586" s="29">
        <v>0.63300000000000001</v>
      </c>
      <c r="J586" s="29">
        <v>0.28089999999999998</v>
      </c>
      <c r="K586" s="9">
        <v>45306</v>
      </c>
      <c r="L586">
        <f xml:space="preserve"> (交易處理資料__3[[#This Row],[售出工時]] * 60) / 5</f>
        <v>27</v>
      </c>
      <c r="M586" t="str">
        <f>VLOOKUP(交易處理資料__3[[#This Row],[人員代號]],團隊分組!$B$1:$C$52,2,FALSE)</f>
        <v>查修團隊A</v>
      </c>
      <c r="N586" t="str">
        <f>IF(交易處理資料__3[[#This Row],[上班時間]]=0,"否","是")</f>
        <v>是</v>
      </c>
      <c r="O586" t="s">
        <v>76</v>
      </c>
      <c r="P586" s="37">
        <v>1.4240000000000002</v>
      </c>
      <c r="Q586" s="37">
        <v>0.28089999999999998</v>
      </c>
      <c r="R586" s="37">
        <v>0.63300000000000001</v>
      </c>
    </row>
    <row r="587" spans="1:18" hidden="1">
      <c r="A587" t="s">
        <v>76</v>
      </c>
      <c r="B587" t="s">
        <v>26</v>
      </c>
      <c r="C587">
        <v>2.5499999999999998</v>
      </c>
      <c r="D587">
        <v>2.2999999999999998</v>
      </c>
      <c r="E587" s="29">
        <v>1.1086</v>
      </c>
      <c r="F587">
        <v>7.23</v>
      </c>
      <c r="G587">
        <v>3.32</v>
      </c>
      <c r="H587">
        <v>10.55</v>
      </c>
      <c r="I587" s="29">
        <v>0.68530000000000002</v>
      </c>
      <c r="J587" s="29">
        <v>0.24170000000000003</v>
      </c>
      <c r="K587" s="9">
        <v>45306</v>
      </c>
      <c r="L587">
        <f xml:space="preserve"> (交易處理資料__3[[#This Row],[售出工時]] * 60) / 5</f>
        <v>30.6</v>
      </c>
      <c r="M587" t="str">
        <f>VLOOKUP(交易處理資料__3[[#This Row],[人員代號]],團隊分組!$B$1:$C$52,2,FALSE)</f>
        <v>查修團隊B</v>
      </c>
      <c r="N587" t="str">
        <f>IF(交易處理資料__3[[#This Row],[上班時間]]=0,"否","是")</f>
        <v>是</v>
      </c>
      <c r="O587" t="s">
        <v>76</v>
      </c>
      <c r="P587" s="38">
        <v>1.1086</v>
      </c>
      <c r="Q587" s="38">
        <v>0.24170000000000003</v>
      </c>
      <c r="R587" s="38">
        <v>0.68530000000000002</v>
      </c>
    </row>
    <row r="588" spans="1:18" hidden="1">
      <c r="A588" t="s">
        <v>76</v>
      </c>
      <c r="B588" t="s">
        <v>27</v>
      </c>
      <c r="C588">
        <v>3.37</v>
      </c>
      <c r="D588">
        <v>5.41</v>
      </c>
      <c r="E588" s="29">
        <v>0.62290000000000001</v>
      </c>
      <c r="F588">
        <v>7.48</v>
      </c>
      <c r="G588">
        <v>0.45</v>
      </c>
      <c r="H588">
        <v>7.93</v>
      </c>
      <c r="I588" s="29">
        <v>0.94330000000000003</v>
      </c>
      <c r="J588" s="29">
        <v>0.42499999999999999</v>
      </c>
      <c r="K588" s="9">
        <v>45306</v>
      </c>
      <c r="L588">
        <f xml:space="preserve"> (交易處理資料__3[[#This Row],[售出工時]] * 60) / 5</f>
        <v>40.440000000000005</v>
      </c>
      <c r="M588" t="str">
        <f>VLOOKUP(交易處理資料__3[[#This Row],[人員代號]],團隊分組!$B$1:$C$52,2,FALSE)</f>
        <v>快速保養團隊B</v>
      </c>
      <c r="N588" t="str">
        <f>IF(交易處理資料__3[[#This Row],[上班時間]]=0,"否","是")</f>
        <v>是</v>
      </c>
      <c r="O588" t="s">
        <v>76</v>
      </c>
      <c r="P588" s="37">
        <v>0.62290000000000001</v>
      </c>
      <c r="Q588" s="37">
        <v>0.42499999999999999</v>
      </c>
      <c r="R588" s="37">
        <v>0.94330000000000003</v>
      </c>
    </row>
    <row r="589" spans="1:18" hidden="1">
      <c r="A589" t="s">
        <v>76</v>
      </c>
      <c r="B589" t="s">
        <v>28</v>
      </c>
      <c r="C589">
        <v>6.58</v>
      </c>
      <c r="D589">
        <v>4.43</v>
      </c>
      <c r="E589" s="29">
        <v>1.486</v>
      </c>
      <c r="F589">
        <v>5.71</v>
      </c>
      <c r="G589">
        <v>2.21</v>
      </c>
      <c r="H589">
        <v>7.92</v>
      </c>
      <c r="I589" s="29">
        <v>0.72099999999999997</v>
      </c>
      <c r="J589" s="29">
        <v>0.83120000000000005</v>
      </c>
      <c r="K589" s="9">
        <v>45306</v>
      </c>
      <c r="L589">
        <f xml:space="preserve"> (交易處理資料__3[[#This Row],[售出工時]] * 60) / 5</f>
        <v>78.960000000000008</v>
      </c>
      <c r="M589" t="str">
        <f>VLOOKUP(交易處理資料__3[[#This Row],[人員代號]],團隊分組!$B$1:$C$52,2,FALSE)</f>
        <v>快速保養團隊A</v>
      </c>
      <c r="N589" t="str">
        <f>IF(交易處理資料__3[[#This Row],[上班時間]]=0,"否","是")</f>
        <v>是</v>
      </c>
      <c r="O589" t="s">
        <v>76</v>
      </c>
      <c r="P589" s="38">
        <v>1.486</v>
      </c>
      <c r="Q589" s="38">
        <v>0.83120000000000005</v>
      </c>
      <c r="R589" s="38">
        <v>0.72099999999999997</v>
      </c>
    </row>
    <row r="590" spans="1:18" hidden="1">
      <c r="A590" t="s">
        <v>76</v>
      </c>
      <c r="B590" t="s">
        <v>30</v>
      </c>
      <c r="C590">
        <v>5.0199999999999996</v>
      </c>
      <c r="D590">
        <v>2.78</v>
      </c>
      <c r="E590" s="29">
        <v>1.8069</v>
      </c>
      <c r="F590">
        <v>7.36</v>
      </c>
      <c r="G590">
        <v>0.6</v>
      </c>
      <c r="H590">
        <v>7.96</v>
      </c>
      <c r="I590" s="29">
        <v>0.92459999999999998</v>
      </c>
      <c r="J590" s="29">
        <v>0.63109999999999999</v>
      </c>
      <c r="K590" s="9">
        <v>45306</v>
      </c>
      <c r="L590">
        <f xml:space="preserve"> (交易處理資料__3[[#This Row],[售出工時]] * 60) / 5</f>
        <v>60.239999999999995</v>
      </c>
      <c r="M590" t="str">
        <f>VLOOKUP(交易處理資料__3[[#This Row],[人員代號]],團隊分組!$B$1:$C$52,2,FALSE)</f>
        <v>快速保養團隊B</v>
      </c>
      <c r="N590" t="str">
        <f>IF(交易處理資料__3[[#This Row],[上班時間]]=0,"否","是")</f>
        <v>是</v>
      </c>
      <c r="O590" t="s">
        <v>76</v>
      </c>
      <c r="P590" s="37">
        <v>1.8069</v>
      </c>
      <c r="Q590" s="37">
        <v>0.63109999999999999</v>
      </c>
      <c r="R590" s="37">
        <v>0.92459999999999998</v>
      </c>
    </row>
    <row r="591" spans="1:18" hidden="1">
      <c r="A591" t="s">
        <v>76</v>
      </c>
      <c r="B591" t="s">
        <v>31</v>
      </c>
      <c r="C591">
        <v>0</v>
      </c>
      <c r="D591">
        <v>0</v>
      </c>
      <c r="E591" s="29">
        <v>0</v>
      </c>
      <c r="F591">
        <v>0</v>
      </c>
      <c r="G591">
        <v>0</v>
      </c>
      <c r="H591">
        <v>0</v>
      </c>
      <c r="I591" s="29">
        <v>0</v>
      </c>
      <c r="J591" s="29">
        <v>0</v>
      </c>
      <c r="K591" s="9">
        <v>45306</v>
      </c>
      <c r="L591">
        <f xml:space="preserve"> (交易處理資料__3[[#This Row],[售出工時]] * 60) / 5</f>
        <v>0</v>
      </c>
      <c r="M591" t="str">
        <f>VLOOKUP(交易處理資料__3[[#This Row],[人員代號]],團隊分組!$B$1:$C$52,2,FALSE)</f>
        <v>快速保養團隊A</v>
      </c>
      <c r="N591" t="str">
        <f>IF(交易處理資料__3[[#This Row],[上班時間]]=0,"否","是")</f>
        <v>否</v>
      </c>
      <c r="O591" t="s">
        <v>76</v>
      </c>
      <c r="P591" s="38">
        <v>0</v>
      </c>
      <c r="Q591" s="38">
        <v>0</v>
      </c>
      <c r="R591" s="38">
        <v>0</v>
      </c>
    </row>
    <row r="592" spans="1:18" hidden="1">
      <c r="A592" t="s">
        <v>76</v>
      </c>
      <c r="B592" t="s">
        <v>32</v>
      </c>
      <c r="C592">
        <v>6.65</v>
      </c>
      <c r="D592">
        <v>7.57</v>
      </c>
      <c r="E592" s="29">
        <v>0.87840000000000007</v>
      </c>
      <c r="F592">
        <v>7.65</v>
      </c>
      <c r="G592">
        <v>1.45</v>
      </c>
      <c r="H592">
        <v>9.1</v>
      </c>
      <c r="I592" s="29">
        <v>0.84069999999999989</v>
      </c>
      <c r="J592" s="29">
        <v>0.73080000000000001</v>
      </c>
      <c r="K592" s="9">
        <v>45306</v>
      </c>
      <c r="L592">
        <f xml:space="preserve"> (交易處理資料__3[[#This Row],[售出工時]] * 60) / 5</f>
        <v>79.8</v>
      </c>
      <c r="M592" t="str">
        <f>VLOOKUP(交易處理資料__3[[#This Row],[人員代號]],團隊分組!$B$1:$C$52,2,FALSE)</f>
        <v>快速保養團隊B</v>
      </c>
      <c r="N592" t="str">
        <f>IF(交易處理資料__3[[#This Row],[上班時間]]=0,"否","是")</f>
        <v>是</v>
      </c>
      <c r="O592" t="s">
        <v>76</v>
      </c>
      <c r="P592" s="37">
        <v>0.87840000000000007</v>
      </c>
      <c r="Q592" s="37">
        <v>0.73080000000000001</v>
      </c>
      <c r="R592" s="37">
        <v>0.84069999999999989</v>
      </c>
    </row>
    <row r="593" spans="1:18" hidden="1">
      <c r="A593" t="s">
        <v>76</v>
      </c>
      <c r="B593" t="s">
        <v>33</v>
      </c>
      <c r="C593">
        <v>0</v>
      </c>
      <c r="D593">
        <v>0</v>
      </c>
      <c r="E593" s="29">
        <v>0</v>
      </c>
      <c r="F593">
        <v>0</v>
      </c>
      <c r="G593">
        <v>0</v>
      </c>
      <c r="H593">
        <v>0</v>
      </c>
      <c r="I593" s="29">
        <v>0</v>
      </c>
      <c r="J593" s="29">
        <v>0</v>
      </c>
      <c r="K593" s="9">
        <v>45306</v>
      </c>
      <c r="L593">
        <f xml:space="preserve"> (交易處理資料__3[[#This Row],[售出工時]] * 60) / 5</f>
        <v>0</v>
      </c>
      <c r="M593" t="str">
        <f>VLOOKUP(交易處理資料__3[[#This Row],[人員代號]],團隊分組!$B$1:$C$52,2,FALSE)</f>
        <v>快速保養團隊B</v>
      </c>
      <c r="N593" t="str">
        <f>IF(交易處理資料__3[[#This Row],[上班時間]]=0,"否","是")</f>
        <v>否</v>
      </c>
      <c r="O593" t="s">
        <v>76</v>
      </c>
      <c r="P593" s="38">
        <v>0</v>
      </c>
      <c r="Q593" s="38">
        <v>0</v>
      </c>
      <c r="R593" s="38">
        <v>0</v>
      </c>
    </row>
    <row r="594" spans="1:18" hidden="1">
      <c r="A594" t="s">
        <v>76</v>
      </c>
      <c r="B594" t="s">
        <v>34</v>
      </c>
      <c r="C594">
        <v>0.91</v>
      </c>
      <c r="D594">
        <v>1.18</v>
      </c>
      <c r="E594" s="29">
        <v>0.77680000000000005</v>
      </c>
      <c r="F594">
        <v>5.24</v>
      </c>
      <c r="G594">
        <v>2.68</v>
      </c>
      <c r="H594">
        <v>7.92</v>
      </c>
      <c r="I594" s="29">
        <v>0.66159999999999997</v>
      </c>
      <c r="J594" s="29">
        <v>0.1157</v>
      </c>
      <c r="K594" s="9">
        <v>45306</v>
      </c>
      <c r="L594">
        <f xml:space="preserve"> (交易處理資料__3[[#This Row],[售出工時]] * 60) / 5</f>
        <v>10.92</v>
      </c>
      <c r="M594" t="str">
        <f>VLOOKUP(交易處理資料__3[[#This Row],[人員代號]],團隊分組!$B$1:$C$52,2,FALSE)</f>
        <v>快速保養團隊A</v>
      </c>
      <c r="N594" t="str">
        <f>IF(交易處理資料__3[[#This Row],[上班時間]]=0,"否","是")</f>
        <v>是</v>
      </c>
      <c r="O594" t="s">
        <v>76</v>
      </c>
      <c r="P594" s="37">
        <v>0.77680000000000005</v>
      </c>
      <c r="Q594" s="37">
        <v>0.1157</v>
      </c>
      <c r="R594" s="37">
        <v>0.66159999999999997</v>
      </c>
    </row>
    <row r="595" spans="1:18" hidden="1">
      <c r="A595" t="s">
        <v>76</v>
      </c>
      <c r="B595" t="s">
        <v>35</v>
      </c>
      <c r="C595">
        <v>0.83</v>
      </c>
      <c r="D595">
        <v>2.84</v>
      </c>
      <c r="E595" s="29">
        <v>0.29339999999999999</v>
      </c>
      <c r="F595">
        <v>6.33</v>
      </c>
      <c r="G595">
        <v>4.22</v>
      </c>
      <c r="H595">
        <v>10.55</v>
      </c>
      <c r="I595" s="29">
        <v>0.6</v>
      </c>
      <c r="J595" s="29">
        <v>7.9000000000000001E-2</v>
      </c>
      <c r="K595" s="9">
        <v>45306</v>
      </c>
      <c r="L595">
        <f xml:space="preserve"> (交易處理資料__3[[#This Row],[售出工時]] * 60) / 5</f>
        <v>9.9599999999999991</v>
      </c>
      <c r="M595" t="str">
        <f>VLOOKUP(交易處理資料__3[[#This Row],[人員代號]],團隊分組!$B$1:$C$52,2,FALSE)</f>
        <v>查修團隊B</v>
      </c>
      <c r="N595" t="str">
        <f>IF(交易處理資料__3[[#This Row],[上班時間]]=0,"否","是")</f>
        <v>是</v>
      </c>
      <c r="O595" t="s">
        <v>76</v>
      </c>
      <c r="P595" s="38">
        <v>0.29339999999999999</v>
      </c>
      <c r="Q595" s="38">
        <v>7.9000000000000001E-2</v>
      </c>
      <c r="R595" s="38">
        <v>0.6</v>
      </c>
    </row>
    <row r="596" spans="1:18" hidden="1">
      <c r="A596" t="s">
        <v>76</v>
      </c>
      <c r="B596" t="s">
        <v>36</v>
      </c>
      <c r="C596">
        <v>2.63</v>
      </c>
      <c r="D596">
        <v>4.99</v>
      </c>
      <c r="E596" s="29">
        <v>0.52700000000000002</v>
      </c>
      <c r="F596">
        <v>11.14</v>
      </c>
      <c r="G596">
        <v>1.62</v>
      </c>
      <c r="H596">
        <v>12.76</v>
      </c>
      <c r="I596" s="29">
        <v>0.873</v>
      </c>
      <c r="J596" s="29">
        <v>0.20610000000000001</v>
      </c>
      <c r="K596" s="9">
        <v>45306</v>
      </c>
      <c r="L596">
        <f xml:space="preserve"> (交易處理資料__3[[#This Row],[售出工時]] * 60) / 5</f>
        <v>31.559999999999995</v>
      </c>
      <c r="M596" t="str">
        <f>VLOOKUP(交易處理資料__3[[#This Row],[人員代號]],團隊分組!$B$1:$C$52,2,FALSE)</f>
        <v>查修團隊B</v>
      </c>
      <c r="N596" t="str">
        <f>IF(交易處理資料__3[[#This Row],[上班時間]]=0,"否","是")</f>
        <v>是</v>
      </c>
      <c r="O596" t="s">
        <v>76</v>
      </c>
      <c r="P596" s="37">
        <v>0.52700000000000002</v>
      </c>
      <c r="Q596" s="37">
        <v>0.20610000000000001</v>
      </c>
      <c r="R596" s="37">
        <v>0.873</v>
      </c>
    </row>
    <row r="597" spans="1:18" hidden="1">
      <c r="A597" t="s">
        <v>76</v>
      </c>
      <c r="B597" t="s">
        <v>37</v>
      </c>
      <c r="C597">
        <v>0</v>
      </c>
      <c r="D597">
        <v>0</v>
      </c>
      <c r="E597" s="29">
        <v>0</v>
      </c>
      <c r="F597">
        <v>12.59</v>
      </c>
      <c r="G597">
        <v>0.45</v>
      </c>
      <c r="H597">
        <v>13.04</v>
      </c>
      <c r="I597" s="29">
        <v>0.96550000000000002</v>
      </c>
      <c r="J597" s="29">
        <v>0</v>
      </c>
      <c r="K597" s="9">
        <v>45306</v>
      </c>
      <c r="L597">
        <f xml:space="preserve"> (交易處理資料__3[[#This Row],[售出工時]] * 60) / 5</f>
        <v>0</v>
      </c>
      <c r="M597" t="str">
        <f>VLOOKUP(交易處理資料__3[[#This Row],[人員代號]],團隊分組!$B$1:$C$52,2,FALSE)</f>
        <v>查修團隊A</v>
      </c>
      <c r="N597" t="str">
        <f>IF(交易處理資料__3[[#This Row],[上班時間]]=0,"否","是")</f>
        <v>是</v>
      </c>
      <c r="O597" t="s">
        <v>76</v>
      </c>
      <c r="P597" s="38">
        <v>0</v>
      </c>
      <c r="Q597" s="38">
        <v>0</v>
      </c>
      <c r="R597" s="38">
        <v>0.96550000000000002</v>
      </c>
    </row>
    <row r="598" spans="1:18" hidden="1">
      <c r="A598" t="s">
        <v>76</v>
      </c>
      <c r="B598" t="s">
        <v>38</v>
      </c>
      <c r="C598">
        <v>12.08</v>
      </c>
      <c r="D598">
        <v>9.5299999999999994</v>
      </c>
      <c r="E598" s="29">
        <v>1.2679</v>
      </c>
      <c r="F598">
        <v>8.92</v>
      </c>
      <c r="G598">
        <v>1.75</v>
      </c>
      <c r="H598">
        <v>10.67</v>
      </c>
      <c r="I598" s="29">
        <v>0.83599999999999997</v>
      </c>
      <c r="J598" s="29">
        <v>1.1325000000000001</v>
      </c>
      <c r="K598" s="9">
        <v>45306</v>
      </c>
      <c r="L598">
        <f xml:space="preserve"> (交易處理資料__3[[#This Row],[售出工時]] * 60) / 5</f>
        <v>144.95999999999998</v>
      </c>
      <c r="M598" t="str">
        <f>VLOOKUP(交易處理資料__3[[#This Row],[人員代號]],團隊分組!$B$1:$C$52,2,FALSE)</f>
        <v>快速保養團隊A</v>
      </c>
      <c r="N598" t="str">
        <f>IF(交易處理資料__3[[#This Row],[上班時間]]=0,"否","是")</f>
        <v>是</v>
      </c>
      <c r="O598" t="s">
        <v>76</v>
      </c>
      <c r="P598" s="37">
        <v>1.2679</v>
      </c>
      <c r="Q598" s="37">
        <v>1.1325000000000001</v>
      </c>
      <c r="R598" s="37">
        <v>0.83599999999999997</v>
      </c>
    </row>
    <row r="599" spans="1:18" hidden="1">
      <c r="A599" t="s">
        <v>76</v>
      </c>
      <c r="B599" t="s">
        <v>39</v>
      </c>
      <c r="C599">
        <v>0</v>
      </c>
      <c r="D599">
        <v>0</v>
      </c>
      <c r="E599" s="29">
        <v>0</v>
      </c>
      <c r="F599">
        <v>8.43</v>
      </c>
      <c r="G599">
        <v>2.13</v>
      </c>
      <c r="H599">
        <v>10.56</v>
      </c>
      <c r="I599" s="29">
        <v>0.79830000000000001</v>
      </c>
      <c r="J599" s="29">
        <v>0</v>
      </c>
      <c r="K599" s="9">
        <v>45306</v>
      </c>
      <c r="L599">
        <f xml:space="preserve"> (交易處理資料__3[[#This Row],[售出工時]] * 60) / 5</f>
        <v>0</v>
      </c>
      <c r="M599" t="str">
        <f>VLOOKUP(交易處理資料__3[[#This Row],[人員代號]],團隊分組!$B$1:$C$52,2,FALSE)</f>
        <v>查修團隊A</v>
      </c>
      <c r="N599" t="str">
        <f>IF(交易處理資料__3[[#This Row],[上班時間]]=0,"否","是")</f>
        <v>是</v>
      </c>
      <c r="O599" t="s">
        <v>76</v>
      </c>
      <c r="P599" s="38">
        <v>0</v>
      </c>
      <c r="Q599" s="38">
        <v>0</v>
      </c>
      <c r="R599" s="38">
        <v>0.79830000000000001</v>
      </c>
    </row>
    <row r="600" spans="1:18" hidden="1">
      <c r="A600" t="s">
        <v>76</v>
      </c>
      <c r="B600" t="s">
        <v>40</v>
      </c>
      <c r="C600">
        <v>0</v>
      </c>
      <c r="D600">
        <v>0</v>
      </c>
      <c r="E600" s="29">
        <v>0</v>
      </c>
      <c r="F600">
        <v>6.83</v>
      </c>
      <c r="G600">
        <v>1.34</v>
      </c>
      <c r="H600">
        <v>8.17</v>
      </c>
      <c r="I600" s="29">
        <v>0.83599999999999997</v>
      </c>
      <c r="J600" s="29">
        <v>0</v>
      </c>
      <c r="K600" s="9">
        <v>45306</v>
      </c>
      <c r="L600">
        <f xml:space="preserve"> (交易處理資料__3[[#This Row],[售出工時]] * 60) / 5</f>
        <v>0</v>
      </c>
      <c r="M600" t="str">
        <f>VLOOKUP(交易處理資料__3[[#This Row],[人員代號]],團隊分組!$B$1:$C$52,2,FALSE)</f>
        <v>查修團隊A</v>
      </c>
      <c r="N600" t="str">
        <f>IF(交易處理資料__3[[#This Row],[上班時間]]=0,"否","是")</f>
        <v>是</v>
      </c>
      <c r="O600" t="s">
        <v>76</v>
      </c>
      <c r="P600" s="37">
        <v>0</v>
      </c>
      <c r="Q600" s="37">
        <v>0</v>
      </c>
      <c r="R600" s="37">
        <v>0.83599999999999997</v>
      </c>
    </row>
    <row r="601" spans="1:18" hidden="1">
      <c r="A601" t="s">
        <v>76</v>
      </c>
      <c r="B601" t="s">
        <v>41</v>
      </c>
      <c r="C601">
        <v>7.58</v>
      </c>
      <c r="D601">
        <v>4.33</v>
      </c>
      <c r="E601" s="29">
        <v>1.7512999999999999</v>
      </c>
      <c r="F601">
        <v>4.33</v>
      </c>
      <c r="G601">
        <v>2.29</v>
      </c>
      <c r="H601">
        <v>6.62</v>
      </c>
      <c r="I601" s="29">
        <v>0.65410000000000001</v>
      </c>
      <c r="J601" s="29">
        <v>1.1455</v>
      </c>
      <c r="K601" s="9">
        <v>45306</v>
      </c>
      <c r="L601">
        <f xml:space="preserve"> (交易處理資料__3[[#This Row],[售出工時]] * 60) / 5</f>
        <v>90.960000000000008</v>
      </c>
      <c r="M601" t="str">
        <f>VLOOKUP(交易處理資料__3[[#This Row],[人員代號]],團隊分組!$B$1:$C$52,2,FALSE)</f>
        <v>快速保養團隊A</v>
      </c>
      <c r="N601" t="str">
        <f>IF(交易處理資料__3[[#This Row],[上班時間]]=0,"否","是")</f>
        <v>是</v>
      </c>
      <c r="O601" t="s">
        <v>76</v>
      </c>
      <c r="P601" s="38">
        <v>1.7512999999999999</v>
      </c>
      <c r="Q601" s="38">
        <v>1.1455</v>
      </c>
      <c r="R601" s="38">
        <v>0.65410000000000001</v>
      </c>
    </row>
    <row r="602" spans="1:18" hidden="1">
      <c r="A602" t="s">
        <v>76</v>
      </c>
      <c r="B602" t="s">
        <v>42</v>
      </c>
      <c r="C602">
        <v>3.75</v>
      </c>
      <c r="D602">
        <v>3.65</v>
      </c>
      <c r="E602" s="29">
        <v>1.0273000000000001</v>
      </c>
      <c r="F602">
        <v>4.4000000000000004</v>
      </c>
      <c r="G602">
        <v>3.53</v>
      </c>
      <c r="H602">
        <v>7.93</v>
      </c>
      <c r="I602" s="29">
        <v>0.55490000000000006</v>
      </c>
      <c r="J602" s="29">
        <v>0.47289999999999999</v>
      </c>
      <c r="K602" s="9">
        <v>45306</v>
      </c>
      <c r="L602">
        <f xml:space="preserve"> (交易處理資料__3[[#This Row],[售出工時]] * 60) / 5</f>
        <v>45</v>
      </c>
      <c r="M602" t="str">
        <f>VLOOKUP(交易處理資料__3[[#This Row],[人員代號]],團隊分組!$B$1:$C$52,2,FALSE)</f>
        <v>快速保養團隊A</v>
      </c>
      <c r="N602" t="str">
        <f>IF(交易處理資料__3[[#This Row],[上班時間]]=0,"否","是")</f>
        <v>是</v>
      </c>
      <c r="O602" t="s">
        <v>76</v>
      </c>
      <c r="P602" s="37">
        <v>1.0273000000000001</v>
      </c>
      <c r="Q602" s="37">
        <v>0.47289999999999999</v>
      </c>
      <c r="R602" s="37">
        <v>0.55490000000000006</v>
      </c>
    </row>
    <row r="603" spans="1:18" hidden="1">
      <c r="A603" t="s">
        <v>76</v>
      </c>
      <c r="B603" t="s">
        <v>44</v>
      </c>
      <c r="C603">
        <v>0.59</v>
      </c>
      <c r="D603">
        <v>2.4700000000000002</v>
      </c>
      <c r="E603" s="29">
        <v>0.23879999999999998</v>
      </c>
      <c r="F603">
        <v>9.7899999999999991</v>
      </c>
      <c r="G603">
        <v>0.44</v>
      </c>
      <c r="H603">
        <v>10.23</v>
      </c>
      <c r="I603" s="29">
        <v>0.95700000000000007</v>
      </c>
      <c r="J603" s="29">
        <v>5.7699999999999994E-2</v>
      </c>
      <c r="K603" s="9">
        <v>45306</v>
      </c>
      <c r="L603">
        <f xml:space="preserve"> (交易處理資料__3[[#This Row],[售出工時]] * 60) / 5</f>
        <v>7.08</v>
      </c>
      <c r="M603" t="str">
        <f>VLOOKUP(交易處理資料__3[[#This Row],[人員代號]],團隊分組!$B$1:$C$52,2,FALSE)</f>
        <v>快速保養團隊B</v>
      </c>
      <c r="N603" t="str">
        <f>IF(交易處理資料__3[[#This Row],[上班時間]]=0,"否","是")</f>
        <v>是</v>
      </c>
      <c r="O603" t="s">
        <v>76</v>
      </c>
      <c r="P603" s="38">
        <v>0.23879999999999998</v>
      </c>
      <c r="Q603" s="38">
        <v>5.7699999999999994E-2</v>
      </c>
      <c r="R603" s="38">
        <v>0.95700000000000007</v>
      </c>
    </row>
    <row r="604" spans="1:18" hidden="1">
      <c r="A604" t="s">
        <v>76</v>
      </c>
      <c r="B604" t="s">
        <v>45</v>
      </c>
      <c r="C604">
        <v>0</v>
      </c>
      <c r="D604">
        <v>0</v>
      </c>
      <c r="E604" s="29">
        <v>0</v>
      </c>
      <c r="F604">
        <v>0</v>
      </c>
      <c r="G604">
        <v>0</v>
      </c>
      <c r="H604">
        <v>0</v>
      </c>
      <c r="I604" s="29">
        <v>0</v>
      </c>
      <c r="J604" s="29">
        <v>0</v>
      </c>
      <c r="K604" s="9">
        <v>45306</v>
      </c>
      <c r="L604">
        <f xml:space="preserve"> (交易處理資料__3[[#This Row],[售出工時]] * 60) / 5</f>
        <v>0</v>
      </c>
      <c r="M604" t="str">
        <f>VLOOKUP(交易處理資料__3[[#This Row],[人員代號]],團隊分組!$B$1:$C$52,2,FALSE)</f>
        <v>快速保養團隊A</v>
      </c>
      <c r="N604" t="str">
        <f>IF(交易處理資料__3[[#This Row],[上班時間]]=0,"否","是")</f>
        <v>否</v>
      </c>
      <c r="O604" t="s">
        <v>76</v>
      </c>
      <c r="P604" s="37">
        <v>0</v>
      </c>
      <c r="Q604" s="37">
        <v>0</v>
      </c>
      <c r="R604" s="37">
        <v>0</v>
      </c>
    </row>
    <row r="605" spans="1:18" hidden="1">
      <c r="A605" t="s">
        <v>76</v>
      </c>
      <c r="B605" t="s">
        <v>46</v>
      </c>
      <c r="C605">
        <v>0.83</v>
      </c>
      <c r="D605">
        <v>0.28000000000000003</v>
      </c>
      <c r="E605" s="29">
        <v>2.9761000000000002</v>
      </c>
      <c r="F605">
        <v>6.49</v>
      </c>
      <c r="G605">
        <v>2.66</v>
      </c>
      <c r="H605">
        <v>9.15</v>
      </c>
      <c r="I605" s="29">
        <v>0.70930000000000004</v>
      </c>
      <c r="J605" s="29">
        <v>9.11E-2</v>
      </c>
      <c r="K605" s="9">
        <v>45306</v>
      </c>
      <c r="L605">
        <f xml:space="preserve"> (交易處理資料__3[[#This Row],[售出工時]] * 60) / 5</f>
        <v>9.9599999999999991</v>
      </c>
      <c r="M605" t="str">
        <f>VLOOKUP(交易處理資料__3[[#This Row],[人員代號]],團隊分組!$B$1:$C$52,2,FALSE)</f>
        <v>查修團隊B</v>
      </c>
      <c r="N605" t="str">
        <f>IF(交易處理資料__3[[#This Row],[上班時間]]=0,"否","是")</f>
        <v>是</v>
      </c>
      <c r="O605" t="s">
        <v>76</v>
      </c>
      <c r="P605" s="38">
        <v>2.9761000000000002</v>
      </c>
      <c r="Q605" s="38">
        <v>9.11E-2</v>
      </c>
      <c r="R605" s="38">
        <v>0.70930000000000004</v>
      </c>
    </row>
    <row r="606" spans="1:18" hidden="1">
      <c r="A606" t="s">
        <v>76</v>
      </c>
      <c r="B606" t="s">
        <v>47</v>
      </c>
      <c r="C606">
        <v>0</v>
      </c>
      <c r="D606">
        <v>0</v>
      </c>
      <c r="E606" s="29">
        <v>0</v>
      </c>
      <c r="F606">
        <v>8.5500000000000007</v>
      </c>
      <c r="G606">
        <v>4.1100000000000003</v>
      </c>
      <c r="H606">
        <v>12.66</v>
      </c>
      <c r="I606" s="29">
        <v>0.67540000000000011</v>
      </c>
      <c r="J606" s="29">
        <v>0</v>
      </c>
      <c r="K606" s="9">
        <v>45306</v>
      </c>
      <c r="L606">
        <f xml:space="preserve"> (交易處理資料__3[[#This Row],[售出工時]] * 60) / 5</f>
        <v>0</v>
      </c>
      <c r="M606" t="str">
        <f>VLOOKUP(交易處理資料__3[[#This Row],[人員代號]],團隊分組!$B$1:$C$52,2,FALSE)</f>
        <v>查修團隊B</v>
      </c>
      <c r="N606" t="str">
        <f>IF(交易處理資料__3[[#This Row],[上班時間]]=0,"否","是")</f>
        <v>是</v>
      </c>
      <c r="O606" t="s">
        <v>76</v>
      </c>
      <c r="P606" s="37">
        <v>0</v>
      </c>
      <c r="Q606" s="37">
        <v>0</v>
      </c>
      <c r="R606" s="37">
        <v>0.67540000000000011</v>
      </c>
    </row>
    <row r="607" spans="1:18" hidden="1">
      <c r="A607" t="s">
        <v>76</v>
      </c>
      <c r="B607" t="s">
        <v>49</v>
      </c>
      <c r="C607">
        <v>0.93</v>
      </c>
      <c r="D607">
        <v>2.37</v>
      </c>
      <c r="E607" s="29">
        <v>0.39240000000000003</v>
      </c>
      <c r="F607">
        <v>7.07</v>
      </c>
      <c r="G607">
        <v>0.89</v>
      </c>
      <c r="H607">
        <v>7.96</v>
      </c>
      <c r="I607" s="29">
        <v>0.88819999999999988</v>
      </c>
      <c r="J607" s="29">
        <v>0.1168</v>
      </c>
      <c r="K607" s="9">
        <v>45306</v>
      </c>
      <c r="L607">
        <f xml:space="preserve"> (交易處理資料__3[[#This Row],[售出工時]] * 60) / 5</f>
        <v>11.16</v>
      </c>
      <c r="M607" t="str">
        <f>VLOOKUP(交易處理資料__3[[#This Row],[人員代號]],團隊分組!$B$1:$C$52,2,FALSE)</f>
        <v>查修團隊A</v>
      </c>
      <c r="N607" t="str">
        <f>IF(交易處理資料__3[[#This Row],[上班時間]]=0,"否","是")</f>
        <v>是</v>
      </c>
      <c r="O607" t="s">
        <v>76</v>
      </c>
      <c r="P607" s="38">
        <v>0.39240000000000003</v>
      </c>
      <c r="Q607" s="38">
        <v>0.1168</v>
      </c>
      <c r="R607" s="38">
        <v>0.88819999999999988</v>
      </c>
    </row>
    <row r="608" spans="1:18" hidden="1">
      <c r="A608" t="s">
        <v>76</v>
      </c>
      <c r="B608" t="s">
        <v>50</v>
      </c>
      <c r="C608">
        <v>0.57999999999999996</v>
      </c>
      <c r="D608">
        <v>2.4500000000000002</v>
      </c>
      <c r="E608" s="29">
        <v>0.23670000000000002</v>
      </c>
      <c r="F608">
        <v>7.53</v>
      </c>
      <c r="G608">
        <v>0.45</v>
      </c>
      <c r="H608">
        <v>7.98</v>
      </c>
      <c r="I608" s="29">
        <v>0.94359999999999999</v>
      </c>
      <c r="J608" s="29">
        <v>7.2700000000000001E-2</v>
      </c>
      <c r="K608" s="9">
        <v>45306</v>
      </c>
      <c r="L608">
        <f xml:space="preserve"> (交易處理資料__3[[#This Row],[售出工時]] * 60) / 5</f>
        <v>6.9599999999999991</v>
      </c>
      <c r="M608" t="str">
        <f>VLOOKUP(交易處理資料__3[[#This Row],[人員代號]],團隊分組!$B$1:$C$52,2,FALSE)</f>
        <v>快速保養團隊B</v>
      </c>
      <c r="N608" t="str">
        <f>IF(交易處理資料__3[[#This Row],[上班時間]]=0,"否","是")</f>
        <v>是</v>
      </c>
      <c r="O608" t="s">
        <v>76</v>
      </c>
      <c r="P608" s="37">
        <v>0.23670000000000002</v>
      </c>
      <c r="Q608" s="37">
        <v>7.2700000000000001E-2</v>
      </c>
      <c r="R608" s="37">
        <v>0.94359999999999999</v>
      </c>
    </row>
    <row r="609" spans="1:18" hidden="1">
      <c r="A609" t="s">
        <v>76</v>
      </c>
      <c r="B609" t="s">
        <v>51</v>
      </c>
      <c r="C609">
        <v>0</v>
      </c>
      <c r="D609">
        <v>0</v>
      </c>
      <c r="E609" s="29">
        <v>0</v>
      </c>
      <c r="F609">
        <v>0</v>
      </c>
      <c r="G609">
        <v>0</v>
      </c>
      <c r="H609">
        <v>0</v>
      </c>
      <c r="I609" s="29">
        <v>0</v>
      </c>
      <c r="J609" s="29">
        <v>0</v>
      </c>
      <c r="K609" s="9">
        <v>45306</v>
      </c>
      <c r="L609">
        <f xml:space="preserve"> (交易處理資料__3[[#This Row],[售出工時]] * 60) / 5</f>
        <v>0</v>
      </c>
      <c r="M609" t="str">
        <f>VLOOKUP(交易處理資料__3[[#This Row],[人員代號]],團隊分組!$B$1:$C$52,2,FALSE)</f>
        <v>無效數據</v>
      </c>
      <c r="N609" t="str">
        <f>IF(交易處理資料__3[[#This Row],[上班時間]]=0,"否","是")</f>
        <v>否</v>
      </c>
      <c r="O609" t="s">
        <v>76</v>
      </c>
      <c r="P609" s="38">
        <v>0</v>
      </c>
      <c r="Q609" s="38">
        <v>0</v>
      </c>
      <c r="R609" s="38">
        <v>0</v>
      </c>
    </row>
    <row r="610" spans="1:18" hidden="1">
      <c r="A610" t="s">
        <v>76</v>
      </c>
      <c r="B610" t="s">
        <v>52</v>
      </c>
      <c r="C610">
        <v>2.83</v>
      </c>
      <c r="D610">
        <v>5.95</v>
      </c>
      <c r="E610" s="29">
        <v>0.47609999999999997</v>
      </c>
      <c r="F610">
        <v>7.85</v>
      </c>
      <c r="G610">
        <v>1.21</v>
      </c>
      <c r="H610">
        <v>9.06</v>
      </c>
      <c r="I610" s="29">
        <v>0.86640000000000006</v>
      </c>
      <c r="J610" s="29">
        <v>0.31269999999999998</v>
      </c>
      <c r="K610" s="9">
        <v>45306</v>
      </c>
      <c r="L610">
        <f xml:space="preserve"> (交易處理資料__3[[#This Row],[售出工時]] * 60) / 5</f>
        <v>33.96</v>
      </c>
      <c r="M610" t="str">
        <f>VLOOKUP(交易處理資料__3[[#This Row],[人員代號]],團隊分組!$B$1:$C$52,2,FALSE)</f>
        <v>查修團隊B</v>
      </c>
      <c r="N610" t="str">
        <f>IF(交易處理資料__3[[#This Row],[上班時間]]=0,"否","是")</f>
        <v>是</v>
      </c>
      <c r="O610" t="s">
        <v>76</v>
      </c>
      <c r="P610" s="37">
        <v>0.47609999999999997</v>
      </c>
      <c r="Q610" s="37">
        <v>0.31269999999999998</v>
      </c>
      <c r="R610" s="37">
        <v>0.86640000000000006</v>
      </c>
    </row>
    <row r="611" spans="1:18" hidden="1">
      <c r="A611" s="10" t="s">
        <v>74</v>
      </c>
      <c r="B611" t="s">
        <v>1</v>
      </c>
      <c r="C611">
        <v>0</v>
      </c>
      <c r="D611">
        <v>0</v>
      </c>
      <c r="E611" s="29">
        <v>0</v>
      </c>
      <c r="F611">
        <v>7.04</v>
      </c>
      <c r="G611">
        <v>0.98</v>
      </c>
      <c r="H611">
        <v>8.02</v>
      </c>
      <c r="I611" s="29">
        <v>0.87780000000000002</v>
      </c>
      <c r="J611" s="29">
        <v>0</v>
      </c>
      <c r="K611" s="9">
        <v>45307</v>
      </c>
      <c r="L611">
        <f xml:space="preserve"> (交易處理資料__3[[#This Row],[售出工時]] * 60) / 5</f>
        <v>0</v>
      </c>
      <c r="M611" t="str">
        <f>VLOOKUP(交易處理資料__3[[#This Row],[人員代號]],團隊分組!$B$1:$C$52,2,FALSE)</f>
        <v>噴漆維修組</v>
      </c>
      <c r="N611" t="str">
        <f>IF(交易處理資料__3[[#This Row],[上班時間]]=0,"否","是")</f>
        <v>是</v>
      </c>
      <c r="O611" s="10" t="s">
        <v>74</v>
      </c>
      <c r="P611" s="38">
        <v>0</v>
      </c>
      <c r="Q611" s="38">
        <v>0</v>
      </c>
      <c r="R611" s="38">
        <v>0.87780000000000002</v>
      </c>
    </row>
    <row r="612" spans="1:18" hidden="1">
      <c r="A612" s="10" t="s">
        <v>74</v>
      </c>
      <c r="B612" t="s">
        <v>2</v>
      </c>
      <c r="C612">
        <v>0</v>
      </c>
      <c r="D612">
        <v>0</v>
      </c>
      <c r="E612" s="29">
        <v>0</v>
      </c>
      <c r="F612">
        <v>10.35</v>
      </c>
      <c r="G612">
        <v>0.19</v>
      </c>
      <c r="H612">
        <v>10.54</v>
      </c>
      <c r="I612" s="29">
        <v>0.98199999999999998</v>
      </c>
      <c r="J612" s="29">
        <v>0</v>
      </c>
      <c r="K612" s="9">
        <v>45307</v>
      </c>
      <c r="L612">
        <f xml:space="preserve"> (交易處理資料__3[[#This Row],[售出工時]] * 60) / 5</f>
        <v>0</v>
      </c>
      <c r="M612" t="str">
        <f>VLOOKUP(交易處理資料__3[[#This Row],[人員代號]],團隊分組!$B$1:$C$52,2,FALSE)</f>
        <v>噴漆維修組</v>
      </c>
      <c r="N612" t="str">
        <f>IF(交易處理資料__3[[#This Row],[上班時間]]=0,"否","是")</f>
        <v>是</v>
      </c>
      <c r="O612" s="10" t="s">
        <v>74</v>
      </c>
      <c r="P612" s="37">
        <v>0</v>
      </c>
      <c r="Q612" s="37">
        <v>0</v>
      </c>
      <c r="R612" s="37">
        <v>0.98199999999999998</v>
      </c>
    </row>
    <row r="613" spans="1:18" hidden="1">
      <c r="A613" s="10" t="s">
        <v>74</v>
      </c>
      <c r="B613" t="s">
        <v>3</v>
      </c>
      <c r="C613">
        <v>0</v>
      </c>
      <c r="D613">
        <v>0</v>
      </c>
      <c r="E613" s="29">
        <v>0</v>
      </c>
      <c r="F613">
        <v>10.35</v>
      </c>
      <c r="G613">
        <v>0.19</v>
      </c>
      <c r="H613">
        <v>10.54</v>
      </c>
      <c r="I613" s="29">
        <v>0.98199999999999998</v>
      </c>
      <c r="J613" s="29">
        <v>0</v>
      </c>
      <c r="K613" s="9">
        <v>45307</v>
      </c>
      <c r="L613">
        <f xml:space="preserve"> (交易處理資料__3[[#This Row],[售出工時]] * 60) / 5</f>
        <v>0</v>
      </c>
      <c r="M613" t="str">
        <f>VLOOKUP(交易處理資料__3[[#This Row],[人員代號]],團隊分組!$B$1:$C$52,2,FALSE)</f>
        <v>噴漆維修組</v>
      </c>
      <c r="N613" t="str">
        <f>IF(交易處理資料__3[[#This Row],[上班時間]]=0,"否","是")</f>
        <v>是</v>
      </c>
      <c r="O613" s="10" t="s">
        <v>74</v>
      </c>
      <c r="P613" s="38">
        <v>0</v>
      </c>
      <c r="Q613" s="38">
        <v>0</v>
      </c>
      <c r="R613" s="38">
        <v>0.98199999999999998</v>
      </c>
    </row>
    <row r="614" spans="1:18" hidden="1">
      <c r="A614" s="10" t="s">
        <v>74</v>
      </c>
      <c r="B614" t="s">
        <v>4</v>
      </c>
      <c r="C614">
        <v>0</v>
      </c>
      <c r="D614">
        <v>0</v>
      </c>
      <c r="E614" s="29">
        <v>0</v>
      </c>
      <c r="F614">
        <v>7.06</v>
      </c>
      <c r="G614">
        <v>0.98</v>
      </c>
      <c r="H614">
        <v>8.0399999999999991</v>
      </c>
      <c r="I614" s="29">
        <v>0.87809999999999999</v>
      </c>
      <c r="J614" s="29">
        <v>0</v>
      </c>
      <c r="K614" s="9">
        <v>45307</v>
      </c>
      <c r="L614">
        <f xml:space="preserve"> (交易處理資料__3[[#This Row],[售出工時]] * 60) / 5</f>
        <v>0</v>
      </c>
      <c r="M614" t="str">
        <f>VLOOKUP(交易處理資料__3[[#This Row],[人員代號]],團隊分組!$B$1:$C$52,2,FALSE)</f>
        <v>噴漆維修組</v>
      </c>
      <c r="N614" t="str">
        <f>IF(交易處理資料__3[[#This Row],[上班時間]]=0,"否","是")</f>
        <v>是</v>
      </c>
      <c r="O614" s="10" t="s">
        <v>74</v>
      </c>
      <c r="P614" s="37">
        <v>0</v>
      </c>
      <c r="Q614" s="37">
        <v>0</v>
      </c>
      <c r="R614" s="37">
        <v>0.87809999999999999</v>
      </c>
    </row>
    <row r="615" spans="1:18" hidden="1">
      <c r="A615" s="10" t="s">
        <v>74</v>
      </c>
      <c r="B615" t="s">
        <v>5</v>
      </c>
      <c r="C615">
        <v>0</v>
      </c>
      <c r="D615">
        <v>0</v>
      </c>
      <c r="E615" s="29">
        <v>0</v>
      </c>
      <c r="F615">
        <v>7.77</v>
      </c>
      <c r="G615">
        <v>0.28000000000000003</v>
      </c>
      <c r="H615">
        <v>8.0500000000000007</v>
      </c>
      <c r="I615" s="29">
        <v>0.96519999999999995</v>
      </c>
      <c r="J615" s="29">
        <v>0</v>
      </c>
      <c r="K615" s="9">
        <v>45307</v>
      </c>
      <c r="L615">
        <f xml:space="preserve"> (交易處理資料__3[[#This Row],[售出工時]] * 60) / 5</f>
        <v>0</v>
      </c>
      <c r="M615" t="str">
        <f>VLOOKUP(交易處理資料__3[[#This Row],[人員代號]],團隊分組!$B$1:$C$52,2,FALSE)</f>
        <v>噴漆維修組</v>
      </c>
      <c r="N615" t="str">
        <f>IF(交易處理資料__3[[#This Row],[上班時間]]=0,"否","是")</f>
        <v>是</v>
      </c>
      <c r="O615" s="10" t="s">
        <v>74</v>
      </c>
      <c r="P615" s="38">
        <v>0</v>
      </c>
      <c r="Q615" s="38">
        <v>0</v>
      </c>
      <c r="R615" s="38">
        <v>0.96519999999999995</v>
      </c>
    </row>
    <row r="616" spans="1:18" hidden="1">
      <c r="A616" s="10" t="s">
        <v>74</v>
      </c>
      <c r="B616" t="s">
        <v>6</v>
      </c>
      <c r="C616">
        <v>0</v>
      </c>
      <c r="D616">
        <v>0</v>
      </c>
      <c r="E616" s="29">
        <v>0</v>
      </c>
      <c r="F616">
        <v>10.35</v>
      </c>
      <c r="G616">
        <v>0.19</v>
      </c>
      <c r="H616">
        <v>10.54</v>
      </c>
      <c r="I616" s="29">
        <v>0.98199999999999998</v>
      </c>
      <c r="J616" s="29">
        <v>0</v>
      </c>
      <c r="K616" s="9">
        <v>45307</v>
      </c>
      <c r="L616">
        <f xml:space="preserve"> (交易處理資料__3[[#This Row],[售出工時]] * 60) / 5</f>
        <v>0</v>
      </c>
      <c r="M616" t="str">
        <f>VLOOKUP(交易處理資料__3[[#This Row],[人員代號]],團隊分組!$B$1:$C$52,2,FALSE)</f>
        <v>噴漆維修組</v>
      </c>
      <c r="N616" t="str">
        <f>IF(交易處理資料__3[[#This Row],[上班時間]]=0,"否","是")</f>
        <v>是</v>
      </c>
      <c r="O616" s="10" t="s">
        <v>74</v>
      </c>
      <c r="P616" s="37">
        <v>0</v>
      </c>
      <c r="Q616" s="37">
        <v>0</v>
      </c>
      <c r="R616" s="37">
        <v>0.98199999999999998</v>
      </c>
    </row>
    <row r="617" spans="1:18">
      <c r="A617" s="10" t="s">
        <v>74</v>
      </c>
      <c r="B617" t="s">
        <v>7</v>
      </c>
      <c r="C617">
        <v>0</v>
      </c>
      <c r="D617">
        <v>0</v>
      </c>
      <c r="E617" s="29">
        <v>0</v>
      </c>
      <c r="F617">
        <v>10.27</v>
      </c>
      <c r="G617">
        <v>0.27</v>
      </c>
      <c r="H617">
        <v>10.54</v>
      </c>
      <c r="I617" s="29">
        <v>0.97439999999999993</v>
      </c>
      <c r="J617" s="29">
        <v>0</v>
      </c>
      <c r="K617" s="9">
        <v>45307</v>
      </c>
      <c r="L617">
        <f xml:space="preserve"> (交易處理資料__3[[#This Row],[售出工時]] * 60) / 5</f>
        <v>0</v>
      </c>
      <c r="M617" t="str">
        <f>VLOOKUP(交易處理資料__3[[#This Row],[人員代號]],團隊分組!$B$1:$C$52,2,FALSE)</f>
        <v>噴漆維修組</v>
      </c>
      <c r="N617" t="str">
        <f>IF(交易處理資料__3[[#This Row],[上班時間]]=0,"否","是")</f>
        <v>是</v>
      </c>
      <c r="O617" s="10" t="s">
        <v>74</v>
      </c>
      <c r="P617" s="38">
        <v>0</v>
      </c>
      <c r="Q617" s="38">
        <v>0</v>
      </c>
      <c r="R617" s="38">
        <v>0.97439999999999993</v>
      </c>
    </row>
    <row r="618" spans="1:18" hidden="1">
      <c r="A618" s="10" t="s">
        <v>74</v>
      </c>
      <c r="B618" t="s">
        <v>8</v>
      </c>
      <c r="C618">
        <v>0</v>
      </c>
      <c r="D618">
        <v>0</v>
      </c>
      <c r="E618" s="29">
        <v>0</v>
      </c>
      <c r="F618">
        <v>7.08</v>
      </c>
      <c r="G618">
        <v>0.97</v>
      </c>
      <c r="H618">
        <v>8.0500000000000007</v>
      </c>
      <c r="I618" s="29">
        <v>0.87950000000000006</v>
      </c>
      <c r="J618" s="29">
        <v>0</v>
      </c>
      <c r="K618" s="9">
        <v>45307</v>
      </c>
      <c r="L618">
        <f xml:space="preserve"> (交易處理資料__3[[#This Row],[售出工時]] * 60) / 5</f>
        <v>0</v>
      </c>
      <c r="M618" t="str">
        <f>VLOOKUP(交易處理資料__3[[#This Row],[人員代號]],團隊分組!$B$1:$C$52,2,FALSE)</f>
        <v>噴漆維修組</v>
      </c>
      <c r="N618" t="str">
        <f>IF(交易處理資料__3[[#This Row],[上班時間]]=0,"否","是")</f>
        <v>是</v>
      </c>
      <c r="O618" s="10" t="s">
        <v>74</v>
      </c>
      <c r="P618" s="37">
        <v>0</v>
      </c>
      <c r="Q618" s="37">
        <v>0</v>
      </c>
      <c r="R618" s="37">
        <v>0.87950000000000006</v>
      </c>
    </row>
    <row r="619" spans="1:18" hidden="1">
      <c r="A619" s="10" t="s">
        <v>74</v>
      </c>
      <c r="B619" t="s">
        <v>9</v>
      </c>
      <c r="C619">
        <v>0</v>
      </c>
      <c r="D619">
        <v>0</v>
      </c>
      <c r="E619" s="29">
        <v>0</v>
      </c>
      <c r="F619">
        <v>7.14</v>
      </c>
      <c r="G619">
        <v>0.98</v>
      </c>
      <c r="H619">
        <v>8.1199999999999992</v>
      </c>
      <c r="I619" s="29">
        <v>0.87930000000000008</v>
      </c>
      <c r="J619" s="29">
        <v>0</v>
      </c>
      <c r="K619" s="9">
        <v>45307</v>
      </c>
      <c r="L619">
        <f xml:space="preserve"> (交易處理資料__3[[#This Row],[售出工時]] * 60) / 5</f>
        <v>0</v>
      </c>
      <c r="M619" t="str">
        <f>VLOOKUP(交易處理資料__3[[#This Row],[人員代號]],團隊分組!$B$1:$C$52,2,FALSE)</f>
        <v>噴漆維修組</v>
      </c>
      <c r="N619" t="str">
        <f>IF(交易處理資料__3[[#This Row],[上班時間]]=0,"否","是")</f>
        <v>是</v>
      </c>
      <c r="O619" s="10" t="s">
        <v>74</v>
      </c>
      <c r="P619" s="38">
        <v>0</v>
      </c>
      <c r="Q619" s="38">
        <v>0</v>
      </c>
      <c r="R619" s="38">
        <v>0.87930000000000008</v>
      </c>
    </row>
    <row r="620" spans="1:18" hidden="1">
      <c r="A620" t="s">
        <v>75</v>
      </c>
      <c r="B620" t="s">
        <v>11</v>
      </c>
      <c r="C620">
        <v>0</v>
      </c>
      <c r="D620">
        <v>0</v>
      </c>
      <c r="E620" s="29">
        <v>0</v>
      </c>
      <c r="F620">
        <v>0</v>
      </c>
      <c r="G620">
        <v>0.05</v>
      </c>
      <c r="H620">
        <v>0.05</v>
      </c>
      <c r="I620" s="29">
        <v>0</v>
      </c>
      <c r="J620" s="29">
        <v>0</v>
      </c>
      <c r="K620" s="9">
        <v>45307</v>
      </c>
      <c r="L620">
        <f xml:space="preserve"> (交易處理資料__3[[#This Row],[售出工時]] * 60) / 5</f>
        <v>0</v>
      </c>
      <c r="M620" t="str">
        <f>VLOOKUP(交易處理資料__3[[#This Row],[人員代號]],團隊分組!$B$1:$C$52,2,FALSE)</f>
        <v>鈑金維修組</v>
      </c>
      <c r="N620" t="str">
        <f>IF(交易處理資料__3[[#This Row],[上班時間]]=0,"否","是")</f>
        <v>是</v>
      </c>
      <c r="O620" t="s">
        <v>75</v>
      </c>
      <c r="P620" s="37">
        <v>0</v>
      </c>
      <c r="Q620" s="37">
        <v>0</v>
      </c>
      <c r="R620" s="37">
        <v>0</v>
      </c>
    </row>
    <row r="621" spans="1:18" hidden="1">
      <c r="A621" t="s">
        <v>75</v>
      </c>
      <c r="B621" t="s">
        <v>12</v>
      </c>
      <c r="C621">
        <v>0</v>
      </c>
      <c r="D621">
        <v>0</v>
      </c>
      <c r="E621" s="29">
        <v>0</v>
      </c>
      <c r="F621">
        <v>7.84</v>
      </c>
      <c r="G621">
        <v>0.19</v>
      </c>
      <c r="H621">
        <v>8.0299999999999994</v>
      </c>
      <c r="I621" s="29">
        <v>0.97629999999999995</v>
      </c>
      <c r="J621" s="29">
        <v>0</v>
      </c>
      <c r="K621" s="9">
        <v>45307</v>
      </c>
      <c r="L621">
        <f xml:space="preserve"> (交易處理資料__3[[#This Row],[售出工時]] * 60) / 5</f>
        <v>0</v>
      </c>
      <c r="M621" t="str">
        <f>VLOOKUP(交易處理資料__3[[#This Row],[人員代號]],團隊分組!$B$1:$C$52,2,FALSE)</f>
        <v>鈑金維修組</v>
      </c>
      <c r="N621" t="str">
        <f>IF(交易處理資料__3[[#This Row],[上班時間]]=0,"否","是")</f>
        <v>是</v>
      </c>
      <c r="O621" t="s">
        <v>75</v>
      </c>
      <c r="P621" s="38">
        <v>0</v>
      </c>
      <c r="Q621" s="38">
        <v>0</v>
      </c>
      <c r="R621" s="38">
        <v>0.97629999999999995</v>
      </c>
    </row>
    <row r="622" spans="1:18" hidden="1">
      <c r="A622" t="s">
        <v>75</v>
      </c>
      <c r="B622" t="s">
        <v>13</v>
      </c>
      <c r="C622">
        <v>0</v>
      </c>
      <c r="D622">
        <v>0</v>
      </c>
      <c r="E622" s="29">
        <v>0</v>
      </c>
      <c r="F622">
        <v>4.63</v>
      </c>
      <c r="G622">
        <v>3.45</v>
      </c>
      <c r="H622">
        <v>8.08</v>
      </c>
      <c r="I622" s="29">
        <v>0.57299999999999995</v>
      </c>
      <c r="J622" s="29">
        <v>0</v>
      </c>
      <c r="K622" s="9">
        <v>45307</v>
      </c>
      <c r="L622">
        <f xml:space="preserve"> (交易處理資料__3[[#This Row],[售出工時]] * 60) / 5</f>
        <v>0</v>
      </c>
      <c r="M622" t="str">
        <f>VLOOKUP(交易處理資料__3[[#This Row],[人員代號]],團隊分組!$B$1:$C$52,2,FALSE)</f>
        <v>鈑金維修組</v>
      </c>
      <c r="N622" t="str">
        <f>IF(交易處理資料__3[[#This Row],[上班時間]]=0,"否","是")</f>
        <v>是</v>
      </c>
      <c r="O622" t="s">
        <v>75</v>
      </c>
      <c r="P622" s="37">
        <v>0</v>
      </c>
      <c r="Q622" s="37">
        <v>0</v>
      </c>
      <c r="R622" s="37">
        <v>0.57299999999999995</v>
      </c>
    </row>
    <row r="623" spans="1:18" hidden="1">
      <c r="A623" t="s">
        <v>75</v>
      </c>
      <c r="B623" t="s">
        <v>14</v>
      </c>
      <c r="C623">
        <v>0</v>
      </c>
      <c r="D623">
        <v>0</v>
      </c>
      <c r="E623" s="29">
        <v>0</v>
      </c>
      <c r="F623">
        <v>1.07</v>
      </c>
      <c r="G623">
        <v>7</v>
      </c>
      <c r="H623">
        <v>8.07</v>
      </c>
      <c r="I623" s="29">
        <v>0.1326</v>
      </c>
      <c r="J623" s="29">
        <v>0</v>
      </c>
      <c r="K623" s="9">
        <v>45307</v>
      </c>
      <c r="L623">
        <f xml:space="preserve"> (交易處理資料__3[[#This Row],[售出工時]] * 60) / 5</f>
        <v>0</v>
      </c>
      <c r="M623" t="str">
        <f>VLOOKUP(交易處理資料__3[[#This Row],[人員代號]],團隊分組!$B$1:$C$52,2,FALSE)</f>
        <v>鈑金維修組</v>
      </c>
      <c r="N623" t="str">
        <f>IF(交易處理資料__3[[#This Row],[上班時間]]=0,"否","是")</f>
        <v>是</v>
      </c>
      <c r="O623" t="s">
        <v>75</v>
      </c>
      <c r="P623" s="38">
        <v>0</v>
      </c>
      <c r="Q623" s="38">
        <v>0</v>
      </c>
      <c r="R623" s="38">
        <v>0.1326</v>
      </c>
    </row>
    <row r="624" spans="1:18" hidden="1">
      <c r="A624" t="s">
        <v>75</v>
      </c>
      <c r="B624" t="s">
        <v>15</v>
      </c>
      <c r="C624">
        <v>0</v>
      </c>
      <c r="D624">
        <v>0</v>
      </c>
      <c r="E624" s="29">
        <v>0</v>
      </c>
      <c r="F624">
        <v>1.53</v>
      </c>
      <c r="G624">
        <v>6.53</v>
      </c>
      <c r="H624">
        <v>8.06</v>
      </c>
      <c r="I624" s="29">
        <v>0.1898</v>
      </c>
      <c r="J624" s="29">
        <v>0</v>
      </c>
      <c r="K624" s="9">
        <v>45307</v>
      </c>
      <c r="L624">
        <f xml:space="preserve"> (交易處理資料__3[[#This Row],[售出工時]] * 60) / 5</f>
        <v>0</v>
      </c>
      <c r="M624" t="str">
        <f>VLOOKUP(交易處理資料__3[[#This Row],[人員代號]],團隊分組!$B$1:$C$52,2,FALSE)</f>
        <v>鈑金維修組</v>
      </c>
      <c r="N624" t="str">
        <f>IF(交易處理資料__3[[#This Row],[上班時間]]=0,"否","是")</f>
        <v>是</v>
      </c>
      <c r="O624" t="s">
        <v>75</v>
      </c>
      <c r="P624" s="37">
        <v>0</v>
      </c>
      <c r="Q624" s="37">
        <v>0</v>
      </c>
      <c r="R624" s="37">
        <v>0.1898</v>
      </c>
    </row>
    <row r="625" spans="1:18" hidden="1">
      <c r="A625" t="s">
        <v>76</v>
      </c>
      <c r="B625" t="s">
        <v>17</v>
      </c>
      <c r="C625">
        <v>10.38</v>
      </c>
      <c r="D625">
        <v>7</v>
      </c>
      <c r="E625" s="29">
        <v>1.4833000000000001</v>
      </c>
      <c r="F625">
        <v>9.8000000000000007</v>
      </c>
      <c r="G625">
        <v>0.45</v>
      </c>
      <c r="H625">
        <v>10.25</v>
      </c>
      <c r="I625" s="29">
        <v>0.95609999999999995</v>
      </c>
      <c r="J625" s="29">
        <v>1.0129999999999999</v>
      </c>
      <c r="K625" s="9">
        <v>45307</v>
      </c>
      <c r="L625">
        <f xml:space="preserve"> (交易處理資料__3[[#This Row],[售出工時]] * 60) / 5</f>
        <v>124.56000000000002</v>
      </c>
      <c r="M625" t="str">
        <f>VLOOKUP(交易處理資料__3[[#This Row],[人員代號]],團隊分組!$B$1:$C$52,2,FALSE)</f>
        <v>快速保養團隊A</v>
      </c>
      <c r="N625" t="str">
        <f>IF(交易處理資料__3[[#This Row],[上班時間]]=0,"否","是")</f>
        <v>是</v>
      </c>
      <c r="O625" t="s">
        <v>76</v>
      </c>
      <c r="P625" s="38">
        <v>1.4833000000000001</v>
      </c>
      <c r="Q625" s="38">
        <v>1.0129999999999999</v>
      </c>
      <c r="R625" s="38">
        <v>0.95609999999999995</v>
      </c>
    </row>
    <row r="626" spans="1:18" hidden="1">
      <c r="A626" t="s">
        <v>76</v>
      </c>
      <c r="B626" t="s">
        <v>20</v>
      </c>
      <c r="C626">
        <v>1.4</v>
      </c>
      <c r="D626">
        <v>3.38</v>
      </c>
      <c r="E626" s="29">
        <v>0.41509999999999997</v>
      </c>
      <c r="F626">
        <v>2.13</v>
      </c>
      <c r="G626">
        <v>8.32</v>
      </c>
      <c r="H626">
        <v>10.45</v>
      </c>
      <c r="I626" s="29">
        <v>0.20379999999999998</v>
      </c>
      <c r="J626" s="29">
        <v>0.1343</v>
      </c>
      <c r="K626" s="9">
        <v>45307</v>
      </c>
      <c r="L626">
        <f xml:space="preserve"> (交易處理資料__3[[#This Row],[售出工時]] * 60) / 5</f>
        <v>16.8</v>
      </c>
      <c r="M626" t="str">
        <f>VLOOKUP(交易處理資料__3[[#This Row],[人員代號]],團隊分組!$B$1:$C$52,2,FALSE)</f>
        <v>查修團隊B</v>
      </c>
      <c r="N626" t="str">
        <f>IF(交易處理資料__3[[#This Row],[上班時間]]=0,"否","是")</f>
        <v>是</v>
      </c>
      <c r="O626" t="s">
        <v>76</v>
      </c>
      <c r="P626" s="37">
        <v>0.41509999999999997</v>
      </c>
      <c r="Q626" s="37">
        <v>0.1343</v>
      </c>
      <c r="R626" s="37">
        <v>0.20379999999999998</v>
      </c>
    </row>
    <row r="627" spans="1:18" hidden="1">
      <c r="A627" t="s">
        <v>76</v>
      </c>
      <c r="B627" t="s">
        <v>21</v>
      </c>
      <c r="C627">
        <v>3.2</v>
      </c>
      <c r="D627">
        <v>5.14</v>
      </c>
      <c r="E627" s="29">
        <v>0.62250000000000005</v>
      </c>
      <c r="F627">
        <v>6.76</v>
      </c>
      <c r="G627">
        <v>1.32</v>
      </c>
      <c r="H627">
        <v>8.08</v>
      </c>
      <c r="I627" s="29">
        <v>0.83660000000000001</v>
      </c>
      <c r="J627" s="29">
        <v>0.39600000000000002</v>
      </c>
      <c r="K627" s="9">
        <v>45307</v>
      </c>
      <c r="L627">
        <f xml:space="preserve"> (交易處理資料__3[[#This Row],[售出工時]] * 60) / 5</f>
        <v>38.4</v>
      </c>
      <c r="M627" t="str">
        <f>VLOOKUP(交易處理資料__3[[#This Row],[人員代號]],團隊分組!$B$1:$C$52,2,FALSE)</f>
        <v>查修團隊B</v>
      </c>
      <c r="N627" t="str">
        <f>IF(交易處理資料__3[[#This Row],[上班時間]]=0,"否","是")</f>
        <v>是</v>
      </c>
      <c r="O627" t="s">
        <v>76</v>
      </c>
      <c r="P627" s="38">
        <v>0.62250000000000005</v>
      </c>
      <c r="Q627" s="38">
        <v>0.39600000000000002</v>
      </c>
      <c r="R627" s="38">
        <v>0.83660000000000001</v>
      </c>
    </row>
    <row r="628" spans="1:18" hidden="1">
      <c r="A628" t="s">
        <v>76</v>
      </c>
      <c r="B628" t="s">
        <v>22</v>
      </c>
      <c r="C628">
        <v>0</v>
      </c>
      <c r="D628">
        <v>0</v>
      </c>
      <c r="E628" s="29">
        <v>0</v>
      </c>
      <c r="F628">
        <v>0</v>
      </c>
      <c r="G628">
        <v>0</v>
      </c>
      <c r="H628">
        <v>0</v>
      </c>
      <c r="I628" s="29">
        <v>0</v>
      </c>
      <c r="J628" s="29">
        <v>0</v>
      </c>
      <c r="K628" s="9">
        <v>45307</v>
      </c>
      <c r="L628">
        <f xml:space="preserve"> (交易處理資料__3[[#This Row],[售出工時]] * 60) / 5</f>
        <v>0</v>
      </c>
      <c r="M628" t="str">
        <f>VLOOKUP(交易處理資料__3[[#This Row],[人員代號]],團隊分組!$B$1:$C$52,2,FALSE)</f>
        <v>快速保養團隊A</v>
      </c>
      <c r="N628" t="str">
        <f>IF(交易處理資料__3[[#This Row],[上班時間]]=0,"否","是")</f>
        <v>否</v>
      </c>
      <c r="O628" t="s">
        <v>76</v>
      </c>
      <c r="P628" s="37">
        <v>0</v>
      </c>
      <c r="Q628" s="37">
        <v>0</v>
      </c>
      <c r="R628" s="37">
        <v>0</v>
      </c>
    </row>
    <row r="629" spans="1:18" hidden="1">
      <c r="A629" t="s">
        <v>76</v>
      </c>
      <c r="B629" t="s">
        <v>24</v>
      </c>
      <c r="C629">
        <v>11.02</v>
      </c>
      <c r="D629">
        <v>5.87</v>
      </c>
      <c r="E629" s="29">
        <v>1.8784000000000001</v>
      </c>
      <c r="F629">
        <v>6.68</v>
      </c>
      <c r="G629">
        <v>0.93</v>
      </c>
      <c r="H629">
        <v>7.61</v>
      </c>
      <c r="I629" s="29">
        <v>0.87780000000000002</v>
      </c>
      <c r="J629" s="29">
        <v>1.4490000000000001</v>
      </c>
      <c r="K629" s="9">
        <v>45307</v>
      </c>
      <c r="L629">
        <f xml:space="preserve"> (交易處理資料__3[[#This Row],[售出工時]] * 60) / 5</f>
        <v>132.23999999999998</v>
      </c>
      <c r="M629" t="str">
        <f>VLOOKUP(交易處理資料__3[[#This Row],[人員代號]],團隊分組!$B$1:$C$52,2,FALSE)</f>
        <v>快速保養團隊A</v>
      </c>
      <c r="N629" t="str">
        <f>IF(交易處理資料__3[[#This Row],[上班時間]]=0,"否","是")</f>
        <v>是</v>
      </c>
      <c r="O629" t="s">
        <v>76</v>
      </c>
      <c r="P629" s="38">
        <v>1.8784000000000001</v>
      </c>
      <c r="Q629" s="38">
        <v>1.4490000000000001</v>
      </c>
      <c r="R629" s="38">
        <v>0.87780000000000002</v>
      </c>
    </row>
    <row r="630" spans="1:18" hidden="1">
      <c r="A630" t="s">
        <v>76</v>
      </c>
      <c r="B630" t="s">
        <v>26</v>
      </c>
      <c r="C630">
        <v>0.55000000000000004</v>
      </c>
      <c r="D630">
        <v>0.95</v>
      </c>
      <c r="E630" s="29">
        <v>0.57889999999999997</v>
      </c>
      <c r="F630">
        <v>2.6</v>
      </c>
      <c r="G630">
        <v>7.83</v>
      </c>
      <c r="H630">
        <v>10.43</v>
      </c>
      <c r="I630" s="29">
        <v>0.24929999999999999</v>
      </c>
      <c r="J630" s="29">
        <v>5.2699999999999997E-2</v>
      </c>
      <c r="K630" s="9">
        <v>45307</v>
      </c>
      <c r="L630">
        <f xml:space="preserve"> (交易處理資料__3[[#This Row],[售出工時]] * 60) / 5</f>
        <v>6.6</v>
      </c>
      <c r="M630" t="str">
        <f>VLOOKUP(交易處理資料__3[[#This Row],[人員代號]],團隊分組!$B$1:$C$52,2,FALSE)</f>
        <v>查修團隊B</v>
      </c>
      <c r="N630" t="str">
        <f>IF(交易處理資料__3[[#This Row],[上班時間]]=0,"否","是")</f>
        <v>是</v>
      </c>
      <c r="O630" t="s">
        <v>76</v>
      </c>
      <c r="P630" s="37">
        <v>0.57889999999999997</v>
      </c>
      <c r="Q630" s="37">
        <v>5.2699999999999997E-2</v>
      </c>
      <c r="R630" s="37">
        <v>0.24929999999999999</v>
      </c>
    </row>
    <row r="631" spans="1:18" hidden="1">
      <c r="A631" t="s">
        <v>76</v>
      </c>
      <c r="B631" t="s">
        <v>28</v>
      </c>
      <c r="C631">
        <v>9.08</v>
      </c>
      <c r="D631">
        <v>7.61</v>
      </c>
      <c r="E631" s="29">
        <v>1.1936</v>
      </c>
      <c r="F631">
        <v>7.61</v>
      </c>
      <c r="G631">
        <v>0.77</v>
      </c>
      <c r="H631">
        <v>8.3800000000000008</v>
      </c>
      <c r="I631" s="29">
        <v>0.90810000000000002</v>
      </c>
      <c r="J631" s="29">
        <v>1.0839000000000001</v>
      </c>
      <c r="K631" s="9">
        <v>45307</v>
      </c>
      <c r="L631">
        <f xml:space="preserve"> (交易處理資料__3[[#This Row],[售出工時]] * 60) / 5</f>
        <v>108.96</v>
      </c>
      <c r="M631" t="str">
        <f>VLOOKUP(交易處理資料__3[[#This Row],[人員代號]],團隊分組!$B$1:$C$52,2,FALSE)</f>
        <v>快速保養團隊A</v>
      </c>
      <c r="N631" t="str">
        <f>IF(交易處理資料__3[[#This Row],[上班時間]]=0,"否","是")</f>
        <v>是</v>
      </c>
      <c r="O631" t="s">
        <v>76</v>
      </c>
      <c r="P631" s="38">
        <v>1.1936</v>
      </c>
      <c r="Q631" s="38">
        <v>1.0839000000000001</v>
      </c>
      <c r="R631" s="38">
        <v>0.90810000000000002</v>
      </c>
    </row>
    <row r="632" spans="1:18" hidden="1">
      <c r="A632" t="s">
        <v>76</v>
      </c>
      <c r="B632" t="s">
        <v>29</v>
      </c>
      <c r="C632">
        <v>3</v>
      </c>
      <c r="D632">
        <v>5.49</v>
      </c>
      <c r="E632" s="29">
        <v>0.5464</v>
      </c>
      <c r="F632">
        <v>7.7</v>
      </c>
      <c r="G632">
        <v>0.32</v>
      </c>
      <c r="H632">
        <v>8.02</v>
      </c>
      <c r="I632" s="29">
        <v>0.96010000000000006</v>
      </c>
      <c r="J632" s="29">
        <v>0.37409999999999999</v>
      </c>
      <c r="K632" s="9">
        <v>45307</v>
      </c>
      <c r="L632">
        <f xml:space="preserve"> (交易處理資料__3[[#This Row],[售出工時]] * 60) / 5</f>
        <v>36</v>
      </c>
      <c r="M632" t="str">
        <f>VLOOKUP(交易處理資料__3[[#This Row],[人員代號]],團隊分組!$B$1:$C$52,2,FALSE)</f>
        <v>查修團隊B</v>
      </c>
      <c r="N632" t="str">
        <f>IF(交易處理資料__3[[#This Row],[上班時間]]=0,"否","是")</f>
        <v>是</v>
      </c>
      <c r="O632" t="s">
        <v>76</v>
      </c>
      <c r="P632" s="37">
        <v>0.5464</v>
      </c>
      <c r="Q632" s="37">
        <v>0.37409999999999999</v>
      </c>
      <c r="R632" s="37">
        <v>0.96010000000000006</v>
      </c>
    </row>
    <row r="633" spans="1:18" hidden="1">
      <c r="A633" t="s">
        <v>76</v>
      </c>
      <c r="B633" t="s">
        <v>30</v>
      </c>
      <c r="C633">
        <v>11.73</v>
      </c>
      <c r="D633">
        <v>9.6</v>
      </c>
      <c r="E633" s="29">
        <v>1.2218</v>
      </c>
      <c r="F633">
        <v>9.7200000000000006</v>
      </c>
      <c r="G633">
        <v>0.27</v>
      </c>
      <c r="H633">
        <v>9.99</v>
      </c>
      <c r="I633" s="29">
        <v>0.97299999999999998</v>
      </c>
      <c r="J633" s="29">
        <v>1.1741999999999999</v>
      </c>
      <c r="K633" s="9">
        <v>45307</v>
      </c>
      <c r="L633">
        <f xml:space="preserve"> (交易處理資料__3[[#This Row],[售出工時]] * 60) / 5</f>
        <v>140.76000000000002</v>
      </c>
      <c r="M633" t="str">
        <f>VLOOKUP(交易處理資料__3[[#This Row],[人員代號]],團隊分組!$B$1:$C$52,2,FALSE)</f>
        <v>快速保養團隊B</v>
      </c>
      <c r="N633" t="str">
        <f>IF(交易處理資料__3[[#This Row],[上班時間]]=0,"否","是")</f>
        <v>是</v>
      </c>
      <c r="O633" t="s">
        <v>76</v>
      </c>
      <c r="P633" s="38">
        <v>1.2218</v>
      </c>
      <c r="Q633" s="38">
        <v>1.1741999999999999</v>
      </c>
      <c r="R633" s="38">
        <v>0.97299999999999998</v>
      </c>
    </row>
    <row r="634" spans="1:18" hidden="1">
      <c r="A634" t="s">
        <v>76</v>
      </c>
      <c r="B634" t="s">
        <v>31</v>
      </c>
      <c r="C634">
        <v>0</v>
      </c>
      <c r="D634">
        <v>0</v>
      </c>
      <c r="E634" s="29">
        <v>0</v>
      </c>
      <c r="F634">
        <v>0</v>
      </c>
      <c r="G634">
        <v>0</v>
      </c>
      <c r="H634">
        <v>0</v>
      </c>
      <c r="I634" s="29">
        <v>0</v>
      </c>
      <c r="J634" s="29">
        <v>0</v>
      </c>
      <c r="K634" s="9">
        <v>45307</v>
      </c>
      <c r="L634">
        <f xml:space="preserve"> (交易處理資料__3[[#This Row],[售出工時]] * 60) / 5</f>
        <v>0</v>
      </c>
      <c r="M634" t="str">
        <f>VLOOKUP(交易處理資料__3[[#This Row],[人員代號]],團隊分組!$B$1:$C$52,2,FALSE)</f>
        <v>快速保養團隊A</v>
      </c>
      <c r="N634" t="str">
        <f>IF(交易處理資料__3[[#This Row],[上班時間]]=0,"否","是")</f>
        <v>否</v>
      </c>
      <c r="O634" t="s">
        <v>76</v>
      </c>
      <c r="P634" s="37">
        <v>0</v>
      </c>
      <c r="Q634" s="37">
        <v>0</v>
      </c>
      <c r="R634" s="37">
        <v>0</v>
      </c>
    </row>
    <row r="635" spans="1:18" hidden="1">
      <c r="A635" t="s">
        <v>76</v>
      </c>
      <c r="B635" t="s">
        <v>32</v>
      </c>
      <c r="C635">
        <v>11.16</v>
      </c>
      <c r="D635">
        <v>5.67</v>
      </c>
      <c r="E635" s="29">
        <v>1.9681999999999999</v>
      </c>
      <c r="F635">
        <v>7.45</v>
      </c>
      <c r="G635">
        <v>0.69</v>
      </c>
      <c r="H635">
        <v>8.14</v>
      </c>
      <c r="I635" s="29">
        <v>0.91520000000000001</v>
      </c>
      <c r="J635" s="29">
        <v>1.371</v>
      </c>
      <c r="K635" s="9">
        <v>45307</v>
      </c>
      <c r="L635">
        <f xml:space="preserve"> (交易處理資料__3[[#This Row],[售出工時]] * 60) / 5</f>
        <v>133.92000000000002</v>
      </c>
      <c r="M635" t="str">
        <f>VLOOKUP(交易處理資料__3[[#This Row],[人員代號]],團隊分組!$B$1:$C$52,2,FALSE)</f>
        <v>快速保養團隊B</v>
      </c>
      <c r="N635" t="str">
        <f>IF(交易處理資料__3[[#This Row],[上班時間]]=0,"否","是")</f>
        <v>是</v>
      </c>
      <c r="O635" t="s">
        <v>76</v>
      </c>
      <c r="P635" s="38">
        <v>1.9681999999999999</v>
      </c>
      <c r="Q635" s="38">
        <v>1.371</v>
      </c>
      <c r="R635" s="38">
        <v>0.91520000000000001</v>
      </c>
    </row>
    <row r="636" spans="1:18" hidden="1">
      <c r="A636" t="s">
        <v>76</v>
      </c>
      <c r="B636" t="s">
        <v>33</v>
      </c>
      <c r="C636">
        <v>0</v>
      </c>
      <c r="D636">
        <v>0</v>
      </c>
      <c r="E636" s="29">
        <v>0</v>
      </c>
      <c r="F636">
        <v>0</v>
      </c>
      <c r="G636">
        <v>0</v>
      </c>
      <c r="H636">
        <v>0</v>
      </c>
      <c r="I636" s="29">
        <v>0</v>
      </c>
      <c r="J636" s="29">
        <v>0</v>
      </c>
      <c r="K636" s="9">
        <v>45307</v>
      </c>
      <c r="L636">
        <f xml:space="preserve"> (交易處理資料__3[[#This Row],[售出工時]] * 60) / 5</f>
        <v>0</v>
      </c>
      <c r="M636" t="str">
        <f>VLOOKUP(交易處理資料__3[[#This Row],[人員代號]],團隊分組!$B$1:$C$52,2,FALSE)</f>
        <v>快速保養團隊B</v>
      </c>
      <c r="N636" t="str">
        <f>IF(交易處理資料__3[[#This Row],[上班時間]]=0,"否","是")</f>
        <v>否</v>
      </c>
      <c r="O636" t="s">
        <v>76</v>
      </c>
      <c r="P636" s="37">
        <v>0</v>
      </c>
      <c r="Q636" s="37">
        <v>0</v>
      </c>
      <c r="R636" s="37">
        <v>0</v>
      </c>
    </row>
    <row r="637" spans="1:18" hidden="1">
      <c r="A637" t="s">
        <v>76</v>
      </c>
      <c r="B637" t="s">
        <v>37</v>
      </c>
      <c r="C637">
        <v>5.66</v>
      </c>
      <c r="D637">
        <v>4.9800000000000004</v>
      </c>
      <c r="E637" s="29">
        <v>1.1377999999999999</v>
      </c>
      <c r="F637">
        <v>10.78</v>
      </c>
      <c r="G637">
        <v>0.52</v>
      </c>
      <c r="H637">
        <v>11.3</v>
      </c>
      <c r="I637" s="29">
        <v>0.95400000000000007</v>
      </c>
      <c r="J637" s="29">
        <v>0.50149999999999995</v>
      </c>
      <c r="K637" s="9">
        <v>45307</v>
      </c>
      <c r="L637">
        <f xml:space="preserve"> (交易處理資料__3[[#This Row],[售出工時]] * 60) / 5</f>
        <v>67.92</v>
      </c>
      <c r="M637" t="str">
        <f>VLOOKUP(交易處理資料__3[[#This Row],[人員代號]],團隊分組!$B$1:$C$52,2,FALSE)</f>
        <v>查修團隊A</v>
      </c>
      <c r="N637" t="str">
        <f>IF(交易處理資料__3[[#This Row],[上班時間]]=0,"否","是")</f>
        <v>是</v>
      </c>
      <c r="O637" t="s">
        <v>76</v>
      </c>
      <c r="P637" s="38">
        <v>1.1377999999999999</v>
      </c>
      <c r="Q637" s="38">
        <v>0.50149999999999995</v>
      </c>
      <c r="R637" s="38">
        <v>0.95400000000000007</v>
      </c>
    </row>
    <row r="638" spans="1:18" hidden="1">
      <c r="A638" t="s">
        <v>76</v>
      </c>
      <c r="B638" t="s">
        <v>38</v>
      </c>
      <c r="C638">
        <v>27.5</v>
      </c>
      <c r="D638">
        <v>9.7200000000000006</v>
      </c>
      <c r="E638" s="29">
        <v>2.8292000000000002</v>
      </c>
      <c r="F638">
        <v>11.58</v>
      </c>
      <c r="G638">
        <v>1.01</v>
      </c>
      <c r="H638">
        <v>12.59</v>
      </c>
      <c r="I638" s="29">
        <v>0.91980000000000006</v>
      </c>
      <c r="J638" s="29">
        <v>2.1842999999999999</v>
      </c>
      <c r="K638" s="9">
        <v>45307</v>
      </c>
      <c r="L638">
        <f xml:space="preserve"> (交易處理資料__3[[#This Row],[售出工時]] * 60) / 5</f>
        <v>330</v>
      </c>
      <c r="M638" t="str">
        <f>VLOOKUP(交易處理資料__3[[#This Row],[人員代號]],團隊分組!$B$1:$C$52,2,FALSE)</f>
        <v>快速保養團隊A</v>
      </c>
      <c r="N638" t="str">
        <f>IF(交易處理資料__3[[#This Row],[上班時間]]=0,"否","是")</f>
        <v>是</v>
      </c>
      <c r="O638" t="s">
        <v>76</v>
      </c>
      <c r="P638" s="37">
        <v>2.8292000000000002</v>
      </c>
      <c r="Q638" s="37">
        <v>2.1842999999999999</v>
      </c>
      <c r="R638" s="37">
        <v>0.91980000000000006</v>
      </c>
    </row>
    <row r="639" spans="1:18" hidden="1">
      <c r="A639" t="s">
        <v>76</v>
      </c>
      <c r="B639" t="s">
        <v>39</v>
      </c>
      <c r="C639">
        <v>4.16</v>
      </c>
      <c r="D639">
        <v>5.95</v>
      </c>
      <c r="E639" s="29">
        <v>0.70019999999999993</v>
      </c>
      <c r="F639">
        <v>9.6300000000000008</v>
      </c>
      <c r="G639">
        <v>0.69</v>
      </c>
      <c r="H639">
        <v>10.32</v>
      </c>
      <c r="I639" s="29">
        <v>0.93310000000000004</v>
      </c>
      <c r="J639" s="29">
        <v>0.40369999999999995</v>
      </c>
      <c r="K639" s="9">
        <v>45307</v>
      </c>
      <c r="L639">
        <f xml:space="preserve"> (交易處理資料__3[[#This Row],[售出工時]] * 60) / 5</f>
        <v>49.92</v>
      </c>
      <c r="M639" t="str">
        <f>VLOOKUP(交易處理資料__3[[#This Row],[人員代號]],團隊分組!$B$1:$C$52,2,FALSE)</f>
        <v>查修團隊A</v>
      </c>
      <c r="N639" t="str">
        <f>IF(交易處理資料__3[[#This Row],[上班時間]]=0,"否","是")</f>
        <v>是</v>
      </c>
      <c r="O639" t="s">
        <v>76</v>
      </c>
      <c r="P639" s="38">
        <v>0.70019999999999993</v>
      </c>
      <c r="Q639" s="38">
        <v>0.40369999999999995</v>
      </c>
      <c r="R639" s="38">
        <v>0.93310000000000004</v>
      </c>
    </row>
    <row r="640" spans="1:18" hidden="1">
      <c r="A640" t="s">
        <v>76</v>
      </c>
      <c r="B640" t="s">
        <v>42</v>
      </c>
      <c r="C640">
        <v>3.91</v>
      </c>
      <c r="D640">
        <v>3.44</v>
      </c>
      <c r="E640" s="29">
        <v>1.1384999999999998</v>
      </c>
      <c r="F640">
        <v>7.89</v>
      </c>
      <c r="G640">
        <v>2.14</v>
      </c>
      <c r="H640">
        <v>10.029999999999999</v>
      </c>
      <c r="I640" s="29">
        <v>0.78659999999999997</v>
      </c>
      <c r="J640" s="29">
        <v>0.39049999999999996</v>
      </c>
      <c r="K640" s="9">
        <v>45307</v>
      </c>
      <c r="L640">
        <f xml:space="preserve"> (交易處理資料__3[[#This Row],[售出工時]] * 60) / 5</f>
        <v>46.92</v>
      </c>
      <c r="M640" t="str">
        <f>VLOOKUP(交易處理資料__3[[#This Row],[人員代號]],團隊分組!$B$1:$C$52,2,FALSE)</f>
        <v>快速保養團隊A</v>
      </c>
      <c r="N640" t="str">
        <f>IF(交易處理資料__3[[#This Row],[上班時間]]=0,"否","是")</f>
        <v>是</v>
      </c>
      <c r="O640" t="s">
        <v>76</v>
      </c>
      <c r="P640" s="37">
        <v>1.1384999999999998</v>
      </c>
      <c r="Q640" s="37">
        <v>0.39049999999999996</v>
      </c>
      <c r="R640" s="37">
        <v>0.78659999999999997</v>
      </c>
    </row>
    <row r="641" spans="1:18" hidden="1">
      <c r="A641" t="s">
        <v>76</v>
      </c>
      <c r="B641" t="s">
        <v>46</v>
      </c>
      <c r="C641">
        <v>0</v>
      </c>
      <c r="D641">
        <v>0</v>
      </c>
      <c r="E641" s="29">
        <v>0</v>
      </c>
      <c r="F641">
        <v>4.71</v>
      </c>
      <c r="G641">
        <v>3.44</v>
      </c>
      <c r="H641">
        <v>8.15</v>
      </c>
      <c r="I641" s="29">
        <v>0.57789999999999997</v>
      </c>
      <c r="J641" s="29">
        <v>0</v>
      </c>
      <c r="K641" s="9">
        <v>45307</v>
      </c>
      <c r="L641">
        <f xml:space="preserve"> (交易處理資料__3[[#This Row],[售出工時]] * 60) / 5</f>
        <v>0</v>
      </c>
      <c r="M641" t="str">
        <f>VLOOKUP(交易處理資料__3[[#This Row],[人員代號]],團隊分組!$B$1:$C$52,2,FALSE)</f>
        <v>查修團隊B</v>
      </c>
      <c r="N641" t="str">
        <f>IF(交易處理資料__3[[#This Row],[上班時間]]=0,"否","是")</f>
        <v>是</v>
      </c>
      <c r="O641" t="s">
        <v>76</v>
      </c>
      <c r="P641" s="38">
        <v>0</v>
      </c>
      <c r="Q641" s="38">
        <v>0</v>
      </c>
      <c r="R641" s="38">
        <v>0.57789999999999997</v>
      </c>
    </row>
    <row r="642" spans="1:18" hidden="1">
      <c r="A642" t="s">
        <v>76</v>
      </c>
      <c r="B642" t="s">
        <v>47</v>
      </c>
      <c r="C642">
        <v>4.33</v>
      </c>
      <c r="D642">
        <v>5.12</v>
      </c>
      <c r="E642" s="29">
        <v>0.84629999999999994</v>
      </c>
      <c r="F642">
        <v>5.12</v>
      </c>
      <c r="G642">
        <v>3.66</v>
      </c>
      <c r="H642">
        <v>8.7799999999999994</v>
      </c>
      <c r="I642" s="29">
        <v>0.58310000000000006</v>
      </c>
      <c r="J642" s="29">
        <v>0.49349999999999999</v>
      </c>
      <c r="K642" s="9">
        <v>45307</v>
      </c>
      <c r="L642">
        <f xml:space="preserve"> (交易處理資料__3[[#This Row],[售出工時]] * 60) / 5</f>
        <v>51.96</v>
      </c>
      <c r="M642" t="str">
        <f>VLOOKUP(交易處理資料__3[[#This Row],[人員代號]],團隊分組!$B$1:$C$52,2,FALSE)</f>
        <v>查修團隊B</v>
      </c>
      <c r="N642" t="str">
        <f>IF(交易處理資料__3[[#This Row],[上班時間]]=0,"否","是")</f>
        <v>是</v>
      </c>
      <c r="O642" t="s">
        <v>76</v>
      </c>
      <c r="P642" s="37">
        <v>0.84629999999999994</v>
      </c>
      <c r="Q642" s="37">
        <v>0.49349999999999999</v>
      </c>
      <c r="R642" s="37">
        <v>0.58310000000000006</v>
      </c>
    </row>
    <row r="643" spans="1:18" hidden="1">
      <c r="A643" t="s">
        <v>76</v>
      </c>
      <c r="B643" t="s">
        <v>48</v>
      </c>
      <c r="C643">
        <v>1.33</v>
      </c>
      <c r="D643">
        <v>2.68</v>
      </c>
      <c r="E643" s="29">
        <v>0.4975</v>
      </c>
      <c r="F643">
        <v>6.78</v>
      </c>
      <c r="G643">
        <v>3.01</v>
      </c>
      <c r="H643">
        <v>9.7899999999999991</v>
      </c>
      <c r="I643" s="29">
        <v>0.6925</v>
      </c>
      <c r="J643" s="29">
        <v>0.13619999999999999</v>
      </c>
      <c r="K643" s="9">
        <v>45307</v>
      </c>
      <c r="L643">
        <f xml:space="preserve"> (交易處理資料__3[[#This Row],[售出工時]] * 60) / 5</f>
        <v>15.960000000000003</v>
      </c>
      <c r="M643" t="str">
        <f>VLOOKUP(交易處理資料__3[[#This Row],[人員代號]],團隊分組!$B$1:$C$52,2,FALSE)</f>
        <v>查修團隊A</v>
      </c>
      <c r="N643" t="str">
        <f>IF(交易處理資料__3[[#This Row],[上班時間]]=0,"否","是")</f>
        <v>是</v>
      </c>
      <c r="O643" t="s">
        <v>76</v>
      </c>
      <c r="P643" s="38">
        <v>0.4975</v>
      </c>
      <c r="Q643" s="38">
        <v>0.13619999999999999</v>
      </c>
      <c r="R643" s="38">
        <v>0.6925</v>
      </c>
    </row>
    <row r="644" spans="1:18" hidden="1">
      <c r="A644" t="s">
        <v>76</v>
      </c>
      <c r="B644" t="s">
        <v>49</v>
      </c>
      <c r="C644">
        <v>6.43</v>
      </c>
      <c r="D644">
        <v>6.74</v>
      </c>
      <c r="E644" s="29">
        <v>0.95489999999999997</v>
      </c>
      <c r="F644">
        <v>7</v>
      </c>
      <c r="G644">
        <v>0.76</v>
      </c>
      <c r="H644">
        <v>7.76</v>
      </c>
      <c r="I644" s="29">
        <v>0.9020999999999999</v>
      </c>
      <c r="J644" s="29">
        <v>0.82950000000000002</v>
      </c>
      <c r="K644" s="9">
        <v>45307</v>
      </c>
      <c r="L644">
        <f xml:space="preserve"> (交易處理資料__3[[#This Row],[售出工時]] * 60) / 5</f>
        <v>77.16</v>
      </c>
      <c r="M644" t="str">
        <f>VLOOKUP(交易處理資料__3[[#This Row],[人員代號]],團隊分組!$B$1:$C$52,2,FALSE)</f>
        <v>查修團隊A</v>
      </c>
      <c r="N644" t="str">
        <f>IF(交易處理資料__3[[#This Row],[上班時間]]=0,"否","是")</f>
        <v>是</v>
      </c>
      <c r="O644" t="s">
        <v>76</v>
      </c>
      <c r="P644" s="37">
        <v>0.95489999999999997</v>
      </c>
      <c r="Q644" s="37">
        <v>0.82950000000000002</v>
      </c>
      <c r="R644" s="37">
        <v>0.9020999999999999</v>
      </c>
    </row>
    <row r="645" spans="1:18" hidden="1">
      <c r="A645" t="s">
        <v>76</v>
      </c>
      <c r="B645" t="s">
        <v>51</v>
      </c>
      <c r="C645">
        <v>0</v>
      </c>
      <c r="D645">
        <v>0</v>
      </c>
      <c r="E645" s="29">
        <v>0</v>
      </c>
      <c r="F645">
        <v>0</v>
      </c>
      <c r="G645">
        <v>0</v>
      </c>
      <c r="H645">
        <v>0</v>
      </c>
      <c r="I645" s="29">
        <v>0</v>
      </c>
      <c r="J645" s="29">
        <v>0</v>
      </c>
      <c r="K645" s="9">
        <v>45307</v>
      </c>
      <c r="L645">
        <f xml:space="preserve"> (交易處理資料__3[[#This Row],[售出工時]] * 60) / 5</f>
        <v>0</v>
      </c>
      <c r="M645" t="str">
        <f>VLOOKUP(交易處理資料__3[[#This Row],[人員代號]],團隊分組!$B$1:$C$52,2,FALSE)</f>
        <v>無效數據</v>
      </c>
      <c r="N645" t="str">
        <f>IF(交易處理資料__3[[#This Row],[上班時間]]=0,"否","是")</f>
        <v>否</v>
      </c>
      <c r="O645" t="s">
        <v>76</v>
      </c>
      <c r="P645" s="38">
        <v>0</v>
      </c>
      <c r="Q645" s="38">
        <v>0</v>
      </c>
      <c r="R645" s="38">
        <v>0</v>
      </c>
    </row>
    <row r="646" spans="1:18" hidden="1">
      <c r="A646" t="s">
        <v>76</v>
      </c>
      <c r="B646" t="s">
        <v>53</v>
      </c>
      <c r="C646">
        <v>2.5</v>
      </c>
      <c r="D646">
        <v>6.79</v>
      </c>
      <c r="E646" s="29">
        <v>0.36810000000000004</v>
      </c>
      <c r="F646">
        <v>7.59</v>
      </c>
      <c r="G646">
        <v>0.22</v>
      </c>
      <c r="H646">
        <v>7.81</v>
      </c>
      <c r="I646" s="29">
        <v>0.97180000000000011</v>
      </c>
      <c r="J646" s="29">
        <v>0.3201</v>
      </c>
      <c r="K646" s="9">
        <v>45307</v>
      </c>
      <c r="L646">
        <f xml:space="preserve"> (交易處理資料__3[[#This Row],[售出工時]] * 60) / 5</f>
        <v>30</v>
      </c>
      <c r="M646" t="str">
        <f>VLOOKUP(交易處理資料__3[[#This Row],[人員代號]],團隊分組!$B$1:$C$52,2,FALSE)</f>
        <v>查修團隊A</v>
      </c>
      <c r="N646" t="str">
        <f>IF(交易處理資料__3[[#This Row],[上班時間]]=0,"否","是")</f>
        <v>是</v>
      </c>
      <c r="O646" t="s">
        <v>76</v>
      </c>
      <c r="P646" s="37">
        <v>0.36810000000000004</v>
      </c>
      <c r="Q646" s="37">
        <v>0.3201</v>
      </c>
      <c r="R646" s="37">
        <v>0.97180000000000011</v>
      </c>
    </row>
    <row r="647" spans="1:18" hidden="1">
      <c r="A647" s="10" t="s">
        <v>74</v>
      </c>
      <c r="B647" t="s">
        <v>2</v>
      </c>
      <c r="C647">
        <v>1.01</v>
      </c>
      <c r="D647">
        <v>6.92</v>
      </c>
      <c r="E647" s="29">
        <v>0.1459</v>
      </c>
      <c r="F647">
        <v>7.72</v>
      </c>
      <c r="G647">
        <v>0.28000000000000003</v>
      </c>
      <c r="H647">
        <v>8</v>
      </c>
      <c r="I647" s="29">
        <v>0.96499999999999997</v>
      </c>
      <c r="J647" s="29">
        <v>0.1263</v>
      </c>
      <c r="K647" s="9">
        <v>45308</v>
      </c>
      <c r="L647">
        <f xml:space="preserve"> (交易處理資料__3[[#This Row],[售出工時]] * 60) / 5</f>
        <v>12.120000000000001</v>
      </c>
      <c r="M647" t="str">
        <f>VLOOKUP(交易處理資料__3[[#This Row],[人員代號]],團隊分組!$B$1:$C$52,2,FALSE)</f>
        <v>噴漆維修組</v>
      </c>
      <c r="N647" t="str">
        <f>IF(交易處理資料__3[[#This Row],[上班時間]]=0,"否","是")</f>
        <v>是</v>
      </c>
      <c r="O647" s="10" t="s">
        <v>74</v>
      </c>
      <c r="P647" s="38">
        <v>0.1459</v>
      </c>
      <c r="Q647" s="38">
        <v>0.1263</v>
      </c>
      <c r="R647" s="38">
        <v>0.96499999999999997</v>
      </c>
    </row>
    <row r="648" spans="1:18" hidden="1">
      <c r="A648" s="10" t="s">
        <v>74</v>
      </c>
      <c r="B648" t="s">
        <v>3</v>
      </c>
      <c r="C648">
        <v>1.1599999999999999</v>
      </c>
      <c r="D648">
        <v>7.95</v>
      </c>
      <c r="E648" s="29">
        <v>0.1459</v>
      </c>
      <c r="F648">
        <v>7.7</v>
      </c>
      <c r="G648">
        <v>0.28000000000000003</v>
      </c>
      <c r="H648">
        <v>7.98</v>
      </c>
      <c r="I648" s="29">
        <v>0.96489999999999998</v>
      </c>
      <c r="J648" s="29">
        <v>0.1454</v>
      </c>
      <c r="K648" s="9">
        <v>45308</v>
      </c>
      <c r="L648">
        <f xml:space="preserve"> (交易處理資料__3[[#This Row],[售出工時]] * 60) / 5</f>
        <v>13.919999999999998</v>
      </c>
      <c r="M648" t="str">
        <f>VLOOKUP(交易處理資料__3[[#This Row],[人員代號]],團隊分組!$B$1:$C$52,2,FALSE)</f>
        <v>噴漆維修組</v>
      </c>
      <c r="N648" t="str">
        <f>IF(交易處理資料__3[[#This Row],[上班時間]]=0,"否","是")</f>
        <v>是</v>
      </c>
      <c r="O648" s="10" t="s">
        <v>74</v>
      </c>
      <c r="P648" s="37">
        <v>0.1459</v>
      </c>
      <c r="Q648" s="37">
        <v>0.1454</v>
      </c>
      <c r="R648" s="37">
        <v>0.96489999999999998</v>
      </c>
    </row>
    <row r="649" spans="1:18" hidden="1">
      <c r="A649" s="10" t="s">
        <v>74</v>
      </c>
      <c r="B649" t="s">
        <v>4</v>
      </c>
      <c r="C649">
        <v>0.65</v>
      </c>
      <c r="D649">
        <v>1.8</v>
      </c>
      <c r="E649" s="29">
        <v>0.36109999999999998</v>
      </c>
      <c r="F649">
        <v>3.8</v>
      </c>
      <c r="G649">
        <v>4.21</v>
      </c>
      <c r="H649">
        <v>8.01</v>
      </c>
      <c r="I649" s="29">
        <v>0.47439999999999999</v>
      </c>
      <c r="J649" s="29">
        <v>8.1099999999999992E-2</v>
      </c>
      <c r="K649" s="9">
        <v>45308</v>
      </c>
      <c r="L649">
        <f xml:space="preserve"> (交易處理資料__3[[#This Row],[售出工時]] * 60) / 5</f>
        <v>7.8</v>
      </c>
      <c r="M649" t="str">
        <f>VLOOKUP(交易處理資料__3[[#This Row],[人員代號]],團隊分組!$B$1:$C$52,2,FALSE)</f>
        <v>噴漆維修組</v>
      </c>
      <c r="N649" t="str">
        <f>IF(交易處理資料__3[[#This Row],[上班時間]]=0,"否","是")</f>
        <v>是</v>
      </c>
      <c r="O649" s="10" t="s">
        <v>74</v>
      </c>
      <c r="P649" s="38">
        <v>0.36109999999999998</v>
      </c>
      <c r="Q649" s="38">
        <v>8.1099999999999992E-2</v>
      </c>
      <c r="R649" s="38">
        <v>0.47439999999999999</v>
      </c>
    </row>
    <row r="650" spans="1:18" hidden="1">
      <c r="A650" s="10" t="s">
        <v>74</v>
      </c>
      <c r="B650" t="s">
        <v>5</v>
      </c>
      <c r="C650">
        <v>2.04</v>
      </c>
      <c r="D650">
        <v>4.96</v>
      </c>
      <c r="E650" s="29">
        <v>0.41259999999999997</v>
      </c>
      <c r="F650">
        <v>7.7</v>
      </c>
      <c r="G650">
        <v>0.3</v>
      </c>
      <c r="H650">
        <v>8</v>
      </c>
      <c r="I650" s="29">
        <v>0.96250000000000002</v>
      </c>
      <c r="J650" s="29">
        <v>0.25579999999999997</v>
      </c>
      <c r="K650" s="9">
        <v>45308</v>
      </c>
      <c r="L650">
        <f xml:space="preserve"> (交易處理資料__3[[#This Row],[售出工時]] * 60) / 5</f>
        <v>24.48</v>
      </c>
      <c r="M650" t="str">
        <f>VLOOKUP(交易處理資料__3[[#This Row],[人員代號]],團隊分組!$B$1:$C$52,2,FALSE)</f>
        <v>噴漆維修組</v>
      </c>
      <c r="N650" t="str">
        <f>IF(交易處理資料__3[[#This Row],[上班時間]]=0,"否","是")</f>
        <v>是</v>
      </c>
      <c r="O650" s="10" t="s">
        <v>74</v>
      </c>
      <c r="P650" s="37">
        <v>0.41259999999999997</v>
      </c>
      <c r="Q650" s="37">
        <v>0.25579999999999997</v>
      </c>
      <c r="R650" s="37">
        <v>0.96250000000000002</v>
      </c>
    </row>
    <row r="651" spans="1:18" hidden="1">
      <c r="A651" s="10" t="s">
        <v>74</v>
      </c>
      <c r="B651" t="s">
        <v>6</v>
      </c>
      <c r="C651">
        <v>1.1599999999999999</v>
      </c>
      <c r="D651">
        <v>7.94</v>
      </c>
      <c r="E651" s="29">
        <v>0.14599999999999999</v>
      </c>
      <c r="F651">
        <v>7.72</v>
      </c>
      <c r="G651">
        <v>0.26</v>
      </c>
      <c r="H651">
        <v>7.98</v>
      </c>
      <c r="I651" s="29">
        <v>0.96739999999999993</v>
      </c>
      <c r="J651" s="29">
        <v>0.1454</v>
      </c>
      <c r="K651" s="9">
        <v>45308</v>
      </c>
      <c r="L651">
        <f xml:space="preserve"> (交易處理資料__3[[#This Row],[售出工時]] * 60) / 5</f>
        <v>13.919999999999998</v>
      </c>
      <c r="M651" t="str">
        <f>VLOOKUP(交易處理資料__3[[#This Row],[人員代號]],團隊分組!$B$1:$C$52,2,FALSE)</f>
        <v>噴漆維修組</v>
      </c>
      <c r="N651" t="str">
        <f>IF(交易處理資料__3[[#This Row],[上班時間]]=0,"否","是")</f>
        <v>是</v>
      </c>
      <c r="O651" s="10" t="s">
        <v>74</v>
      </c>
      <c r="P651" s="38">
        <v>0.14599999999999999</v>
      </c>
      <c r="Q651" s="38">
        <v>0.1454</v>
      </c>
      <c r="R651" s="38">
        <v>0.96739999999999993</v>
      </c>
    </row>
    <row r="652" spans="1:18">
      <c r="A652" s="10" t="s">
        <v>74</v>
      </c>
      <c r="B652" t="s">
        <v>7</v>
      </c>
      <c r="C652">
        <v>4.88</v>
      </c>
      <c r="D652">
        <v>7.73</v>
      </c>
      <c r="E652" s="29">
        <v>0.63129999999999997</v>
      </c>
      <c r="F652">
        <v>7.68</v>
      </c>
      <c r="G652">
        <v>0.32</v>
      </c>
      <c r="H652">
        <v>8</v>
      </c>
      <c r="I652" s="29">
        <v>0.96</v>
      </c>
      <c r="J652" s="29">
        <v>0.61</v>
      </c>
      <c r="K652" s="9">
        <v>45308</v>
      </c>
      <c r="L652">
        <f xml:space="preserve"> (交易處理資料__3[[#This Row],[售出工時]] * 60) / 5</f>
        <v>58.56</v>
      </c>
      <c r="M652" t="str">
        <f>VLOOKUP(交易處理資料__3[[#This Row],[人員代號]],團隊分組!$B$1:$C$52,2,FALSE)</f>
        <v>噴漆維修組</v>
      </c>
      <c r="N652" t="str">
        <f>IF(交易處理資料__3[[#This Row],[上班時間]]=0,"否","是")</f>
        <v>是</v>
      </c>
      <c r="O652" s="10" t="s">
        <v>74</v>
      </c>
      <c r="P652" s="37">
        <v>0.63129999999999997</v>
      </c>
      <c r="Q652" s="37">
        <v>0.61</v>
      </c>
      <c r="R652" s="37">
        <v>0.96</v>
      </c>
    </row>
    <row r="653" spans="1:18" hidden="1">
      <c r="A653" s="10" t="s">
        <v>74</v>
      </c>
      <c r="B653" t="s">
        <v>8</v>
      </c>
      <c r="C653">
        <v>1.25</v>
      </c>
      <c r="D653">
        <v>3.47</v>
      </c>
      <c r="E653" s="29">
        <v>0.36020000000000002</v>
      </c>
      <c r="F653">
        <v>3.8</v>
      </c>
      <c r="G653">
        <v>4.2300000000000004</v>
      </c>
      <c r="H653">
        <v>8.0299999999999994</v>
      </c>
      <c r="I653" s="29">
        <v>0.47320000000000001</v>
      </c>
      <c r="J653" s="29">
        <v>0.15570000000000001</v>
      </c>
      <c r="K653" s="9">
        <v>45308</v>
      </c>
      <c r="L653">
        <f xml:space="preserve"> (交易處理資料__3[[#This Row],[售出工時]] * 60) / 5</f>
        <v>15</v>
      </c>
      <c r="M653" t="str">
        <f>VLOOKUP(交易處理資料__3[[#This Row],[人員代號]],團隊分組!$B$1:$C$52,2,FALSE)</f>
        <v>噴漆維修組</v>
      </c>
      <c r="N653" t="str">
        <f>IF(交易處理資料__3[[#This Row],[上班時間]]=0,"否","是")</f>
        <v>是</v>
      </c>
      <c r="O653" s="10" t="s">
        <v>74</v>
      </c>
      <c r="P653" s="38">
        <v>0.36020000000000002</v>
      </c>
      <c r="Q653" s="38">
        <v>0.15570000000000001</v>
      </c>
      <c r="R653" s="38">
        <v>0.47320000000000001</v>
      </c>
    </row>
    <row r="654" spans="1:18" hidden="1">
      <c r="A654" s="10" t="s">
        <v>74</v>
      </c>
      <c r="B654" t="s">
        <v>9</v>
      </c>
      <c r="C654">
        <v>2.76</v>
      </c>
      <c r="D654">
        <v>6.84</v>
      </c>
      <c r="E654" s="29">
        <v>0.40350000000000003</v>
      </c>
      <c r="F654">
        <v>7.45</v>
      </c>
      <c r="G654">
        <v>0.57999999999999996</v>
      </c>
      <c r="H654">
        <v>8.0299999999999994</v>
      </c>
      <c r="I654" s="29">
        <v>0.92779999999999996</v>
      </c>
      <c r="J654" s="29">
        <v>0.34369999999999995</v>
      </c>
      <c r="K654" s="9">
        <v>45308</v>
      </c>
      <c r="L654">
        <f xml:space="preserve"> (交易處理資料__3[[#This Row],[售出工時]] * 60) / 5</f>
        <v>33.119999999999997</v>
      </c>
      <c r="M654" t="str">
        <f>VLOOKUP(交易處理資料__3[[#This Row],[人員代號]],團隊分組!$B$1:$C$52,2,FALSE)</f>
        <v>噴漆維修組</v>
      </c>
      <c r="N654" t="str">
        <f>IF(交易處理資料__3[[#This Row],[上班時間]]=0,"否","是")</f>
        <v>是</v>
      </c>
      <c r="O654" s="10" t="s">
        <v>74</v>
      </c>
      <c r="P654" s="37">
        <v>0.40350000000000003</v>
      </c>
      <c r="Q654" s="37">
        <v>0.34369999999999995</v>
      </c>
      <c r="R654" s="37">
        <v>0.92779999999999996</v>
      </c>
    </row>
    <row r="655" spans="1:18" hidden="1">
      <c r="A655" t="s">
        <v>75</v>
      </c>
      <c r="B655" t="s">
        <v>11</v>
      </c>
      <c r="C655">
        <v>8.33</v>
      </c>
      <c r="D655">
        <v>6.95</v>
      </c>
      <c r="E655" s="29">
        <v>1.1990000000000001</v>
      </c>
      <c r="F655">
        <v>6.86</v>
      </c>
      <c r="G655">
        <v>1.2</v>
      </c>
      <c r="H655">
        <v>8.06</v>
      </c>
      <c r="I655" s="29">
        <v>0.85109999999999997</v>
      </c>
      <c r="J655" s="29">
        <v>1.0339</v>
      </c>
      <c r="K655" s="9">
        <v>45308</v>
      </c>
      <c r="L655">
        <f xml:space="preserve"> (交易處理資料__3[[#This Row],[售出工時]] * 60) / 5</f>
        <v>99.960000000000008</v>
      </c>
      <c r="M655" t="str">
        <f>VLOOKUP(交易處理資料__3[[#This Row],[人員代號]],團隊分組!$B$1:$C$52,2,FALSE)</f>
        <v>鈑金維修組</v>
      </c>
      <c r="N655" t="str">
        <f>IF(交易處理資料__3[[#This Row],[上班時間]]=0,"否","是")</f>
        <v>是</v>
      </c>
      <c r="O655" t="s">
        <v>75</v>
      </c>
      <c r="P655" s="38">
        <v>1.1990000000000001</v>
      </c>
      <c r="Q655" s="38">
        <v>1.0339</v>
      </c>
      <c r="R655" s="38">
        <v>0.85109999999999997</v>
      </c>
    </row>
    <row r="656" spans="1:18" hidden="1">
      <c r="A656" t="s">
        <v>75</v>
      </c>
      <c r="B656" t="s">
        <v>13</v>
      </c>
      <c r="C656">
        <v>5.04</v>
      </c>
      <c r="D656">
        <v>7.51</v>
      </c>
      <c r="E656" s="29">
        <v>0.67110000000000003</v>
      </c>
      <c r="F656">
        <v>5.24</v>
      </c>
      <c r="G656">
        <v>2.87</v>
      </c>
      <c r="H656">
        <v>8.11</v>
      </c>
      <c r="I656" s="29">
        <v>0.64610000000000001</v>
      </c>
      <c r="J656" s="29">
        <v>0.62149999999999994</v>
      </c>
      <c r="K656" s="9">
        <v>45308</v>
      </c>
      <c r="L656">
        <f xml:space="preserve"> (交易處理資料__3[[#This Row],[售出工時]] * 60) / 5</f>
        <v>60.48</v>
      </c>
      <c r="M656" t="str">
        <f>VLOOKUP(交易處理資料__3[[#This Row],[人員代號]],團隊分組!$B$1:$C$52,2,FALSE)</f>
        <v>鈑金維修組</v>
      </c>
      <c r="N656" t="str">
        <f>IF(交易處理資料__3[[#This Row],[上班時間]]=0,"否","是")</f>
        <v>是</v>
      </c>
      <c r="O656" t="s">
        <v>75</v>
      </c>
      <c r="P656" s="37">
        <v>0.67110000000000003</v>
      </c>
      <c r="Q656" s="37">
        <v>0.62149999999999994</v>
      </c>
      <c r="R656" s="37">
        <v>0.64610000000000001</v>
      </c>
    </row>
    <row r="657" spans="1:18" hidden="1">
      <c r="A657" t="s">
        <v>75</v>
      </c>
      <c r="B657" t="s">
        <v>14</v>
      </c>
      <c r="C657">
        <v>4.0199999999999996</v>
      </c>
      <c r="D657">
        <v>7.91</v>
      </c>
      <c r="E657" s="29">
        <v>0.50819999999999999</v>
      </c>
      <c r="F657">
        <v>2.31</v>
      </c>
      <c r="G657">
        <v>5.78</v>
      </c>
      <c r="H657">
        <v>8.09</v>
      </c>
      <c r="I657" s="29">
        <v>0.28550000000000003</v>
      </c>
      <c r="J657" s="29">
        <v>0.49689999999999995</v>
      </c>
      <c r="K657" s="9">
        <v>45308</v>
      </c>
      <c r="L657">
        <f xml:space="preserve"> (交易處理資料__3[[#This Row],[售出工時]] * 60) / 5</f>
        <v>48.239999999999995</v>
      </c>
      <c r="M657" t="str">
        <f>VLOOKUP(交易處理資料__3[[#This Row],[人員代號]],團隊分組!$B$1:$C$52,2,FALSE)</f>
        <v>鈑金維修組</v>
      </c>
      <c r="N657" t="str">
        <f>IF(交易處理資料__3[[#This Row],[上班時間]]=0,"否","是")</f>
        <v>是</v>
      </c>
      <c r="O657" t="s">
        <v>75</v>
      </c>
      <c r="P657" s="38">
        <v>0.50819999999999999</v>
      </c>
      <c r="Q657" s="38">
        <v>0.49689999999999995</v>
      </c>
      <c r="R657" s="38">
        <v>0.28550000000000003</v>
      </c>
    </row>
    <row r="658" spans="1:18" hidden="1">
      <c r="A658" t="s">
        <v>76</v>
      </c>
      <c r="B658" t="s">
        <v>17</v>
      </c>
      <c r="C658">
        <v>11.16</v>
      </c>
      <c r="D658">
        <v>8.39</v>
      </c>
      <c r="E658" s="29">
        <v>1.3309</v>
      </c>
      <c r="F658">
        <v>8.16</v>
      </c>
      <c r="G658">
        <v>1.49</v>
      </c>
      <c r="H658">
        <v>9.65</v>
      </c>
      <c r="I658" s="29">
        <v>0.84560000000000002</v>
      </c>
      <c r="J658" s="29">
        <v>1.1572</v>
      </c>
      <c r="K658" s="9">
        <v>45308</v>
      </c>
      <c r="L658">
        <f xml:space="preserve"> (交易處理資料__3[[#This Row],[售出工時]] * 60) / 5</f>
        <v>133.92000000000002</v>
      </c>
      <c r="M658" t="str">
        <f>VLOOKUP(交易處理資料__3[[#This Row],[人員代號]],團隊分組!$B$1:$C$52,2,FALSE)</f>
        <v>快速保養團隊A</v>
      </c>
      <c r="N658" t="str">
        <f>IF(交易處理資料__3[[#This Row],[上班時間]]=0,"否","是")</f>
        <v>是</v>
      </c>
      <c r="O658" t="s">
        <v>76</v>
      </c>
      <c r="P658" s="37">
        <v>1.3309</v>
      </c>
      <c r="Q658" s="37">
        <v>1.1572</v>
      </c>
      <c r="R658" s="37">
        <v>0.84560000000000002</v>
      </c>
    </row>
    <row r="659" spans="1:18" hidden="1">
      <c r="A659" t="s">
        <v>76</v>
      </c>
      <c r="B659" t="s">
        <v>19</v>
      </c>
      <c r="C659">
        <v>3.93</v>
      </c>
      <c r="D659">
        <v>4.5199999999999996</v>
      </c>
      <c r="E659" s="29">
        <v>0.87019999999999997</v>
      </c>
      <c r="F659">
        <v>7.23</v>
      </c>
      <c r="G659">
        <v>0.49</v>
      </c>
      <c r="H659">
        <v>7.72</v>
      </c>
      <c r="I659" s="29">
        <v>0.93650000000000011</v>
      </c>
      <c r="J659" s="29">
        <v>0.50950000000000006</v>
      </c>
      <c r="K659" s="9">
        <v>45308</v>
      </c>
      <c r="L659">
        <f xml:space="preserve"> (交易處理資料__3[[#This Row],[售出工時]] * 60) / 5</f>
        <v>47.160000000000004</v>
      </c>
      <c r="M659" t="str">
        <f>VLOOKUP(交易處理資料__3[[#This Row],[人員代號]],團隊分組!$B$1:$C$52,2,FALSE)</f>
        <v>查修團隊A</v>
      </c>
      <c r="N659" t="str">
        <f>IF(交易處理資料__3[[#This Row],[上班時間]]=0,"否","是")</f>
        <v>是</v>
      </c>
      <c r="O659" t="s">
        <v>76</v>
      </c>
      <c r="P659" s="38">
        <v>0.87019999999999997</v>
      </c>
      <c r="Q659" s="38">
        <v>0.50950000000000006</v>
      </c>
      <c r="R659" s="38">
        <v>0.93650000000000011</v>
      </c>
    </row>
    <row r="660" spans="1:18" hidden="1">
      <c r="A660" t="s">
        <v>76</v>
      </c>
      <c r="B660" t="s">
        <v>20</v>
      </c>
      <c r="C660">
        <v>1</v>
      </c>
      <c r="D660">
        <v>0.98</v>
      </c>
      <c r="E660" s="29">
        <v>1.0204</v>
      </c>
      <c r="F660">
        <v>0.93</v>
      </c>
      <c r="G660">
        <v>7.28</v>
      </c>
      <c r="H660">
        <v>8.2100000000000009</v>
      </c>
      <c r="I660" s="29">
        <v>0.1133</v>
      </c>
      <c r="J660" s="29">
        <v>0.12179999999999999</v>
      </c>
      <c r="K660" s="9">
        <v>45308</v>
      </c>
      <c r="L660">
        <f xml:space="preserve"> (交易處理資料__3[[#This Row],[售出工時]] * 60) / 5</f>
        <v>12</v>
      </c>
      <c r="M660" t="str">
        <f>VLOOKUP(交易處理資料__3[[#This Row],[人員代號]],團隊分組!$B$1:$C$52,2,FALSE)</f>
        <v>查修團隊B</v>
      </c>
      <c r="N660" t="str">
        <f>IF(交易處理資料__3[[#This Row],[上班時間]]=0,"否","是")</f>
        <v>是</v>
      </c>
      <c r="O660" t="s">
        <v>76</v>
      </c>
      <c r="P660" s="37">
        <v>1.0204</v>
      </c>
      <c r="Q660" s="37">
        <v>0.12179999999999999</v>
      </c>
      <c r="R660" s="37">
        <v>0.1133</v>
      </c>
    </row>
    <row r="661" spans="1:18" hidden="1">
      <c r="A661" t="s">
        <v>76</v>
      </c>
      <c r="B661" t="s">
        <v>21</v>
      </c>
      <c r="C661">
        <v>3.29</v>
      </c>
      <c r="D661">
        <v>4.97</v>
      </c>
      <c r="E661" s="29">
        <v>0.6633</v>
      </c>
      <c r="F661">
        <v>7.12</v>
      </c>
      <c r="G661">
        <v>1.1000000000000001</v>
      </c>
      <c r="H661">
        <v>8.2200000000000006</v>
      </c>
      <c r="I661" s="29">
        <v>0.86620000000000008</v>
      </c>
      <c r="J661" s="29">
        <v>0.40110000000000001</v>
      </c>
      <c r="K661" s="9">
        <v>45308</v>
      </c>
      <c r="L661">
        <f xml:space="preserve"> (交易處理資料__3[[#This Row],[售出工時]] * 60) / 5</f>
        <v>39.480000000000004</v>
      </c>
      <c r="M661" t="str">
        <f>VLOOKUP(交易處理資料__3[[#This Row],[人員代號]],團隊分組!$B$1:$C$52,2,FALSE)</f>
        <v>查修團隊B</v>
      </c>
      <c r="N661" t="str">
        <f>IF(交易處理資料__3[[#This Row],[上班時間]]=0,"否","是")</f>
        <v>是</v>
      </c>
      <c r="O661" t="s">
        <v>76</v>
      </c>
      <c r="P661" s="38">
        <v>0.6633</v>
      </c>
      <c r="Q661" s="38">
        <v>0.40110000000000001</v>
      </c>
      <c r="R661" s="38">
        <v>0.86620000000000008</v>
      </c>
    </row>
    <row r="662" spans="1:18" hidden="1">
      <c r="A662" t="s">
        <v>76</v>
      </c>
      <c r="B662" t="s">
        <v>22</v>
      </c>
      <c r="C662">
        <v>0</v>
      </c>
      <c r="D662">
        <v>0</v>
      </c>
      <c r="E662" s="29">
        <v>0</v>
      </c>
      <c r="F662">
        <v>0</v>
      </c>
      <c r="G662">
        <v>0</v>
      </c>
      <c r="H662">
        <v>0</v>
      </c>
      <c r="I662" s="29">
        <v>0</v>
      </c>
      <c r="J662" s="29">
        <v>0</v>
      </c>
      <c r="K662" s="9">
        <v>45308</v>
      </c>
      <c r="L662">
        <f xml:space="preserve"> (交易處理資料__3[[#This Row],[售出工時]] * 60) / 5</f>
        <v>0</v>
      </c>
      <c r="M662" t="str">
        <f>VLOOKUP(交易處理資料__3[[#This Row],[人員代號]],團隊分組!$B$1:$C$52,2,FALSE)</f>
        <v>快速保養團隊A</v>
      </c>
      <c r="N662" t="str">
        <f>IF(交易處理資料__3[[#This Row],[上班時間]]=0,"否","是")</f>
        <v>否</v>
      </c>
      <c r="O662" t="s">
        <v>76</v>
      </c>
      <c r="P662" s="37">
        <v>0</v>
      </c>
      <c r="Q662" s="37">
        <v>0</v>
      </c>
      <c r="R662" s="37">
        <v>0</v>
      </c>
    </row>
    <row r="663" spans="1:18" hidden="1">
      <c r="A663" t="s">
        <v>76</v>
      </c>
      <c r="B663" t="s">
        <v>23</v>
      </c>
      <c r="C663">
        <v>12.77</v>
      </c>
      <c r="D663">
        <v>9.86</v>
      </c>
      <c r="E663" s="29">
        <v>1.2950999999999999</v>
      </c>
      <c r="F663">
        <v>9.91</v>
      </c>
      <c r="G663">
        <v>0.34</v>
      </c>
      <c r="H663">
        <v>10.25</v>
      </c>
      <c r="I663" s="29">
        <v>0.9668000000000001</v>
      </c>
      <c r="J663" s="29">
        <v>1.2459</v>
      </c>
      <c r="K663" s="9">
        <v>45308</v>
      </c>
      <c r="L663">
        <f xml:space="preserve"> (交易處理資料__3[[#This Row],[售出工時]] * 60) / 5</f>
        <v>153.23999999999998</v>
      </c>
      <c r="M663" t="str">
        <f>VLOOKUP(交易處理資料__3[[#This Row],[人員代號]],團隊分組!$B$1:$C$52,2,FALSE)</f>
        <v>快速保養團隊B</v>
      </c>
      <c r="N663" t="str">
        <f>IF(交易處理資料__3[[#This Row],[上班時間]]=0,"否","是")</f>
        <v>是</v>
      </c>
      <c r="O663" t="s">
        <v>76</v>
      </c>
      <c r="P663" s="38">
        <v>1.2950999999999999</v>
      </c>
      <c r="Q663" s="38">
        <v>1.2459</v>
      </c>
      <c r="R663" s="38">
        <v>0.9668000000000001</v>
      </c>
    </row>
    <row r="664" spans="1:18" hidden="1">
      <c r="A664" t="s">
        <v>76</v>
      </c>
      <c r="B664" t="s">
        <v>24</v>
      </c>
      <c r="C664">
        <v>6.75</v>
      </c>
      <c r="D664">
        <v>4</v>
      </c>
      <c r="E664" s="29">
        <v>1.6875</v>
      </c>
      <c r="F664">
        <v>8.34</v>
      </c>
      <c r="G664">
        <v>0.52</v>
      </c>
      <c r="H664">
        <v>8.86</v>
      </c>
      <c r="I664" s="29">
        <v>0.94129999999999991</v>
      </c>
      <c r="J664" s="29">
        <v>0.76190000000000002</v>
      </c>
      <c r="K664" s="9">
        <v>45308</v>
      </c>
      <c r="L664">
        <f xml:space="preserve"> (交易處理資料__3[[#This Row],[售出工時]] * 60) / 5</f>
        <v>81</v>
      </c>
      <c r="M664" t="str">
        <f>VLOOKUP(交易處理資料__3[[#This Row],[人員代號]],團隊分組!$B$1:$C$52,2,FALSE)</f>
        <v>快速保養團隊A</v>
      </c>
      <c r="N664" t="str">
        <f>IF(交易處理資料__3[[#This Row],[上班時間]]=0,"否","是")</f>
        <v>是</v>
      </c>
      <c r="O664" t="s">
        <v>76</v>
      </c>
      <c r="P664" s="37">
        <v>1.6875</v>
      </c>
      <c r="Q664" s="37">
        <v>0.76190000000000002</v>
      </c>
      <c r="R664" s="37">
        <v>0.94129999999999991</v>
      </c>
    </row>
    <row r="665" spans="1:18" hidden="1">
      <c r="A665" t="s">
        <v>76</v>
      </c>
      <c r="B665" t="s">
        <v>25</v>
      </c>
      <c r="C665">
        <v>2</v>
      </c>
      <c r="D665">
        <v>1.92</v>
      </c>
      <c r="E665" s="29">
        <v>1.0415999999999999</v>
      </c>
      <c r="F665">
        <v>7.35</v>
      </c>
      <c r="G665">
        <v>1.2</v>
      </c>
      <c r="H665">
        <v>8.5500000000000007</v>
      </c>
      <c r="I665" s="29">
        <v>0.85959999999999992</v>
      </c>
      <c r="J665" s="29">
        <v>0.2339</v>
      </c>
      <c r="K665" s="9">
        <v>45308</v>
      </c>
      <c r="L665">
        <f xml:space="preserve"> (交易處理資料__3[[#This Row],[售出工時]] * 60) / 5</f>
        <v>24</v>
      </c>
      <c r="M665" t="str">
        <f>VLOOKUP(交易處理資料__3[[#This Row],[人員代號]],團隊分組!$B$1:$C$52,2,FALSE)</f>
        <v>查修團隊A</v>
      </c>
      <c r="N665" t="str">
        <f>IF(交易處理資料__3[[#This Row],[上班時間]]=0,"否","是")</f>
        <v>是</v>
      </c>
      <c r="O665" t="s">
        <v>76</v>
      </c>
      <c r="P665" s="38">
        <v>1.0415999999999999</v>
      </c>
      <c r="Q665" s="38">
        <v>0.2339</v>
      </c>
      <c r="R665" s="38">
        <v>0.85959999999999992</v>
      </c>
    </row>
    <row r="666" spans="1:18" hidden="1">
      <c r="A666" t="s">
        <v>76</v>
      </c>
      <c r="B666" t="s">
        <v>26</v>
      </c>
      <c r="C666">
        <v>1.37</v>
      </c>
      <c r="D666">
        <v>5.03</v>
      </c>
      <c r="E666" s="29">
        <v>0.27229999999999999</v>
      </c>
      <c r="F666">
        <v>7.57</v>
      </c>
      <c r="G666">
        <v>0.67</v>
      </c>
      <c r="H666">
        <v>8.24</v>
      </c>
      <c r="I666" s="29">
        <v>0.91870000000000007</v>
      </c>
      <c r="J666" s="29">
        <v>0.1663</v>
      </c>
      <c r="K666" s="9">
        <v>45308</v>
      </c>
      <c r="L666">
        <f xml:space="preserve"> (交易處理資料__3[[#This Row],[售出工時]] * 60) / 5</f>
        <v>16.440000000000001</v>
      </c>
      <c r="M666" t="str">
        <f>VLOOKUP(交易處理資料__3[[#This Row],[人員代號]],團隊分組!$B$1:$C$52,2,FALSE)</f>
        <v>查修團隊B</v>
      </c>
      <c r="N666" t="str">
        <f>IF(交易處理資料__3[[#This Row],[上班時間]]=0,"否","是")</f>
        <v>是</v>
      </c>
      <c r="O666" t="s">
        <v>76</v>
      </c>
      <c r="P666" s="37">
        <v>0.27229999999999999</v>
      </c>
      <c r="Q666" s="37">
        <v>0.1663</v>
      </c>
      <c r="R666" s="37">
        <v>0.91870000000000007</v>
      </c>
    </row>
    <row r="667" spans="1:18" hidden="1">
      <c r="A667" t="s">
        <v>76</v>
      </c>
      <c r="B667" t="s">
        <v>28</v>
      </c>
      <c r="C667">
        <v>6.75</v>
      </c>
      <c r="D667">
        <v>4.72</v>
      </c>
      <c r="E667" s="29">
        <v>1.43</v>
      </c>
      <c r="F667">
        <v>9.3000000000000007</v>
      </c>
      <c r="G667">
        <v>0.7</v>
      </c>
      <c r="H667">
        <v>10</v>
      </c>
      <c r="I667" s="29">
        <v>0.93</v>
      </c>
      <c r="J667" s="29">
        <v>0.67500000000000004</v>
      </c>
      <c r="K667" s="9">
        <v>45308</v>
      </c>
      <c r="L667">
        <f xml:space="preserve"> (交易處理資料__3[[#This Row],[售出工時]] * 60) / 5</f>
        <v>81</v>
      </c>
      <c r="M667" t="str">
        <f>VLOOKUP(交易處理資料__3[[#This Row],[人員代號]],團隊分組!$B$1:$C$52,2,FALSE)</f>
        <v>快速保養團隊A</v>
      </c>
      <c r="N667" t="str">
        <f>IF(交易處理資料__3[[#This Row],[上班時間]]=0,"否","是")</f>
        <v>是</v>
      </c>
      <c r="O667" t="s">
        <v>76</v>
      </c>
      <c r="P667" s="38">
        <v>1.43</v>
      </c>
      <c r="Q667" s="38">
        <v>0.67500000000000004</v>
      </c>
      <c r="R667" s="38">
        <v>0.93</v>
      </c>
    </row>
    <row r="668" spans="1:18" hidden="1">
      <c r="A668" t="s">
        <v>76</v>
      </c>
      <c r="B668" t="s">
        <v>29</v>
      </c>
      <c r="C668">
        <v>8.91</v>
      </c>
      <c r="D668">
        <v>7.72</v>
      </c>
      <c r="E668" s="29">
        <v>1.155</v>
      </c>
      <c r="F668">
        <v>7.17</v>
      </c>
      <c r="G668">
        <v>0.91</v>
      </c>
      <c r="H668">
        <v>8.08</v>
      </c>
      <c r="I668" s="29">
        <v>0.88739999999999997</v>
      </c>
      <c r="J668" s="29">
        <v>1.1034999999999999</v>
      </c>
      <c r="K668" s="9">
        <v>45308</v>
      </c>
      <c r="L668">
        <f xml:space="preserve"> (交易處理資料__3[[#This Row],[售出工時]] * 60) / 5</f>
        <v>106.92</v>
      </c>
      <c r="M668" t="str">
        <f>VLOOKUP(交易處理資料__3[[#This Row],[人員代號]],團隊分組!$B$1:$C$52,2,FALSE)</f>
        <v>查修團隊B</v>
      </c>
      <c r="N668" t="str">
        <f>IF(交易處理資料__3[[#This Row],[上班時間]]=0,"否","是")</f>
        <v>是</v>
      </c>
      <c r="O668" t="s">
        <v>76</v>
      </c>
      <c r="P668" s="37">
        <v>1.155</v>
      </c>
      <c r="Q668" s="37">
        <v>1.1034999999999999</v>
      </c>
      <c r="R668" s="37">
        <v>0.88739999999999997</v>
      </c>
    </row>
    <row r="669" spans="1:18" hidden="1">
      <c r="A669" t="s">
        <v>76</v>
      </c>
      <c r="B669" t="s">
        <v>31</v>
      </c>
      <c r="C669">
        <v>0</v>
      </c>
      <c r="D669">
        <v>0</v>
      </c>
      <c r="E669" s="29">
        <v>0</v>
      </c>
      <c r="F669">
        <v>0</v>
      </c>
      <c r="G669">
        <v>0</v>
      </c>
      <c r="H669">
        <v>0</v>
      </c>
      <c r="I669" s="29">
        <v>0</v>
      </c>
      <c r="J669" s="29">
        <v>0</v>
      </c>
      <c r="K669" s="9">
        <v>45308</v>
      </c>
      <c r="L669">
        <f xml:space="preserve"> (交易處理資料__3[[#This Row],[售出工時]] * 60) / 5</f>
        <v>0</v>
      </c>
      <c r="M669" t="str">
        <f>VLOOKUP(交易處理資料__3[[#This Row],[人員代號]],團隊分組!$B$1:$C$52,2,FALSE)</f>
        <v>快速保養團隊A</v>
      </c>
      <c r="N669" t="str">
        <f>IF(交易處理資料__3[[#This Row],[上班時間]]=0,"否","是")</f>
        <v>否</v>
      </c>
      <c r="O669" t="s">
        <v>76</v>
      </c>
      <c r="P669" s="38">
        <v>0</v>
      </c>
      <c r="Q669" s="38">
        <v>0</v>
      </c>
      <c r="R669" s="38">
        <v>0</v>
      </c>
    </row>
    <row r="670" spans="1:18" hidden="1">
      <c r="A670" t="s">
        <v>76</v>
      </c>
      <c r="B670" t="s">
        <v>33</v>
      </c>
      <c r="C670">
        <v>0</v>
      </c>
      <c r="D670">
        <v>0</v>
      </c>
      <c r="E670" s="29">
        <v>0</v>
      </c>
      <c r="F670">
        <v>0</v>
      </c>
      <c r="G670">
        <v>0</v>
      </c>
      <c r="H670">
        <v>0</v>
      </c>
      <c r="I670" s="29">
        <v>0</v>
      </c>
      <c r="J670" s="29">
        <v>0</v>
      </c>
      <c r="K670" s="9">
        <v>45308</v>
      </c>
      <c r="L670">
        <f xml:space="preserve"> (交易處理資料__3[[#This Row],[售出工時]] * 60) / 5</f>
        <v>0</v>
      </c>
      <c r="M670" t="str">
        <f>VLOOKUP(交易處理資料__3[[#This Row],[人員代號]],團隊分組!$B$1:$C$52,2,FALSE)</f>
        <v>快速保養團隊B</v>
      </c>
      <c r="N670" t="str">
        <f>IF(交易處理資料__3[[#This Row],[上班時間]]=0,"否","是")</f>
        <v>否</v>
      </c>
      <c r="O670" t="s">
        <v>76</v>
      </c>
      <c r="P670" s="37">
        <v>0</v>
      </c>
      <c r="Q670" s="37">
        <v>0</v>
      </c>
      <c r="R670" s="37">
        <v>0</v>
      </c>
    </row>
    <row r="671" spans="1:18" hidden="1">
      <c r="A671" t="s">
        <v>76</v>
      </c>
      <c r="B671" t="s">
        <v>34</v>
      </c>
      <c r="C671">
        <v>6.33</v>
      </c>
      <c r="D671">
        <v>5.58</v>
      </c>
      <c r="E671" s="29">
        <v>1.135</v>
      </c>
      <c r="F671">
        <v>9.43</v>
      </c>
      <c r="G671">
        <v>0.84</v>
      </c>
      <c r="H671">
        <v>10.27</v>
      </c>
      <c r="I671" s="29">
        <v>0.91819999999999991</v>
      </c>
      <c r="J671" s="29">
        <v>0.61670000000000003</v>
      </c>
      <c r="K671" s="9">
        <v>45308</v>
      </c>
      <c r="L671">
        <f xml:space="preserve"> (交易處理資料__3[[#This Row],[售出工時]] * 60) / 5</f>
        <v>75.960000000000008</v>
      </c>
      <c r="M671" t="str">
        <f>VLOOKUP(交易處理資料__3[[#This Row],[人員代號]],團隊分組!$B$1:$C$52,2,FALSE)</f>
        <v>快速保養團隊A</v>
      </c>
      <c r="N671" t="str">
        <f>IF(交易處理資料__3[[#This Row],[上班時間]]=0,"否","是")</f>
        <v>是</v>
      </c>
      <c r="O671" t="s">
        <v>76</v>
      </c>
      <c r="P671" s="38">
        <v>1.135</v>
      </c>
      <c r="Q671" s="38">
        <v>0.61670000000000003</v>
      </c>
      <c r="R671" s="38">
        <v>0.91819999999999991</v>
      </c>
    </row>
    <row r="672" spans="1:18" hidden="1">
      <c r="A672" t="s">
        <v>76</v>
      </c>
      <c r="B672" t="s">
        <v>35</v>
      </c>
      <c r="C672">
        <v>0</v>
      </c>
      <c r="D672">
        <v>0</v>
      </c>
      <c r="E672" s="29">
        <v>0</v>
      </c>
      <c r="F672">
        <v>5.33</v>
      </c>
      <c r="G672">
        <v>3.7</v>
      </c>
      <c r="H672">
        <v>9.0299999999999994</v>
      </c>
      <c r="I672" s="29">
        <v>0.59030000000000005</v>
      </c>
      <c r="J672" s="29">
        <v>0</v>
      </c>
      <c r="K672" s="9">
        <v>45308</v>
      </c>
      <c r="L672">
        <f xml:space="preserve"> (交易處理資料__3[[#This Row],[售出工時]] * 60) / 5</f>
        <v>0</v>
      </c>
      <c r="M672" t="str">
        <f>VLOOKUP(交易處理資料__3[[#This Row],[人員代號]],團隊分組!$B$1:$C$52,2,FALSE)</f>
        <v>查修團隊B</v>
      </c>
      <c r="N672" t="str">
        <f>IF(交易處理資料__3[[#This Row],[上班時間]]=0,"否","是")</f>
        <v>是</v>
      </c>
      <c r="O672" t="s">
        <v>76</v>
      </c>
      <c r="P672" s="37">
        <v>0</v>
      </c>
      <c r="Q672" s="37">
        <v>0</v>
      </c>
      <c r="R672" s="37">
        <v>0.59030000000000005</v>
      </c>
    </row>
    <row r="673" spans="1:18" hidden="1">
      <c r="A673" t="s">
        <v>76</v>
      </c>
      <c r="B673" t="s">
        <v>36</v>
      </c>
      <c r="C673">
        <v>1.08</v>
      </c>
      <c r="D673">
        <v>7.5</v>
      </c>
      <c r="E673" s="29">
        <v>0.14480000000000001</v>
      </c>
      <c r="F673">
        <v>6.03</v>
      </c>
      <c r="G673">
        <v>2.3199999999999998</v>
      </c>
      <c r="H673">
        <v>8.35</v>
      </c>
      <c r="I673" s="29">
        <v>0.72219999999999995</v>
      </c>
      <c r="J673" s="29">
        <v>0.13009999999999999</v>
      </c>
      <c r="K673" s="9">
        <v>45308</v>
      </c>
      <c r="L673">
        <f xml:space="preserve"> (交易處理資料__3[[#This Row],[售出工時]] * 60) / 5</f>
        <v>12.960000000000003</v>
      </c>
      <c r="M673" t="str">
        <f>VLOOKUP(交易處理資料__3[[#This Row],[人員代號]],團隊分組!$B$1:$C$52,2,FALSE)</f>
        <v>查修團隊B</v>
      </c>
      <c r="N673" t="str">
        <f>IF(交易處理資料__3[[#This Row],[上班時間]]=0,"否","是")</f>
        <v>是</v>
      </c>
      <c r="O673" t="s">
        <v>76</v>
      </c>
      <c r="P673" s="38">
        <v>0.14480000000000001</v>
      </c>
      <c r="Q673" s="38">
        <v>0.13009999999999999</v>
      </c>
      <c r="R673" s="38">
        <v>0.72219999999999995</v>
      </c>
    </row>
    <row r="674" spans="1:18" hidden="1">
      <c r="A674" t="s">
        <v>76</v>
      </c>
      <c r="B674" t="s">
        <v>37</v>
      </c>
      <c r="C674">
        <v>3</v>
      </c>
      <c r="D674">
        <v>3.98</v>
      </c>
      <c r="E674" s="29">
        <v>0.75370000000000004</v>
      </c>
      <c r="F674">
        <v>6.94</v>
      </c>
      <c r="G674">
        <v>0.86</v>
      </c>
      <c r="H674">
        <v>7.8</v>
      </c>
      <c r="I674" s="29">
        <v>0.88969999999999994</v>
      </c>
      <c r="J674" s="29">
        <v>0.3846</v>
      </c>
      <c r="K674" s="9">
        <v>45308</v>
      </c>
      <c r="L674">
        <f xml:space="preserve"> (交易處理資料__3[[#This Row],[售出工時]] * 60) / 5</f>
        <v>36</v>
      </c>
      <c r="M674" t="str">
        <f>VLOOKUP(交易處理資料__3[[#This Row],[人員代號]],團隊分組!$B$1:$C$52,2,FALSE)</f>
        <v>查修團隊A</v>
      </c>
      <c r="N674" t="str">
        <f>IF(交易處理資料__3[[#This Row],[上班時間]]=0,"否","是")</f>
        <v>是</v>
      </c>
      <c r="O674" t="s">
        <v>76</v>
      </c>
      <c r="P674" s="37">
        <v>0.75370000000000004</v>
      </c>
      <c r="Q674" s="37">
        <v>0.3846</v>
      </c>
      <c r="R674" s="37">
        <v>0.88969999999999994</v>
      </c>
    </row>
    <row r="675" spans="1:18" hidden="1">
      <c r="A675" t="s">
        <v>76</v>
      </c>
      <c r="B675" t="s">
        <v>38</v>
      </c>
      <c r="C675">
        <v>22.25</v>
      </c>
      <c r="D675">
        <v>8.0399999999999991</v>
      </c>
      <c r="E675" s="29">
        <v>2.7674000000000003</v>
      </c>
      <c r="F675">
        <v>11.73</v>
      </c>
      <c r="G675">
        <v>0.43</v>
      </c>
      <c r="H675">
        <v>12.16</v>
      </c>
      <c r="I675" s="29">
        <v>0.9645999999999999</v>
      </c>
      <c r="J675" s="29">
        <v>1.8297999999999999</v>
      </c>
      <c r="K675" s="9">
        <v>45308</v>
      </c>
      <c r="L675">
        <f xml:space="preserve"> (交易處理資料__3[[#This Row],[售出工時]] * 60) / 5</f>
        <v>267</v>
      </c>
      <c r="M675" t="str">
        <f>VLOOKUP(交易處理資料__3[[#This Row],[人員代號]],團隊分組!$B$1:$C$52,2,FALSE)</f>
        <v>快速保養團隊A</v>
      </c>
      <c r="N675" t="str">
        <f>IF(交易處理資料__3[[#This Row],[上班時間]]=0,"否","是")</f>
        <v>是</v>
      </c>
      <c r="O675" t="s">
        <v>76</v>
      </c>
      <c r="P675" s="38">
        <v>2.7674000000000003</v>
      </c>
      <c r="Q675" s="38">
        <v>1.8297999999999999</v>
      </c>
      <c r="R675" s="38">
        <v>0.9645999999999999</v>
      </c>
    </row>
    <row r="676" spans="1:18" hidden="1">
      <c r="A676" t="s">
        <v>76</v>
      </c>
      <c r="B676" t="s">
        <v>41</v>
      </c>
      <c r="C676">
        <v>0</v>
      </c>
      <c r="D676">
        <v>0</v>
      </c>
      <c r="E676" s="29">
        <v>0</v>
      </c>
      <c r="F676">
        <v>0</v>
      </c>
      <c r="G676">
        <v>0</v>
      </c>
      <c r="H676">
        <v>0</v>
      </c>
      <c r="I676" s="29">
        <v>0</v>
      </c>
      <c r="J676" s="29">
        <v>0</v>
      </c>
      <c r="K676" s="9">
        <v>45308</v>
      </c>
      <c r="L676">
        <f xml:space="preserve"> (交易處理資料__3[[#This Row],[售出工時]] * 60) / 5</f>
        <v>0</v>
      </c>
      <c r="M676" t="str">
        <f>VLOOKUP(交易處理資料__3[[#This Row],[人員代號]],團隊分組!$B$1:$C$52,2,FALSE)</f>
        <v>快速保養團隊A</v>
      </c>
      <c r="N676" t="str">
        <f>IF(交易處理資料__3[[#This Row],[上班時間]]=0,"否","是")</f>
        <v>否</v>
      </c>
      <c r="O676" t="s">
        <v>76</v>
      </c>
      <c r="P676" s="37">
        <v>0</v>
      </c>
      <c r="Q676" s="37">
        <v>0</v>
      </c>
      <c r="R676" s="37">
        <v>0</v>
      </c>
    </row>
    <row r="677" spans="1:18" hidden="1">
      <c r="A677" t="s">
        <v>76</v>
      </c>
      <c r="B677" t="s">
        <v>43</v>
      </c>
      <c r="C677">
        <v>0.42</v>
      </c>
      <c r="D677">
        <v>0.52</v>
      </c>
      <c r="E677" s="29">
        <v>0.8076000000000001</v>
      </c>
      <c r="F677">
        <v>7.48</v>
      </c>
      <c r="G677">
        <v>0.55000000000000004</v>
      </c>
      <c r="H677">
        <v>8.0299999999999994</v>
      </c>
      <c r="I677" s="29">
        <v>0.93150000000000011</v>
      </c>
      <c r="J677" s="29">
        <v>5.2300000000000006E-2</v>
      </c>
      <c r="K677" s="9">
        <v>45308</v>
      </c>
      <c r="L677">
        <f xml:space="preserve"> (交易處理資料__3[[#This Row],[售出工時]] * 60) / 5</f>
        <v>5.04</v>
      </c>
      <c r="M677" t="str">
        <f>VLOOKUP(交易處理資料__3[[#This Row],[人員代號]],團隊分組!$B$1:$C$52,2,FALSE)</f>
        <v>查修團隊B</v>
      </c>
      <c r="N677" t="str">
        <f>IF(交易處理資料__3[[#This Row],[上班時間]]=0,"否","是")</f>
        <v>是</v>
      </c>
      <c r="O677" t="s">
        <v>76</v>
      </c>
      <c r="P677" s="38">
        <v>0.8076000000000001</v>
      </c>
      <c r="Q677" s="38">
        <v>5.2300000000000006E-2</v>
      </c>
      <c r="R677" s="38">
        <v>0.93150000000000011</v>
      </c>
    </row>
    <row r="678" spans="1:18" hidden="1">
      <c r="A678" t="s">
        <v>76</v>
      </c>
      <c r="B678" t="s">
        <v>44</v>
      </c>
      <c r="C678">
        <v>6.83</v>
      </c>
      <c r="D678">
        <v>7.82</v>
      </c>
      <c r="E678" s="29">
        <v>0.87419999999999998</v>
      </c>
      <c r="F678">
        <v>10.33</v>
      </c>
      <c r="G678">
        <v>0.72</v>
      </c>
      <c r="H678">
        <v>11.05</v>
      </c>
      <c r="I678" s="29">
        <v>0.93480000000000008</v>
      </c>
      <c r="J678" s="29">
        <v>0.61870000000000003</v>
      </c>
      <c r="K678" s="9">
        <v>45308</v>
      </c>
      <c r="L678">
        <f xml:space="preserve"> (交易處理資料__3[[#This Row],[售出工時]] * 60) / 5</f>
        <v>81.960000000000008</v>
      </c>
      <c r="M678" t="str">
        <f>VLOOKUP(交易處理資料__3[[#This Row],[人員代號]],團隊分組!$B$1:$C$52,2,FALSE)</f>
        <v>快速保養團隊B</v>
      </c>
      <c r="N678" t="str">
        <f>IF(交易處理資料__3[[#This Row],[上班時間]]=0,"否","是")</f>
        <v>是</v>
      </c>
      <c r="O678" t="s">
        <v>76</v>
      </c>
      <c r="P678" s="37">
        <v>0.87419999999999998</v>
      </c>
      <c r="Q678" s="37">
        <v>0.61870000000000003</v>
      </c>
      <c r="R678" s="37">
        <v>0.93480000000000008</v>
      </c>
    </row>
    <row r="679" spans="1:18" hidden="1">
      <c r="A679" t="s">
        <v>76</v>
      </c>
      <c r="B679" t="s">
        <v>45</v>
      </c>
      <c r="C679">
        <v>6.58</v>
      </c>
      <c r="D679">
        <v>4.84</v>
      </c>
      <c r="E679" s="29">
        <v>1.3600999999999999</v>
      </c>
      <c r="F679">
        <v>10.210000000000001</v>
      </c>
      <c r="G679">
        <v>0.31</v>
      </c>
      <c r="H679">
        <v>10.52</v>
      </c>
      <c r="I679" s="29">
        <v>0.97049999999999992</v>
      </c>
      <c r="J679" s="29">
        <v>0.62580000000000002</v>
      </c>
      <c r="K679" s="9">
        <v>45308</v>
      </c>
      <c r="L679">
        <f xml:space="preserve"> (交易處理資料__3[[#This Row],[售出工時]] * 60) / 5</f>
        <v>78.960000000000008</v>
      </c>
      <c r="M679" t="str">
        <f>VLOOKUP(交易處理資料__3[[#This Row],[人員代號]],團隊分組!$B$1:$C$52,2,FALSE)</f>
        <v>快速保養團隊A</v>
      </c>
      <c r="N679" t="str">
        <f>IF(交易處理資料__3[[#This Row],[上班時間]]=0,"否","是")</f>
        <v>是</v>
      </c>
      <c r="O679" t="s">
        <v>76</v>
      </c>
      <c r="P679" s="38">
        <v>1.3600999999999999</v>
      </c>
      <c r="Q679" s="38">
        <v>0.62580000000000002</v>
      </c>
      <c r="R679" s="38">
        <v>0.97049999999999992</v>
      </c>
    </row>
    <row r="680" spans="1:18" hidden="1">
      <c r="A680" t="s">
        <v>76</v>
      </c>
      <c r="B680" t="s">
        <v>46</v>
      </c>
      <c r="C680">
        <v>3.91</v>
      </c>
      <c r="D680">
        <v>6.66</v>
      </c>
      <c r="E680" s="29">
        <v>0.58799999999999997</v>
      </c>
      <c r="F680">
        <v>6.51</v>
      </c>
      <c r="G680">
        <v>2.2000000000000002</v>
      </c>
      <c r="H680">
        <v>8.7100000000000009</v>
      </c>
      <c r="I680" s="29">
        <v>0.74739999999999995</v>
      </c>
      <c r="J680" s="29">
        <v>0.44969999999999999</v>
      </c>
      <c r="K680" s="9">
        <v>45308</v>
      </c>
      <c r="L680">
        <f xml:space="preserve"> (交易處理資料__3[[#This Row],[售出工時]] * 60) / 5</f>
        <v>46.92</v>
      </c>
      <c r="M680" t="str">
        <f>VLOOKUP(交易處理資料__3[[#This Row],[人員代號]],團隊分組!$B$1:$C$52,2,FALSE)</f>
        <v>查修團隊B</v>
      </c>
      <c r="N680" t="str">
        <f>IF(交易處理資料__3[[#This Row],[上班時間]]=0,"否","是")</f>
        <v>是</v>
      </c>
      <c r="O680" t="s">
        <v>76</v>
      </c>
      <c r="P680" s="37">
        <v>0.58799999999999997</v>
      </c>
      <c r="Q680" s="37">
        <v>0.44969999999999999</v>
      </c>
      <c r="R680" s="37">
        <v>0.74739999999999995</v>
      </c>
    </row>
    <row r="681" spans="1:18" hidden="1">
      <c r="A681" t="s">
        <v>76</v>
      </c>
      <c r="B681" t="s">
        <v>47</v>
      </c>
      <c r="C681">
        <v>0</v>
      </c>
      <c r="D681">
        <v>0</v>
      </c>
      <c r="E681" s="29">
        <v>0</v>
      </c>
      <c r="F681">
        <v>2.58</v>
      </c>
      <c r="G681">
        <v>5.53</v>
      </c>
      <c r="H681">
        <v>8.11</v>
      </c>
      <c r="I681" s="29">
        <v>0.31809999999999999</v>
      </c>
      <c r="J681" s="29">
        <v>0</v>
      </c>
      <c r="K681" s="9">
        <v>45308</v>
      </c>
      <c r="L681">
        <f xml:space="preserve"> (交易處理資料__3[[#This Row],[售出工時]] * 60) / 5</f>
        <v>0</v>
      </c>
      <c r="M681" t="str">
        <f>VLOOKUP(交易處理資料__3[[#This Row],[人員代號]],團隊分組!$B$1:$C$52,2,FALSE)</f>
        <v>查修團隊B</v>
      </c>
      <c r="N681" t="str">
        <f>IF(交易處理資料__3[[#This Row],[上班時間]]=0,"否","是")</f>
        <v>是</v>
      </c>
      <c r="O681" t="s">
        <v>76</v>
      </c>
      <c r="P681" s="38">
        <v>0</v>
      </c>
      <c r="Q681" s="38">
        <v>0</v>
      </c>
      <c r="R681" s="38">
        <v>0.31809999999999999</v>
      </c>
    </row>
    <row r="682" spans="1:18" hidden="1">
      <c r="A682" t="s">
        <v>76</v>
      </c>
      <c r="B682" t="s">
        <v>48</v>
      </c>
      <c r="C682">
        <v>0</v>
      </c>
      <c r="D682">
        <v>0</v>
      </c>
      <c r="E682" s="29">
        <v>0</v>
      </c>
      <c r="F682">
        <v>3.34</v>
      </c>
      <c r="G682">
        <v>4.5199999999999996</v>
      </c>
      <c r="H682">
        <v>7.86</v>
      </c>
      <c r="I682" s="29">
        <v>0.4249</v>
      </c>
      <c r="J682" s="29">
        <v>0</v>
      </c>
      <c r="K682" s="9">
        <v>45308</v>
      </c>
      <c r="L682">
        <f xml:space="preserve"> (交易處理資料__3[[#This Row],[售出工時]] * 60) / 5</f>
        <v>0</v>
      </c>
      <c r="M682" t="str">
        <f>VLOOKUP(交易處理資料__3[[#This Row],[人員代號]],團隊分組!$B$1:$C$52,2,FALSE)</f>
        <v>查修團隊A</v>
      </c>
      <c r="N682" t="str">
        <f>IF(交易處理資料__3[[#This Row],[上班時間]]=0,"否","是")</f>
        <v>是</v>
      </c>
      <c r="O682" t="s">
        <v>76</v>
      </c>
      <c r="P682" s="37">
        <v>0</v>
      </c>
      <c r="Q682" s="37">
        <v>0</v>
      </c>
      <c r="R682" s="37">
        <v>0.4249</v>
      </c>
    </row>
    <row r="683" spans="1:18" hidden="1">
      <c r="A683" t="s">
        <v>76</v>
      </c>
      <c r="B683" t="s">
        <v>49</v>
      </c>
      <c r="C683">
        <v>3.57</v>
      </c>
      <c r="D683">
        <v>3.77</v>
      </c>
      <c r="E683" s="29">
        <v>0.94689999999999996</v>
      </c>
      <c r="F683">
        <v>7.28</v>
      </c>
      <c r="G683">
        <v>0.48</v>
      </c>
      <c r="H683">
        <v>7.76</v>
      </c>
      <c r="I683" s="29">
        <v>0.93810000000000004</v>
      </c>
      <c r="J683" s="29">
        <v>0.46009999999999995</v>
      </c>
      <c r="K683" s="9">
        <v>45308</v>
      </c>
      <c r="L683">
        <f xml:space="preserve"> (交易處理資料__3[[#This Row],[售出工時]] * 60) / 5</f>
        <v>42.839999999999996</v>
      </c>
      <c r="M683" t="str">
        <f>VLOOKUP(交易處理資料__3[[#This Row],[人員代號]],團隊分組!$B$1:$C$52,2,FALSE)</f>
        <v>查修團隊A</v>
      </c>
      <c r="N683" t="str">
        <f>IF(交易處理資料__3[[#This Row],[上班時間]]=0,"否","是")</f>
        <v>是</v>
      </c>
      <c r="O683" t="s">
        <v>76</v>
      </c>
      <c r="P683" s="38">
        <v>0.94689999999999996</v>
      </c>
      <c r="Q683" s="38">
        <v>0.46009999999999995</v>
      </c>
      <c r="R683" s="38">
        <v>0.93810000000000004</v>
      </c>
    </row>
    <row r="684" spans="1:18" hidden="1">
      <c r="A684" t="s">
        <v>76</v>
      </c>
      <c r="B684" t="s">
        <v>50</v>
      </c>
      <c r="C684">
        <v>6</v>
      </c>
      <c r="D684">
        <v>5.68</v>
      </c>
      <c r="E684" s="29">
        <v>1.0563</v>
      </c>
      <c r="F684">
        <v>7.9</v>
      </c>
      <c r="G684">
        <v>0.49</v>
      </c>
      <c r="H684">
        <v>8.39</v>
      </c>
      <c r="I684" s="29">
        <v>0.94159999999999999</v>
      </c>
      <c r="J684" s="29">
        <v>0.71510000000000007</v>
      </c>
      <c r="K684" s="9">
        <v>45308</v>
      </c>
      <c r="L684">
        <f xml:space="preserve"> (交易處理資料__3[[#This Row],[售出工時]] * 60) / 5</f>
        <v>72</v>
      </c>
      <c r="M684" t="str">
        <f>VLOOKUP(交易處理資料__3[[#This Row],[人員代號]],團隊分組!$B$1:$C$52,2,FALSE)</f>
        <v>快速保養團隊B</v>
      </c>
      <c r="N684" t="str">
        <f>IF(交易處理資料__3[[#This Row],[上班時間]]=0,"否","是")</f>
        <v>是</v>
      </c>
      <c r="O684" t="s">
        <v>76</v>
      </c>
      <c r="P684" s="37">
        <v>1.0563</v>
      </c>
      <c r="Q684" s="37">
        <v>0.71510000000000007</v>
      </c>
      <c r="R684" s="37">
        <v>0.94159999999999999</v>
      </c>
    </row>
    <row r="685" spans="1:18" hidden="1">
      <c r="A685" t="s">
        <v>76</v>
      </c>
      <c r="B685" t="s">
        <v>51</v>
      </c>
      <c r="C685">
        <v>0</v>
      </c>
      <c r="D685">
        <v>0</v>
      </c>
      <c r="E685" s="29">
        <v>0</v>
      </c>
      <c r="F685">
        <v>0</v>
      </c>
      <c r="G685">
        <v>0</v>
      </c>
      <c r="H685">
        <v>0</v>
      </c>
      <c r="I685" s="29">
        <v>0</v>
      </c>
      <c r="J685" s="29">
        <v>0</v>
      </c>
      <c r="K685" s="9">
        <v>45308</v>
      </c>
      <c r="L685">
        <f xml:space="preserve"> (交易處理資料__3[[#This Row],[售出工時]] * 60) / 5</f>
        <v>0</v>
      </c>
      <c r="M685" t="str">
        <f>VLOOKUP(交易處理資料__3[[#This Row],[人員代號]],團隊分組!$B$1:$C$52,2,FALSE)</f>
        <v>無效數據</v>
      </c>
      <c r="N685" t="str">
        <f>IF(交易處理資料__3[[#This Row],[上班時間]]=0,"否","是")</f>
        <v>否</v>
      </c>
      <c r="O685" t="s">
        <v>76</v>
      </c>
      <c r="P685" s="38">
        <v>0</v>
      </c>
      <c r="Q685" s="38">
        <v>0</v>
      </c>
      <c r="R685" s="38">
        <v>0</v>
      </c>
    </row>
    <row r="686" spans="1:18" hidden="1">
      <c r="A686" t="s">
        <v>76</v>
      </c>
      <c r="B686" t="s">
        <v>52</v>
      </c>
      <c r="C686">
        <v>1.58</v>
      </c>
      <c r="D686">
        <v>3.5</v>
      </c>
      <c r="E686" s="29">
        <v>0.45229999999999998</v>
      </c>
      <c r="F686">
        <v>9.65</v>
      </c>
      <c r="G686">
        <v>0.34</v>
      </c>
      <c r="H686">
        <v>9.99</v>
      </c>
      <c r="I686" s="29">
        <v>0.96599999999999997</v>
      </c>
      <c r="J686" s="29">
        <v>0.1585</v>
      </c>
      <c r="K686" s="9">
        <v>45308</v>
      </c>
      <c r="L686">
        <f xml:space="preserve"> (交易處理資料__3[[#This Row],[售出工時]] * 60) / 5</f>
        <v>18.96</v>
      </c>
      <c r="M686" t="str">
        <f>VLOOKUP(交易處理資料__3[[#This Row],[人員代號]],團隊分組!$B$1:$C$52,2,FALSE)</f>
        <v>查修團隊B</v>
      </c>
      <c r="N686" t="str">
        <f>IF(交易處理資料__3[[#This Row],[上班時間]]=0,"否","是")</f>
        <v>是</v>
      </c>
      <c r="O686" t="s">
        <v>76</v>
      </c>
      <c r="P686" s="37">
        <v>0.45229999999999998</v>
      </c>
      <c r="Q686" s="37">
        <v>0.1585</v>
      </c>
      <c r="R686" s="37">
        <v>0.96599999999999997</v>
      </c>
    </row>
    <row r="687" spans="1:18" hidden="1">
      <c r="A687" s="10" t="s">
        <v>74</v>
      </c>
      <c r="B687" t="s">
        <v>1</v>
      </c>
      <c r="C687">
        <v>0</v>
      </c>
      <c r="D687">
        <v>0</v>
      </c>
      <c r="E687" s="29">
        <v>0</v>
      </c>
      <c r="F687">
        <v>7.22</v>
      </c>
      <c r="G687">
        <v>0.82</v>
      </c>
      <c r="H687">
        <v>8.0399999999999991</v>
      </c>
      <c r="I687" s="29">
        <v>0.89800000000000002</v>
      </c>
      <c r="J687" s="29">
        <v>0</v>
      </c>
      <c r="K687" s="9">
        <v>45309</v>
      </c>
      <c r="L687">
        <f xml:space="preserve"> (交易處理資料__3[[#This Row],[售出工時]] * 60) / 5</f>
        <v>0</v>
      </c>
      <c r="M687" t="str">
        <f>VLOOKUP(交易處理資料__3[[#This Row],[人員代號]],團隊分組!$B$1:$C$52,2,FALSE)</f>
        <v>噴漆維修組</v>
      </c>
      <c r="N687" t="str">
        <f>IF(交易處理資料__3[[#This Row],[上班時間]]=0,"否","是")</f>
        <v>是</v>
      </c>
      <c r="O687" s="10" t="s">
        <v>74</v>
      </c>
      <c r="P687" s="38">
        <v>0</v>
      </c>
      <c r="Q687" s="38">
        <v>0</v>
      </c>
      <c r="R687" s="38">
        <v>0.89800000000000002</v>
      </c>
    </row>
    <row r="688" spans="1:18" hidden="1">
      <c r="A688" s="10" t="s">
        <v>74</v>
      </c>
      <c r="B688" t="s">
        <v>2</v>
      </c>
      <c r="C688">
        <v>1.91</v>
      </c>
      <c r="D688">
        <v>1.03</v>
      </c>
      <c r="E688" s="29">
        <v>1.8608000000000002</v>
      </c>
      <c r="F688">
        <v>10.19</v>
      </c>
      <c r="G688">
        <v>0.43</v>
      </c>
      <c r="H688">
        <v>10.62</v>
      </c>
      <c r="I688" s="29">
        <v>0.95950000000000002</v>
      </c>
      <c r="J688" s="29">
        <v>0.18049999999999999</v>
      </c>
      <c r="K688" s="9">
        <v>45309</v>
      </c>
      <c r="L688">
        <f xml:space="preserve"> (交易處理資料__3[[#This Row],[售出工時]] * 60) / 5</f>
        <v>22.919999999999998</v>
      </c>
      <c r="M688" t="str">
        <f>VLOOKUP(交易處理資料__3[[#This Row],[人員代號]],團隊分組!$B$1:$C$52,2,FALSE)</f>
        <v>噴漆維修組</v>
      </c>
      <c r="N688" t="str">
        <f>IF(交易處理資料__3[[#This Row],[上班時間]]=0,"否","是")</f>
        <v>是</v>
      </c>
      <c r="O688" s="10" t="s">
        <v>74</v>
      </c>
      <c r="P688" s="37">
        <v>1.8608000000000002</v>
      </c>
      <c r="Q688" s="37">
        <v>0.18049999999999999</v>
      </c>
      <c r="R688" s="37">
        <v>0.95950000000000002</v>
      </c>
    </row>
    <row r="689" spans="1:18" hidden="1">
      <c r="A689" s="10" t="s">
        <v>74</v>
      </c>
      <c r="B689" t="s">
        <v>3</v>
      </c>
      <c r="C689">
        <v>0</v>
      </c>
      <c r="D689">
        <v>0</v>
      </c>
      <c r="E689" s="29">
        <v>0</v>
      </c>
      <c r="F689">
        <v>10.19</v>
      </c>
      <c r="G689">
        <v>0.43</v>
      </c>
      <c r="H689">
        <v>10.62</v>
      </c>
      <c r="I689" s="29">
        <v>0.95950000000000002</v>
      </c>
      <c r="J689" s="29">
        <v>0</v>
      </c>
      <c r="K689" s="9">
        <v>45309</v>
      </c>
      <c r="L689">
        <f xml:space="preserve"> (交易處理資料__3[[#This Row],[售出工時]] * 60) / 5</f>
        <v>0</v>
      </c>
      <c r="M689" t="str">
        <f>VLOOKUP(交易處理資料__3[[#This Row],[人員代號]],團隊分組!$B$1:$C$52,2,FALSE)</f>
        <v>噴漆維修組</v>
      </c>
      <c r="N689" t="str">
        <f>IF(交易處理資料__3[[#This Row],[上班時間]]=0,"否","是")</f>
        <v>是</v>
      </c>
      <c r="O689" s="10" t="s">
        <v>74</v>
      </c>
      <c r="P689" s="38">
        <v>0</v>
      </c>
      <c r="Q689" s="38">
        <v>0</v>
      </c>
      <c r="R689" s="38">
        <v>0.95950000000000002</v>
      </c>
    </row>
    <row r="690" spans="1:18" hidden="1">
      <c r="A690" s="10" t="s">
        <v>74</v>
      </c>
      <c r="B690" t="s">
        <v>4</v>
      </c>
      <c r="C690">
        <v>1.29</v>
      </c>
      <c r="D690">
        <v>3.74</v>
      </c>
      <c r="E690" s="29">
        <v>0.34490000000000004</v>
      </c>
      <c r="F690">
        <v>7.25</v>
      </c>
      <c r="G690">
        <v>0.78</v>
      </c>
      <c r="H690">
        <v>8.0299999999999994</v>
      </c>
      <c r="I690" s="29">
        <v>0.90290000000000004</v>
      </c>
      <c r="J690" s="29">
        <v>0.16059999999999999</v>
      </c>
      <c r="K690" s="9">
        <v>45309</v>
      </c>
      <c r="L690">
        <f xml:space="preserve"> (交易處理資料__3[[#This Row],[售出工時]] * 60) / 5</f>
        <v>15.48</v>
      </c>
      <c r="M690" t="str">
        <f>VLOOKUP(交易處理資料__3[[#This Row],[人員代號]],團隊分組!$B$1:$C$52,2,FALSE)</f>
        <v>噴漆維修組</v>
      </c>
      <c r="N690" t="str">
        <f>IF(交易處理資料__3[[#This Row],[上班時間]]=0,"否","是")</f>
        <v>是</v>
      </c>
      <c r="O690" s="10" t="s">
        <v>74</v>
      </c>
      <c r="P690" s="37">
        <v>0.34490000000000004</v>
      </c>
      <c r="Q690" s="37">
        <v>0.16059999999999999</v>
      </c>
      <c r="R690" s="37">
        <v>0.90290000000000004</v>
      </c>
    </row>
    <row r="691" spans="1:18" hidden="1">
      <c r="A691" s="10" t="s">
        <v>74</v>
      </c>
      <c r="B691" t="s">
        <v>5</v>
      </c>
      <c r="C691">
        <v>0</v>
      </c>
      <c r="D691">
        <v>0</v>
      </c>
      <c r="E691" s="29">
        <v>0</v>
      </c>
      <c r="F691">
        <v>10.199999999999999</v>
      </c>
      <c r="G691">
        <v>0.37</v>
      </c>
      <c r="H691">
        <v>10.57</v>
      </c>
      <c r="I691" s="29">
        <v>0.96499999999999997</v>
      </c>
      <c r="J691" s="29">
        <v>0</v>
      </c>
      <c r="K691" s="9">
        <v>45309</v>
      </c>
      <c r="L691">
        <f xml:space="preserve"> (交易處理資料__3[[#This Row],[售出工時]] * 60) / 5</f>
        <v>0</v>
      </c>
      <c r="M691" t="str">
        <f>VLOOKUP(交易處理資料__3[[#This Row],[人員代號]],團隊分組!$B$1:$C$52,2,FALSE)</f>
        <v>噴漆維修組</v>
      </c>
      <c r="N691" t="str">
        <f>IF(交易處理資料__3[[#This Row],[上班時間]]=0,"否","是")</f>
        <v>是</v>
      </c>
      <c r="O691" s="10" t="s">
        <v>74</v>
      </c>
      <c r="P691" s="38">
        <v>0</v>
      </c>
      <c r="Q691" s="38">
        <v>0</v>
      </c>
      <c r="R691" s="38">
        <v>0.96499999999999997</v>
      </c>
    </row>
    <row r="692" spans="1:18" hidden="1">
      <c r="A692" s="10" t="s">
        <v>74</v>
      </c>
      <c r="B692" t="s">
        <v>6</v>
      </c>
      <c r="C692">
        <v>0</v>
      </c>
      <c r="D692">
        <v>0</v>
      </c>
      <c r="E692" s="29">
        <v>0</v>
      </c>
      <c r="F692">
        <v>7.77</v>
      </c>
      <c r="G692">
        <v>0.36</v>
      </c>
      <c r="H692">
        <v>8.1300000000000008</v>
      </c>
      <c r="I692" s="29">
        <v>0.95569999999999988</v>
      </c>
      <c r="J692" s="29">
        <v>0</v>
      </c>
      <c r="K692" s="9">
        <v>45309</v>
      </c>
      <c r="L692">
        <f xml:space="preserve"> (交易處理資料__3[[#This Row],[售出工時]] * 60) / 5</f>
        <v>0</v>
      </c>
      <c r="M692" t="str">
        <f>VLOOKUP(交易處理資料__3[[#This Row],[人員代號]],團隊分組!$B$1:$C$52,2,FALSE)</f>
        <v>噴漆維修組</v>
      </c>
      <c r="N692" t="str">
        <f>IF(交易處理資料__3[[#This Row],[上班時間]]=0,"否","是")</f>
        <v>是</v>
      </c>
      <c r="O692" s="10" t="s">
        <v>74</v>
      </c>
      <c r="P692" s="37">
        <v>0</v>
      </c>
      <c r="Q692" s="37">
        <v>0</v>
      </c>
      <c r="R692" s="37">
        <v>0.95569999999999988</v>
      </c>
    </row>
    <row r="693" spans="1:18">
      <c r="A693" s="10" t="s">
        <v>74</v>
      </c>
      <c r="B693" t="s">
        <v>7</v>
      </c>
      <c r="C693">
        <v>0</v>
      </c>
      <c r="D693">
        <v>0</v>
      </c>
      <c r="E693" s="29">
        <v>0</v>
      </c>
      <c r="F693">
        <v>10.220000000000001</v>
      </c>
      <c r="G693">
        <v>0.36</v>
      </c>
      <c r="H693">
        <v>10.58</v>
      </c>
      <c r="I693" s="29">
        <v>0.96599999999999997</v>
      </c>
      <c r="J693" s="29">
        <v>0</v>
      </c>
      <c r="K693" s="9">
        <v>45309</v>
      </c>
      <c r="L693">
        <f xml:space="preserve"> (交易處理資料__3[[#This Row],[售出工時]] * 60) / 5</f>
        <v>0</v>
      </c>
      <c r="M693" t="str">
        <f>VLOOKUP(交易處理資料__3[[#This Row],[人員代號]],團隊分組!$B$1:$C$52,2,FALSE)</f>
        <v>噴漆維修組</v>
      </c>
      <c r="N693" t="str">
        <f>IF(交易處理資料__3[[#This Row],[上班時間]]=0,"否","是")</f>
        <v>是</v>
      </c>
      <c r="O693" s="10" t="s">
        <v>74</v>
      </c>
      <c r="P693" s="38">
        <v>0</v>
      </c>
      <c r="Q693" s="38">
        <v>0</v>
      </c>
      <c r="R693" s="38">
        <v>0.96599999999999997</v>
      </c>
    </row>
    <row r="694" spans="1:18" hidden="1">
      <c r="A694" s="10" t="s">
        <v>74</v>
      </c>
      <c r="B694" t="s">
        <v>8</v>
      </c>
      <c r="C694">
        <v>0</v>
      </c>
      <c r="D694">
        <v>0</v>
      </c>
      <c r="E694" s="29">
        <v>0</v>
      </c>
      <c r="F694">
        <v>9.5</v>
      </c>
      <c r="G694">
        <v>0.53</v>
      </c>
      <c r="H694">
        <v>10.029999999999999</v>
      </c>
      <c r="I694" s="29">
        <v>0.94720000000000004</v>
      </c>
      <c r="J694" s="29">
        <v>0</v>
      </c>
      <c r="K694" s="9">
        <v>45309</v>
      </c>
      <c r="L694">
        <f xml:space="preserve"> (交易處理資料__3[[#This Row],[售出工時]] * 60) / 5</f>
        <v>0</v>
      </c>
      <c r="M694" t="str">
        <f>VLOOKUP(交易處理資料__3[[#This Row],[人員代號]],團隊分組!$B$1:$C$52,2,FALSE)</f>
        <v>噴漆維修組</v>
      </c>
      <c r="N694" t="str">
        <f>IF(交易處理資料__3[[#This Row],[上班時間]]=0,"否","是")</f>
        <v>是</v>
      </c>
      <c r="O694" s="10" t="s">
        <v>74</v>
      </c>
      <c r="P694" s="37">
        <v>0</v>
      </c>
      <c r="Q694" s="37">
        <v>0</v>
      </c>
      <c r="R694" s="37">
        <v>0.94720000000000004</v>
      </c>
    </row>
    <row r="695" spans="1:18" hidden="1">
      <c r="A695" t="s">
        <v>75</v>
      </c>
      <c r="B695" t="s">
        <v>11</v>
      </c>
      <c r="C695">
        <v>5.5</v>
      </c>
      <c r="D695">
        <v>6.85</v>
      </c>
      <c r="E695" s="29">
        <v>0.80290000000000006</v>
      </c>
      <c r="F695">
        <v>5.69</v>
      </c>
      <c r="G695">
        <v>2.68</v>
      </c>
      <c r="H695">
        <v>8.3699999999999992</v>
      </c>
      <c r="I695" s="29">
        <v>0.67980000000000007</v>
      </c>
      <c r="J695" s="29">
        <v>0.65709999999999991</v>
      </c>
      <c r="K695" s="9">
        <v>45309</v>
      </c>
      <c r="L695">
        <f xml:space="preserve"> (交易處理資料__3[[#This Row],[售出工時]] * 60) / 5</f>
        <v>66</v>
      </c>
      <c r="M695" t="str">
        <f>VLOOKUP(交易處理資料__3[[#This Row],[人員代號]],團隊分組!$B$1:$C$52,2,FALSE)</f>
        <v>鈑金維修組</v>
      </c>
      <c r="N695" t="str">
        <f>IF(交易處理資料__3[[#This Row],[上班時間]]=0,"否","是")</f>
        <v>是</v>
      </c>
      <c r="O695" t="s">
        <v>75</v>
      </c>
      <c r="P695" s="38">
        <v>0.80290000000000006</v>
      </c>
      <c r="Q695" s="38">
        <v>0.65709999999999991</v>
      </c>
      <c r="R695" s="38">
        <v>0.67980000000000007</v>
      </c>
    </row>
    <row r="696" spans="1:18" hidden="1">
      <c r="A696" t="s">
        <v>75</v>
      </c>
      <c r="B696" t="s">
        <v>13</v>
      </c>
      <c r="C696">
        <v>2.08</v>
      </c>
      <c r="D696">
        <v>0.35</v>
      </c>
      <c r="E696" s="29">
        <v>5.9428000000000001</v>
      </c>
      <c r="F696">
        <v>6.59</v>
      </c>
      <c r="G696">
        <v>1.51</v>
      </c>
      <c r="H696">
        <v>8.1</v>
      </c>
      <c r="I696" s="29">
        <v>0.81359999999999999</v>
      </c>
      <c r="J696" s="29">
        <v>0.25679999999999997</v>
      </c>
      <c r="K696" s="9">
        <v>45309</v>
      </c>
      <c r="L696">
        <f xml:space="preserve"> (交易處理資料__3[[#This Row],[售出工時]] * 60) / 5</f>
        <v>24.96</v>
      </c>
      <c r="M696" t="str">
        <f>VLOOKUP(交易處理資料__3[[#This Row],[人員代號]],團隊分組!$B$1:$C$52,2,FALSE)</f>
        <v>鈑金維修組</v>
      </c>
      <c r="N696" t="str">
        <f>IF(交易處理資料__3[[#This Row],[上班時間]]=0,"否","是")</f>
        <v>是</v>
      </c>
      <c r="O696" t="s">
        <v>75</v>
      </c>
      <c r="P696" s="37">
        <v>5.9428000000000001</v>
      </c>
      <c r="Q696" s="37">
        <v>0.25679999999999997</v>
      </c>
      <c r="R696" s="37">
        <v>0.81359999999999999</v>
      </c>
    </row>
    <row r="697" spans="1:18" hidden="1">
      <c r="A697" t="s">
        <v>75</v>
      </c>
      <c r="B697" t="s">
        <v>14</v>
      </c>
      <c r="C697">
        <v>2.58</v>
      </c>
      <c r="D697">
        <v>0.95</v>
      </c>
      <c r="E697" s="29">
        <v>2.7157</v>
      </c>
      <c r="F697">
        <v>6.05</v>
      </c>
      <c r="G697">
        <v>2.02</v>
      </c>
      <c r="H697">
        <v>8.07</v>
      </c>
      <c r="I697" s="29">
        <v>0.74970000000000003</v>
      </c>
      <c r="J697" s="29">
        <v>0.31969999999999998</v>
      </c>
      <c r="K697" s="9">
        <v>45309</v>
      </c>
      <c r="L697">
        <f xml:space="preserve"> (交易處理資料__3[[#This Row],[售出工時]] * 60) / 5</f>
        <v>30.96</v>
      </c>
      <c r="M697" t="str">
        <f>VLOOKUP(交易處理資料__3[[#This Row],[人員代號]],團隊分組!$B$1:$C$52,2,FALSE)</f>
        <v>鈑金維修組</v>
      </c>
      <c r="N697" t="str">
        <f>IF(交易處理資料__3[[#This Row],[上班時間]]=0,"否","是")</f>
        <v>是</v>
      </c>
      <c r="O697" t="s">
        <v>75</v>
      </c>
      <c r="P697" s="38">
        <v>2.7157</v>
      </c>
      <c r="Q697" s="38">
        <v>0.31969999999999998</v>
      </c>
      <c r="R697" s="38">
        <v>0.74970000000000003</v>
      </c>
    </row>
    <row r="698" spans="1:18" hidden="1">
      <c r="A698" t="s">
        <v>75</v>
      </c>
      <c r="B698" t="s">
        <v>15</v>
      </c>
      <c r="C698">
        <v>4.09</v>
      </c>
      <c r="D698">
        <v>2.76</v>
      </c>
      <c r="E698" s="29">
        <v>1.4818</v>
      </c>
      <c r="F698">
        <v>6.07</v>
      </c>
      <c r="G698">
        <v>2.0099999999999998</v>
      </c>
      <c r="H698">
        <v>8.08</v>
      </c>
      <c r="I698" s="29">
        <v>0.75120000000000009</v>
      </c>
      <c r="J698" s="29">
        <v>0.50619999999999998</v>
      </c>
      <c r="K698" s="9">
        <v>45309</v>
      </c>
      <c r="L698">
        <f xml:space="preserve"> (交易處理資料__3[[#This Row],[售出工時]] * 60) / 5</f>
        <v>49.08</v>
      </c>
      <c r="M698" t="str">
        <f>VLOOKUP(交易處理資料__3[[#This Row],[人員代號]],團隊分組!$B$1:$C$52,2,FALSE)</f>
        <v>鈑金維修組</v>
      </c>
      <c r="N698" t="str">
        <f>IF(交易處理資料__3[[#This Row],[上班時間]]=0,"否","是")</f>
        <v>是</v>
      </c>
      <c r="O698" t="s">
        <v>75</v>
      </c>
      <c r="P698" s="37">
        <v>1.4818</v>
      </c>
      <c r="Q698" s="37">
        <v>0.50619999999999998</v>
      </c>
      <c r="R698" s="37">
        <v>0.75120000000000009</v>
      </c>
    </row>
    <row r="699" spans="1:18" hidden="1">
      <c r="A699" t="s">
        <v>76</v>
      </c>
      <c r="B699" t="s">
        <v>17</v>
      </c>
      <c r="C699">
        <v>8.33</v>
      </c>
      <c r="D699">
        <v>4.13</v>
      </c>
      <c r="E699" s="29">
        <v>2.0177</v>
      </c>
      <c r="F699">
        <v>7.08</v>
      </c>
      <c r="G699">
        <v>0.92</v>
      </c>
      <c r="H699">
        <v>8</v>
      </c>
      <c r="I699" s="29">
        <v>0.88500000000000001</v>
      </c>
      <c r="J699" s="29">
        <v>1.0417000000000001</v>
      </c>
      <c r="K699" s="9">
        <v>45309</v>
      </c>
      <c r="L699">
        <f xml:space="preserve"> (交易處理資料__3[[#This Row],[售出工時]] * 60) / 5</f>
        <v>99.960000000000008</v>
      </c>
      <c r="M699" t="str">
        <f>VLOOKUP(交易處理資料__3[[#This Row],[人員代號]],團隊分組!$B$1:$C$52,2,FALSE)</f>
        <v>快速保養團隊A</v>
      </c>
      <c r="N699" t="str">
        <f>IF(交易處理資料__3[[#This Row],[上班時間]]=0,"否","是")</f>
        <v>是</v>
      </c>
      <c r="O699" t="s">
        <v>76</v>
      </c>
      <c r="P699" s="38">
        <v>2.0177</v>
      </c>
      <c r="Q699" s="38">
        <v>1.0417000000000001</v>
      </c>
      <c r="R699" s="38">
        <v>0.88500000000000001</v>
      </c>
    </row>
    <row r="700" spans="1:18" hidden="1">
      <c r="A700" t="s">
        <v>76</v>
      </c>
      <c r="B700" t="s">
        <v>18</v>
      </c>
      <c r="C700">
        <v>1.5</v>
      </c>
      <c r="D700">
        <v>1.1499999999999999</v>
      </c>
      <c r="E700" s="29">
        <v>1.3043</v>
      </c>
      <c r="F700">
        <v>8.02</v>
      </c>
      <c r="G700">
        <v>1.18</v>
      </c>
      <c r="H700">
        <v>9.1999999999999993</v>
      </c>
      <c r="I700" s="29">
        <v>0.87170000000000003</v>
      </c>
      <c r="J700" s="29">
        <v>0.16300000000000001</v>
      </c>
      <c r="K700" s="9">
        <v>45309</v>
      </c>
      <c r="L700">
        <f xml:space="preserve"> (交易處理資料__3[[#This Row],[售出工時]] * 60) / 5</f>
        <v>18</v>
      </c>
      <c r="M700" t="str">
        <f>VLOOKUP(交易處理資料__3[[#This Row],[人員代號]],團隊分組!$B$1:$C$52,2,FALSE)</f>
        <v>查修團隊B</v>
      </c>
      <c r="N700" t="str">
        <f>IF(交易處理資料__3[[#This Row],[上班時間]]=0,"否","是")</f>
        <v>是</v>
      </c>
      <c r="O700" t="s">
        <v>76</v>
      </c>
      <c r="P700" s="37">
        <v>1.3043</v>
      </c>
      <c r="Q700" s="37">
        <v>0.16300000000000001</v>
      </c>
      <c r="R700" s="37">
        <v>0.87170000000000003</v>
      </c>
    </row>
    <row r="701" spans="1:18" hidden="1">
      <c r="A701" t="s">
        <v>76</v>
      </c>
      <c r="B701" t="s">
        <v>19</v>
      </c>
      <c r="C701">
        <v>0.83</v>
      </c>
      <c r="D701">
        <v>0.84</v>
      </c>
      <c r="E701" s="29">
        <v>0.98799999999999999</v>
      </c>
      <c r="F701">
        <v>8.94</v>
      </c>
      <c r="G701">
        <v>0.37</v>
      </c>
      <c r="H701">
        <v>9.31</v>
      </c>
      <c r="I701" s="29">
        <v>0.96030000000000004</v>
      </c>
      <c r="J701" s="29">
        <v>8.9200000000000002E-2</v>
      </c>
      <c r="K701" s="9">
        <v>45309</v>
      </c>
      <c r="L701">
        <f xml:space="preserve"> (交易處理資料__3[[#This Row],[售出工時]] * 60) / 5</f>
        <v>9.9599999999999991</v>
      </c>
      <c r="M701" t="str">
        <f>VLOOKUP(交易處理資料__3[[#This Row],[人員代號]],團隊分組!$B$1:$C$52,2,FALSE)</f>
        <v>查修團隊A</v>
      </c>
      <c r="N701" t="str">
        <f>IF(交易處理資料__3[[#This Row],[上班時間]]=0,"否","是")</f>
        <v>是</v>
      </c>
      <c r="O701" t="s">
        <v>76</v>
      </c>
      <c r="P701" s="38">
        <v>0.98799999999999999</v>
      </c>
      <c r="Q701" s="38">
        <v>8.9200000000000002E-2</v>
      </c>
      <c r="R701" s="38">
        <v>0.96030000000000004</v>
      </c>
    </row>
    <row r="702" spans="1:18" hidden="1">
      <c r="A702" t="s">
        <v>76</v>
      </c>
      <c r="B702" t="s">
        <v>20</v>
      </c>
      <c r="C702">
        <v>2.56</v>
      </c>
      <c r="D702">
        <v>5.37</v>
      </c>
      <c r="E702" s="29">
        <v>0.47729999999999995</v>
      </c>
      <c r="F702">
        <v>4.1500000000000004</v>
      </c>
      <c r="G702">
        <v>5.13</v>
      </c>
      <c r="H702">
        <v>9.2799999999999994</v>
      </c>
      <c r="I702" s="29">
        <v>0.44719999999999999</v>
      </c>
      <c r="J702" s="29">
        <v>0.2762</v>
      </c>
      <c r="K702" s="9">
        <v>45309</v>
      </c>
      <c r="L702">
        <f xml:space="preserve"> (交易處理資料__3[[#This Row],[售出工時]] * 60) / 5</f>
        <v>30.72</v>
      </c>
      <c r="M702" t="str">
        <f>VLOOKUP(交易處理資料__3[[#This Row],[人員代號]],團隊分組!$B$1:$C$52,2,FALSE)</f>
        <v>查修團隊B</v>
      </c>
      <c r="N702" t="str">
        <f>IF(交易處理資料__3[[#This Row],[上班時間]]=0,"否","是")</f>
        <v>是</v>
      </c>
      <c r="O702" t="s">
        <v>76</v>
      </c>
      <c r="P702" s="37">
        <v>0.47729999999999995</v>
      </c>
      <c r="Q702" s="37">
        <v>0.2762</v>
      </c>
      <c r="R702" s="37">
        <v>0.44719999999999999</v>
      </c>
    </row>
    <row r="703" spans="1:18" hidden="1">
      <c r="A703" t="s">
        <v>76</v>
      </c>
      <c r="B703" t="s">
        <v>21</v>
      </c>
      <c r="C703">
        <v>7.75</v>
      </c>
      <c r="D703">
        <v>8.65</v>
      </c>
      <c r="E703" s="29">
        <v>0.89590000000000003</v>
      </c>
      <c r="F703">
        <v>6.82</v>
      </c>
      <c r="G703">
        <v>2.39</v>
      </c>
      <c r="H703">
        <v>9.2100000000000009</v>
      </c>
      <c r="I703" s="29">
        <v>0.74049999999999994</v>
      </c>
      <c r="J703" s="29">
        <v>0.84150000000000003</v>
      </c>
      <c r="K703" s="9">
        <v>45309</v>
      </c>
      <c r="L703">
        <f xml:space="preserve"> (交易處理資料__3[[#This Row],[售出工時]] * 60) / 5</f>
        <v>93</v>
      </c>
      <c r="M703" t="str">
        <f>VLOOKUP(交易處理資料__3[[#This Row],[人員代號]],團隊分組!$B$1:$C$52,2,FALSE)</f>
        <v>查修團隊B</v>
      </c>
      <c r="N703" t="str">
        <f>IF(交易處理資料__3[[#This Row],[上班時間]]=0,"否","是")</f>
        <v>是</v>
      </c>
      <c r="O703" t="s">
        <v>76</v>
      </c>
      <c r="P703" s="38">
        <v>0.89590000000000003</v>
      </c>
      <c r="Q703" s="38">
        <v>0.84150000000000003</v>
      </c>
      <c r="R703" s="38">
        <v>0.74049999999999994</v>
      </c>
    </row>
    <row r="704" spans="1:18" hidden="1">
      <c r="A704" t="s">
        <v>76</v>
      </c>
      <c r="B704" t="s">
        <v>22</v>
      </c>
      <c r="C704">
        <v>0</v>
      </c>
      <c r="D704">
        <v>0</v>
      </c>
      <c r="E704" s="29">
        <v>0</v>
      </c>
      <c r="F704">
        <v>0</v>
      </c>
      <c r="G704">
        <v>0</v>
      </c>
      <c r="H704">
        <v>0</v>
      </c>
      <c r="I704" s="29">
        <v>0</v>
      </c>
      <c r="J704" s="29">
        <v>0</v>
      </c>
      <c r="K704" s="9">
        <v>45309</v>
      </c>
      <c r="L704">
        <f xml:space="preserve"> (交易處理資料__3[[#This Row],[售出工時]] * 60) / 5</f>
        <v>0</v>
      </c>
      <c r="M704" t="str">
        <f>VLOOKUP(交易處理資料__3[[#This Row],[人員代號]],團隊分組!$B$1:$C$52,2,FALSE)</f>
        <v>快速保養團隊A</v>
      </c>
      <c r="N704" t="str">
        <f>IF(交易處理資料__3[[#This Row],[上班時間]]=0,"否","是")</f>
        <v>否</v>
      </c>
      <c r="O704" t="s">
        <v>76</v>
      </c>
      <c r="P704" s="37">
        <v>0</v>
      </c>
      <c r="Q704" s="37">
        <v>0</v>
      </c>
      <c r="R704" s="37">
        <v>0</v>
      </c>
    </row>
    <row r="705" spans="1:18" hidden="1">
      <c r="A705" t="s">
        <v>76</v>
      </c>
      <c r="B705" t="s">
        <v>23</v>
      </c>
      <c r="C705">
        <v>4.16</v>
      </c>
      <c r="D705">
        <v>1.32</v>
      </c>
      <c r="E705" s="29">
        <v>3.1564999999999999</v>
      </c>
      <c r="F705">
        <v>9.4700000000000006</v>
      </c>
      <c r="G705">
        <v>1.21</v>
      </c>
      <c r="H705">
        <v>10.68</v>
      </c>
      <c r="I705" s="29">
        <v>0.88670000000000004</v>
      </c>
      <c r="J705" s="29">
        <v>0.3901</v>
      </c>
      <c r="K705" s="9">
        <v>45309</v>
      </c>
      <c r="L705">
        <f xml:space="preserve"> (交易處理資料__3[[#This Row],[售出工時]] * 60) / 5</f>
        <v>49.92</v>
      </c>
      <c r="M705" t="str">
        <f>VLOOKUP(交易處理資料__3[[#This Row],[人員代號]],團隊分組!$B$1:$C$52,2,FALSE)</f>
        <v>快速保養團隊B</v>
      </c>
      <c r="N705" t="str">
        <f>IF(交易處理資料__3[[#This Row],[上班時間]]=0,"否","是")</f>
        <v>是</v>
      </c>
      <c r="O705" t="s">
        <v>76</v>
      </c>
      <c r="P705" s="38">
        <v>3.1564999999999999</v>
      </c>
      <c r="Q705" s="38">
        <v>0.3901</v>
      </c>
      <c r="R705" s="38">
        <v>0.88670000000000004</v>
      </c>
    </row>
    <row r="706" spans="1:18" hidden="1">
      <c r="A706" t="s">
        <v>76</v>
      </c>
      <c r="B706" t="s">
        <v>25</v>
      </c>
      <c r="C706">
        <v>1.25</v>
      </c>
      <c r="D706">
        <v>2.78</v>
      </c>
      <c r="E706" s="29">
        <v>0.4496</v>
      </c>
      <c r="F706">
        <v>7.1</v>
      </c>
      <c r="G706">
        <v>2.9</v>
      </c>
      <c r="H706">
        <v>10</v>
      </c>
      <c r="I706" s="29">
        <v>0.71</v>
      </c>
      <c r="J706" s="29">
        <v>0.125</v>
      </c>
      <c r="K706" s="9">
        <v>45309</v>
      </c>
      <c r="L706">
        <f xml:space="preserve"> (交易處理資料__3[[#This Row],[售出工時]] * 60) / 5</f>
        <v>15</v>
      </c>
      <c r="M706" t="str">
        <f>VLOOKUP(交易處理資料__3[[#This Row],[人員代號]],團隊分組!$B$1:$C$52,2,FALSE)</f>
        <v>查修團隊A</v>
      </c>
      <c r="N706" t="str">
        <f>IF(交易處理資料__3[[#This Row],[上班時間]]=0,"否","是")</f>
        <v>是</v>
      </c>
      <c r="O706" t="s">
        <v>76</v>
      </c>
      <c r="P706" s="37">
        <v>0.4496</v>
      </c>
      <c r="Q706" s="37">
        <v>0.125</v>
      </c>
      <c r="R706" s="37">
        <v>0.71</v>
      </c>
    </row>
    <row r="707" spans="1:18" hidden="1">
      <c r="A707" t="s">
        <v>76</v>
      </c>
      <c r="B707" t="s">
        <v>26</v>
      </c>
      <c r="C707">
        <v>2.2400000000000002</v>
      </c>
      <c r="D707">
        <v>7.57</v>
      </c>
      <c r="E707" s="29">
        <v>0.2959</v>
      </c>
      <c r="F707">
        <v>4.62</v>
      </c>
      <c r="G707">
        <v>4.7</v>
      </c>
      <c r="H707">
        <v>9.32</v>
      </c>
      <c r="I707" s="29">
        <v>0.49570000000000003</v>
      </c>
      <c r="J707" s="29">
        <v>0.24030000000000001</v>
      </c>
      <c r="K707" s="9">
        <v>45309</v>
      </c>
      <c r="L707">
        <f xml:space="preserve"> (交易處理資料__3[[#This Row],[售出工時]] * 60) / 5</f>
        <v>26.880000000000003</v>
      </c>
      <c r="M707" t="str">
        <f>VLOOKUP(交易處理資料__3[[#This Row],[人員代號]],團隊分組!$B$1:$C$52,2,FALSE)</f>
        <v>查修團隊B</v>
      </c>
      <c r="N707" t="str">
        <f>IF(交易處理資料__3[[#This Row],[上班時間]]=0,"否","是")</f>
        <v>是</v>
      </c>
      <c r="O707" t="s">
        <v>76</v>
      </c>
      <c r="P707" s="38">
        <v>0.2959</v>
      </c>
      <c r="Q707" s="38">
        <v>0.24030000000000001</v>
      </c>
      <c r="R707" s="38">
        <v>0.49570000000000003</v>
      </c>
    </row>
    <row r="708" spans="1:18" hidden="1">
      <c r="A708" t="s">
        <v>76</v>
      </c>
      <c r="B708" t="s">
        <v>27</v>
      </c>
      <c r="C708">
        <v>8.75</v>
      </c>
      <c r="D708">
        <v>6.43</v>
      </c>
      <c r="E708" s="29">
        <v>1.3608000000000002</v>
      </c>
      <c r="F708">
        <v>7.51</v>
      </c>
      <c r="G708">
        <v>1.42</v>
      </c>
      <c r="H708">
        <v>8.93</v>
      </c>
      <c r="I708" s="29">
        <v>0.84099999999999997</v>
      </c>
      <c r="J708" s="29">
        <v>0.9798</v>
      </c>
      <c r="K708" s="9">
        <v>45309</v>
      </c>
      <c r="L708">
        <f xml:space="preserve"> (交易處理資料__3[[#This Row],[售出工時]] * 60) / 5</f>
        <v>105</v>
      </c>
      <c r="M708" t="str">
        <f>VLOOKUP(交易處理資料__3[[#This Row],[人員代號]],團隊分組!$B$1:$C$52,2,FALSE)</f>
        <v>快速保養團隊B</v>
      </c>
      <c r="N708" t="str">
        <f>IF(交易處理資料__3[[#This Row],[上班時間]]=0,"否","是")</f>
        <v>是</v>
      </c>
      <c r="O708" t="s">
        <v>76</v>
      </c>
      <c r="P708" s="37">
        <v>1.3608000000000002</v>
      </c>
      <c r="Q708" s="37">
        <v>0.9798</v>
      </c>
      <c r="R708" s="37">
        <v>0.84099999999999997</v>
      </c>
    </row>
    <row r="709" spans="1:18" hidden="1">
      <c r="A709" t="s">
        <v>76</v>
      </c>
      <c r="B709" t="s">
        <v>29</v>
      </c>
      <c r="C709">
        <v>0.75</v>
      </c>
      <c r="D709">
        <v>0.52</v>
      </c>
      <c r="E709" s="29">
        <v>1.4422999999999999</v>
      </c>
      <c r="F709">
        <v>6.2</v>
      </c>
      <c r="G709">
        <v>2.85</v>
      </c>
      <c r="H709">
        <v>9.0500000000000007</v>
      </c>
      <c r="I709" s="29">
        <v>0.68510000000000004</v>
      </c>
      <c r="J709" s="29">
        <v>8.2899999999999988E-2</v>
      </c>
      <c r="K709" s="9">
        <v>45309</v>
      </c>
      <c r="L709">
        <f xml:space="preserve"> (交易處理資料__3[[#This Row],[售出工時]] * 60) / 5</f>
        <v>9</v>
      </c>
      <c r="M709" t="str">
        <f>VLOOKUP(交易處理資料__3[[#This Row],[人員代號]],團隊分組!$B$1:$C$52,2,FALSE)</f>
        <v>查修團隊B</v>
      </c>
      <c r="N709" t="str">
        <f>IF(交易處理資料__3[[#This Row],[上班時間]]=0,"否","是")</f>
        <v>是</v>
      </c>
      <c r="O709" t="s">
        <v>76</v>
      </c>
      <c r="P709" s="38">
        <v>1.4422999999999999</v>
      </c>
      <c r="Q709" s="38">
        <v>8.2899999999999988E-2</v>
      </c>
      <c r="R709" s="38">
        <v>0.68510000000000004</v>
      </c>
    </row>
    <row r="710" spans="1:18" hidden="1">
      <c r="A710" t="s">
        <v>76</v>
      </c>
      <c r="B710" t="s">
        <v>31</v>
      </c>
      <c r="C710">
        <v>0</v>
      </c>
      <c r="D710">
        <v>0</v>
      </c>
      <c r="E710" s="29">
        <v>0</v>
      </c>
      <c r="F710">
        <v>0</v>
      </c>
      <c r="G710">
        <v>0</v>
      </c>
      <c r="H710">
        <v>0</v>
      </c>
      <c r="I710" s="29">
        <v>0</v>
      </c>
      <c r="J710" s="29">
        <v>0</v>
      </c>
      <c r="K710" s="9">
        <v>45309</v>
      </c>
      <c r="L710">
        <f xml:space="preserve"> (交易處理資料__3[[#This Row],[售出工時]] * 60) / 5</f>
        <v>0</v>
      </c>
      <c r="M710" t="str">
        <f>VLOOKUP(交易處理資料__3[[#This Row],[人員代號]],團隊分組!$B$1:$C$52,2,FALSE)</f>
        <v>快速保養團隊A</v>
      </c>
      <c r="N710" t="str">
        <f>IF(交易處理資料__3[[#This Row],[上班時間]]=0,"否","是")</f>
        <v>否</v>
      </c>
      <c r="O710" t="s">
        <v>76</v>
      </c>
      <c r="P710" s="37">
        <v>0</v>
      </c>
      <c r="Q710" s="37">
        <v>0</v>
      </c>
      <c r="R710" s="37">
        <v>0</v>
      </c>
    </row>
    <row r="711" spans="1:18" hidden="1">
      <c r="A711" t="s">
        <v>76</v>
      </c>
      <c r="B711" t="s">
        <v>32</v>
      </c>
      <c r="C711">
        <v>13.51</v>
      </c>
      <c r="D711">
        <v>6.9</v>
      </c>
      <c r="E711" s="29">
        <v>1.9584000000000001</v>
      </c>
      <c r="F711">
        <v>7.47</v>
      </c>
      <c r="G711">
        <v>1.43</v>
      </c>
      <c r="H711">
        <v>8.9</v>
      </c>
      <c r="I711" s="29">
        <v>0.83930000000000005</v>
      </c>
      <c r="J711" s="29">
        <v>1.5184</v>
      </c>
      <c r="K711" s="9">
        <v>45309</v>
      </c>
      <c r="L711">
        <f xml:space="preserve"> (交易處理資料__3[[#This Row],[售出工時]] * 60) / 5</f>
        <v>162.12</v>
      </c>
      <c r="M711" t="str">
        <f>VLOOKUP(交易處理資料__3[[#This Row],[人員代號]],團隊分組!$B$1:$C$52,2,FALSE)</f>
        <v>快速保養團隊B</v>
      </c>
      <c r="N711" t="str">
        <f>IF(交易處理資料__3[[#This Row],[上班時間]]=0,"否","是")</f>
        <v>是</v>
      </c>
      <c r="O711" t="s">
        <v>76</v>
      </c>
      <c r="P711" s="38">
        <v>1.9584000000000001</v>
      </c>
      <c r="Q711" s="38">
        <v>1.5184</v>
      </c>
      <c r="R711" s="38">
        <v>0.83930000000000005</v>
      </c>
    </row>
    <row r="712" spans="1:18" hidden="1">
      <c r="A712" t="s">
        <v>76</v>
      </c>
      <c r="B712" t="s">
        <v>33</v>
      </c>
      <c r="C712">
        <v>0</v>
      </c>
      <c r="D712">
        <v>0</v>
      </c>
      <c r="E712" s="29">
        <v>0</v>
      </c>
      <c r="F712">
        <v>0</v>
      </c>
      <c r="G712">
        <v>0</v>
      </c>
      <c r="H712">
        <v>0</v>
      </c>
      <c r="I712" s="29">
        <v>0</v>
      </c>
      <c r="J712" s="29">
        <v>0</v>
      </c>
      <c r="K712" s="9">
        <v>45309</v>
      </c>
      <c r="L712">
        <f xml:space="preserve"> (交易處理資料__3[[#This Row],[售出工時]] * 60) / 5</f>
        <v>0</v>
      </c>
      <c r="M712" t="str">
        <f>VLOOKUP(交易處理資料__3[[#This Row],[人員代號]],團隊分組!$B$1:$C$52,2,FALSE)</f>
        <v>快速保養團隊B</v>
      </c>
      <c r="N712" t="str">
        <f>IF(交易處理資料__3[[#This Row],[上班時間]]=0,"否","是")</f>
        <v>否</v>
      </c>
      <c r="O712" t="s">
        <v>76</v>
      </c>
      <c r="P712" s="37">
        <v>0</v>
      </c>
      <c r="Q712" s="37">
        <v>0</v>
      </c>
      <c r="R712" s="37">
        <v>0</v>
      </c>
    </row>
    <row r="713" spans="1:18" hidden="1">
      <c r="A713" t="s">
        <v>76</v>
      </c>
      <c r="B713" t="s">
        <v>36</v>
      </c>
      <c r="C713">
        <v>4.0199999999999996</v>
      </c>
      <c r="D713">
        <v>4.21</v>
      </c>
      <c r="E713" s="29">
        <v>0.9556</v>
      </c>
      <c r="F713">
        <v>2.52</v>
      </c>
      <c r="G713">
        <v>6.71</v>
      </c>
      <c r="H713">
        <v>9.23</v>
      </c>
      <c r="I713" s="29">
        <v>0.27300000000000002</v>
      </c>
      <c r="J713" s="29">
        <v>0.43590000000000001</v>
      </c>
      <c r="K713" s="9">
        <v>45309</v>
      </c>
      <c r="L713">
        <f xml:space="preserve"> (交易處理資料__3[[#This Row],[售出工時]] * 60) / 5</f>
        <v>48.239999999999995</v>
      </c>
      <c r="M713" t="str">
        <f>VLOOKUP(交易處理資料__3[[#This Row],[人員代號]],團隊分組!$B$1:$C$52,2,FALSE)</f>
        <v>查修團隊B</v>
      </c>
      <c r="N713" t="str">
        <f>IF(交易處理資料__3[[#This Row],[上班時間]]=0,"否","是")</f>
        <v>是</v>
      </c>
      <c r="O713" t="s">
        <v>76</v>
      </c>
      <c r="P713" s="38">
        <v>0.9556</v>
      </c>
      <c r="Q713" s="38">
        <v>0.43590000000000001</v>
      </c>
      <c r="R713" s="38">
        <v>0.27300000000000002</v>
      </c>
    </row>
    <row r="714" spans="1:18" hidden="1">
      <c r="A714" t="s">
        <v>76</v>
      </c>
      <c r="B714" t="s">
        <v>37</v>
      </c>
      <c r="C714">
        <v>2.2599999999999998</v>
      </c>
      <c r="D714">
        <v>3.09</v>
      </c>
      <c r="E714" s="29">
        <v>0.73129999999999995</v>
      </c>
      <c r="F714">
        <v>5.56</v>
      </c>
      <c r="G714">
        <v>2.0699999999999998</v>
      </c>
      <c r="H714">
        <v>7.63</v>
      </c>
      <c r="I714" s="29">
        <v>0.72870000000000001</v>
      </c>
      <c r="J714" s="29">
        <v>0.29620000000000002</v>
      </c>
      <c r="K714" s="9">
        <v>45309</v>
      </c>
      <c r="L714">
        <f xml:space="preserve"> (交易處理資料__3[[#This Row],[售出工時]] * 60) / 5</f>
        <v>27.119999999999997</v>
      </c>
      <c r="M714" t="str">
        <f>VLOOKUP(交易處理資料__3[[#This Row],[人員代號]],團隊分組!$B$1:$C$52,2,FALSE)</f>
        <v>查修團隊A</v>
      </c>
      <c r="N714" t="str">
        <f>IF(交易處理資料__3[[#This Row],[上班時間]]=0,"否","是")</f>
        <v>是</v>
      </c>
      <c r="O714" t="s">
        <v>76</v>
      </c>
      <c r="P714" s="37">
        <v>0.73129999999999995</v>
      </c>
      <c r="Q714" s="37">
        <v>0.29620000000000002</v>
      </c>
      <c r="R714" s="37">
        <v>0.72870000000000001</v>
      </c>
    </row>
    <row r="715" spans="1:18" hidden="1">
      <c r="A715" t="s">
        <v>76</v>
      </c>
      <c r="B715" t="s">
        <v>39</v>
      </c>
      <c r="C715">
        <v>3.16</v>
      </c>
      <c r="D715">
        <v>8.48</v>
      </c>
      <c r="E715" s="29">
        <v>0.37340000000000001</v>
      </c>
      <c r="F715">
        <v>6.63</v>
      </c>
      <c r="G715">
        <v>3.36</v>
      </c>
      <c r="H715">
        <v>9.99</v>
      </c>
      <c r="I715" s="29">
        <v>0.66370000000000007</v>
      </c>
      <c r="J715" s="29">
        <v>0.317</v>
      </c>
      <c r="K715" s="9">
        <v>45309</v>
      </c>
      <c r="L715">
        <f xml:space="preserve"> (交易處理資料__3[[#This Row],[售出工時]] * 60) / 5</f>
        <v>37.92</v>
      </c>
      <c r="M715" t="str">
        <f>VLOOKUP(交易處理資料__3[[#This Row],[人員代號]],團隊分組!$B$1:$C$52,2,FALSE)</f>
        <v>查修團隊A</v>
      </c>
      <c r="N715" t="str">
        <f>IF(交易處理資料__3[[#This Row],[上班時間]]=0,"否","是")</f>
        <v>是</v>
      </c>
      <c r="O715" t="s">
        <v>76</v>
      </c>
      <c r="P715" s="38">
        <v>0.37340000000000001</v>
      </c>
      <c r="Q715" s="38">
        <v>0.317</v>
      </c>
      <c r="R715" s="38">
        <v>0.66370000000000007</v>
      </c>
    </row>
    <row r="716" spans="1:18" hidden="1">
      <c r="A716" t="s">
        <v>76</v>
      </c>
      <c r="B716" t="s">
        <v>42</v>
      </c>
      <c r="C716">
        <v>5.96</v>
      </c>
      <c r="D716">
        <v>5.35</v>
      </c>
      <c r="E716" s="29">
        <v>1.1152</v>
      </c>
      <c r="F716">
        <v>5.45</v>
      </c>
      <c r="G716">
        <v>2.52</v>
      </c>
      <c r="H716">
        <v>7.97</v>
      </c>
      <c r="I716" s="29">
        <v>0.68379999999999996</v>
      </c>
      <c r="J716" s="29">
        <v>0.74860000000000004</v>
      </c>
      <c r="K716" s="9">
        <v>45309</v>
      </c>
      <c r="L716">
        <f xml:space="preserve"> (交易處理資料__3[[#This Row],[售出工時]] * 60) / 5</f>
        <v>71.52000000000001</v>
      </c>
      <c r="M716" t="str">
        <f>VLOOKUP(交易處理資料__3[[#This Row],[人員代號]],團隊分組!$B$1:$C$52,2,FALSE)</f>
        <v>快速保養團隊A</v>
      </c>
      <c r="N716" t="str">
        <f>IF(交易處理資料__3[[#This Row],[上班時間]]=0,"否","是")</f>
        <v>是</v>
      </c>
      <c r="O716" t="s">
        <v>76</v>
      </c>
      <c r="P716" s="37">
        <v>1.1152</v>
      </c>
      <c r="Q716" s="37">
        <v>0.74860000000000004</v>
      </c>
      <c r="R716" s="37">
        <v>0.68379999999999996</v>
      </c>
    </row>
    <row r="717" spans="1:18" hidden="1">
      <c r="A717" t="s">
        <v>76</v>
      </c>
      <c r="B717" t="s">
        <v>43</v>
      </c>
      <c r="C717">
        <v>0.83</v>
      </c>
      <c r="D717">
        <v>2.37</v>
      </c>
      <c r="E717" s="29">
        <v>0.35020000000000001</v>
      </c>
      <c r="F717">
        <v>4.41</v>
      </c>
      <c r="G717">
        <v>2.59</v>
      </c>
      <c r="H717">
        <v>7</v>
      </c>
      <c r="I717" s="29">
        <v>0.63</v>
      </c>
      <c r="J717" s="29">
        <v>0.1186</v>
      </c>
      <c r="K717" s="9">
        <v>45309</v>
      </c>
      <c r="L717">
        <f xml:space="preserve"> (交易處理資料__3[[#This Row],[售出工時]] * 60) / 5</f>
        <v>9.9599999999999991</v>
      </c>
      <c r="M717" t="str">
        <f>VLOOKUP(交易處理資料__3[[#This Row],[人員代號]],團隊分組!$B$1:$C$52,2,FALSE)</f>
        <v>查修團隊B</v>
      </c>
      <c r="N717" t="str">
        <f>IF(交易處理資料__3[[#This Row],[上班時間]]=0,"否","是")</f>
        <v>是</v>
      </c>
      <c r="O717" t="s">
        <v>76</v>
      </c>
      <c r="P717" s="38">
        <v>0.35020000000000001</v>
      </c>
      <c r="Q717" s="38">
        <v>0.1186</v>
      </c>
      <c r="R717" s="38">
        <v>0.63</v>
      </c>
    </row>
    <row r="718" spans="1:18" hidden="1">
      <c r="A718" t="s">
        <v>76</v>
      </c>
      <c r="B718" t="s">
        <v>45</v>
      </c>
      <c r="C718">
        <v>13.43</v>
      </c>
      <c r="D718">
        <v>10.02</v>
      </c>
      <c r="E718" s="29">
        <v>1.3409</v>
      </c>
      <c r="F718">
        <v>10.3</v>
      </c>
      <c r="G718">
        <v>0.02</v>
      </c>
      <c r="H718">
        <v>10.32</v>
      </c>
      <c r="I718" s="29">
        <v>0.99809999999999999</v>
      </c>
      <c r="J718" s="29">
        <v>1.3019999999999998</v>
      </c>
      <c r="K718" s="9">
        <v>45309</v>
      </c>
      <c r="L718">
        <f xml:space="preserve"> (交易處理資料__3[[#This Row],[售出工時]] * 60) / 5</f>
        <v>161.16</v>
      </c>
      <c r="M718" t="str">
        <f>VLOOKUP(交易處理資料__3[[#This Row],[人員代號]],團隊分組!$B$1:$C$52,2,FALSE)</f>
        <v>快速保養團隊A</v>
      </c>
      <c r="N718" t="str">
        <f>IF(交易處理資料__3[[#This Row],[上班時間]]=0,"否","是")</f>
        <v>是</v>
      </c>
      <c r="O718" t="s">
        <v>76</v>
      </c>
      <c r="P718" s="37">
        <v>1.3409</v>
      </c>
      <c r="Q718" s="37">
        <v>1.3019999999999998</v>
      </c>
      <c r="R718" s="37">
        <v>0.99809999999999999</v>
      </c>
    </row>
    <row r="719" spans="1:18" hidden="1">
      <c r="A719" t="s">
        <v>76</v>
      </c>
      <c r="B719" t="s">
        <v>46</v>
      </c>
      <c r="C719">
        <v>4.83</v>
      </c>
      <c r="D719">
        <v>3.97</v>
      </c>
      <c r="E719" s="29">
        <v>1.2174</v>
      </c>
      <c r="F719">
        <v>6.83</v>
      </c>
      <c r="G719">
        <v>2.2599999999999998</v>
      </c>
      <c r="H719">
        <v>9.09</v>
      </c>
      <c r="I719" s="29">
        <v>0.75139999999999996</v>
      </c>
      <c r="J719" s="29">
        <v>0.53170000000000006</v>
      </c>
      <c r="K719" s="9">
        <v>45309</v>
      </c>
      <c r="L719">
        <f xml:space="preserve"> (交易處理資料__3[[#This Row],[售出工時]] * 60) / 5</f>
        <v>57.96</v>
      </c>
      <c r="M719" t="str">
        <f>VLOOKUP(交易處理資料__3[[#This Row],[人員代號]],團隊分組!$B$1:$C$52,2,FALSE)</f>
        <v>查修團隊B</v>
      </c>
      <c r="N719" t="str">
        <f>IF(交易處理資料__3[[#This Row],[上班時間]]=0,"否","是")</f>
        <v>是</v>
      </c>
      <c r="O719" t="s">
        <v>76</v>
      </c>
      <c r="P719" s="38">
        <v>1.2174</v>
      </c>
      <c r="Q719" s="38">
        <v>0.53170000000000006</v>
      </c>
      <c r="R719" s="38">
        <v>0.75139999999999996</v>
      </c>
    </row>
    <row r="720" spans="1:18" hidden="1">
      <c r="A720" t="s">
        <v>76</v>
      </c>
      <c r="B720" t="s">
        <v>47</v>
      </c>
      <c r="C720">
        <v>3.33</v>
      </c>
      <c r="D720">
        <v>4.1900000000000004</v>
      </c>
      <c r="E720" s="29">
        <v>0.79549999999999998</v>
      </c>
      <c r="F720">
        <v>5.99</v>
      </c>
      <c r="G720">
        <v>3.04</v>
      </c>
      <c r="H720">
        <v>9.0299999999999994</v>
      </c>
      <c r="I720" s="29">
        <v>0.6633</v>
      </c>
      <c r="J720" s="29">
        <v>0.36909999999999998</v>
      </c>
      <c r="K720" s="9">
        <v>45309</v>
      </c>
      <c r="L720">
        <f xml:space="preserve"> (交易處理資料__3[[#This Row],[售出工時]] * 60) / 5</f>
        <v>39.96</v>
      </c>
      <c r="M720" t="str">
        <f>VLOOKUP(交易處理資料__3[[#This Row],[人員代號]],團隊分組!$B$1:$C$52,2,FALSE)</f>
        <v>查修團隊B</v>
      </c>
      <c r="N720" t="str">
        <f>IF(交易處理資料__3[[#This Row],[上班時間]]=0,"否","是")</f>
        <v>是</v>
      </c>
      <c r="O720" t="s">
        <v>76</v>
      </c>
      <c r="P720" s="37">
        <v>0.79549999999999998</v>
      </c>
      <c r="Q720" s="37">
        <v>0.36909999999999998</v>
      </c>
      <c r="R720" s="37">
        <v>0.6633</v>
      </c>
    </row>
    <row r="721" spans="1:18" hidden="1">
      <c r="A721" t="s">
        <v>76</v>
      </c>
      <c r="B721" t="s">
        <v>49</v>
      </c>
      <c r="C721">
        <v>0.91</v>
      </c>
      <c r="D721">
        <v>0.95</v>
      </c>
      <c r="E721" s="29">
        <v>0.95779999999999998</v>
      </c>
      <c r="F721">
        <v>8.76</v>
      </c>
      <c r="G721">
        <v>0.37</v>
      </c>
      <c r="H721">
        <v>9.1300000000000008</v>
      </c>
      <c r="I721" s="29">
        <v>0.95950000000000002</v>
      </c>
      <c r="J721" s="29">
        <v>9.9700000000000011E-2</v>
      </c>
      <c r="K721" s="9">
        <v>45309</v>
      </c>
      <c r="L721">
        <f xml:space="preserve"> (交易處理資料__3[[#This Row],[售出工時]] * 60) / 5</f>
        <v>10.92</v>
      </c>
      <c r="M721" t="str">
        <f>VLOOKUP(交易處理資料__3[[#This Row],[人員代號]],團隊分組!$B$1:$C$52,2,FALSE)</f>
        <v>查修團隊A</v>
      </c>
      <c r="N721" t="str">
        <f>IF(交易處理資料__3[[#This Row],[上班時間]]=0,"否","是")</f>
        <v>是</v>
      </c>
      <c r="O721" t="s">
        <v>76</v>
      </c>
      <c r="P721" s="38">
        <v>0.95779999999999998</v>
      </c>
      <c r="Q721" s="38">
        <v>9.9700000000000011E-2</v>
      </c>
      <c r="R721" s="38">
        <v>0.95950000000000002</v>
      </c>
    </row>
    <row r="722" spans="1:18" hidden="1">
      <c r="A722" t="s">
        <v>76</v>
      </c>
      <c r="B722" t="s">
        <v>50</v>
      </c>
      <c r="C722">
        <v>13.66</v>
      </c>
      <c r="D722">
        <v>6.72</v>
      </c>
      <c r="E722" s="29">
        <v>2.0337000000000001</v>
      </c>
      <c r="F722">
        <v>9.8000000000000007</v>
      </c>
      <c r="G722">
        <v>0.22</v>
      </c>
      <c r="H722">
        <v>10.02</v>
      </c>
      <c r="I722" s="29">
        <v>0.97799999999999998</v>
      </c>
      <c r="J722" s="29">
        <v>1.3638999999999999</v>
      </c>
      <c r="K722" s="9">
        <v>45309</v>
      </c>
      <c r="L722">
        <f xml:space="preserve"> (交易處理資料__3[[#This Row],[售出工時]] * 60) / 5</f>
        <v>163.92000000000002</v>
      </c>
      <c r="M722" t="str">
        <f>VLOOKUP(交易處理資料__3[[#This Row],[人員代號]],團隊分組!$B$1:$C$52,2,FALSE)</f>
        <v>快速保養團隊B</v>
      </c>
      <c r="N722" t="str">
        <f>IF(交易處理資料__3[[#This Row],[上班時間]]=0,"否","是")</f>
        <v>是</v>
      </c>
      <c r="O722" t="s">
        <v>76</v>
      </c>
      <c r="P722" s="37">
        <v>2.0337000000000001</v>
      </c>
      <c r="Q722" s="37">
        <v>1.3638999999999999</v>
      </c>
      <c r="R722" s="37">
        <v>0.97799999999999998</v>
      </c>
    </row>
    <row r="723" spans="1:18" hidden="1">
      <c r="A723" t="s">
        <v>76</v>
      </c>
      <c r="B723" t="s">
        <v>51</v>
      </c>
      <c r="C723">
        <v>0</v>
      </c>
      <c r="D723">
        <v>0</v>
      </c>
      <c r="E723" s="29">
        <v>0</v>
      </c>
      <c r="F723">
        <v>0</v>
      </c>
      <c r="G723">
        <v>0</v>
      </c>
      <c r="H723">
        <v>0</v>
      </c>
      <c r="I723" s="29">
        <v>0</v>
      </c>
      <c r="J723" s="29">
        <v>0</v>
      </c>
      <c r="K723" s="9">
        <v>45309</v>
      </c>
      <c r="L723">
        <f xml:space="preserve"> (交易處理資料__3[[#This Row],[售出工時]] * 60) / 5</f>
        <v>0</v>
      </c>
      <c r="M723" t="str">
        <f>VLOOKUP(交易處理資料__3[[#This Row],[人員代號]],團隊分組!$B$1:$C$52,2,FALSE)</f>
        <v>無效數據</v>
      </c>
      <c r="N723" t="str">
        <f>IF(交易處理資料__3[[#This Row],[上班時間]]=0,"否","是")</f>
        <v>否</v>
      </c>
      <c r="O723" t="s">
        <v>76</v>
      </c>
      <c r="P723" s="38">
        <v>0</v>
      </c>
      <c r="Q723" s="38">
        <v>0</v>
      </c>
      <c r="R723" s="38">
        <v>0</v>
      </c>
    </row>
    <row r="724" spans="1:18" hidden="1">
      <c r="A724" t="s">
        <v>76</v>
      </c>
      <c r="B724" t="s">
        <v>52</v>
      </c>
      <c r="C724">
        <v>3.83</v>
      </c>
      <c r="D724">
        <v>6.7</v>
      </c>
      <c r="E724" s="29">
        <v>0.57210000000000005</v>
      </c>
      <c r="F724">
        <v>7.72</v>
      </c>
      <c r="G724">
        <v>1.26</v>
      </c>
      <c r="H724">
        <v>8.98</v>
      </c>
      <c r="I724" s="29">
        <v>0.85970000000000002</v>
      </c>
      <c r="J724" s="29">
        <v>0.4269</v>
      </c>
      <c r="K724" s="9">
        <v>45309</v>
      </c>
      <c r="L724">
        <f xml:space="preserve"> (交易處理資料__3[[#This Row],[售出工時]] * 60) / 5</f>
        <v>45.96</v>
      </c>
      <c r="M724" t="str">
        <f>VLOOKUP(交易處理資料__3[[#This Row],[人員代號]],團隊分組!$B$1:$C$52,2,FALSE)</f>
        <v>查修團隊B</v>
      </c>
      <c r="N724" t="str">
        <f>IF(交易處理資料__3[[#This Row],[上班時間]]=0,"否","是")</f>
        <v>是</v>
      </c>
      <c r="O724" t="s">
        <v>76</v>
      </c>
      <c r="P724" s="37">
        <v>0.57210000000000005</v>
      </c>
      <c r="Q724" s="37">
        <v>0.4269</v>
      </c>
      <c r="R724" s="37">
        <v>0.85970000000000002</v>
      </c>
    </row>
    <row r="725" spans="1:18" hidden="1">
      <c r="A725" s="10" t="s">
        <v>74</v>
      </c>
      <c r="B725" t="s">
        <v>1</v>
      </c>
      <c r="C725">
        <v>4.5</v>
      </c>
      <c r="D725">
        <v>7.04</v>
      </c>
      <c r="E725" s="29">
        <v>0.63919999999999999</v>
      </c>
      <c r="F725">
        <v>5.03</v>
      </c>
      <c r="G725">
        <v>3.02</v>
      </c>
      <c r="H725">
        <v>8.0500000000000007</v>
      </c>
      <c r="I725" s="29">
        <v>0.62480000000000002</v>
      </c>
      <c r="J725" s="29">
        <v>0.55899999999999994</v>
      </c>
      <c r="K725" s="9">
        <v>45310</v>
      </c>
      <c r="L725">
        <f xml:space="preserve"> (交易處理資料__3[[#This Row],[售出工時]] * 60) / 5</f>
        <v>54</v>
      </c>
      <c r="M725" t="str">
        <f>VLOOKUP(交易處理資料__3[[#This Row],[人員代號]],團隊分組!$B$1:$C$52,2,FALSE)</f>
        <v>噴漆維修組</v>
      </c>
      <c r="N725" t="str">
        <f>IF(交易處理資料__3[[#This Row],[上班時間]]=0,"否","是")</f>
        <v>是</v>
      </c>
      <c r="O725" s="10" t="s">
        <v>74</v>
      </c>
      <c r="P725" s="38">
        <v>0.63919999999999999</v>
      </c>
      <c r="Q725" s="38">
        <v>0.55899999999999994</v>
      </c>
      <c r="R725" s="38">
        <v>0.62480000000000002</v>
      </c>
    </row>
    <row r="726" spans="1:18" hidden="1">
      <c r="A726" s="10" t="s">
        <v>74</v>
      </c>
      <c r="B726" t="s">
        <v>4</v>
      </c>
      <c r="C726">
        <v>1.32</v>
      </c>
      <c r="D726">
        <v>3.8</v>
      </c>
      <c r="E726" s="29">
        <v>0.34729999999999994</v>
      </c>
      <c r="F726">
        <v>3.55</v>
      </c>
      <c r="G726">
        <v>4.5999999999999996</v>
      </c>
      <c r="H726">
        <v>8.15</v>
      </c>
      <c r="I726" s="29">
        <v>0.43560000000000004</v>
      </c>
      <c r="J726" s="29">
        <v>0.16200000000000001</v>
      </c>
      <c r="K726" s="9">
        <v>45310</v>
      </c>
      <c r="L726">
        <f xml:space="preserve"> (交易處理資料__3[[#This Row],[售出工時]] * 60) / 5</f>
        <v>15.84</v>
      </c>
      <c r="M726" t="str">
        <f>VLOOKUP(交易處理資料__3[[#This Row],[人員代號]],團隊分組!$B$1:$C$52,2,FALSE)</f>
        <v>噴漆維修組</v>
      </c>
      <c r="N726" t="str">
        <f>IF(交易處理資料__3[[#This Row],[上班時間]]=0,"否","是")</f>
        <v>是</v>
      </c>
      <c r="O726" s="10" t="s">
        <v>74</v>
      </c>
      <c r="P726" s="37">
        <v>0.34729999999999994</v>
      </c>
      <c r="Q726" s="37">
        <v>0.16200000000000001</v>
      </c>
      <c r="R726" s="37">
        <v>0.43560000000000004</v>
      </c>
    </row>
    <row r="727" spans="1:18" hidden="1">
      <c r="A727" s="10" t="s">
        <v>74</v>
      </c>
      <c r="B727" t="s">
        <v>5</v>
      </c>
      <c r="C727">
        <v>4.08</v>
      </c>
      <c r="D727">
        <v>5</v>
      </c>
      <c r="E727" s="29">
        <v>0.81599999999999995</v>
      </c>
      <c r="F727">
        <v>6.43</v>
      </c>
      <c r="G727">
        <v>1.67</v>
      </c>
      <c r="H727">
        <v>8.1</v>
      </c>
      <c r="I727" s="29">
        <v>0.79379999999999995</v>
      </c>
      <c r="J727" s="29">
        <v>0.50369999999999993</v>
      </c>
      <c r="K727" s="9">
        <v>45310</v>
      </c>
      <c r="L727">
        <f xml:space="preserve"> (交易處理資料__3[[#This Row],[售出工時]] * 60) / 5</f>
        <v>48.96</v>
      </c>
      <c r="M727" t="str">
        <f>VLOOKUP(交易處理資料__3[[#This Row],[人員代號]],團隊分組!$B$1:$C$52,2,FALSE)</f>
        <v>噴漆維修組</v>
      </c>
      <c r="N727" t="str">
        <f>IF(交易處理資料__3[[#This Row],[上班時間]]=0,"否","是")</f>
        <v>是</v>
      </c>
      <c r="O727" s="10" t="s">
        <v>74</v>
      </c>
      <c r="P727" s="38">
        <v>0.81599999999999995</v>
      </c>
      <c r="Q727" s="38">
        <v>0.50369999999999993</v>
      </c>
      <c r="R727" s="38">
        <v>0.79379999999999995</v>
      </c>
    </row>
    <row r="728" spans="1:18">
      <c r="A728" s="10" t="s">
        <v>74</v>
      </c>
      <c r="B728" t="s">
        <v>7</v>
      </c>
      <c r="C728">
        <v>4.08</v>
      </c>
      <c r="D728">
        <v>5</v>
      </c>
      <c r="E728" s="29">
        <v>0.81599999999999995</v>
      </c>
      <c r="F728">
        <v>6.43</v>
      </c>
      <c r="G728">
        <v>1.68</v>
      </c>
      <c r="H728">
        <v>8.11</v>
      </c>
      <c r="I728" s="29">
        <v>0.79280000000000006</v>
      </c>
      <c r="J728" s="29">
        <v>0.50309999999999999</v>
      </c>
      <c r="K728" s="9">
        <v>45310</v>
      </c>
      <c r="L728">
        <f xml:space="preserve"> (交易處理資料__3[[#This Row],[售出工時]] * 60) / 5</f>
        <v>48.96</v>
      </c>
      <c r="M728" t="str">
        <f>VLOOKUP(交易處理資料__3[[#This Row],[人員代號]],團隊分組!$B$1:$C$52,2,FALSE)</f>
        <v>噴漆維修組</v>
      </c>
      <c r="N728" t="str">
        <f>IF(交易處理資料__3[[#This Row],[上班時間]]=0,"否","是")</f>
        <v>是</v>
      </c>
      <c r="O728" s="10" t="s">
        <v>74</v>
      </c>
      <c r="P728" s="37">
        <v>0.81599999999999995</v>
      </c>
      <c r="Q728" s="37">
        <v>0.50309999999999999</v>
      </c>
      <c r="R728" s="37">
        <v>0.79280000000000006</v>
      </c>
    </row>
    <row r="729" spans="1:18" hidden="1">
      <c r="A729" s="10" t="s">
        <v>74</v>
      </c>
      <c r="B729" t="s">
        <v>9</v>
      </c>
      <c r="C729">
        <v>4.58</v>
      </c>
      <c r="D729">
        <v>7.14</v>
      </c>
      <c r="E729" s="29">
        <v>0.64190000000000003</v>
      </c>
      <c r="F729">
        <v>6.95</v>
      </c>
      <c r="G729">
        <v>1.1000000000000001</v>
      </c>
      <c r="H729">
        <v>8.0500000000000007</v>
      </c>
      <c r="I729" s="29">
        <v>0.86340000000000006</v>
      </c>
      <c r="J729" s="29">
        <v>0.56940000000000002</v>
      </c>
      <c r="K729" s="9">
        <v>45310</v>
      </c>
      <c r="L729">
        <f xml:space="preserve"> (交易處理資料__3[[#This Row],[售出工時]] * 60) / 5</f>
        <v>54.96</v>
      </c>
      <c r="M729" t="str">
        <f>VLOOKUP(交易處理資料__3[[#This Row],[人員代號]],團隊分組!$B$1:$C$52,2,FALSE)</f>
        <v>噴漆維修組</v>
      </c>
      <c r="N729" t="str">
        <f>IF(交易處理資料__3[[#This Row],[上班時間]]=0,"否","是")</f>
        <v>是</v>
      </c>
      <c r="O729" s="10" t="s">
        <v>74</v>
      </c>
      <c r="P729" s="38">
        <v>0.64190000000000003</v>
      </c>
      <c r="Q729" s="38">
        <v>0.56940000000000002</v>
      </c>
      <c r="R729" s="38">
        <v>0.86340000000000006</v>
      </c>
    </row>
    <row r="730" spans="1:18" hidden="1">
      <c r="A730" t="s">
        <v>75</v>
      </c>
      <c r="B730" t="s">
        <v>11</v>
      </c>
      <c r="C730">
        <v>0</v>
      </c>
      <c r="D730">
        <v>0</v>
      </c>
      <c r="E730" s="29">
        <v>0</v>
      </c>
      <c r="F730">
        <v>6.22</v>
      </c>
      <c r="G730">
        <v>1.83</v>
      </c>
      <c r="H730">
        <v>8.0500000000000007</v>
      </c>
      <c r="I730" s="29">
        <v>0.77269999999999994</v>
      </c>
      <c r="J730" s="29">
        <v>0</v>
      </c>
      <c r="K730" s="9">
        <v>45310</v>
      </c>
      <c r="L730">
        <f xml:space="preserve"> (交易處理資料__3[[#This Row],[售出工時]] * 60) / 5</f>
        <v>0</v>
      </c>
      <c r="M730" t="str">
        <f>VLOOKUP(交易處理資料__3[[#This Row],[人員代號]],團隊分組!$B$1:$C$52,2,FALSE)</f>
        <v>鈑金維修組</v>
      </c>
      <c r="N730" t="str">
        <f>IF(交易處理資料__3[[#This Row],[上班時間]]=0,"否","是")</f>
        <v>是</v>
      </c>
      <c r="O730" t="s">
        <v>75</v>
      </c>
      <c r="P730" s="37">
        <v>0</v>
      </c>
      <c r="Q730" s="37">
        <v>0</v>
      </c>
      <c r="R730" s="37">
        <v>0.77269999999999994</v>
      </c>
    </row>
    <row r="731" spans="1:18" hidden="1">
      <c r="A731" t="s">
        <v>75</v>
      </c>
      <c r="B731" t="s">
        <v>12</v>
      </c>
      <c r="C731">
        <v>4.25</v>
      </c>
      <c r="D731">
        <v>3.58</v>
      </c>
      <c r="E731" s="29">
        <v>1.1871</v>
      </c>
      <c r="F731">
        <v>6.75</v>
      </c>
      <c r="G731">
        <v>1.28</v>
      </c>
      <c r="H731">
        <v>8.0299999999999994</v>
      </c>
      <c r="I731" s="29">
        <v>0.84060000000000001</v>
      </c>
      <c r="J731" s="29">
        <v>0.52929999999999999</v>
      </c>
      <c r="K731" s="9">
        <v>45310</v>
      </c>
      <c r="L731">
        <f xml:space="preserve"> (交易處理資料__3[[#This Row],[售出工時]] * 60) / 5</f>
        <v>51</v>
      </c>
      <c r="M731" t="str">
        <f>VLOOKUP(交易處理資料__3[[#This Row],[人員代號]],團隊分組!$B$1:$C$52,2,FALSE)</f>
        <v>鈑金維修組</v>
      </c>
      <c r="N731" t="str">
        <f>IF(交易處理資料__3[[#This Row],[上班時間]]=0,"否","是")</f>
        <v>是</v>
      </c>
      <c r="O731" t="s">
        <v>75</v>
      </c>
      <c r="P731" s="38">
        <v>1.1871</v>
      </c>
      <c r="Q731" s="38">
        <v>0.52929999999999999</v>
      </c>
      <c r="R731" s="38">
        <v>0.84060000000000001</v>
      </c>
    </row>
    <row r="732" spans="1:18" hidden="1">
      <c r="A732" t="s">
        <v>75</v>
      </c>
      <c r="B732" t="s">
        <v>14</v>
      </c>
      <c r="C732">
        <v>3.52</v>
      </c>
      <c r="D732">
        <v>2.77</v>
      </c>
      <c r="E732" s="29">
        <v>1.2706999999999999</v>
      </c>
      <c r="F732">
        <v>5.92</v>
      </c>
      <c r="G732">
        <v>2.13</v>
      </c>
      <c r="H732">
        <v>8.0500000000000007</v>
      </c>
      <c r="I732" s="29">
        <v>0.73540000000000005</v>
      </c>
      <c r="J732" s="29">
        <v>0.43729999999999997</v>
      </c>
      <c r="K732" s="9">
        <v>45310</v>
      </c>
      <c r="L732">
        <f xml:space="preserve"> (交易處理資料__3[[#This Row],[售出工時]] * 60) / 5</f>
        <v>42.239999999999995</v>
      </c>
      <c r="M732" t="str">
        <f>VLOOKUP(交易處理資料__3[[#This Row],[人員代號]],團隊分組!$B$1:$C$52,2,FALSE)</f>
        <v>鈑金維修組</v>
      </c>
      <c r="N732" t="str">
        <f>IF(交易處理資料__3[[#This Row],[上班時間]]=0,"否","是")</f>
        <v>是</v>
      </c>
      <c r="O732" t="s">
        <v>75</v>
      </c>
      <c r="P732" s="37">
        <v>1.2706999999999999</v>
      </c>
      <c r="Q732" s="37">
        <v>0.43729999999999997</v>
      </c>
      <c r="R732" s="37">
        <v>0.73540000000000005</v>
      </c>
    </row>
    <row r="733" spans="1:18" hidden="1">
      <c r="A733" t="s">
        <v>75</v>
      </c>
      <c r="B733" t="s">
        <v>15</v>
      </c>
      <c r="C733">
        <v>3.15</v>
      </c>
      <c r="D733">
        <v>2.5</v>
      </c>
      <c r="E733" s="29">
        <v>1.26</v>
      </c>
      <c r="F733">
        <v>5.92</v>
      </c>
      <c r="G733">
        <v>2.13</v>
      </c>
      <c r="H733">
        <v>8.0500000000000007</v>
      </c>
      <c r="I733" s="29">
        <v>0.73540000000000005</v>
      </c>
      <c r="J733" s="29">
        <v>0.39130000000000004</v>
      </c>
      <c r="K733" s="9">
        <v>45310</v>
      </c>
      <c r="L733">
        <f xml:space="preserve"> (交易處理資料__3[[#This Row],[售出工時]] * 60) / 5</f>
        <v>37.799999999999997</v>
      </c>
      <c r="M733" t="str">
        <f>VLOOKUP(交易處理資料__3[[#This Row],[人員代號]],團隊分組!$B$1:$C$52,2,FALSE)</f>
        <v>鈑金維修組</v>
      </c>
      <c r="N733" t="str">
        <f>IF(交易處理資料__3[[#This Row],[上班時間]]=0,"否","是")</f>
        <v>是</v>
      </c>
      <c r="O733" t="s">
        <v>75</v>
      </c>
      <c r="P733" s="38">
        <v>1.26</v>
      </c>
      <c r="Q733" s="38">
        <v>0.39130000000000004</v>
      </c>
      <c r="R733" s="38">
        <v>0.73540000000000005</v>
      </c>
    </row>
    <row r="734" spans="1:18" hidden="1">
      <c r="A734" t="s">
        <v>76</v>
      </c>
      <c r="B734" t="s">
        <v>17</v>
      </c>
      <c r="C734">
        <v>10.33</v>
      </c>
      <c r="D734">
        <v>5.55</v>
      </c>
      <c r="E734" s="29">
        <v>1.8612</v>
      </c>
      <c r="F734">
        <v>6.97</v>
      </c>
      <c r="G734">
        <v>1.2</v>
      </c>
      <c r="H734">
        <v>8.17</v>
      </c>
      <c r="I734" s="29">
        <v>0.85309999999999997</v>
      </c>
      <c r="J734" s="29">
        <v>1.2644</v>
      </c>
      <c r="K734" s="9">
        <v>45310</v>
      </c>
      <c r="L734">
        <f xml:space="preserve"> (交易處理資料__3[[#This Row],[售出工時]] * 60) / 5</f>
        <v>123.96</v>
      </c>
      <c r="M734" t="str">
        <f>VLOOKUP(交易處理資料__3[[#This Row],[人員代號]],團隊分組!$B$1:$C$52,2,FALSE)</f>
        <v>快速保養團隊A</v>
      </c>
      <c r="N734" t="str">
        <f>IF(交易處理資料__3[[#This Row],[上班時間]]=0,"否","是")</f>
        <v>是</v>
      </c>
      <c r="O734" t="s">
        <v>76</v>
      </c>
      <c r="P734" s="37">
        <v>1.8612</v>
      </c>
      <c r="Q734" s="37">
        <v>1.2644</v>
      </c>
      <c r="R734" s="37">
        <v>0.85309999999999997</v>
      </c>
    </row>
    <row r="735" spans="1:18" hidden="1">
      <c r="A735" t="s">
        <v>76</v>
      </c>
      <c r="B735" t="s">
        <v>20</v>
      </c>
      <c r="C735">
        <v>2.69</v>
      </c>
      <c r="D735">
        <v>6.45</v>
      </c>
      <c r="E735" s="29">
        <v>0.41749999999999998</v>
      </c>
      <c r="F735">
        <v>4.5</v>
      </c>
      <c r="G735">
        <v>3.67</v>
      </c>
      <c r="H735">
        <v>8.17</v>
      </c>
      <c r="I735" s="29">
        <v>0.55079999999999996</v>
      </c>
      <c r="J735" s="29">
        <v>0.32969999999999999</v>
      </c>
      <c r="K735" s="9">
        <v>45310</v>
      </c>
      <c r="L735">
        <f xml:space="preserve"> (交易處理資料__3[[#This Row],[售出工時]] * 60) / 5</f>
        <v>32.28</v>
      </c>
      <c r="M735" t="str">
        <f>VLOOKUP(交易處理資料__3[[#This Row],[人員代號]],團隊分組!$B$1:$C$52,2,FALSE)</f>
        <v>查修團隊B</v>
      </c>
      <c r="N735" t="str">
        <f>IF(交易處理資料__3[[#This Row],[上班時間]]=0,"否","是")</f>
        <v>是</v>
      </c>
      <c r="O735" t="s">
        <v>76</v>
      </c>
      <c r="P735" s="38">
        <v>0.41749999999999998</v>
      </c>
      <c r="Q735" s="38">
        <v>0.32969999999999999</v>
      </c>
      <c r="R735" s="38">
        <v>0.55079999999999996</v>
      </c>
    </row>
    <row r="736" spans="1:18" hidden="1">
      <c r="A736" t="s">
        <v>76</v>
      </c>
      <c r="B736" t="s">
        <v>21</v>
      </c>
      <c r="C736">
        <v>7.25</v>
      </c>
      <c r="D736">
        <v>7.43</v>
      </c>
      <c r="E736" s="29">
        <v>0.9756999999999999</v>
      </c>
      <c r="F736">
        <v>6.47</v>
      </c>
      <c r="G736">
        <v>1.68</v>
      </c>
      <c r="H736">
        <v>8.15</v>
      </c>
      <c r="I736" s="29">
        <v>0.79390000000000005</v>
      </c>
      <c r="J736" s="29">
        <v>0.88959999999999995</v>
      </c>
      <c r="K736" s="9">
        <v>45310</v>
      </c>
      <c r="L736">
        <f xml:space="preserve"> (交易處理資料__3[[#This Row],[售出工時]] * 60) / 5</f>
        <v>87</v>
      </c>
      <c r="M736" t="str">
        <f>VLOOKUP(交易處理資料__3[[#This Row],[人員代號]],團隊分組!$B$1:$C$52,2,FALSE)</f>
        <v>查修團隊B</v>
      </c>
      <c r="N736" t="str">
        <f>IF(交易處理資料__3[[#This Row],[上班時間]]=0,"否","是")</f>
        <v>是</v>
      </c>
      <c r="O736" t="s">
        <v>76</v>
      </c>
      <c r="P736" s="37">
        <v>0.9756999999999999</v>
      </c>
      <c r="Q736" s="37">
        <v>0.88959999999999995</v>
      </c>
      <c r="R736" s="37">
        <v>0.79390000000000005</v>
      </c>
    </row>
    <row r="737" spans="1:18" hidden="1">
      <c r="A737" t="s">
        <v>76</v>
      </c>
      <c r="B737" t="s">
        <v>22</v>
      </c>
      <c r="C737">
        <v>0</v>
      </c>
      <c r="D737">
        <v>0</v>
      </c>
      <c r="E737" s="29">
        <v>0</v>
      </c>
      <c r="F737">
        <v>0</v>
      </c>
      <c r="G737">
        <v>0</v>
      </c>
      <c r="H737">
        <v>0</v>
      </c>
      <c r="I737" s="29">
        <v>0</v>
      </c>
      <c r="J737" s="29">
        <v>0</v>
      </c>
      <c r="K737" s="9">
        <v>45310</v>
      </c>
      <c r="L737">
        <f xml:space="preserve"> (交易處理資料__3[[#This Row],[售出工時]] * 60) / 5</f>
        <v>0</v>
      </c>
      <c r="M737" t="str">
        <f>VLOOKUP(交易處理資料__3[[#This Row],[人員代號]],團隊分組!$B$1:$C$52,2,FALSE)</f>
        <v>快速保養團隊A</v>
      </c>
      <c r="N737" t="str">
        <f>IF(交易處理資料__3[[#This Row],[上班時間]]=0,"否","是")</f>
        <v>否</v>
      </c>
      <c r="O737" t="s">
        <v>76</v>
      </c>
      <c r="P737" s="38">
        <v>0</v>
      </c>
      <c r="Q737" s="38">
        <v>0</v>
      </c>
      <c r="R737" s="38">
        <v>0</v>
      </c>
    </row>
    <row r="738" spans="1:18" hidden="1">
      <c r="A738" t="s">
        <v>76</v>
      </c>
      <c r="B738" t="s">
        <v>25</v>
      </c>
      <c r="C738">
        <v>3.33</v>
      </c>
      <c r="D738">
        <v>5.6</v>
      </c>
      <c r="E738" s="29">
        <v>0.59520000000000006</v>
      </c>
      <c r="F738">
        <v>5.87</v>
      </c>
      <c r="G738">
        <v>2.4900000000000002</v>
      </c>
      <c r="H738">
        <v>8.36</v>
      </c>
      <c r="I738" s="29">
        <v>0.70219999999999994</v>
      </c>
      <c r="J738" s="29">
        <v>0.3987</v>
      </c>
      <c r="K738" s="9">
        <v>45310</v>
      </c>
      <c r="L738">
        <f xml:space="preserve"> (交易處理資料__3[[#This Row],[售出工時]] * 60) / 5</f>
        <v>39.96</v>
      </c>
      <c r="M738" t="str">
        <f>VLOOKUP(交易處理資料__3[[#This Row],[人員代號]],團隊分組!$B$1:$C$52,2,FALSE)</f>
        <v>查修團隊A</v>
      </c>
      <c r="N738" t="str">
        <f>IF(交易處理資料__3[[#This Row],[上班時間]]=0,"否","是")</f>
        <v>是</v>
      </c>
      <c r="O738" t="s">
        <v>76</v>
      </c>
      <c r="P738" s="37">
        <v>0.59520000000000006</v>
      </c>
      <c r="Q738" s="37">
        <v>0.3987</v>
      </c>
      <c r="R738" s="37">
        <v>0.70219999999999994</v>
      </c>
    </row>
    <row r="739" spans="1:18" hidden="1">
      <c r="A739" t="s">
        <v>76</v>
      </c>
      <c r="B739" t="s">
        <v>26</v>
      </c>
      <c r="C739">
        <v>1</v>
      </c>
      <c r="D739">
        <v>1.27</v>
      </c>
      <c r="E739" s="29">
        <v>0.78739999999999999</v>
      </c>
      <c r="F739">
        <v>3.19</v>
      </c>
      <c r="G739">
        <v>4.9800000000000004</v>
      </c>
      <c r="H739">
        <v>8.17</v>
      </c>
      <c r="I739" s="29">
        <v>0.39049999999999996</v>
      </c>
      <c r="J739" s="29">
        <v>0.12240000000000001</v>
      </c>
      <c r="K739" s="9">
        <v>45310</v>
      </c>
      <c r="L739">
        <f xml:space="preserve"> (交易處理資料__3[[#This Row],[售出工時]] * 60) / 5</f>
        <v>12</v>
      </c>
      <c r="M739" t="str">
        <f>VLOOKUP(交易處理資料__3[[#This Row],[人員代號]],團隊分組!$B$1:$C$52,2,FALSE)</f>
        <v>查修團隊B</v>
      </c>
      <c r="N739" t="str">
        <f>IF(交易處理資料__3[[#This Row],[上班時間]]=0,"否","是")</f>
        <v>是</v>
      </c>
      <c r="O739" t="s">
        <v>76</v>
      </c>
      <c r="P739" s="38">
        <v>0.78739999999999999</v>
      </c>
      <c r="Q739" s="38">
        <v>0.12240000000000001</v>
      </c>
      <c r="R739" s="38">
        <v>0.39049999999999996</v>
      </c>
    </row>
    <row r="740" spans="1:18" hidden="1">
      <c r="A740" t="s">
        <v>76</v>
      </c>
      <c r="B740" t="s">
        <v>29</v>
      </c>
      <c r="C740">
        <v>1</v>
      </c>
      <c r="D740">
        <v>1.17</v>
      </c>
      <c r="E740" s="29">
        <v>0.85470000000000002</v>
      </c>
      <c r="F740">
        <v>6.55</v>
      </c>
      <c r="G740">
        <v>1.61</v>
      </c>
      <c r="H740">
        <v>8.16</v>
      </c>
      <c r="I740" s="29">
        <v>0.80269999999999997</v>
      </c>
      <c r="J740" s="29">
        <v>0.1225</v>
      </c>
      <c r="K740" s="9">
        <v>45310</v>
      </c>
      <c r="L740">
        <f xml:space="preserve"> (交易處理資料__3[[#This Row],[售出工時]] * 60) / 5</f>
        <v>12</v>
      </c>
      <c r="M740" t="str">
        <f>VLOOKUP(交易處理資料__3[[#This Row],[人員代號]],團隊分組!$B$1:$C$52,2,FALSE)</f>
        <v>查修團隊B</v>
      </c>
      <c r="N740" t="str">
        <f>IF(交易處理資料__3[[#This Row],[上班時間]]=0,"否","是")</f>
        <v>是</v>
      </c>
      <c r="O740" t="s">
        <v>76</v>
      </c>
      <c r="P740" s="37">
        <v>0.85470000000000002</v>
      </c>
      <c r="Q740" s="37">
        <v>0.1225</v>
      </c>
      <c r="R740" s="37">
        <v>0.80269999999999997</v>
      </c>
    </row>
    <row r="741" spans="1:18" hidden="1">
      <c r="A741" t="s">
        <v>76</v>
      </c>
      <c r="B741" t="s">
        <v>31</v>
      </c>
      <c r="C741">
        <v>0</v>
      </c>
      <c r="D741">
        <v>0</v>
      </c>
      <c r="E741" s="29">
        <v>0</v>
      </c>
      <c r="F741">
        <v>0</v>
      </c>
      <c r="G741">
        <v>0</v>
      </c>
      <c r="H741">
        <v>0</v>
      </c>
      <c r="I741" s="29">
        <v>0</v>
      </c>
      <c r="J741" s="29">
        <v>0</v>
      </c>
      <c r="K741" s="9">
        <v>45310</v>
      </c>
      <c r="L741">
        <f xml:space="preserve"> (交易處理資料__3[[#This Row],[售出工時]] * 60) / 5</f>
        <v>0</v>
      </c>
      <c r="M741" t="str">
        <f>VLOOKUP(交易處理資料__3[[#This Row],[人員代號]],團隊分組!$B$1:$C$52,2,FALSE)</f>
        <v>快速保養團隊A</v>
      </c>
      <c r="N741" t="str">
        <f>IF(交易處理資料__3[[#This Row],[上班時間]]=0,"否","是")</f>
        <v>否</v>
      </c>
      <c r="O741" t="s">
        <v>76</v>
      </c>
      <c r="P741" s="38">
        <v>0</v>
      </c>
      <c r="Q741" s="38">
        <v>0</v>
      </c>
      <c r="R741" s="38">
        <v>0</v>
      </c>
    </row>
    <row r="742" spans="1:18" hidden="1">
      <c r="A742" t="s">
        <v>76</v>
      </c>
      <c r="B742" t="s">
        <v>33</v>
      </c>
      <c r="C742">
        <v>0</v>
      </c>
      <c r="D742">
        <v>0</v>
      </c>
      <c r="E742" s="29">
        <v>0</v>
      </c>
      <c r="F742">
        <v>0</v>
      </c>
      <c r="G742">
        <v>0</v>
      </c>
      <c r="H742">
        <v>0</v>
      </c>
      <c r="I742" s="29">
        <v>0</v>
      </c>
      <c r="J742" s="29">
        <v>0</v>
      </c>
      <c r="K742" s="9">
        <v>45310</v>
      </c>
      <c r="L742">
        <f xml:space="preserve"> (交易處理資料__3[[#This Row],[售出工時]] * 60) / 5</f>
        <v>0</v>
      </c>
      <c r="M742" t="str">
        <f>VLOOKUP(交易處理資料__3[[#This Row],[人員代號]],團隊分組!$B$1:$C$52,2,FALSE)</f>
        <v>快速保養團隊B</v>
      </c>
      <c r="N742" t="str">
        <f>IF(交易處理資料__3[[#This Row],[上班時間]]=0,"否","是")</f>
        <v>否</v>
      </c>
      <c r="O742" t="s">
        <v>76</v>
      </c>
      <c r="P742" s="37">
        <v>0</v>
      </c>
      <c r="Q742" s="37">
        <v>0</v>
      </c>
      <c r="R742" s="37">
        <v>0</v>
      </c>
    </row>
    <row r="743" spans="1:18" hidden="1">
      <c r="A743" t="s">
        <v>76</v>
      </c>
      <c r="B743" t="s">
        <v>36</v>
      </c>
      <c r="C743">
        <v>0</v>
      </c>
      <c r="D743">
        <v>0</v>
      </c>
      <c r="E743" s="29">
        <v>0</v>
      </c>
      <c r="F743">
        <v>2.4500000000000002</v>
      </c>
      <c r="G743">
        <v>5.86</v>
      </c>
      <c r="H743">
        <v>8.31</v>
      </c>
      <c r="I743" s="29">
        <v>0.29480000000000001</v>
      </c>
      <c r="J743" s="29">
        <v>0</v>
      </c>
      <c r="K743" s="9">
        <v>45310</v>
      </c>
      <c r="L743">
        <f xml:space="preserve"> (交易處理資料__3[[#This Row],[售出工時]] * 60) / 5</f>
        <v>0</v>
      </c>
      <c r="M743" t="str">
        <f>VLOOKUP(交易處理資料__3[[#This Row],[人員代號]],團隊分組!$B$1:$C$52,2,FALSE)</f>
        <v>查修團隊B</v>
      </c>
      <c r="N743" t="str">
        <f>IF(交易處理資料__3[[#This Row],[上班時間]]=0,"否","是")</f>
        <v>是</v>
      </c>
      <c r="O743" t="s">
        <v>76</v>
      </c>
      <c r="P743" s="38">
        <v>0</v>
      </c>
      <c r="Q743" s="38">
        <v>0</v>
      </c>
      <c r="R743" s="38">
        <v>0.29480000000000001</v>
      </c>
    </row>
    <row r="744" spans="1:18" hidden="1">
      <c r="A744" t="s">
        <v>76</v>
      </c>
      <c r="B744" t="s">
        <v>37</v>
      </c>
      <c r="C744">
        <v>4.74</v>
      </c>
      <c r="D744">
        <v>7.58</v>
      </c>
      <c r="E744" s="29">
        <v>0.62529999999999997</v>
      </c>
      <c r="F744">
        <v>7.75</v>
      </c>
      <c r="G744">
        <v>2.17</v>
      </c>
      <c r="H744">
        <v>9.92</v>
      </c>
      <c r="I744" s="29">
        <v>0.78129999999999999</v>
      </c>
      <c r="J744" s="29">
        <v>0.4778</v>
      </c>
      <c r="K744" s="9">
        <v>45310</v>
      </c>
      <c r="L744">
        <f xml:space="preserve"> (交易處理資料__3[[#This Row],[售出工時]] * 60) / 5</f>
        <v>56.88000000000001</v>
      </c>
      <c r="M744" t="str">
        <f>VLOOKUP(交易處理資料__3[[#This Row],[人員代號]],團隊分組!$B$1:$C$52,2,FALSE)</f>
        <v>查修團隊A</v>
      </c>
      <c r="N744" t="str">
        <f>IF(交易處理資料__3[[#This Row],[上班時間]]=0,"否","是")</f>
        <v>是</v>
      </c>
      <c r="O744" t="s">
        <v>76</v>
      </c>
      <c r="P744" s="37">
        <v>0.62529999999999997</v>
      </c>
      <c r="Q744" s="37">
        <v>0.4778</v>
      </c>
      <c r="R744" s="37">
        <v>0.78129999999999999</v>
      </c>
    </row>
    <row r="745" spans="1:18" hidden="1">
      <c r="A745" t="s">
        <v>76</v>
      </c>
      <c r="B745" t="s">
        <v>38</v>
      </c>
      <c r="C745">
        <v>23.15</v>
      </c>
      <c r="D745">
        <v>10.7</v>
      </c>
      <c r="E745" s="29">
        <v>2.1635</v>
      </c>
      <c r="F745">
        <v>9.73</v>
      </c>
      <c r="G745">
        <v>1.51</v>
      </c>
      <c r="H745">
        <v>11.24</v>
      </c>
      <c r="I745" s="29">
        <v>0.86569999999999991</v>
      </c>
      <c r="J745" s="29">
        <v>2.0596000000000001</v>
      </c>
      <c r="K745" s="9">
        <v>45310</v>
      </c>
      <c r="L745">
        <f xml:space="preserve"> (交易處理資料__3[[#This Row],[售出工時]] * 60) / 5</f>
        <v>277.8</v>
      </c>
      <c r="M745" t="str">
        <f>VLOOKUP(交易處理資料__3[[#This Row],[人員代號]],團隊分組!$B$1:$C$52,2,FALSE)</f>
        <v>快速保養團隊A</v>
      </c>
      <c r="N745" t="str">
        <f>IF(交易處理資料__3[[#This Row],[上班時間]]=0,"否","是")</f>
        <v>是</v>
      </c>
      <c r="O745" t="s">
        <v>76</v>
      </c>
      <c r="P745" s="38">
        <v>2.1635</v>
      </c>
      <c r="Q745" s="38">
        <v>2.0596000000000001</v>
      </c>
      <c r="R745" s="38">
        <v>0.86569999999999991</v>
      </c>
    </row>
    <row r="746" spans="1:18" hidden="1">
      <c r="A746" t="s">
        <v>76</v>
      </c>
      <c r="B746" t="s">
        <v>41</v>
      </c>
      <c r="C746">
        <v>14.41</v>
      </c>
      <c r="D746">
        <v>7.45</v>
      </c>
      <c r="E746" s="29">
        <v>1.9350999999999998</v>
      </c>
      <c r="F746">
        <v>7.12</v>
      </c>
      <c r="G746">
        <v>1.01</v>
      </c>
      <c r="H746">
        <v>8.1300000000000008</v>
      </c>
      <c r="I746" s="29">
        <v>0.87580000000000002</v>
      </c>
      <c r="J746" s="29">
        <v>1.7733000000000001</v>
      </c>
      <c r="K746" s="9">
        <v>45310</v>
      </c>
      <c r="L746">
        <f xml:space="preserve"> (交易處理資料__3[[#This Row],[售出工時]] * 60) / 5</f>
        <v>172.92000000000002</v>
      </c>
      <c r="M746" t="str">
        <f>VLOOKUP(交易處理資料__3[[#This Row],[人員代號]],團隊分組!$B$1:$C$52,2,FALSE)</f>
        <v>快速保養團隊A</v>
      </c>
      <c r="N746" t="str">
        <f>IF(交易處理資料__3[[#This Row],[上班時間]]=0,"否","是")</f>
        <v>是</v>
      </c>
      <c r="O746" t="s">
        <v>76</v>
      </c>
      <c r="P746" s="37">
        <v>1.9350999999999998</v>
      </c>
      <c r="Q746" s="37">
        <v>1.7733000000000001</v>
      </c>
      <c r="R746" s="37">
        <v>0.87580000000000002</v>
      </c>
    </row>
    <row r="747" spans="1:18" hidden="1">
      <c r="A747" t="s">
        <v>76</v>
      </c>
      <c r="B747" t="s">
        <v>42</v>
      </c>
      <c r="C747">
        <v>7.32</v>
      </c>
      <c r="D747">
        <v>7.02</v>
      </c>
      <c r="E747" s="29">
        <v>1.0431999999999999</v>
      </c>
      <c r="F747">
        <v>5.37</v>
      </c>
      <c r="G747">
        <v>2.56</v>
      </c>
      <c r="H747">
        <v>7.93</v>
      </c>
      <c r="I747" s="29">
        <v>0.67720000000000002</v>
      </c>
      <c r="J747" s="29">
        <v>0.92349999999999999</v>
      </c>
      <c r="K747" s="9">
        <v>45310</v>
      </c>
      <c r="L747">
        <f xml:space="preserve"> (交易處理資料__3[[#This Row],[售出工時]] * 60) / 5</f>
        <v>87.84</v>
      </c>
      <c r="M747" t="str">
        <f>VLOOKUP(交易處理資料__3[[#This Row],[人員代號]],團隊分組!$B$1:$C$52,2,FALSE)</f>
        <v>快速保養團隊A</v>
      </c>
      <c r="N747" t="str">
        <f>IF(交易處理資料__3[[#This Row],[上班時間]]=0,"否","是")</f>
        <v>是</v>
      </c>
      <c r="O747" t="s">
        <v>76</v>
      </c>
      <c r="P747" s="38">
        <v>1.0431999999999999</v>
      </c>
      <c r="Q747" s="38">
        <v>0.92349999999999999</v>
      </c>
      <c r="R747" s="38">
        <v>0.67720000000000002</v>
      </c>
    </row>
    <row r="748" spans="1:18" hidden="1">
      <c r="A748" t="s">
        <v>76</v>
      </c>
      <c r="B748" t="s">
        <v>43</v>
      </c>
      <c r="C748">
        <v>1.66</v>
      </c>
      <c r="D748">
        <v>4.1500000000000004</v>
      </c>
      <c r="E748" s="29">
        <v>0.40159999999999996</v>
      </c>
      <c r="F748">
        <v>6.02</v>
      </c>
      <c r="G748">
        <v>2.14</v>
      </c>
      <c r="H748">
        <v>8.16</v>
      </c>
      <c r="I748" s="29">
        <v>0.73769999999999991</v>
      </c>
      <c r="J748" s="29">
        <v>0.20420000000000002</v>
      </c>
      <c r="K748" s="9">
        <v>45310</v>
      </c>
      <c r="L748">
        <f xml:space="preserve"> (交易處理資料__3[[#This Row],[售出工時]] * 60) / 5</f>
        <v>19.919999999999998</v>
      </c>
      <c r="M748" t="str">
        <f>VLOOKUP(交易處理資料__3[[#This Row],[人員代號]],團隊分組!$B$1:$C$52,2,FALSE)</f>
        <v>查修團隊B</v>
      </c>
      <c r="N748" t="str">
        <f>IF(交易處理資料__3[[#This Row],[上班時間]]=0,"否","是")</f>
        <v>是</v>
      </c>
      <c r="O748" t="s">
        <v>76</v>
      </c>
      <c r="P748" s="37">
        <v>0.40159999999999996</v>
      </c>
      <c r="Q748" s="37">
        <v>0.20420000000000002</v>
      </c>
      <c r="R748" s="37">
        <v>0.73769999999999991</v>
      </c>
    </row>
    <row r="749" spans="1:18" hidden="1">
      <c r="A749" t="s">
        <v>76</v>
      </c>
      <c r="B749" t="s">
        <v>46</v>
      </c>
      <c r="C749">
        <v>0</v>
      </c>
      <c r="D749">
        <v>0</v>
      </c>
      <c r="E749" s="29">
        <v>0</v>
      </c>
      <c r="F749">
        <v>4.54</v>
      </c>
      <c r="G749">
        <v>3.58</v>
      </c>
      <c r="H749">
        <v>8.1199999999999992</v>
      </c>
      <c r="I749" s="29">
        <v>0.55909999999999993</v>
      </c>
      <c r="J749" s="29">
        <v>0</v>
      </c>
      <c r="K749" s="9">
        <v>45310</v>
      </c>
      <c r="L749">
        <f xml:space="preserve"> (交易處理資料__3[[#This Row],[售出工時]] * 60) / 5</f>
        <v>0</v>
      </c>
      <c r="M749" t="str">
        <f>VLOOKUP(交易處理資料__3[[#This Row],[人員代號]],團隊分組!$B$1:$C$52,2,FALSE)</f>
        <v>查修團隊B</v>
      </c>
      <c r="N749" t="str">
        <f>IF(交易處理資料__3[[#This Row],[上班時間]]=0,"否","是")</f>
        <v>是</v>
      </c>
      <c r="O749" t="s">
        <v>76</v>
      </c>
      <c r="P749" s="38">
        <v>0</v>
      </c>
      <c r="Q749" s="38">
        <v>0</v>
      </c>
      <c r="R749" s="38">
        <v>0.55909999999999993</v>
      </c>
    </row>
    <row r="750" spans="1:18" hidden="1">
      <c r="A750" t="s">
        <v>76</v>
      </c>
      <c r="B750" t="s">
        <v>47</v>
      </c>
      <c r="C750">
        <v>4.07</v>
      </c>
      <c r="D750">
        <v>6.52</v>
      </c>
      <c r="E750" s="29">
        <v>0.62470000000000003</v>
      </c>
      <c r="F750">
        <v>2.17</v>
      </c>
      <c r="G750">
        <v>6</v>
      </c>
      <c r="H750">
        <v>8.17</v>
      </c>
      <c r="I750" s="29">
        <v>0.2656</v>
      </c>
      <c r="J750" s="29">
        <v>0.49859999999999999</v>
      </c>
      <c r="K750" s="9">
        <v>45310</v>
      </c>
      <c r="L750">
        <f xml:space="preserve"> (交易處理資料__3[[#This Row],[售出工時]] * 60) / 5</f>
        <v>48.84</v>
      </c>
      <c r="M750" t="str">
        <f>VLOOKUP(交易處理資料__3[[#This Row],[人員代號]],團隊分組!$B$1:$C$52,2,FALSE)</f>
        <v>查修團隊B</v>
      </c>
      <c r="N750" t="str">
        <f>IF(交易處理資料__3[[#This Row],[上班時間]]=0,"否","是")</f>
        <v>是</v>
      </c>
      <c r="O750" t="s">
        <v>76</v>
      </c>
      <c r="P750" s="37">
        <v>0.62470000000000003</v>
      </c>
      <c r="Q750" s="37">
        <v>0.49859999999999999</v>
      </c>
      <c r="R750" s="37">
        <v>0.2656</v>
      </c>
    </row>
    <row r="751" spans="1:18" hidden="1">
      <c r="A751" t="s">
        <v>76</v>
      </c>
      <c r="B751" t="s">
        <v>51</v>
      </c>
      <c r="C751">
        <v>0</v>
      </c>
      <c r="D751">
        <v>0</v>
      </c>
      <c r="E751" s="29">
        <v>0</v>
      </c>
      <c r="F751">
        <v>0</v>
      </c>
      <c r="G751">
        <v>0</v>
      </c>
      <c r="H751">
        <v>0</v>
      </c>
      <c r="I751" s="29">
        <v>0</v>
      </c>
      <c r="J751" s="29">
        <v>0</v>
      </c>
      <c r="K751" s="9">
        <v>45310</v>
      </c>
      <c r="L751">
        <f xml:space="preserve"> (交易處理資料__3[[#This Row],[售出工時]] * 60) / 5</f>
        <v>0</v>
      </c>
      <c r="M751" t="str">
        <f>VLOOKUP(交易處理資料__3[[#This Row],[人員代號]],團隊分組!$B$1:$C$52,2,FALSE)</f>
        <v>無效數據</v>
      </c>
      <c r="N751" t="str">
        <f>IF(交易處理資料__3[[#This Row],[上班時間]]=0,"否","是")</f>
        <v>否</v>
      </c>
      <c r="O751" t="s">
        <v>76</v>
      </c>
      <c r="P751" s="38">
        <v>0</v>
      </c>
      <c r="Q751" s="38">
        <v>0</v>
      </c>
      <c r="R751" s="38">
        <v>0</v>
      </c>
    </row>
    <row r="752" spans="1:18" hidden="1">
      <c r="A752" s="10" t="s">
        <v>74</v>
      </c>
      <c r="B752" t="s">
        <v>1</v>
      </c>
      <c r="C752">
        <v>0</v>
      </c>
      <c r="D752">
        <v>0</v>
      </c>
      <c r="E752" s="29">
        <v>0</v>
      </c>
      <c r="F752">
        <v>0</v>
      </c>
      <c r="G752">
        <v>0</v>
      </c>
      <c r="H752">
        <v>0</v>
      </c>
      <c r="I752" s="29">
        <v>0</v>
      </c>
      <c r="J752" s="29">
        <v>0</v>
      </c>
      <c r="K752" s="9">
        <v>45311</v>
      </c>
      <c r="L752">
        <f xml:space="preserve"> (交易處理資料__3[[#This Row],[售出工時]] * 60) / 5</f>
        <v>0</v>
      </c>
      <c r="M752" t="str">
        <f>VLOOKUP(交易處理資料__3[[#This Row],[人員代號]],團隊分組!$B$1:$C$52,2,FALSE)</f>
        <v>噴漆維修組</v>
      </c>
      <c r="N752" t="str">
        <f>IF(交易處理資料__3[[#This Row],[上班時間]]=0,"否","是")</f>
        <v>否</v>
      </c>
      <c r="O752" s="10" t="s">
        <v>74</v>
      </c>
      <c r="P752" s="37">
        <v>0</v>
      </c>
      <c r="Q752" s="37">
        <v>0</v>
      </c>
      <c r="R752" s="37">
        <v>0</v>
      </c>
    </row>
    <row r="753" spans="1:18" hidden="1">
      <c r="A753" s="10" t="s">
        <v>74</v>
      </c>
      <c r="B753" t="s">
        <v>2</v>
      </c>
      <c r="C753">
        <v>0</v>
      </c>
      <c r="D753">
        <v>0</v>
      </c>
      <c r="E753" s="29">
        <v>0</v>
      </c>
      <c r="F753">
        <v>0</v>
      </c>
      <c r="G753">
        <v>0</v>
      </c>
      <c r="H753">
        <v>0</v>
      </c>
      <c r="I753" s="29">
        <v>0</v>
      </c>
      <c r="J753" s="29">
        <v>0</v>
      </c>
      <c r="K753" s="9">
        <v>45311</v>
      </c>
      <c r="L753">
        <f xml:space="preserve"> (交易處理資料__3[[#This Row],[售出工時]] * 60) / 5</f>
        <v>0</v>
      </c>
      <c r="M753" t="str">
        <f>VLOOKUP(交易處理資料__3[[#This Row],[人員代號]],團隊分組!$B$1:$C$52,2,FALSE)</f>
        <v>噴漆維修組</v>
      </c>
      <c r="N753" t="str">
        <f>IF(交易處理資料__3[[#This Row],[上班時間]]=0,"否","是")</f>
        <v>否</v>
      </c>
      <c r="O753" s="10" t="s">
        <v>74</v>
      </c>
      <c r="P753" s="38">
        <v>0</v>
      </c>
      <c r="Q753" s="38">
        <v>0</v>
      </c>
      <c r="R753" s="38">
        <v>0</v>
      </c>
    </row>
    <row r="754" spans="1:18" hidden="1">
      <c r="A754" s="10" t="s">
        <v>74</v>
      </c>
      <c r="B754" t="s">
        <v>3</v>
      </c>
      <c r="C754">
        <v>0</v>
      </c>
      <c r="D754">
        <v>0</v>
      </c>
      <c r="E754" s="29">
        <v>0</v>
      </c>
      <c r="F754">
        <v>0</v>
      </c>
      <c r="G754">
        <v>0</v>
      </c>
      <c r="H754">
        <v>0</v>
      </c>
      <c r="I754" s="29">
        <v>0</v>
      </c>
      <c r="J754" s="29">
        <v>0</v>
      </c>
      <c r="K754" s="9">
        <v>45311</v>
      </c>
      <c r="L754">
        <f xml:space="preserve"> (交易處理資料__3[[#This Row],[售出工時]] * 60) / 5</f>
        <v>0</v>
      </c>
      <c r="M754" t="str">
        <f>VLOOKUP(交易處理資料__3[[#This Row],[人員代號]],團隊分組!$B$1:$C$52,2,FALSE)</f>
        <v>噴漆維修組</v>
      </c>
      <c r="N754" t="str">
        <f>IF(交易處理資料__3[[#This Row],[上班時間]]=0,"否","是")</f>
        <v>否</v>
      </c>
      <c r="O754" s="10" t="s">
        <v>74</v>
      </c>
      <c r="P754" s="37">
        <v>0</v>
      </c>
      <c r="Q754" s="37">
        <v>0</v>
      </c>
      <c r="R754" s="37">
        <v>0</v>
      </c>
    </row>
    <row r="755" spans="1:18" hidden="1">
      <c r="A755" s="10" t="s">
        <v>74</v>
      </c>
      <c r="B755" t="s">
        <v>4</v>
      </c>
      <c r="C755">
        <v>0</v>
      </c>
      <c r="D755">
        <v>0</v>
      </c>
      <c r="E755" s="29">
        <v>0</v>
      </c>
      <c r="F755">
        <v>0</v>
      </c>
      <c r="G755">
        <v>0</v>
      </c>
      <c r="H755">
        <v>0</v>
      </c>
      <c r="I755" s="29">
        <v>0</v>
      </c>
      <c r="J755" s="29">
        <v>0</v>
      </c>
      <c r="K755" s="9">
        <v>45311</v>
      </c>
      <c r="L755">
        <f xml:space="preserve"> (交易處理資料__3[[#This Row],[售出工時]] * 60) / 5</f>
        <v>0</v>
      </c>
      <c r="M755" t="str">
        <f>VLOOKUP(交易處理資料__3[[#This Row],[人員代號]],團隊分組!$B$1:$C$52,2,FALSE)</f>
        <v>噴漆維修組</v>
      </c>
      <c r="N755" t="str">
        <f>IF(交易處理資料__3[[#This Row],[上班時間]]=0,"否","是")</f>
        <v>否</v>
      </c>
      <c r="O755" s="10" t="s">
        <v>74</v>
      </c>
      <c r="P755" s="38">
        <v>0</v>
      </c>
      <c r="Q755" s="38">
        <v>0</v>
      </c>
      <c r="R755" s="38">
        <v>0</v>
      </c>
    </row>
    <row r="756" spans="1:18" hidden="1">
      <c r="A756" s="10" t="s">
        <v>74</v>
      </c>
      <c r="B756" t="s">
        <v>5</v>
      </c>
      <c r="C756">
        <v>0</v>
      </c>
      <c r="D756">
        <v>0</v>
      </c>
      <c r="E756" s="29">
        <v>0</v>
      </c>
      <c r="F756">
        <v>0</v>
      </c>
      <c r="G756">
        <v>0</v>
      </c>
      <c r="H756">
        <v>0</v>
      </c>
      <c r="I756" s="29">
        <v>0</v>
      </c>
      <c r="J756" s="29">
        <v>0</v>
      </c>
      <c r="K756" s="9">
        <v>45311</v>
      </c>
      <c r="L756">
        <f xml:space="preserve"> (交易處理資料__3[[#This Row],[售出工時]] * 60) / 5</f>
        <v>0</v>
      </c>
      <c r="M756" t="str">
        <f>VLOOKUP(交易處理資料__3[[#This Row],[人員代號]],團隊分組!$B$1:$C$52,2,FALSE)</f>
        <v>噴漆維修組</v>
      </c>
      <c r="N756" t="str">
        <f>IF(交易處理資料__3[[#This Row],[上班時間]]=0,"否","是")</f>
        <v>否</v>
      </c>
      <c r="O756" s="10" t="s">
        <v>74</v>
      </c>
      <c r="P756" s="37">
        <v>0</v>
      </c>
      <c r="Q756" s="37">
        <v>0</v>
      </c>
      <c r="R756" s="37">
        <v>0</v>
      </c>
    </row>
    <row r="757" spans="1:18" hidden="1">
      <c r="A757" s="10" t="s">
        <v>74</v>
      </c>
      <c r="B757" t="s">
        <v>6</v>
      </c>
      <c r="C757">
        <v>0</v>
      </c>
      <c r="D757">
        <v>0</v>
      </c>
      <c r="E757" s="29">
        <v>0</v>
      </c>
      <c r="F757">
        <v>0</v>
      </c>
      <c r="G757">
        <v>0</v>
      </c>
      <c r="H757">
        <v>0</v>
      </c>
      <c r="I757" s="29">
        <v>0</v>
      </c>
      <c r="J757" s="29">
        <v>0</v>
      </c>
      <c r="K757" s="9">
        <v>45311</v>
      </c>
      <c r="L757">
        <f xml:space="preserve"> (交易處理資料__3[[#This Row],[售出工時]] * 60) / 5</f>
        <v>0</v>
      </c>
      <c r="M757" t="str">
        <f>VLOOKUP(交易處理資料__3[[#This Row],[人員代號]],團隊分組!$B$1:$C$52,2,FALSE)</f>
        <v>噴漆維修組</v>
      </c>
      <c r="N757" t="str">
        <f>IF(交易處理資料__3[[#This Row],[上班時間]]=0,"否","是")</f>
        <v>否</v>
      </c>
      <c r="O757" s="10" t="s">
        <v>74</v>
      </c>
      <c r="P757" s="38">
        <v>0</v>
      </c>
      <c r="Q757" s="38">
        <v>0</v>
      </c>
      <c r="R757" s="38">
        <v>0</v>
      </c>
    </row>
    <row r="758" spans="1:18">
      <c r="A758" s="10" t="s">
        <v>74</v>
      </c>
      <c r="B758" t="s">
        <v>7</v>
      </c>
      <c r="C758">
        <v>0</v>
      </c>
      <c r="D758">
        <v>0</v>
      </c>
      <c r="E758" s="29">
        <v>0</v>
      </c>
      <c r="F758">
        <v>0</v>
      </c>
      <c r="G758">
        <v>0</v>
      </c>
      <c r="H758">
        <v>0</v>
      </c>
      <c r="I758" s="29">
        <v>0</v>
      </c>
      <c r="J758" s="29">
        <v>0</v>
      </c>
      <c r="K758" s="9">
        <v>45311</v>
      </c>
      <c r="L758">
        <f xml:space="preserve"> (交易處理資料__3[[#This Row],[售出工時]] * 60) / 5</f>
        <v>0</v>
      </c>
      <c r="M758" t="str">
        <f>VLOOKUP(交易處理資料__3[[#This Row],[人員代號]],團隊分組!$B$1:$C$52,2,FALSE)</f>
        <v>噴漆維修組</v>
      </c>
      <c r="N758" t="str">
        <f>IF(交易處理資料__3[[#This Row],[上班時間]]=0,"否","是")</f>
        <v>否</v>
      </c>
      <c r="O758" s="10" t="s">
        <v>74</v>
      </c>
      <c r="P758" s="37">
        <v>0</v>
      </c>
      <c r="Q758" s="37">
        <v>0</v>
      </c>
      <c r="R758" s="37">
        <v>0</v>
      </c>
    </row>
    <row r="759" spans="1:18" hidden="1">
      <c r="A759" s="10" t="s">
        <v>74</v>
      </c>
      <c r="B759" t="s">
        <v>8</v>
      </c>
      <c r="C759">
        <v>0</v>
      </c>
      <c r="D759">
        <v>0</v>
      </c>
      <c r="E759" s="29">
        <v>0</v>
      </c>
      <c r="F759">
        <v>0</v>
      </c>
      <c r="G759">
        <v>0</v>
      </c>
      <c r="H759">
        <v>0</v>
      </c>
      <c r="I759" s="29">
        <v>0</v>
      </c>
      <c r="J759" s="29">
        <v>0</v>
      </c>
      <c r="K759" s="9">
        <v>45311</v>
      </c>
      <c r="L759">
        <f xml:space="preserve"> (交易處理資料__3[[#This Row],[售出工時]] * 60) / 5</f>
        <v>0</v>
      </c>
      <c r="M759" t="str">
        <f>VLOOKUP(交易處理資料__3[[#This Row],[人員代號]],團隊分組!$B$1:$C$52,2,FALSE)</f>
        <v>噴漆維修組</v>
      </c>
      <c r="N759" t="str">
        <f>IF(交易處理資料__3[[#This Row],[上班時間]]=0,"否","是")</f>
        <v>否</v>
      </c>
      <c r="O759" s="10" t="s">
        <v>74</v>
      </c>
      <c r="P759" s="38">
        <v>0</v>
      </c>
      <c r="Q759" s="38">
        <v>0</v>
      </c>
      <c r="R759" s="38">
        <v>0</v>
      </c>
    </row>
    <row r="760" spans="1:18" hidden="1">
      <c r="A760" s="10" t="s">
        <v>74</v>
      </c>
      <c r="B760" t="s">
        <v>9</v>
      </c>
      <c r="C760">
        <v>0</v>
      </c>
      <c r="D760">
        <v>0</v>
      </c>
      <c r="E760" s="29">
        <v>0</v>
      </c>
      <c r="F760">
        <v>0</v>
      </c>
      <c r="G760">
        <v>0</v>
      </c>
      <c r="H760">
        <v>0</v>
      </c>
      <c r="I760" s="29">
        <v>0</v>
      </c>
      <c r="J760" s="29">
        <v>0</v>
      </c>
      <c r="K760" s="9">
        <v>45311</v>
      </c>
      <c r="L760">
        <f xml:space="preserve"> (交易處理資料__3[[#This Row],[售出工時]] * 60) / 5</f>
        <v>0</v>
      </c>
      <c r="M760" t="str">
        <f>VLOOKUP(交易處理資料__3[[#This Row],[人員代號]],團隊分組!$B$1:$C$52,2,FALSE)</f>
        <v>噴漆維修組</v>
      </c>
      <c r="N760" t="str">
        <f>IF(交易處理資料__3[[#This Row],[上班時間]]=0,"否","是")</f>
        <v>否</v>
      </c>
      <c r="O760" s="10" t="s">
        <v>74</v>
      </c>
      <c r="P760" s="37">
        <v>0</v>
      </c>
      <c r="Q760" s="37">
        <v>0</v>
      </c>
      <c r="R760" s="37">
        <v>0</v>
      </c>
    </row>
    <row r="761" spans="1:18" hidden="1">
      <c r="A761" t="s">
        <v>75</v>
      </c>
      <c r="B761" t="s">
        <v>11</v>
      </c>
      <c r="C761">
        <v>0</v>
      </c>
      <c r="D761">
        <v>0</v>
      </c>
      <c r="E761" s="29">
        <v>0</v>
      </c>
      <c r="F761">
        <v>0</v>
      </c>
      <c r="G761">
        <v>0</v>
      </c>
      <c r="H761">
        <v>0</v>
      </c>
      <c r="I761" s="29">
        <v>0</v>
      </c>
      <c r="J761" s="29">
        <v>0</v>
      </c>
      <c r="K761" s="9">
        <v>45311</v>
      </c>
      <c r="L761">
        <f xml:space="preserve"> (交易處理資料__3[[#This Row],[售出工時]] * 60) / 5</f>
        <v>0</v>
      </c>
      <c r="M761" t="str">
        <f>VLOOKUP(交易處理資料__3[[#This Row],[人員代號]],團隊分組!$B$1:$C$52,2,FALSE)</f>
        <v>鈑金維修組</v>
      </c>
      <c r="N761" t="str">
        <f>IF(交易處理資料__3[[#This Row],[上班時間]]=0,"否","是")</f>
        <v>否</v>
      </c>
      <c r="O761" t="s">
        <v>75</v>
      </c>
      <c r="P761" s="38">
        <v>0</v>
      </c>
      <c r="Q761" s="38">
        <v>0</v>
      </c>
      <c r="R761" s="38">
        <v>0</v>
      </c>
    </row>
    <row r="762" spans="1:18" hidden="1">
      <c r="A762" t="s">
        <v>75</v>
      </c>
      <c r="B762" t="s">
        <v>12</v>
      </c>
      <c r="C762">
        <v>0</v>
      </c>
      <c r="D762">
        <v>0</v>
      </c>
      <c r="E762" s="29">
        <v>0</v>
      </c>
      <c r="F762">
        <v>0</v>
      </c>
      <c r="G762">
        <v>0</v>
      </c>
      <c r="H762">
        <v>0</v>
      </c>
      <c r="I762" s="29">
        <v>0</v>
      </c>
      <c r="J762" s="29">
        <v>0</v>
      </c>
      <c r="K762" s="9">
        <v>45311</v>
      </c>
      <c r="L762">
        <f xml:space="preserve"> (交易處理資料__3[[#This Row],[售出工時]] * 60) / 5</f>
        <v>0</v>
      </c>
      <c r="M762" t="str">
        <f>VLOOKUP(交易處理資料__3[[#This Row],[人員代號]],團隊分組!$B$1:$C$52,2,FALSE)</f>
        <v>鈑金維修組</v>
      </c>
      <c r="N762" t="str">
        <f>IF(交易處理資料__3[[#This Row],[上班時間]]=0,"否","是")</f>
        <v>否</v>
      </c>
      <c r="O762" t="s">
        <v>75</v>
      </c>
      <c r="P762" s="37">
        <v>0</v>
      </c>
      <c r="Q762" s="37">
        <v>0</v>
      </c>
      <c r="R762" s="37">
        <v>0</v>
      </c>
    </row>
    <row r="763" spans="1:18" hidden="1">
      <c r="A763" t="s">
        <v>75</v>
      </c>
      <c r="B763" t="s">
        <v>13</v>
      </c>
      <c r="C763">
        <v>0</v>
      </c>
      <c r="D763">
        <v>0</v>
      </c>
      <c r="E763" s="29">
        <v>0</v>
      </c>
      <c r="F763">
        <v>0</v>
      </c>
      <c r="G763">
        <v>0</v>
      </c>
      <c r="H763">
        <v>0</v>
      </c>
      <c r="I763" s="29">
        <v>0</v>
      </c>
      <c r="J763" s="29">
        <v>0</v>
      </c>
      <c r="K763" s="9">
        <v>45311</v>
      </c>
      <c r="L763">
        <f xml:space="preserve"> (交易處理資料__3[[#This Row],[售出工時]] * 60) / 5</f>
        <v>0</v>
      </c>
      <c r="M763" t="str">
        <f>VLOOKUP(交易處理資料__3[[#This Row],[人員代號]],團隊分組!$B$1:$C$52,2,FALSE)</f>
        <v>鈑金維修組</v>
      </c>
      <c r="N763" t="str">
        <f>IF(交易處理資料__3[[#This Row],[上班時間]]=0,"否","是")</f>
        <v>否</v>
      </c>
      <c r="O763" t="s">
        <v>75</v>
      </c>
      <c r="P763" s="38">
        <v>0</v>
      </c>
      <c r="Q763" s="38">
        <v>0</v>
      </c>
      <c r="R763" s="38">
        <v>0</v>
      </c>
    </row>
    <row r="764" spans="1:18" hidden="1">
      <c r="A764" t="s">
        <v>75</v>
      </c>
      <c r="B764" t="s">
        <v>14</v>
      </c>
      <c r="C764">
        <v>0</v>
      </c>
      <c r="D764">
        <v>0</v>
      </c>
      <c r="E764" s="29">
        <v>0</v>
      </c>
      <c r="F764">
        <v>0</v>
      </c>
      <c r="G764">
        <v>0</v>
      </c>
      <c r="H764">
        <v>0</v>
      </c>
      <c r="I764" s="29">
        <v>0</v>
      </c>
      <c r="J764" s="29">
        <v>0</v>
      </c>
      <c r="K764" s="9">
        <v>45311</v>
      </c>
      <c r="L764">
        <f xml:space="preserve"> (交易處理資料__3[[#This Row],[售出工時]] * 60) / 5</f>
        <v>0</v>
      </c>
      <c r="M764" t="str">
        <f>VLOOKUP(交易處理資料__3[[#This Row],[人員代號]],團隊分組!$B$1:$C$52,2,FALSE)</f>
        <v>鈑金維修組</v>
      </c>
      <c r="N764" t="str">
        <f>IF(交易處理資料__3[[#This Row],[上班時間]]=0,"否","是")</f>
        <v>否</v>
      </c>
      <c r="O764" t="s">
        <v>75</v>
      </c>
      <c r="P764" s="37">
        <v>0</v>
      </c>
      <c r="Q764" s="37">
        <v>0</v>
      </c>
      <c r="R764" s="37">
        <v>0</v>
      </c>
    </row>
    <row r="765" spans="1:18" hidden="1">
      <c r="A765" t="s">
        <v>75</v>
      </c>
      <c r="B765" t="s">
        <v>15</v>
      </c>
      <c r="C765">
        <v>0</v>
      </c>
      <c r="D765">
        <v>0</v>
      </c>
      <c r="E765" s="29">
        <v>0</v>
      </c>
      <c r="F765">
        <v>0</v>
      </c>
      <c r="G765">
        <v>0</v>
      </c>
      <c r="H765">
        <v>0</v>
      </c>
      <c r="I765" s="29">
        <v>0</v>
      </c>
      <c r="J765" s="29">
        <v>0</v>
      </c>
      <c r="K765" s="9">
        <v>45311</v>
      </c>
      <c r="L765">
        <f xml:space="preserve"> (交易處理資料__3[[#This Row],[售出工時]] * 60) / 5</f>
        <v>0</v>
      </c>
      <c r="M765" t="str">
        <f>VLOOKUP(交易處理資料__3[[#This Row],[人員代號]],團隊分組!$B$1:$C$52,2,FALSE)</f>
        <v>鈑金維修組</v>
      </c>
      <c r="N765" t="str">
        <f>IF(交易處理資料__3[[#This Row],[上班時間]]=0,"否","是")</f>
        <v>否</v>
      </c>
      <c r="O765" t="s">
        <v>75</v>
      </c>
      <c r="P765" s="38">
        <v>0</v>
      </c>
      <c r="Q765" s="38">
        <v>0</v>
      </c>
      <c r="R765" s="38">
        <v>0</v>
      </c>
    </row>
    <row r="766" spans="1:18" hidden="1">
      <c r="A766" t="s">
        <v>76</v>
      </c>
      <c r="B766" t="s">
        <v>17</v>
      </c>
      <c r="C766">
        <v>0</v>
      </c>
      <c r="D766">
        <v>0</v>
      </c>
      <c r="E766" s="29">
        <v>0</v>
      </c>
      <c r="F766">
        <v>0</v>
      </c>
      <c r="G766">
        <v>0</v>
      </c>
      <c r="H766">
        <v>0</v>
      </c>
      <c r="I766" s="29">
        <v>0</v>
      </c>
      <c r="J766" s="29">
        <v>0</v>
      </c>
      <c r="K766" s="9">
        <v>45311</v>
      </c>
      <c r="L766">
        <f xml:space="preserve"> (交易處理資料__3[[#This Row],[售出工時]] * 60) / 5</f>
        <v>0</v>
      </c>
      <c r="M766" t="str">
        <f>VLOOKUP(交易處理資料__3[[#This Row],[人員代號]],團隊分組!$B$1:$C$52,2,FALSE)</f>
        <v>快速保養團隊A</v>
      </c>
      <c r="N766" t="str">
        <f>IF(交易處理資料__3[[#This Row],[上班時間]]=0,"否","是")</f>
        <v>否</v>
      </c>
      <c r="O766" t="s">
        <v>76</v>
      </c>
      <c r="P766" s="37">
        <v>0</v>
      </c>
      <c r="Q766" s="37">
        <v>0</v>
      </c>
      <c r="R766" s="37">
        <v>0</v>
      </c>
    </row>
    <row r="767" spans="1:18" hidden="1">
      <c r="A767" t="s">
        <v>76</v>
      </c>
      <c r="B767" t="s">
        <v>18</v>
      </c>
      <c r="C767">
        <v>0</v>
      </c>
      <c r="D767">
        <v>0</v>
      </c>
      <c r="E767" s="29">
        <v>0</v>
      </c>
      <c r="F767">
        <v>0</v>
      </c>
      <c r="G767">
        <v>0</v>
      </c>
      <c r="H767">
        <v>0</v>
      </c>
      <c r="I767" s="29">
        <v>0</v>
      </c>
      <c r="J767" s="29">
        <v>0</v>
      </c>
      <c r="K767" s="9">
        <v>45311</v>
      </c>
      <c r="L767">
        <f xml:space="preserve"> (交易處理資料__3[[#This Row],[售出工時]] * 60) / 5</f>
        <v>0</v>
      </c>
      <c r="M767" t="str">
        <f>VLOOKUP(交易處理資料__3[[#This Row],[人員代號]],團隊分組!$B$1:$C$52,2,FALSE)</f>
        <v>查修團隊B</v>
      </c>
      <c r="N767" t="str">
        <f>IF(交易處理資料__3[[#This Row],[上班時間]]=0,"否","是")</f>
        <v>否</v>
      </c>
      <c r="O767" t="s">
        <v>76</v>
      </c>
      <c r="P767" s="38">
        <v>0</v>
      </c>
      <c r="Q767" s="38">
        <v>0</v>
      </c>
      <c r="R767" s="38">
        <v>0</v>
      </c>
    </row>
    <row r="768" spans="1:18" hidden="1">
      <c r="A768" t="s">
        <v>76</v>
      </c>
      <c r="B768" t="s">
        <v>19</v>
      </c>
      <c r="C768">
        <v>0</v>
      </c>
      <c r="D768">
        <v>0</v>
      </c>
      <c r="E768" s="29">
        <v>0</v>
      </c>
      <c r="F768">
        <v>0</v>
      </c>
      <c r="G768">
        <v>0</v>
      </c>
      <c r="H768">
        <v>0</v>
      </c>
      <c r="I768" s="29">
        <v>0</v>
      </c>
      <c r="J768" s="29">
        <v>0</v>
      </c>
      <c r="K768" s="9">
        <v>45311</v>
      </c>
      <c r="L768">
        <f xml:space="preserve"> (交易處理資料__3[[#This Row],[售出工時]] * 60) / 5</f>
        <v>0</v>
      </c>
      <c r="M768" t="str">
        <f>VLOOKUP(交易處理資料__3[[#This Row],[人員代號]],團隊分組!$B$1:$C$52,2,FALSE)</f>
        <v>查修團隊A</v>
      </c>
      <c r="N768" t="str">
        <f>IF(交易處理資料__3[[#This Row],[上班時間]]=0,"否","是")</f>
        <v>否</v>
      </c>
      <c r="O768" t="s">
        <v>76</v>
      </c>
      <c r="P768" s="37">
        <v>0</v>
      </c>
      <c r="Q768" s="37">
        <v>0</v>
      </c>
      <c r="R768" s="37">
        <v>0</v>
      </c>
    </row>
    <row r="769" spans="1:18" hidden="1">
      <c r="A769" t="s">
        <v>76</v>
      </c>
      <c r="B769" t="s">
        <v>20</v>
      </c>
      <c r="C769">
        <v>0</v>
      </c>
      <c r="D769">
        <v>0</v>
      </c>
      <c r="E769" s="29">
        <v>0</v>
      </c>
      <c r="F769">
        <v>0</v>
      </c>
      <c r="G769">
        <v>0</v>
      </c>
      <c r="H769">
        <v>0</v>
      </c>
      <c r="I769" s="29">
        <v>0</v>
      </c>
      <c r="J769" s="29">
        <v>0</v>
      </c>
      <c r="K769" s="9">
        <v>45311</v>
      </c>
      <c r="L769">
        <f xml:space="preserve"> (交易處理資料__3[[#This Row],[售出工時]] * 60) / 5</f>
        <v>0</v>
      </c>
      <c r="M769" t="str">
        <f>VLOOKUP(交易處理資料__3[[#This Row],[人員代號]],團隊分組!$B$1:$C$52,2,FALSE)</f>
        <v>查修團隊B</v>
      </c>
      <c r="N769" t="str">
        <f>IF(交易處理資料__3[[#This Row],[上班時間]]=0,"否","是")</f>
        <v>否</v>
      </c>
      <c r="O769" t="s">
        <v>76</v>
      </c>
      <c r="P769" s="38">
        <v>0</v>
      </c>
      <c r="Q769" s="38">
        <v>0</v>
      </c>
      <c r="R769" s="38">
        <v>0</v>
      </c>
    </row>
    <row r="770" spans="1:18" hidden="1">
      <c r="A770" t="s">
        <v>76</v>
      </c>
      <c r="B770" t="s">
        <v>21</v>
      </c>
      <c r="C770">
        <v>0</v>
      </c>
      <c r="D770">
        <v>0</v>
      </c>
      <c r="E770" s="29">
        <v>0</v>
      </c>
      <c r="F770">
        <v>0</v>
      </c>
      <c r="G770">
        <v>0</v>
      </c>
      <c r="H770">
        <v>0</v>
      </c>
      <c r="I770" s="29">
        <v>0</v>
      </c>
      <c r="J770" s="29">
        <v>0</v>
      </c>
      <c r="K770" s="9">
        <v>45311</v>
      </c>
      <c r="L770">
        <f xml:space="preserve"> (交易處理資料__3[[#This Row],[售出工時]] * 60) / 5</f>
        <v>0</v>
      </c>
      <c r="M770" t="str">
        <f>VLOOKUP(交易處理資料__3[[#This Row],[人員代號]],團隊分組!$B$1:$C$52,2,FALSE)</f>
        <v>查修團隊B</v>
      </c>
      <c r="N770" t="str">
        <f>IF(交易處理資料__3[[#This Row],[上班時間]]=0,"否","是")</f>
        <v>否</v>
      </c>
      <c r="O770" t="s">
        <v>76</v>
      </c>
      <c r="P770" s="37">
        <v>0</v>
      </c>
      <c r="Q770" s="37">
        <v>0</v>
      </c>
      <c r="R770" s="37">
        <v>0</v>
      </c>
    </row>
    <row r="771" spans="1:18" hidden="1">
      <c r="A771" t="s">
        <v>76</v>
      </c>
      <c r="B771" t="s">
        <v>22</v>
      </c>
      <c r="C771">
        <v>0</v>
      </c>
      <c r="D771">
        <v>0</v>
      </c>
      <c r="E771" s="29">
        <v>0</v>
      </c>
      <c r="F771">
        <v>0</v>
      </c>
      <c r="G771">
        <v>0</v>
      </c>
      <c r="H771">
        <v>0</v>
      </c>
      <c r="I771" s="29">
        <v>0</v>
      </c>
      <c r="J771" s="29">
        <v>0</v>
      </c>
      <c r="K771" s="9">
        <v>45311</v>
      </c>
      <c r="L771">
        <f xml:space="preserve"> (交易處理資料__3[[#This Row],[售出工時]] * 60) / 5</f>
        <v>0</v>
      </c>
      <c r="M771" t="str">
        <f>VLOOKUP(交易處理資料__3[[#This Row],[人員代號]],團隊分組!$B$1:$C$52,2,FALSE)</f>
        <v>快速保養團隊A</v>
      </c>
      <c r="N771" t="str">
        <f>IF(交易處理資料__3[[#This Row],[上班時間]]=0,"否","是")</f>
        <v>否</v>
      </c>
      <c r="O771" t="s">
        <v>76</v>
      </c>
      <c r="P771" s="38">
        <v>0</v>
      </c>
      <c r="Q771" s="38">
        <v>0</v>
      </c>
      <c r="R771" s="38">
        <v>0</v>
      </c>
    </row>
    <row r="772" spans="1:18" hidden="1">
      <c r="A772" t="s">
        <v>76</v>
      </c>
      <c r="B772" t="s">
        <v>23</v>
      </c>
      <c r="C772">
        <v>0</v>
      </c>
      <c r="D772">
        <v>0</v>
      </c>
      <c r="E772" s="29">
        <v>0</v>
      </c>
      <c r="F772">
        <v>0</v>
      </c>
      <c r="G772">
        <v>0</v>
      </c>
      <c r="H772">
        <v>0</v>
      </c>
      <c r="I772" s="29">
        <v>0</v>
      </c>
      <c r="J772" s="29">
        <v>0</v>
      </c>
      <c r="K772" s="9">
        <v>45311</v>
      </c>
      <c r="L772">
        <f xml:space="preserve"> (交易處理資料__3[[#This Row],[售出工時]] * 60) / 5</f>
        <v>0</v>
      </c>
      <c r="M772" t="str">
        <f>VLOOKUP(交易處理資料__3[[#This Row],[人員代號]],團隊分組!$B$1:$C$52,2,FALSE)</f>
        <v>快速保養團隊B</v>
      </c>
      <c r="N772" t="str">
        <f>IF(交易處理資料__3[[#This Row],[上班時間]]=0,"否","是")</f>
        <v>否</v>
      </c>
      <c r="O772" t="s">
        <v>76</v>
      </c>
      <c r="P772" s="37">
        <v>0</v>
      </c>
      <c r="Q772" s="37">
        <v>0</v>
      </c>
      <c r="R772" s="37">
        <v>0</v>
      </c>
    </row>
    <row r="773" spans="1:18" hidden="1">
      <c r="A773" t="s">
        <v>76</v>
      </c>
      <c r="B773" t="s">
        <v>24</v>
      </c>
      <c r="C773">
        <v>0</v>
      </c>
      <c r="D773">
        <v>0</v>
      </c>
      <c r="E773" s="29">
        <v>0</v>
      </c>
      <c r="F773">
        <v>0</v>
      </c>
      <c r="G773">
        <v>0</v>
      </c>
      <c r="H773">
        <v>0</v>
      </c>
      <c r="I773" s="29">
        <v>0</v>
      </c>
      <c r="J773" s="29">
        <v>0</v>
      </c>
      <c r="K773" s="9">
        <v>45311</v>
      </c>
      <c r="L773">
        <f xml:space="preserve"> (交易處理資料__3[[#This Row],[售出工時]] * 60) / 5</f>
        <v>0</v>
      </c>
      <c r="M773" t="str">
        <f>VLOOKUP(交易處理資料__3[[#This Row],[人員代號]],團隊分組!$B$1:$C$52,2,FALSE)</f>
        <v>快速保養團隊A</v>
      </c>
      <c r="N773" t="str">
        <f>IF(交易處理資料__3[[#This Row],[上班時間]]=0,"否","是")</f>
        <v>否</v>
      </c>
      <c r="O773" t="s">
        <v>76</v>
      </c>
      <c r="P773" s="38">
        <v>0</v>
      </c>
      <c r="Q773" s="38">
        <v>0</v>
      </c>
      <c r="R773" s="38">
        <v>0</v>
      </c>
    </row>
    <row r="774" spans="1:18" hidden="1">
      <c r="A774" t="s">
        <v>76</v>
      </c>
      <c r="B774" t="s">
        <v>25</v>
      </c>
      <c r="C774">
        <v>0</v>
      </c>
      <c r="D774">
        <v>0</v>
      </c>
      <c r="E774" s="29">
        <v>0</v>
      </c>
      <c r="F774">
        <v>0</v>
      </c>
      <c r="G774">
        <v>0</v>
      </c>
      <c r="H774">
        <v>0</v>
      </c>
      <c r="I774" s="29">
        <v>0</v>
      </c>
      <c r="J774" s="29">
        <v>0</v>
      </c>
      <c r="K774" s="9">
        <v>45311</v>
      </c>
      <c r="L774">
        <f xml:space="preserve"> (交易處理資料__3[[#This Row],[售出工時]] * 60) / 5</f>
        <v>0</v>
      </c>
      <c r="M774" t="str">
        <f>VLOOKUP(交易處理資料__3[[#This Row],[人員代號]],團隊分組!$B$1:$C$52,2,FALSE)</f>
        <v>查修團隊A</v>
      </c>
      <c r="N774" t="str">
        <f>IF(交易處理資料__3[[#This Row],[上班時間]]=0,"否","是")</f>
        <v>否</v>
      </c>
      <c r="O774" t="s">
        <v>76</v>
      </c>
      <c r="P774" s="37">
        <v>0</v>
      </c>
      <c r="Q774" s="37">
        <v>0</v>
      </c>
      <c r="R774" s="37">
        <v>0</v>
      </c>
    </row>
    <row r="775" spans="1:18" hidden="1">
      <c r="A775" t="s">
        <v>76</v>
      </c>
      <c r="B775" t="s">
        <v>26</v>
      </c>
      <c r="C775">
        <v>0</v>
      </c>
      <c r="D775">
        <v>0</v>
      </c>
      <c r="E775" s="29">
        <v>0</v>
      </c>
      <c r="F775">
        <v>0</v>
      </c>
      <c r="G775">
        <v>0</v>
      </c>
      <c r="H775">
        <v>0</v>
      </c>
      <c r="I775" s="29">
        <v>0</v>
      </c>
      <c r="J775" s="29">
        <v>0</v>
      </c>
      <c r="K775" s="9">
        <v>45311</v>
      </c>
      <c r="L775">
        <f xml:space="preserve"> (交易處理資料__3[[#This Row],[售出工時]] * 60) / 5</f>
        <v>0</v>
      </c>
      <c r="M775" t="str">
        <f>VLOOKUP(交易處理資料__3[[#This Row],[人員代號]],團隊分組!$B$1:$C$52,2,FALSE)</f>
        <v>查修團隊B</v>
      </c>
      <c r="N775" t="str">
        <f>IF(交易處理資料__3[[#This Row],[上班時間]]=0,"否","是")</f>
        <v>否</v>
      </c>
      <c r="O775" t="s">
        <v>76</v>
      </c>
      <c r="P775" s="38">
        <v>0</v>
      </c>
      <c r="Q775" s="38">
        <v>0</v>
      </c>
      <c r="R775" s="38">
        <v>0</v>
      </c>
    </row>
    <row r="776" spans="1:18" hidden="1">
      <c r="A776" t="s">
        <v>76</v>
      </c>
      <c r="B776" t="s">
        <v>27</v>
      </c>
      <c r="C776">
        <v>0</v>
      </c>
      <c r="D776">
        <v>0</v>
      </c>
      <c r="E776" s="29">
        <v>0</v>
      </c>
      <c r="F776">
        <v>0</v>
      </c>
      <c r="G776">
        <v>0</v>
      </c>
      <c r="H776">
        <v>0</v>
      </c>
      <c r="I776" s="29">
        <v>0</v>
      </c>
      <c r="J776" s="29">
        <v>0</v>
      </c>
      <c r="K776" s="9">
        <v>45311</v>
      </c>
      <c r="L776">
        <f xml:space="preserve"> (交易處理資料__3[[#This Row],[售出工時]] * 60) / 5</f>
        <v>0</v>
      </c>
      <c r="M776" t="str">
        <f>VLOOKUP(交易處理資料__3[[#This Row],[人員代號]],團隊分組!$B$1:$C$52,2,FALSE)</f>
        <v>快速保養團隊B</v>
      </c>
      <c r="N776" t="str">
        <f>IF(交易處理資料__3[[#This Row],[上班時間]]=0,"否","是")</f>
        <v>否</v>
      </c>
      <c r="O776" t="s">
        <v>76</v>
      </c>
      <c r="P776" s="37">
        <v>0</v>
      </c>
      <c r="Q776" s="37">
        <v>0</v>
      </c>
      <c r="R776" s="37">
        <v>0</v>
      </c>
    </row>
    <row r="777" spans="1:18" hidden="1">
      <c r="A777" t="s">
        <v>76</v>
      </c>
      <c r="B777" t="s">
        <v>28</v>
      </c>
      <c r="C777">
        <v>0</v>
      </c>
      <c r="D777">
        <v>0</v>
      </c>
      <c r="E777" s="29">
        <v>0</v>
      </c>
      <c r="F777">
        <v>0</v>
      </c>
      <c r="G777">
        <v>0</v>
      </c>
      <c r="H777">
        <v>0</v>
      </c>
      <c r="I777" s="29">
        <v>0</v>
      </c>
      <c r="J777" s="29">
        <v>0</v>
      </c>
      <c r="K777" s="9">
        <v>45311</v>
      </c>
      <c r="L777">
        <f xml:space="preserve"> (交易處理資料__3[[#This Row],[售出工時]] * 60) / 5</f>
        <v>0</v>
      </c>
      <c r="M777" t="str">
        <f>VLOOKUP(交易處理資料__3[[#This Row],[人員代號]],團隊分組!$B$1:$C$52,2,FALSE)</f>
        <v>快速保養團隊A</v>
      </c>
      <c r="N777" t="str">
        <f>IF(交易處理資料__3[[#This Row],[上班時間]]=0,"否","是")</f>
        <v>否</v>
      </c>
      <c r="O777" t="s">
        <v>76</v>
      </c>
      <c r="P777" s="38">
        <v>0</v>
      </c>
      <c r="Q777" s="38">
        <v>0</v>
      </c>
      <c r="R777" s="38">
        <v>0</v>
      </c>
    </row>
    <row r="778" spans="1:18" hidden="1">
      <c r="A778" t="s">
        <v>76</v>
      </c>
      <c r="B778" t="s">
        <v>29</v>
      </c>
      <c r="C778">
        <v>0</v>
      </c>
      <c r="D778">
        <v>0</v>
      </c>
      <c r="E778" s="29">
        <v>0</v>
      </c>
      <c r="F778">
        <v>0</v>
      </c>
      <c r="G778">
        <v>0</v>
      </c>
      <c r="H778">
        <v>0</v>
      </c>
      <c r="I778" s="29">
        <v>0</v>
      </c>
      <c r="J778" s="29">
        <v>0</v>
      </c>
      <c r="K778" s="9">
        <v>45311</v>
      </c>
      <c r="L778">
        <f xml:space="preserve"> (交易處理資料__3[[#This Row],[售出工時]] * 60) / 5</f>
        <v>0</v>
      </c>
      <c r="M778" t="str">
        <f>VLOOKUP(交易處理資料__3[[#This Row],[人員代號]],團隊分組!$B$1:$C$52,2,FALSE)</f>
        <v>查修團隊B</v>
      </c>
      <c r="N778" t="str">
        <f>IF(交易處理資料__3[[#This Row],[上班時間]]=0,"否","是")</f>
        <v>否</v>
      </c>
      <c r="O778" t="s">
        <v>76</v>
      </c>
      <c r="P778" s="37">
        <v>0</v>
      </c>
      <c r="Q778" s="37">
        <v>0</v>
      </c>
      <c r="R778" s="37">
        <v>0</v>
      </c>
    </row>
    <row r="779" spans="1:18" hidden="1">
      <c r="A779" t="s">
        <v>76</v>
      </c>
      <c r="B779" t="s">
        <v>30</v>
      </c>
      <c r="C779">
        <v>0</v>
      </c>
      <c r="D779">
        <v>0</v>
      </c>
      <c r="E779" s="29">
        <v>0</v>
      </c>
      <c r="F779">
        <v>0</v>
      </c>
      <c r="G779">
        <v>0</v>
      </c>
      <c r="H779">
        <v>0</v>
      </c>
      <c r="I779" s="29">
        <v>0</v>
      </c>
      <c r="J779" s="29">
        <v>0</v>
      </c>
      <c r="K779" s="9">
        <v>45311</v>
      </c>
      <c r="L779">
        <f xml:space="preserve"> (交易處理資料__3[[#This Row],[售出工時]] * 60) / 5</f>
        <v>0</v>
      </c>
      <c r="M779" t="str">
        <f>VLOOKUP(交易處理資料__3[[#This Row],[人員代號]],團隊分組!$B$1:$C$52,2,FALSE)</f>
        <v>快速保養團隊B</v>
      </c>
      <c r="N779" t="str">
        <f>IF(交易處理資料__3[[#This Row],[上班時間]]=0,"否","是")</f>
        <v>否</v>
      </c>
      <c r="O779" t="s">
        <v>76</v>
      </c>
      <c r="P779" s="38">
        <v>0</v>
      </c>
      <c r="Q779" s="38">
        <v>0</v>
      </c>
      <c r="R779" s="38">
        <v>0</v>
      </c>
    </row>
    <row r="780" spans="1:18" hidden="1">
      <c r="A780" t="s">
        <v>76</v>
      </c>
      <c r="B780" t="s">
        <v>31</v>
      </c>
      <c r="C780">
        <v>0</v>
      </c>
      <c r="D780">
        <v>0</v>
      </c>
      <c r="E780" s="29">
        <v>0</v>
      </c>
      <c r="F780">
        <v>0</v>
      </c>
      <c r="G780">
        <v>0</v>
      </c>
      <c r="H780">
        <v>0</v>
      </c>
      <c r="I780" s="29">
        <v>0</v>
      </c>
      <c r="J780" s="29">
        <v>0</v>
      </c>
      <c r="K780" s="9">
        <v>45311</v>
      </c>
      <c r="L780">
        <f xml:space="preserve"> (交易處理資料__3[[#This Row],[售出工時]] * 60) / 5</f>
        <v>0</v>
      </c>
      <c r="M780" t="str">
        <f>VLOOKUP(交易處理資料__3[[#This Row],[人員代號]],團隊分組!$B$1:$C$52,2,FALSE)</f>
        <v>快速保養團隊A</v>
      </c>
      <c r="N780" t="str">
        <f>IF(交易處理資料__3[[#This Row],[上班時間]]=0,"否","是")</f>
        <v>否</v>
      </c>
      <c r="O780" t="s">
        <v>76</v>
      </c>
      <c r="P780" s="37">
        <v>0</v>
      </c>
      <c r="Q780" s="37">
        <v>0</v>
      </c>
      <c r="R780" s="37">
        <v>0</v>
      </c>
    </row>
    <row r="781" spans="1:18" hidden="1">
      <c r="A781" t="s">
        <v>76</v>
      </c>
      <c r="B781" t="s">
        <v>32</v>
      </c>
      <c r="C781">
        <v>0</v>
      </c>
      <c r="D781">
        <v>0</v>
      </c>
      <c r="E781" s="29">
        <v>0</v>
      </c>
      <c r="F781">
        <v>0</v>
      </c>
      <c r="G781">
        <v>0</v>
      </c>
      <c r="H781">
        <v>0</v>
      </c>
      <c r="I781" s="29">
        <v>0</v>
      </c>
      <c r="J781" s="29">
        <v>0</v>
      </c>
      <c r="K781" s="9">
        <v>45311</v>
      </c>
      <c r="L781">
        <f xml:space="preserve"> (交易處理資料__3[[#This Row],[售出工時]] * 60) / 5</f>
        <v>0</v>
      </c>
      <c r="M781" t="str">
        <f>VLOOKUP(交易處理資料__3[[#This Row],[人員代號]],團隊分組!$B$1:$C$52,2,FALSE)</f>
        <v>快速保養團隊B</v>
      </c>
      <c r="N781" t="str">
        <f>IF(交易處理資料__3[[#This Row],[上班時間]]=0,"否","是")</f>
        <v>否</v>
      </c>
      <c r="O781" t="s">
        <v>76</v>
      </c>
      <c r="P781" s="38">
        <v>0</v>
      </c>
      <c r="Q781" s="38">
        <v>0</v>
      </c>
      <c r="R781" s="38">
        <v>0</v>
      </c>
    </row>
    <row r="782" spans="1:18" hidden="1">
      <c r="A782" t="s">
        <v>76</v>
      </c>
      <c r="B782" t="s">
        <v>33</v>
      </c>
      <c r="C782">
        <v>0</v>
      </c>
      <c r="D782">
        <v>0</v>
      </c>
      <c r="E782" s="29">
        <v>0</v>
      </c>
      <c r="F782">
        <v>0</v>
      </c>
      <c r="G782">
        <v>0</v>
      </c>
      <c r="H782">
        <v>0</v>
      </c>
      <c r="I782" s="29">
        <v>0</v>
      </c>
      <c r="J782" s="29">
        <v>0</v>
      </c>
      <c r="K782" s="9">
        <v>45311</v>
      </c>
      <c r="L782">
        <f xml:space="preserve"> (交易處理資料__3[[#This Row],[售出工時]] * 60) / 5</f>
        <v>0</v>
      </c>
      <c r="M782" t="str">
        <f>VLOOKUP(交易處理資料__3[[#This Row],[人員代號]],團隊分組!$B$1:$C$52,2,FALSE)</f>
        <v>快速保養團隊B</v>
      </c>
      <c r="N782" t="str">
        <f>IF(交易處理資料__3[[#This Row],[上班時間]]=0,"否","是")</f>
        <v>否</v>
      </c>
      <c r="O782" t="s">
        <v>76</v>
      </c>
      <c r="P782" s="37">
        <v>0</v>
      </c>
      <c r="Q782" s="37">
        <v>0</v>
      </c>
      <c r="R782" s="37">
        <v>0</v>
      </c>
    </row>
    <row r="783" spans="1:18" hidden="1">
      <c r="A783" t="s">
        <v>76</v>
      </c>
      <c r="B783" t="s">
        <v>34</v>
      </c>
      <c r="C783">
        <v>0</v>
      </c>
      <c r="D783">
        <v>0</v>
      </c>
      <c r="E783" s="29">
        <v>0</v>
      </c>
      <c r="F783">
        <v>0</v>
      </c>
      <c r="G783">
        <v>0</v>
      </c>
      <c r="H783">
        <v>0</v>
      </c>
      <c r="I783" s="29">
        <v>0</v>
      </c>
      <c r="J783" s="29">
        <v>0</v>
      </c>
      <c r="K783" s="9">
        <v>45311</v>
      </c>
      <c r="L783">
        <f xml:space="preserve"> (交易處理資料__3[[#This Row],[售出工時]] * 60) / 5</f>
        <v>0</v>
      </c>
      <c r="M783" t="str">
        <f>VLOOKUP(交易處理資料__3[[#This Row],[人員代號]],團隊分組!$B$1:$C$52,2,FALSE)</f>
        <v>快速保養團隊A</v>
      </c>
      <c r="N783" t="str">
        <f>IF(交易處理資料__3[[#This Row],[上班時間]]=0,"否","是")</f>
        <v>否</v>
      </c>
      <c r="O783" t="s">
        <v>76</v>
      </c>
      <c r="P783" s="38">
        <v>0</v>
      </c>
      <c r="Q783" s="38">
        <v>0</v>
      </c>
      <c r="R783" s="38">
        <v>0</v>
      </c>
    </row>
    <row r="784" spans="1:18" hidden="1">
      <c r="A784" t="s">
        <v>76</v>
      </c>
      <c r="B784" t="s">
        <v>35</v>
      </c>
      <c r="C784">
        <v>0</v>
      </c>
      <c r="D784">
        <v>0</v>
      </c>
      <c r="E784" s="29">
        <v>0</v>
      </c>
      <c r="F784">
        <v>0</v>
      </c>
      <c r="G784">
        <v>0</v>
      </c>
      <c r="H784">
        <v>0</v>
      </c>
      <c r="I784" s="29">
        <v>0</v>
      </c>
      <c r="J784" s="29">
        <v>0</v>
      </c>
      <c r="K784" s="9">
        <v>45311</v>
      </c>
      <c r="L784">
        <f xml:space="preserve"> (交易處理資料__3[[#This Row],[售出工時]] * 60) / 5</f>
        <v>0</v>
      </c>
      <c r="M784" t="str">
        <f>VLOOKUP(交易處理資料__3[[#This Row],[人員代號]],團隊分組!$B$1:$C$52,2,FALSE)</f>
        <v>查修團隊B</v>
      </c>
      <c r="N784" t="str">
        <f>IF(交易處理資料__3[[#This Row],[上班時間]]=0,"否","是")</f>
        <v>否</v>
      </c>
      <c r="O784" t="s">
        <v>76</v>
      </c>
      <c r="P784" s="37">
        <v>0</v>
      </c>
      <c r="Q784" s="37">
        <v>0</v>
      </c>
      <c r="R784" s="37">
        <v>0</v>
      </c>
    </row>
    <row r="785" spans="1:18" hidden="1">
      <c r="A785" t="s">
        <v>76</v>
      </c>
      <c r="B785" t="s">
        <v>36</v>
      </c>
      <c r="C785">
        <v>0</v>
      </c>
      <c r="D785">
        <v>0</v>
      </c>
      <c r="E785" s="29">
        <v>0</v>
      </c>
      <c r="F785">
        <v>0</v>
      </c>
      <c r="G785">
        <v>0</v>
      </c>
      <c r="H785">
        <v>0</v>
      </c>
      <c r="I785" s="29">
        <v>0</v>
      </c>
      <c r="J785" s="29">
        <v>0</v>
      </c>
      <c r="K785" s="9">
        <v>45311</v>
      </c>
      <c r="L785">
        <f xml:space="preserve"> (交易處理資料__3[[#This Row],[售出工時]] * 60) / 5</f>
        <v>0</v>
      </c>
      <c r="M785" t="str">
        <f>VLOOKUP(交易處理資料__3[[#This Row],[人員代號]],團隊分組!$B$1:$C$52,2,FALSE)</f>
        <v>查修團隊B</v>
      </c>
      <c r="N785" t="str">
        <f>IF(交易處理資料__3[[#This Row],[上班時間]]=0,"否","是")</f>
        <v>否</v>
      </c>
      <c r="O785" t="s">
        <v>76</v>
      </c>
      <c r="P785" s="38">
        <v>0</v>
      </c>
      <c r="Q785" s="38">
        <v>0</v>
      </c>
      <c r="R785" s="38">
        <v>0</v>
      </c>
    </row>
    <row r="786" spans="1:18" hidden="1">
      <c r="A786" t="s">
        <v>76</v>
      </c>
      <c r="B786" t="s">
        <v>37</v>
      </c>
      <c r="C786">
        <v>0</v>
      </c>
      <c r="D786">
        <v>0</v>
      </c>
      <c r="E786" s="29">
        <v>0</v>
      </c>
      <c r="F786">
        <v>0</v>
      </c>
      <c r="G786">
        <v>0</v>
      </c>
      <c r="H786">
        <v>0</v>
      </c>
      <c r="I786" s="29">
        <v>0</v>
      </c>
      <c r="J786" s="29">
        <v>0</v>
      </c>
      <c r="K786" s="9">
        <v>45311</v>
      </c>
      <c r="L786">
        <f xml:space="preserve"> (交易處理資料__3[[#This Row],[售出工時]] * 60) / 5</f>
        <v>0</v>
      </c>
      <c r="M786" t="str">
        <f>VLOOKUP(交易處理資料__3[[#This Row],[人員代號]],團隊分組!$B$1:$C$52,2,FALSE)</f>
        <v>查修團隊A</v>
      </c>
      <c r="N786" t="str">
        <f>IF(交易處理資料__3[[#This Row],[上班時間]]=0,"否","是")</f>
        <v>否</v>
      </c>
      <c r="O786" t="s">
        <v>76</v>
      </c>
      <c r="P786" s="37">
        <v>0</v>
      </c>
      <c r="Q786" s="37">
        <v>0</v>
      </c>
      <c r="R786" s="37">
        <v>0</v>
      </c>
    </row>
    <row r="787" spans="1:18" hidden="1">
      <c r="A787" t="s">
        <v>76</v>
      </c>
      <c r="B787" t="s">
        <v>38</v>
      </c>
      <c r="C787">
        <v>0</v>
      </c>
      <c r="D787">
        <v>0</v>
      </c>
      <c r="E787" s="29">
        <v>0</v>
      </c>
      <c r="F787">
        <v>0</v>
      </c>
      <c r="G787">
        <v>0</v>
      </c>
      <c r="H787">
        <v>0</v>
      </c>
      <c r="I787" s="29">
        <v>0</v>
      </c>
      <c r="J787" s="29">
        <v>0</v>
      </c>
      <c r="K787" s="9">
        <v>45311</v>
      </c>
      <c r="L787">
        <f xml:space="preserve"> (交易處理資料__3[[#This Row],[售出工時]] * 60) / 5</f>
        <v>0</v>
      </c>
      <c r="M787" t="str">
        <f>VLOOKUP(交易處理資料__3[[#This Row],[人員代號]],團隊分組!$B$1:$C$52,2,FALSE)</f>
        <v>快速保養團隊A</v>
      </c>
      <c r="N787" t="str">
        <f>IF(交易處理資料__3[[#This Row],[上班時間]]=0,"否","是")</f>
        <v>否</v>
      </c>
      <c r="O787" t="s">
        <v>76</v>
      </c>
      <c r="P787" s="38">
        <v>0</v>
      </c>
      <c r="Q787" s="38">
        <v>0</v>
      </c>
      <c r="R787" s="38">
        <v>0</v>
      </c>
    </row>
    <row r="788" spans="1:18" hidden="1">
      <c r="A788" t="s">
        <v>76</v>
      </c>
      <c r="B788" t="s">
        <v>39</v>
      </c>
      <c r="C788">
        <v>0</v>
      </c>
      <c r="D788">
        <v>0</v>
      </c>
      <c r="E788" s="29">
        <v>0</v>
      </c>
      <c r="F788">
        <v>0</v>
      </c>
      <c r="G788">
        <v>0</v>
      </c>
      <c r="H788">
        <v>0</v>
      </c>
      <c r="I788" s="29">
        <v>0</v>
      </c>
      <c r="J788" s="29">
        <v>0</v>
      </c>
      <c r="K788" s="9">
        <v>45311</v>
      </c>
      <c r="L788">
        <f xml:space="preserve"> (交易處理資料__3[[#This Row],[售出工時]] * 60) / 5</f>
        <v>0</v>
      </c>
      <c r="M788" t="str">
        <f>VLOOKUP(交易處理資料__3[[#This Row],[人員代號]],團隊分組!$B$1:$C$52,2,FALSE)</f>
        <v>查修團隊A</v>
      </c>
      <c r="N788" t="str">
        <f>IF(交易處理資料__3[[#This Row],[上班時間]]=0,"否","是")</f>
        <v>否</v>
      </c>
      <c r="O788" t="s">
        <v>76</v>
      </c>
      <c r="P788" s="37">
        <v>0</v>
      </c>
      <c r="Q788" s="37">
        <v>0</v>
      </c>
      <c r="R788" s="37">
        <v>0</v>
      </c>
    </row>
    <row r="789" spans="1:18" hidden="1">
      <c r="A789" t="s">
        <v>76</v>
      </c>
      <c r="B789" t="s">
        <v>40</v>
      </c>
      <c r="C789">
        <v>0</v>
      </c>
      <c r="D789">
        <v>0</v>
      </c>
      <c r="E789" s="29">
        <v>0</v>
      </c>
      <c r="F789">
        <v>0</v>
      </c>
      <c r="G789">
        <v>0</v>
      </c>
      <c r="H789">
        <v>0</v>
      </c>
      <c r="I789" s="29">
        <v>0</v>
      </c>
      <c r="J789" s="29">
        <v>0</v>
      </c>
      <c r="K789" s="9">
        <v>45311</v>
      </c>
      <c r="L789">
        <f xml:space="preserve"> (交易處理資料__3[[#This Row],[售出工時]] * 60) / 5</f>
        <v>0</v>
      </c>
      <c r="M789" t="str">
        <f>VLOOKUP(交易處理資料__3[[#This Row],[人員代號]],團隊分組!$B$1:$C$52,2,FALSE)</f>
        <v>查修團隊A</v>
      </c>
      <c r="N789" t="str">
        <f>IF(交易處理資料__3[[#This Row],[上班時間]]=0,"否","是")</f>
        <v>否</v>
      </c>
      <c r="O789" t="s">
        <v>76</v>
      </c>
      <c r="P789" s="38">
        <v>0</v>
      </c>
      <c r="Q789" s="38">
        <v>0</v>
      </c>
      <c r="R789" s="38">
        <v>0</v>
      </c>
    </row>
    <row r="790" spans="1:18" hidden="1">
      <c r="A790" t="s">
        <v>76</v>
      </c>
      <c r="B790" t="s">
        <v>41</v>
      </c>
      <c r="C790">
        <v>0</v>
      </c>
      <c r="D790">
        <v>0</v>
      </c>
      <c r="E790" s="29">
        <v>0</v>
      </c>
      <c r="F790">
        <v>0</v>
      </c>
      <c r="G790">
        <v>0</v>
      </c>
      <c r="H790">
        <v>0</v>
      </c>
      <c r="I790" s="29">
        <v>0</v>
      </c>
      <c r="J790" s="29">
        <v>0</v>
      </c>
      <c r="K790" s="9">
        <v>45311</v>
      </c>
      <c r="L790">
        <f xml:space="preserve"> (交易處理資料__3[[#This Row],[售出工時]] * 60) / 5</f>
        <v>0</v>
      </c>
      <c r="M790" t="str">
        <f>VLOOKUP(交易處理資料__3[[#This Row],[人員代號]],團隊分組!$B$1:$C$52,2,FALSE)</f>
        <v>快速保養團隊A</v>
      </c>
      <c r="N790" t="str">
        <f>IF(交易處理資料__3[[#This Row],[上班時間]]=0,"否","是")</f>
        <v>否</v>
      </c>
      <c r="O790" t="s">
        <v>76</v>
      </c>
      <c r="P790" s="37">
        <v>0</v>
      </c>
      <c r="Q790" s="37">
        <v>0</v>
      </c>
      <c r="R790" s="37">
        <v>0</v>
      </c>
    </row>
    <row r="791" spans="1:18" hidden="1">
      <c r="A791" t="s">
        <v>76</v>
      </c>
      <c r="B791" t="s">
        <v>42</v>
      </c>
      <c r="C791">
        <v>0</v>
      </c>
      <c r="D791">
        <v>0</v>
      </c>
      <c r="E791" s="29">
        <v>0</v>
      </c>
      <c r="F791">
        <v>0</v>
      </c>
      <c r="G791">
        <v>0</v>
      </c>
      <c r="H791">
        <v>0</v>
      </c>
      <c r="I791" s="29">
        <v>0</v>
      </c>
      <c r="J791" s="29">
        <v>0</v>
      </c>
      <c r="K791" s="9">
        <v>45311</v>
      </c>
      <c r="L791">
        <f xml:space="preserve"> (交易處理資料__3[[#This Row],[售出工時]] * 60) / 5</f>
        <v>0</v>
      </c>
      <c r="M791" t="str">
        <f>VLOOKUP(交易處理資料__3[[#This Row],[人員代號]],團隊分組!$B$1:$C$52,2,FALSE)</f>
        <v>快速保養團隊A</v>
      </c>
      <c r="N791" t="str">
        <f>IF(交易處理資料__3[[#This Row],[上班時間]]=0,"否","是")</f>
        <v>否</v>
      </c>
      <c r="O791" t="s">
        <v>76</v>
      </c>
      <c r="P791" s="38">
        <v>0</v>
      </c>
      <c r="Q791" s="38">
        <v>0</v>
      </c>
      <c r="R791" s="38">
        <v>0</v>
      </c>
    </row>
    <row r="792" spans="1:18" hidden="1">
      <c r="A792" t="s">
        <v>76</v>
      </c>
      <c r="B792" t="s">
        <v>43</v>
      </c>
      <c r="C792">
        <v>0</v>
      </c>
      <c r="D792">
        <v>0</v>
      </c>
      <c r="E792" s="29">
        <v>0</v>
      </c>
      <c r="F792">
        <v>0</v>
      </c>
      <c r="G792">
        <v>0</v>
      </c>
      <c r="H792">
        <v>0</v>
      </c>
      <c r="I792" s="29">
        <v>0</v>
      </c>
      <c r="J792" s="29">
        <v>0</v>
      </c>
      <c r="K792" s="9">
        <v>45311</v>
      </c>
      <c r="L792">
        <f xml:space="preserve"> (交易處理資料__3[[#This Row],[售出工時]] * 60) / 5</f>
        <v>0</v>
      </c>
      <c r="M792" t="str">
        <f>VLOOKUP(交易處理資料__3[[#This Row],[人員代號]],團隊分組!$B$1:$C$52,2,FALSE)</f>
        <v>查修團隊B</v>
      </c>
      <c r="N792" t="str">
        <f>IF(交易處理資料__3[[#This Row],[上班時間]]=0,"否","是")</f>
        <v>否</v>
      </c>
      <c r="O792" t="s">
        <v>76</v>
      </c>
      <c r="P792" s="37">
        <v>0</v>
      </c>
      <c r="Q792" s="37">
        <v>0</v>
      </c>
      <c r="R792" s="37">
        <v>0</v>
      </c>
    </row>
    <row r="793" spans="1:18" hidden="1">
      <c r="A793" t="s">
        <v>76</v>
      </c>
      <c r="B793" t="s">
        <v>44</v>
      </c>
      <c r="C793">
        <v>0</v>
      </c>
      <c r="D793">
        <v>0</v>
      </c>
      <c r="E793" s="29">
        <v>0</v>
      </c>
      <c r="F793">
        <v>0</v>
      </c>
      <c r="G793">
        <v>0</v>
      </c>
      <c r="H793">
        <v>0</v>
      </c>
      <c r="I793" s="29">
        <v>0</v>
      </c>
      <c r="J793" s="29">
        <v>0</v>
      </c>
      <c r="K793" s="9">
        <v>45311</v>
      </c>
      <c r="L793">
        <f xml:space="preserve"> (交易處理資料__3[[#This Row],[售出工時]] * 60) / 5</f>
        <v>0</v>
      </c>
      <c r="M793" t="str">
        <f>VLOOKUP(交易處理資料__3[[#This Row],[人員代號]],團隊分組!$B$1:$C$52,2,FALSE)</f>
        <v>快速保養團隊B</v>
      </c>
      <c r="N793" t="str">
        <f>IF(交易處理資料__3[[#This Row],[上班時間]]=0,"否","是")</f>
        <v>否</v>
      </c>
      <c r="O793" t="s">
        <v>76</v>
      </c>
      <c r="P793" s="38">
        <v>0</v>
      </c>
      <c r="Q793" s="38">
        <v>0</v>
      </c>
      <c r="R793" s="38">
        <v>0</v>
      </c>
    </row>
    <row r="794" spans="1:18" hidden="1">
      <c r="A794" t="s">
        <v>76</v>
      </c>
      <c r="B794" t="s">
        <v>45</v>
      </c>
      <c r="C794">
        <v>0</v>
      </c>
      <c r="D794">
        <v>0</v>
      </c>
      <c r="E794" s="29">
        <v>0</v>
      </c>
      <c r="F794">
        <v>0</v>
      </c>
      <c r="G794">
        <v>0</v>
      </c>
      <c r="H794">
        <v>0</v>
      </c>
      <c r="I794" s="29">
        <v>0</v>
      </c>
      <c r="J794" s="29">
        <v>0</v>
      </c>
      <c r="K794" s="9">
        <v>45311</v>
      </c>
      <c r="L794">
        <f xml:space="preserve"> (交易處理資料__3[[#This Row],[售出工時]] * 60) / 5</f>
        <v>0</v>
      </c>
      <c r="M794" t="str">
        <f>VLOOKUP(交易處理資料__3[[#This Row],[人員代號]],團隊分組!$B$1:$C$52,2,FALSE)</f>
        <v>快速保養團隊A</v>
      </c>
      <c r="N794" t="str">
        <f>IF(交易處理資料__3[[#This Row],[上班時間]]=0,"否","是")</f>
        <v>否</v>
      </c>
      <c r="O794" t="s">
        <v>76</v>
      </c>
      <c r="P794" s="37">
        <v>0</v>
      </c>
      <c r="Q794" s="37">
        <v>0</v>
      </c>
      <c r="R794" s="37">
        <v>0</v>
      </c>
    </row>
    <row r="795" spans="1:18" hidden="1">
      <c r="A795" t="s">
        <v>76</v>
      </c>
      <c r="B795" t="s">
        <v>46</v>
      </c>
      <c r="C795">
        <v>0</v>
      </c>
      <c r="D795">
        <v>0</v>
      </c>
      <c r="E795" s="29">
        <v>0</v>
      </c>
      <c r="F795">
        <v>0</v>
      </c>
      <c r="G795">
        <v>0</v>
      </c>
      <c r="H795">
        <v>0</v>
      </c>
      <c r="I795" s="29">
        <v>0</v>
      </c>
      <c r="J795" s="29">
        <v>0</v>
      </c>
      <c r="K795" s="9">
        <v>45311</v>
      </c>
      <c r="L795">
        <f xml:space="preserve"> (交易處理資料__3[[#This Row],[售出工時]] * 60) / 5</f>
        <v>0</v>
      </c>
      <c r="M795" t="str">
        <f>VLOOKUP(交易處理資料__3[[#This Row],[人員代號]],團隊分組!$B$1:$C$52,2,FALSE)</f>
        <v>查修團隊B</v>
      </c>
      <c r="N795" t="str">
        <f>IF(交易處理資料__3[[#This Row],[上班時間]]=0,"否","是")</f>
        <v>否</v>
      </c>
      <c r="O795" t="s">
        <v>76</v>
      </c>
      <c r="P795" s="38">
        <v>0</v>
      </c>
      <c r="Q795" s="38">
        <v>0</v>
      </c>
      <c r="R795" s="38">
        <v>0</v>
      </c>
    </row>
    <row r="796" spans="1:18" hidden="1">
      <c r="A796" t="s">
        <v>76</v>
      </c>
      <c r="B796" t="s">
        <v>47</v>
      </c>
      <c r="C796">
        <v>0</v>
      </c>
      <c r="D796">
        <v>0</v>
      </c>
      <c r="E796" s="29">
        <v>0</v>
      </c>
      <c r="F796">
        <v>0</v>
      </c>
      <c r="G796">
        <v>0</v>
      </c>
      <c r="H796">
        <v>0</v>
      </c>
      <c r="I796" s="29">
        <v>0</v>
      </c>
      <c r="J796" s="29">
        <v>0</v>
      </c>
      <c r="K796" s="9">
        <v>45311</v>
      </c>
      <c r="L796">
        <f xml:space="preserve"> (交易處理資料__3[[#This Row],[售出工時]] * 60) / 5</f>
        <v>0</v>
      </c>
      <c r="M796" t="str">
        <f>VLOOKUP(交易處理資料__3[[#This Row],[人員代號]],團隊分組!$B$1:$C$52,2,FALSE)</f>
        <v>查修團隊B</v>
      </c>
      <c r="N796" t="str">
        <f>IF(交易處理資料__3[[#This Row],[上班時間]]=0,"否","是")</f>
        <v>否</v>
      </c>
      <c r="O796" t="s">
        <v>76</v>
      </c>
      <c r="P796" s="37">
        <v>0</v>
      </c>
      <c r="Q796" s="37">
        <v>0</v>
      </c>
      <c r="R796" s="37">
        <v>0</v>
      </c>
    </row>
    <row r="797" spans="1:18" hidden="1">
      <c r="A797" t="s">
        <v>76</v>
      </c>
      <c r="B797" t="s">
        <v>48</v>
      </c>
      <c r="C797">
        <v>0</v>
      </c>
      <c r="D797">
        <v>0</v>
      </c>
      <c r="E797" s="29">
        <v>0</v>
      </c>
      <c r="F797">
        <v>0</v>
      </c>
      <c r="G797">
        <v>0</v>
      </c>
      <c r="H797">
        <v>0</v>
      </c>
      <c r="I797" s="29">
        <v>0</v>
      </c>
      <c r="J797" s="29">
        <v>0</v>
      </c>
      <c r="K797" s="9">
        <v>45311</v>
      </c>
      <c r="L797">
        <f xml:space="preserve"> (交易處理資料__3[[#This Row],[售出工時]] * 60) / 5</f>
        <v>0</v>
      </c>
      <c r="M797" t="str">
        <f>VLOOKUP(交易處理資料__3[[#This Row],[人員代號]],團隊分組!$B$1:$C$52,2,FALSE)</f>
        <v>查修團隊A</v>
      </c>
      <c r="N797" t="str">
        <f>IF(交易處理資料__3[[#This Row],[上班時間]]=0,"否","是")</f>
        <v>否</v>
      </c>
      <c r="O797" t="s">
        <v>76</v>
      </c>
      <c r="P797" s="38">
        <v>0</v>
      </c>
      <c r="Q797" s="38">
        <v>0</v>
      </c>
      <c r="R797" s="38">
        <v>0</v>
      </c>
    </row>
    <row r="798" spans="1:18" hidden="1">
      <c r="A798" t="s">
        <v>76</v>
      </c>
      <c r="B798" t="s">
        <v>49</v>
      </c>
      <c r="C798">
        <v>0</v>
      </c>
      <c r="D798">
        <v>0</v>
      </c>
      <c r="E798" s="29">
        <v>0</v>
      </c>
      <c r="F798">
        <v>0</v>
      </c>
      <c r="G798">
        <v>0</v>
      </c>
      <c r="H798">
        <v>0</v>
      </c>
      <c r="I798" s="29">
        <v>0</v>
      </c>
      <c r="J798" s="29">
        <v>0</v>
      </c>
      <c r="K798" s="9">
        <v>45311</v>
      </c>
      <c r="L798">
        <f xml:space="preserve"> (交易處理資料__3[[#This Row],[售出工時]] * 60) / 5</f>
        <v>0</v>
      </c>
      <c r="M798" t="str">
        <f>VLOOKUP(交易處理資料__3[[#This Row],[人員代號]],團隊分組!$B$1:$C$52,2,FALSE)</f>
        <v>查修團隊A</v>
      </c>
      <c r="N798" t="str">
        <f>IF(交易處理資料__3[[#This Row],[上班時間]]=0,"否","是")</f>
        <v>否</v>
      </c>
      <c r="O798" t="s">
        <v>76</v>
      </c>
      <c r="P798" s="37">
        <v>0</v>
      </c>
      <c r="Q798" s="37">
        <v>0</v>
      </c>
      <c r="R798" s="37">
        <v>0</v>
      </c>
    </row>
    <row r="799" spans="1:18" hidden="1">
      <c r="A799" t="s">
        <v>76</v>
      </c>
      <c r="B799" t="s">
        <v>50</v>
      </c>
      <c r="C799">
        <v>0</v>
      </c>
      <c r="D799">
        <v>0</v>
      </c>
      <c r="E799" s="29">
        <v>0</v>
      </c>
      <c r="F799">
        <v>0</v>
      </c>
      <c r="G799">
        <v>0</v>
      </c>
      <c r="H799">
        <v>0</v>
      </c>
      <c r="I799" s="29">
        <v>0</v>
      </c>
      <c r="J799" s="29">
        <v>0</v>
      </c>
      <c r="K799" s="9">
        <v>45311</v>
      </c>
      <c r="L799">
        <f xml:space="preserve"> (交易處理資料__3[[#This Row],[售出工時]] * 60) / 5</f>
        <v>0</v>
      </c>
      <c r="M799" t="str">
        <f>VLOOKUP(交易處理資料__3[[#This Row],[人員代號]],團隊分組!$B$1:$C$52,2,FALSE)</f>
        <v>快速保養團隊B</v>
      </c>
      <c r="N799" t="str">
        <f>IF(交易處理資料__3[[#This Row],[上班時間]]=0,"否","是")</f>
        <v>否</v>
      </c>
      <c r="O799" t="s">
        <v>76</v>
      </c>
      <c r="P799" s="38">
        <v>0</v>
      </c>
      <c r="Q799" s="38">
        <v>0</v>
      </c>
      <c r="R799" s="38">
        <v>0</v>
      </c>
    </row>
    <row r="800" spans="1:18" hidden="1">
      <c r="A800" t="s">
        <v>76</v>
      </c>
      <c r="B800" t="s">
        <v>51</v>
      </c>
      <c r="C800">
        <v>0</v>
      </c>
      <c r="D800">
        <v>0</v>
      </c>
      <c r="E800" s="29">
        <v>0</v>
      </c>
      <c r="F800">
        <v>0</v>
      </c>
      <c r="G800">
        <v>0</v>
      </c>
      <c r="H800">
        <v>0</v>
      </c>
      <c r="I800" s="29">
        <v>0</v>
      </c>
      <c r="J800" s="29">
        <v>0</v>
      </c>
      <c r="K800" s="9">
        <v>45311</v>
      </c>
      <c r="L800">
        <f xml:space="preserve"> (交易處理資料__3[[#This Row],[售出工時]] * 60) / 5</f>
        <v>0</v>
      </c>
      <c r="M800" t="str">
        <f>VLOOKUP(交易處理資料__3[[#This Row],[人員代號]],團隊分組!$B$1:$C$52,2,FALSE)</f>
        <v>無效數據</v>
      </c>
      <c r="N800" t="str">
        <f>IF(交易處理資料__3[[#This Row],[上班時間]]=0,"否","是")</f>
        <v>否</v>
      </c>
      <c r="O800" t="s">
        <v>76</v>
      </c>
      <c r="P800" s="37">
        <v>0</v>
      </c>
      <c r="Q800" s="37">
        <v>0</v>
      </c>
      <c r="R800" s="37">
        <v>0</v>
      </c>
    </row>
    <row r="801" spans="1:18" hidden="1">
      <c r="A801" t="s">
        <v>76</v>
      </c>
      <c r="B801" t="s">
        <v>52</v>
      </c>
      <c r="C801">
        <v>0</v>
      </c>
      <c r="D801">
        <v>0</v>
      </c>
      <c r="E801" s="29">
        <v>0</v>
      </c>
      <c r="F801">
        <v>0</v>
      </c>
      <c r="G801">
        <v>0</v>
      </c>
      <c r="H801">
        <v>0</v>
      </c>
      <c r="I801" s="29">
        <v>0</v>
      </c>
      <c r="J801" s="29">
        <v>0</v>
      </c>
      <c r="K801" s="9">
        <v>45311</v>
      </c>
      <c r="L801">
        <f xml:space="preserve"> (交易處理資料__3[[#This Row],[售出工時]] * 60) / 5</f>
        <v>0</v>
      </c>
      <c r="M801" t="str">
        <f>VLOOKUP(交易處理資料__3[[#This Row],[人員代號]],團隊分組!$B$1:$C$52,2,FALSE)</f>
        <v>查修團隊B</v>
      </c>
      <c r="N801" t="str">
        <f>IF(交易處理資料__3[[#This Row],[上班時間]]=0,"否","是")</f>
        <v>否</v>
      </c>
      <c r="O801" t="s">
        <v>76</v>
      </c>
      <c r="P801" s="38">
        <v>0</v>
      </c>
      <c r="Q801" s="38">
        <v>0</v>
      </c>
      <c r="R801" s="38">
        <v>0</v>
      </c>
    </row>
    <row r="802" spans="1:18" hidden="1">
      <c r="A802" t="s">
        <v>76</v>
      </c>
      <c r="B802" t="s">
        <v>53</v>
      </c>
      <c r="C802">
        <v>0</v>
      </c>
      <c r="D802">
        <v>0</v>
      </c>
      <c r="E802" s="29">
        <v>0</v>
      </c>
      <c r="F802">
        <v>0</v>
      </c>
      <c r="G802">
        <v>0</v>
      </c>
      <c r="H802">
        <v>0</v>
      </c>
      <c r="I802" s="29">
        <v>0</v>
      </c>
      <c r="J802" s="29">
        <v>0</v>
      </c>
      <c r="K802" s="9">
        <v>45311</v>
      </c>
      <c r="L802">
        <f xml:space="preserve"> (交易處理資料__3[[#This Row],[售出工時]] * 60) / 5</f>
        <v>0</v>
      </c>
      <c r="M802" t="str">
        <f>VLOOKUP(交易處理資料__3[[#This Row],[人員代號]],團隊分組!$B$1:$C$52,2,FALSE)</f>
        <v>查修團隊A</v>
      </c>
      <c r="N802" t="str">
        <f>IF(交易處理資料__3[[#This Row],[上班時間]]=0,"否","是")</f>
        <v>否</v>
      </c>
      <c r="O802" t="s">
        <v>76</v>
      </c>
      <c r="P802" s="37">
        <v>0</v>
      </c>
      <c r="Q802" s="37">
        <v>0</v>
      </c>
      <c r="R802" s="37">
        <v>0</v>
      </c>
    </row>
    <row r="803" spans="1:18" hidden="1">
      <c r="A803" s="10" t="s">
        <v>74</v>
      </c>
      <c r="B803" t="s">
        <v>1</v>
      </c>
      <c r="C803">
        <v>0</v>
      </c>
      <c r="D803">
        <v>0</v>
      </c>
      <c r="E803" s="29">
        <v>0</v>
      </c>
      <c r="F803">
        <v>0</v>
      </c>
      <c r="G803">
        <v>0</v>
      </c>
      <c r="H803">
        <v>0</v>
      </c>
      <c r="I803" s="29">
        <v>0</v>
      </c>
      <c r="J803" s="29">
        <v>0</v>
      </c>
      <c r="K803" s="9">
        <v>45312</v>
      </c>
      <c r="L803">
        <f xml:space="preserve"> (交易處理資料__3[[#This Row],[售出工時]] * 60) / 5</f>
        <v>0</v>
      </c>
      <c r="M803" t="str">
        <f>VLOOKUP(交易處理資料__3[[#This Row],[人員代號]],團隊分組!$B$1:$C$52,2,FALSE)</f>
        <v>噴漆維修組</v>
      </c>
      <c r="N803" t="str">
        <f>IF(交易處理資料__3[[#This Row],[上班時間]]=0,"否","是")</f>
        <v>否</v>
      </c>
      <c r="O803" s="10" t="s">
        <v>74</v>
      </c>
      <c r="P803" s="38">
        <v>0</v>
      </c>
      <c r="Q803" s="38">
        <v>0</v>
      </c>
      <c r="R803" s="38">
        <v>0</v>
      </c>
    </row>
    <row r="804" spans="1:18" hidden="1">
      <c r="A804" s="10" t="s">
        <v>74</v>
      </c>
      <c r="B804" t="s">
        <v>2</v>
      </c>
      <c r="C804">
        <v>0</v>
      </c>
      <c r="D804">
        <v>0</v>
      </c>
      <c r="E804" s="29">
        <v>0</v>
      </c>
      <c r="F804">
        <v>0</v>
      </c>
      <c r="G804">
        <v>0</v>
      </c>
      <c r="H804">
        <v>0</v>
      </c>
      <c r="I804" s="29">
        <v>0</v>
      </c>
      <c r="J804" s="29">
        <v>0</v>
      </c>
      <c r="K804" s="9">
        <v>45312</v>
      </c>
      <c r="L804">
        <f xml:space="preserve"> (交易處理資料__3[[#This Row],[售出工時]] * 60) / 5</f>
        <v>0</v>
      </c>
      <c r="M804" t="str">
        <f>VLOOKUP(交易處理資料__3[[#This Row],[人員代號]],團隊分組!$B$1:$C$52,2,FALSE)</f>
        <v>噴漆維修組</v>
      </c>
      <c r="N804" t="str">
        <f>IF(交易處理資料__3[[#This Row],[上班時間]]=0,"否","是")</f>
        <v>否</v>
      </c>
      <c r="O804" s="10" t="s">
        <v>74</v>
      </c>
      <c r="P804" s="37">
        <v>0</v>
      </c>
      <c r="Q804" s="37">
        <v>0</v>
      </c>
      <c r="R804" s="37">
        <v>0</v>
      </c>
    </row>
    <row r="805" spans="1:18" hidden="1">
      <c r="A805" s="10" t="s">
        <v>74</v>
      </c>
      <c r="B805" t="s">
        <v>3</v>
      </c>
      <c r="C805">
        <v>0</v>
      </c>
      <c r="D805">
        <v>0</v>
      </c>
      <c r="E805" s="29">
        <v>0</v>
      </c>
      <c r="F805">
        <v>0</v>
      </c>
      <c r="G805">
        <v>0</v>
      </c>
      <c r="H805">
        <v>0</v>
      </c>
      <c r="I805" s="29">
        <v>0</v>
      </c>
      <c r="J805" s="29">
        <v>0</v>
      </c>
      <c r="K805" s="9">
        <v>45312</v>
      </c>
      <c r="L805">
        <f xml:space="preserve"> (交易處理資料__3[[#This Row],[售出工時]] * 60) / 5</f>
        <v>0</v>
      </c>
      <c r="M805" t="str">
        <f>VLOOKUP(交易處理資料__3[[#This Row],[人員代號]],團隊分組!$B$1:$C$52,2,FALSE)</f>
        <v>噴漆維修組</v>
      </c>
      <c r="N805" t="str">
        <f>IF(交易處理資料__3[[#This Row],[上班時間]]=0,"否","是")</f>
        <v>否</v>
      </c>
      <c r="O805" s="10" t="s">
        <v>74</v>
      </c>
      <c r="P805" s="38">
        <v>0</v>
      </c>
      <c r="Q805" s="38">
        <v>0</v>
      </c>
      <c r="R805" s="38">
        <v>0</v>
      </c>
    </row>
    <row r="806" spans="1:18" hidden="1">
      <c r="A806" s="10" t="s">
        <v>74</v>
      </c>
      <c r="B806" t="s">
        <v>4</v>
      </c>
      <c r="C806">
        <v>0</v>
      </c>
      <c r="D806">
        <v>0</v>
      </c>
      <c r="E806" s="29">
        <v>0</v>
      </c>
      <c r="F806">
        <v>0</v>
      </c>
      <c r="G806">
        <v>0</v>
      </c>
      <c r="H806">
        <v>0</v>
      </c>
      <c r="I806" s="29">
        <v>0</v>
      </c>
      <c r="J806" s="29">
        <v>0</v>
      </c>
      <c r="K806" s="9">
        <v>45312</v>
      </c>
      <c r="L806">
        <f xml:space="preserve"> (交易處理資料__3[[#This Row],[售出工時]] * 60) / 5</f>
        <v>0</v>
      </c>
      <c r="M806" t="str">
        <f>VLOOKUP(交易處理資料__3[[#This Row],[人員代號]],團隊分組!$B$1:$C$52,2,FALSE)</f>
        <v>噴漆維修組</v>
      </c>
      <c r="N806" t="str">
        <f>IF(交易處理資料__3[[#This Row],[上班時間]]=0,"否","是")</f>
        <v>否</v>
      </c>
      <c r="O806" s="10" t="s">
        <v>74</v>
      </c>
      <c r="P806" s="37">
        <v>0</v>
      </c>
      <c r="Q806" s="37">
        <v>0</v>
      </c>
      <c r="R806" s="37">
        <v>0</v>
      </c>
    </row>
    <row r="807" spans="1:18" hidden="1">
      <c r="A807" s="10" t="s">
        <v>74</v>
      </c>
      <c r="B807" t="s">
        <v>5</v>
      </c>
      <c r="C807">
        <v>0</v>
      </c>
      <c r="D807">
        <v>0</v>
      </c>
      <c r="E807" s="29">
        <v>0</v>
      </c>
      <c r="F807">
        <v>0</v>
      </c>
      <c r="G807">
        <v>0</v>
      </c>
      <c r="H807">
        <v>0</v>
      </c>
      <c r="I807" s="29">
        <v>0</v>
      </c>
      <c r="J807" s="29">
        <v>0</v>
      </c>
      <c r="K807" s="9">
        <v>45312</v>
      </c>
      <c r="L807">
        <f xml:space="preserve"> (交易處理資料__3[[#This Row],[售出工時]] * 60) / 5</f>
        <v>0</v>
      </c>
      <c r="M807" t="str">
        <f>VLOOKUP(交易處理資料__3[[#This Row],[人員代號]],團隊分組!$B$1:$C$52,2,FALSE)</f>
        <v>噴漆維修組</v>
      </c>
      <c r="N807" t="str">
        <f>IF(交易處理資料__3[[#This Row],[上班時間]]=0,"否","是")</f>
        <v>否</v>
      </c>
      <c r="O807" s="10" t="s">
        <v>74</v>
      </c>
      <c r="P807" s="38">
        <v>0</v>
      </c>
      <c r="Q807" s="38">
        <v>0</v>
      </c>
      <c r="R807" s="38">
        <v>0</v>
      </c>
    </row>
    <row r="808" spans="1:18" hidden="1">
      <c r="A808" s="10" t="s">
        <v>74</v>
      </c>
      <c r="B808" t="s">
        <v>6</v>
      </c>
      <c r="C808">
        <v>0</v>
      </c>
      <c r="D808">
        <v>0</v>
      </c>
      <c r="E808" s="29">
        <v>0</v>
      </c>
      <c r="F808">
        <v>0</v>
      </c>
      <c r="G808">
        <v>0</v>
      </c>
      <c r="H808">
        <v>0</v>
      </c>
      <c r="I808" s="29">
        <v>0</v>
      </c>
      <c r="J808" s="29">
        <v>0</v>
      </c>
      <c r="K808" s="9">
        <v>45312</v>
      </c>
      <c r="L808">
        <f xml:space="preserve"> (交易處理資料__3[[#This Row],[售出工時]] * 60) / 5</f>
        <v>0</v>
      </c>
      <c r="M808" t="str">
        <f>VLOOKUP(交易處理資料__3[[#This Row],[人員代號]],團隊分組!$B$1:$C$52,2,FALSE)</f>
        <v>噴漆維修組</v>
      </c>
      <c r="N808" t="str">
        <f>IF(交易處理資料__3[[#This Row],[上班時間]]=0,"否","是")</f>
        <v>否</v>
      </c>
      <c r="O808" s="10" t="s">
        <v>74</v>
      </c>
      <c r="P808" s="37">
        <v>0</v>
      </c>
      <c r="Q808" s="37">
        <v>0</v>
      </c>
      <c r="R808" s="37">
        <v>0</v>
      </c>
    </row>
    <row r="809" spans="1:18">
      <c r="A809" s="10" t="s">
        <v>74</v>
      </c>
      <c r="B809" t="s">
        <v>7</v>
      </c>
      <c r="C809">
        <v>0</v>
      </c>
      <c r="D809">
        <v>0</v>
      </c>
      <c r="E809" s="29">
        <v>0</v>
      </c>
      <c r="F809">
        <v>0</v>
      </c>
      <c r="G809">
        <v>0</v>
      </c>
      <c r="H809">
        <v>0</v>
      </c>
      <c r="I809" s="29">
        <v>0</v>
      </c>
      <c r="J809" s="29">
        <v>0</v>
      </c>
      <c r="K809" s="9">
        <v>45312</v>
      </c>
      <c r="L809">
        <f xml:space="preserve"> (交易處理資料__3[[#This Row],[售出工時]] * 60) / 5</f>
        <v>0</v>
      </c>
      <c r="M809" t="str">
        <f>VLOOKUP(交易處理資料__3[[#This Row],[人員代號]],團隊分組!$B$1:$C$52,2,FALSE)</f>
        <v>噴漆維修組</v>
      </c>
      <c r="N809" t="str">
        <f>IF(交易處理資料__3[[#This Row],[上班時間]]=0,"否","是")</f>
        <v>否</v>
      </c>
      <c r="O809" s="10" t="s">
        <v>74</v>
      </c>
      <c r="P809" s="38">
        <v>0</v>
      </c>
      <c r="Q809" s="38">
        <v>0</v>
      </c>
      <c r="R809" s="38">
        <v>0</v>
      </c>
    </row>
    <row r="810" spans="1:18" hidden="1">
      <c r="A810" s="10" t="s">
        <v>74</v>
      </c>
      <c r="B810" t="s">
        <v>8</v>
      </c>
      <c r="C810">
        <v>0</v>
      </c>
      <c r="D810">
        <v>0</v>
      </c>
      <c r="E810" s="29">
        <v>0</v>
      </c>
      <c r="F810">
        <v>0</v>
      </c>
      <c r="G810">
        <v>0</v>
      </c>
      <c r="H810">
        <v>0</v>
      </c>
      <c r="I810" s="29">
        <v>0</v>
      </c>
      <c r="J810" s="29">
        <v>0</v>
      </c>
      <c r="K810" s="9">
        <v>45312</v>
      </c>
      <c r="L810">
        <f xml:space="preserve"> (交易處理資料__3[[#This Row],[售出工時]] * 60) / 5</f>
        <v>0</v>
      </c>
      <c r="M810" t="str">
        <f>VLOOKUP(交易處理資料__3[[#This Row],[人員代號]],團隊分組!$B$1:$C$52,2,FALSE)</f>
        <v>噴漆維修組</v>
      </c>
      <c r="N810" t="str">
        <f>IF(交易處理資料__3[[#This Row],[上班時間]]=0,"否","是")</f>
        <v>否</v>
      </c>
      <c r="O810" s="10" t="s">
        <v>74</v>
      </c>
      <c r="P810" s="37">
        <v>0</v>
      </c>
      <c r="Q810" s="37">
        <v>0</v>
      </c>
      <c r="R810" s="37">
        <v>0</v>
      </c>
    </row>
    <row r="811" spans="1:18" hidden="1">
      <c r="A811" s="10" t="s">
        <v>74</v>
      </c>
      <c r="B811" t="s">
        <v>9</v>
      </c>
      <c r="C811">
        <v>0</v>
      </c>
      <c r="D811">
        <v>0</v>
      </c>
      <c r="E811" s="29">
        <v>0</v>
      </c>
      <c r="F811">
        <v>0</v>
      </c>
      <c r="G811">
        <v>0</v>
      </c>
      <c r="H811">
        <v>0</v>
      </c>
      <c r="I811" s="29">
        <v>0</v>
      </c>
      <c r="J811" s="29">
        <v>0</v>
      </c>
      <c r="K811" s="9">
        <v>45312</v>
      </c>
      <c r="L811">
        <f xml:space="preserve"> (交易處理資料__3[[#This Row],[售出工時]] * 60) / 5</f>
        <v>0</v>
      </c>
      <c r="M811" t="str">
        <f>VLOOKUP(交易處理資料__3[[#This Row],[人員代號]],團隊分組!$B$1:$C$52,2,FALSE)</f>
        <v>噴漆維修組</v>
      </c>
      <c r="N811" t="str">
        <f>IF(交易處理資料__3[[#This Row],[上班時間]]=0,"否","是")</f>
        <v>否</v>
      </c>
      <c r="O811" s="10" t="s">
        <v>74</v>
      </c>
      <c r="P811" s="38">
        <v>0</v>
      </c>
      <c r="Q811" s="38">
        <v>0</v>
      </c>
      <c r="R811" s="38">
        <v>0</v>
      </c>
    </row>
    <row r="812" spans="1:18" hidden="1">
      <c r="A812" t="s">
        <v>75</v>
      </c>
      <c r="B812" t="s">
        <v>11</v>
      </c>
      <c r="C812">
        <v>0</v>
      </c>
      <c r="D812">
        <v>0</v>
      </c>
      <c r="E812" s="29">
        <v>0</v>
      </c>
      <c r="F812">
        <v>0</v>
      </c>
      <c r="G812">
        <v>0</v>
      </c>
      <c r="H812">
        <v>0</v>
      </c>
      <c r="I812" s="29">
        <v>0</v>
      </c>
      <c r="J812" s="29">
        <v>0</v>
      </c>
      <c r="K812" s="9">
        <v>45312</v>
      </c>
      <c r="L812">
        <f xml:space="preserve"> (交易處理資料__3[[#This Row],[售出工時]] * 60) / 5</f>
        <v>0</v>
      </c>
      <c r="M812" t="str">
        <f>VLOOKUP(交易處理資料__3[[#This Row],[人員代號]],團隊分組!$B$1:$C$52,2,FALSE)</f>
        <v>鈑金維修組</v>
      </c>
      <c r="N812" t="str">
        <f>IF(交易處理資料__3[[#This Row],[上班時間]]=0,"否","是")</f>
        <v>否</v>
      </c>
      <c r="O812" t="s">
        <v>75</v>
      </c>
      <c r="P812" s="37">
        <v>0</v>
      </c>
      <c r="Q812" s="37">
        <v>0</v>
      </c>
      <c r="R812" s="37">
        <v>0</v>
      </c>
    </row>
    <row r="813" spans="1:18" hidden="1">
      <c r="A813" t="s">
        <v>75</v>
      </c>
      <c r="B813" t="s">
        <v>12</v>
      </c>
      <c r="C813">
        <v>0</v>
      </c>
      <c r="D813">
        <v>0</v>
      </c>
      <c r="E813" s="29">
        <v>0</v>
      </c>
      <c r="F813">
        <v>0</v>
      </c>
      <c r="G813">
        <v>0</v>
      </c>
      <c r="H813">
        <v>0</v>
      </c>
      <c r="I813" s="29">
        <v>0</v>
      </c>
      <c r="J813" s="29">
        <v>0</v>
      </c>
      <c r="K813" s="9">
        <v>45312</v>
      </c>
      <c r="L813">
        <f xml:space="preserve"> (交易處理資料__3[[#This Row],[售出工時]] * 60) / 5</f>
        <v>0</v>
      </c>
      <c r="M813" t="str">
        <f>VLOOKUP(交易處理資料__3[[#This Row],[人員代號]],團隊分組!$B$1:$C$52,2,FALSE)</f>
        <v>鈑金維修組</v>
      </c>
      <c r="N813" t="str">
        <f>IF(交易處理資料__3[[#This Row],[上班時間]]=0,"否","是")</f>
        <v>否</v>
      </c>
      <c r="O813" t="s">
        <v>75</v>
      </c>
      <c r="P813" s="38">
        <v>0</v>
      </c>
      <c r="Q813" s="38">
        <v>0</v>
      </c>
      <c r="R813" s="38">
        <v>0</v>
      </c>
    </row>
    <row r="814" spans="1:18" hidden="1">
      <c r="A814" t="s">
        <v>75</v>
      </c>
      <c r="B814" t="s">
        <v>13</v>
      </c>
      <c r="C814">
        <v>0</v>
      </c>
      <c r="D814">
        <v>0</v>
      </c>
      <c r="E814" s="29">
        <v>0</v>
      </c>
      <c r="F814">
        <v>0</v>
      </c>
      <c r="G814">
        <v>0</v>
      </c>
      <c r="H814">
        <v>0</v>
      </c>
      <c r="I814" s="29">
        <v>0</v>
      </c>
      <c r="J814" s="29">
        <v>0</v>
      </c>
      <c r="K814" s="9">
        <v>45312</v>
      </c>
      <c r="L814">
        <f xml:space="preserve"> (交易處理資料__3[[#This Row],[售出工時]] * 60) / 5</f>
        <v>0</v>
      </c>
      <c r="M814" t="str">
        <f>VLOOKUP(交易處理資料__3[[#This Row],[人員代號]],團隊分組!$B$1:$C$52,2,FALSE)</f>
        <v>鈑金維修組</v>
      </c>
      <c r="N814" t="str">
        <f>IF(交易處理資料__3[[#This Row],[上班時間]]=0,"否","是")</f>
        <v>否</v>
      </c>
      <c r="O814" t="s">
        <v>75</v>
      </c>
      <c r="P814" s="37">
        <v>0</v>
      </c>
      <c r="Q814" s="37">
        <v>0</v>
      </c>
      <c r="R814" s="37">
        <v>0</v>
      </c>
    </row>
    <row r="815" spans="1:18" hidden="1">
      <c r="A815" t="s">
        <v>75</v>
      </c>
      <c r="B815" t="s">
        <v>14</v>
      </c>
      <c r="C815">
        <v>0</v>
      </c>
      <c r="D815">
        <v>0</v>
      </c>
      <c r="E815" s="29">
        <v>0</v>
      </c>
      <c r="F815">
        <v>0</v>
      </c>
      <c r="G815">
        <v>0</v>
      </c>
      <c r="H815">
        <v>0</v>
      </c>
      <c r="I815" s="29">
        <v>0</v>
      </c>
      <c r="J815" s="29">
        <v>0</v>
      </c>
      <c r="K815" s="9">
        <v>45312</v>
      </c>
      <c r="L815">
        <f xml:space="preserve"> (交易處理資料__3[[#This Row],[售出工時]] * 60) / 5</f>
        <v>0</v>
      </c>
      <c r="M815" t="str">
        <f>VLOOKUP(交易處理資料__3[[#This Row],[人員代號]],團隊分組!$B$1:$C$52,2,FALSE)</f>
        <v>鈑金維修組</v>
      </c>
      <c r="N815" t="str">
        <f>IF(交易處理資料__3[[#This Row],[上班時間]]=0,"否","是")</f>
        <v>否</v>
      </c>
      <c r="O815" t="s">
        <v>75</v>
      </c>
      <c r="P815" s="38">
        <v>0</v>
      </c>
      <c r="Q815" s="38">
        <v>0</v>
      </c>
      <c r="R815" s="38">
        <v>0</v>
      </c>
    </row>
    <row r="816" spans="1:18" hidden="1">
      <c r="A816" t="s">
        <v>75</v>
      </c>
      <c r="B816" t="s">
        <v>15</v>
      </c>
      <c r="C816">
        <v>0</v>
      </c>
      <c r="D816">
        <v>0</v>
      </c>
      <c r="E816" s="29">
        <v>0</v>
      </c>
      <c r="F816">
        <v>0</v>
      </c>
      <c r="G816">
        <v>0</v>
      </c>
      <c r="H816">
        <v>0</v>
      </c>
      <c r="I816" s="29">
        <v>0</v>
      </c>
      <c r="J816" s="29">
        <v>0</v>
      </c>
      <c r="K816" s="9">
        <v>45312</v>
      </c>
      <c r="L816">
        <f xml:space="preserve"> (交易處理資料__3[[#This Row],[售出工時]] * 60) / 5</f>
        <v>0</v>
      </c>
      <c r="M816" t="str">
        <f>VLOOKUP(交易處理資料__3[[#This Row],[人員代號]],團隊分組!$B$1:$C$52,2,FALSE)</f>
        <v>鈑金維修組</v>
      </c>
      <c r="N816" t="str">
        <f>IF(交易處理資料__3[[#This Row],[上班時間]]=0,"否","是")</f>
        <v>否</v>
      </c>
      <c r="O816" t="s">
        <v>75</v>
      </c>
      <c r="P816" s="37">
        <v>0</v>
      </c>
      <c r="Q816" s="37">
        <v>0</v>
      </c>
      <c r="R816" s="37">
        <v>0</v>
      </c>
    </row>
    <row r="817" spans="1:18" hidden="1">
      <c r="A817" t="s">
        <v>76</v>
      </c>
      <c r="B817" t="s">
        <v>17</v>
      </c>
      <c r="C817">
        <v>0</v>
      </c>
      <c r="D817">
        <v>0</v>
      </c>
      <c r="E817" s="29">
        <v>0</v>
      </c>
      <c r="F817">
        <v>0</v>
      </c>
      <c r="G817">
        <v>0</v>
      </c>
      <c r="H817">
        <v>0</v>
      </c>
      <c r="I817" s="29">
        <v>0</v>
      </c>
      <c r="J817" s="29">
        <v>0</v>
      </c>
      <c r="K817" s="9">
        <v>45312</v>
      </c>
      <c r="L817">
        <f xml:space="preserve"> (交易處理資料__3[[#This Row],[售出工時]] * 60) / 5</f>
        <v>0</v>
      </c>
      <c r="M817" t="str">
        <f>VLOOKUP(交易處理資料__3[[#This Row],[人員代號]],團隊分組!$B$1:$C$52,2,FALSE)</f>
        <v>快速保養團隊A</v>
      </c>
      <c r="N817" t="str">
        <f>IF(交易處理資料__3[[#This Row],[上班時間]]=0,"否","是")</f>
        <v>否</v>
      </c>
      <c r="O817" t="s">
        <v>76</v>
      </c>
      <c r="P817" s="38">
        <v>0</v>
      </c>
      <c r="Q817" s="38">
        <v>0</v>
      </c>
      <c r="R817" s="38">
        <v>0</v>
      </c>
    </row>
    <row r="818" spans="1:18" hidden="1">
      <c r="A818" t="s">
        <v>76</v>
      </c>
      <c r="B818" t="s">
        <v>18</v>
      </c>
      <c r="C818">
        <v>0</v>
      </c>
      <c r="D818">
        <v>0</v>
      </c>
      <c r="E818" s="29">
        <v>0</v>
      </c>
      <c r="F818">
        <v>0</v>
      </c>
      <c r="G818">
        <v>0</v>
      </c>
      <c r="H818">
        <v>0</v>
      </c>
      <c r="I818" s="29">
        <v>0</v>
      </c>
      <c r="J818" s="29">
        <v>0</v>
      </c>
      <c r="K818" s="9">
        <v>45312</v>
      </c>
      <c r="L818">
        <f xml:space="preserve"> (交易處理資料__3[[#This Row],[售出工時]] * 60) / 5</f>
        <v>0</v>
      </c>
      <c r="M818" t="str">
        <f>VLOOKUP(交易處理資料__3[[#This Row],[人員代號]],團隊分組!$B$1:$C$52,2,FALSE)</f>
        <v>查修團隊B</v>
      </c>
      <c r="N818" t="str">
        <f>IF(交易處理資料__3[[#This Row],[上班時間]]=0,"否","是")</f>
        <v>否</v>
      </c>
      <c r="O818" t="s">
        <v>76</v>
      </c>
      <c r="P818" s="37">
        <v>0</v>
      </c>
      <c r="Q818" s="37">
        <v>0</v>
      </c>
      <c r="R818" s="37">
        <v>0</v>
      </c>
    </row>
    <row r="819" spans="1:18" hidden="1">
      <c r="A819" t="s">
        <v>76</v>
      </c>
      <c r="B819" t="s">
        <v>19</v>
      </c>
      <c r="C819">
        <v>0</v>
      </c>
      <c r="D819">
        <v>0</v>
      </c>
      <c r="E819" s="29">
        <v>0</v>
      </c>
      <c r="F819">
        <v>0</v>
      </c>
      <c r="G819">
        <v>0</v>
      </c>
      <c r="H819">
        <v>0</v>
      </c>
      <c r="I819" s="29">
        <v>0</v>
      </c>
      <c r="J819" s="29">
        <v>0</v>
      </c>
      <c r="K819" s="9">
        <v>45312</v>
      </c>
      <c r="L819">
        <f xml:space="preserve"> (交易處理資料__3[[#This Row],[售出工時]] * 60) / 5</f>
        <v>0</v>
      </c>
      <c r="M819" t="str">
        <f>VLOOKUP(交易處理資料__3[[#This Row],[人員代號]],團隊分組!$B$1:$C$52,2,FALSE)</f>
        <v>查修團隊A</v>
      </c>
      <c r="N819" t="str">
        <f>IF(交易處理資料__3[[#This Row],[上班時間]]=0,"否","是")</f>
        <v>否</v>
      </c>
      <c r="O819" t="s">
        <v>76</v>
      </c>
      <c r="P819" s="38">
        <v>0</v>
      </c>
      <c r="Q819" s="38">
        <v>0</v>
      </c>
      <c r="R819" s="38">
        <v>0</v>
      </c>
    </row>
    <row r="820" spans="1:18" hidden="1">
      <c r="A820" t="s">
        <v>76</v>
      </c>
      <c r="B820" t="s">
        <v>20</v>
      </c>
      <c r="C820">
        <v>0</v>
      </c>
      <c r="D820">
        <v>0</v>
      </c>
      <c r="E820" s="29">
        <v>0</v>
      </c>
      <c r="F820">
        <v>0</v>
      </c>
      <c r="G820">
        <v>0</v>
      </c>
      <c r="H820">
        <v>0</v>
      </c>
      <c r="I820" s="29">
        <v>0</v>
      </c>
      <c r="J820" s="29">
        <v>0</v>
      </c>
      <c r="K820" s="9">
        <v>45312</v>
      </c>
      <c r="L820">
        <f xml:space="preserve"> (交易處理資料__3[[#This Row],[售出工時]] * 60) / 5</f>
        <v>0</v>
      </c>
      <c r="M820" t="str">
        <f>VLOOKUP(交易處理資料__3[[#This Row],[人員代號]],團隊分組!$B$1:$C$52,2,FALSE)</f>
        <v>查修團隊B</v>
      </c>
      <c r="N820" t="str">
        <f>IF(交易處理資料__3[[#This Row],[上班時間]]=0,"否","是")</f>
        <v>否</v>
      </c>
      <c r="O820" t="s">
        <v>76</v>
      </c>
      <c r="P820" s="37">
        <v>0</v>
      </c>
      <c r="Q820" s="37">
        <v>0</v>
      </c>
      <c r="R820" s="37">
        <v>0</v>
      </c>
    </row>
    <row r="821" spans="1:18" hidden="1">
      <c r="A821" t="s">
        <v>76</v>
      </c>
      <c r="B821" t="s">
        <v>21</v>
      </c>
      <c r="C821">
        <v>0</v>
      </c>
      <c r="D821">
        <v>0</v>
      </c>
      <c r="E821" s="29">
        <v>0</v>
      </c>
      <c r="F821">
        <v>0</v>
      </c>
      <c r="G821">
        <v>0</v>
      </c>
      <c r="H821">
        <v>0</v>
      </c>
      <c r="I821" s="29">
        <v>0</v>
      </c>
      <c r="J821" s="29">
        <v>0</v>
      </c>
      <c r="K821" s="9">
        <v>45312</v>
      </c>
      <c r="L821">
        <f xml:space="preserve"> (交易處理資料__3[[#This Row],[售出工時]] * 60) / 5</f>
        <v>0</v>
      </c>
      <c r="M821" t="str">
        <f>VLOOKUP(交易處理資料__3[[#This Row],[人員代號]],團隊分組!$B$1:$C$52,2,FALSE)</f>
        <v>查修團隊B</v>
      </c>
      <c r="N821" t="str">
        <f>IF(交易處理資料__3[[#This Row],[上班時間]]=0,"否","是")</f>
        <v>否</v>
      </c>
      <c r="O821" t="s">
        <v>76</v>
      </c>
      <c r="P821" s="38">
        <v>0</v>
      </c>
      <c r="Q821" s="38">
        <v>0</v>
      </c>
      <c r="R821" s="38">
        <v>0</v>
      </c>
    </row>
    <row r="822" spans="1:18" hidden="1">
      <c r="A822" t="s">
        <v>76</v>
      </c>
      <c r="B822" t="s">
        <v>22</v>
      </c>
      <c r="C822">
        <v>0</v>
      </c>
      <c r="D822">
        <v>0</v>
      </c>
      <c r="E822" s="29">
        <v>0</v>
      </c>
      <c r="F822">
        <v>0</v>
      </c>
      <c r="G822">
        <v>0</v>
      </c>
      <c r="H822">
        <v>0</v>
      </c>
      <c r="I822" s="29">
        <v>0</v>
      </c>
      <c r="J822" s="29">
        <v>0</v>
      </c>
      <c r="K822" s="9">
        <v>45312</v>
      </c>
      <c r="L822">
        <f xml:space="preserve"> (交易處理資料__3[[#This Row],[售出工時]] * 60) / 5</f>
        <v>0</v>
      </c>
      <c r="M822" t="str">
        <f>VLOOKUP(交易處理資料__3[[#This Row],[人員代號]],團隊分組!$B$1:$C$52,2,FALSE)</f>
        <v>快速保養團隊A</v>
      </c>
      <c r="N822" t="str">
        <f>IF(交易處理資料__3[[#This Row],[上班時間]]=0,"否","是")</f>
        <v>否</v>
      </c>
      <c r="O822" t="s">
        <v>76</v>
      </c>
      <c r="P822" s="37">
        <v>0</v>
      </c>
      <c r="Q822" s="37">
        <v>0</v>
      </c>
      <c r="R822" s="37">
        <v>0</v>
      </c>
    </row>
    <row r="823" spans="1:18" hidden="1">
      <c r="A823" t="s">
        <v>76</v>
      </c>
      <c r="B823" t="s">
        <v>23</v>
      </c>
      <c r="C823">
        <v>0</v>
      </c>
      <c r="D823">
        <v>0</v>
      </c>
      <c r="E823" s="29">
        <v>0</v>
      </c>
      <c r="F823">
        <v>0</v>
      </c>
      <c r="G823">
        <v>0</v>
      </c>
      <c r="H823">
        <v>0</v>
      </c>
      <c r="I823" s="29">
        <v>0</v>
      </c>
      <c r="J823" s="29">
        <v>0</v>
      </c>
      <c r="K823" s="9">
        <v>45312</v>
      </c>
      <c r="L823">
        <f xml:space="preserve"> (交易處理資料__3[[#This Row],[售出工時]] * 60) / 5</f>
        <v>0</v>
      </c>
      <c r="M823" t="str">
        <f>VLOOKUP(交易處理資料__3[[#This Row],[人員代號]],團隊分組!$B$1:$C$52,2,FALSE)</f>
        <v>快速保養團隊B</v>
      </c>
      <c r="N823" t="str">
        <f>IF(交易處理資料__3[[#This Row],[上班時間]]=0,"否","是")</f>
        <v>否</v>
      </c>
      <c r="O823" t="s">
        <v>76</v>
      </c>
      <c r="P823" s="38">
        <v>0</v>
      </c>
      <c r="Q823" s="38">
        <v>0</v>
      </c>
      <c r="R823" s="38">
        <v>0</v>
      </c>
    </row>
    <row r="824" spans="1:18" hidden="1">
      <c r="A824" t="s">
        <v>76</v>
      </c>
      <c r="B824" t="s">
        <v>24</v>
      </c>
      <c r="C824">
        <v>0</v>
      </c>
      <c r="D824">
        <v>0</v>
      </c>
      <c r="E824" s="29">
        <v>0</v>
      </c>
      <c r="F824">
        <v>0</v>
      </c>
      <c r="G824">
        <v>0</v>
      </c>
      <c r="H824">
        <v>0</v>
      </c>
      <c r="I824" s="29">
        <v>0</v>
      </c>
      <c r="J824" s="29">
        <v>0</v>
      </c>
      <c r="K824" s="9">
        <v>45312</v>
      </c>
      <c r="L824">
        <f xml:space="preserve"> (交易處理資料__3[[#This Row],[售出工時]] * 60) / 5</f>
        <v>0</v>
      </c>
      <c r="M824" t="str">
        <f>VLOOKUP(交易處理資料__3[[#This Row],[人員代號]],團隊分組!$B$1:$C$52,2,FALSE)</f>
        <v>快速保養團隊A</v>
      </c>
      <c r="N824" t="str">
        <f>IF(交易處理資料__3[[#This Row],[上班時間]]=0,"否","是")</f>
        <v>否</v>
      </c>
      <c r="O824" t="s">
        <v>76</v>
      </c>
      <c r="P824" s="37">
        <v>0</v>
      </c>
      <c r="Q824" s="37">
        <v>0</v>
      </c>
      <c r="R824" s="37">
        <v>0</v>
      </c>
    </row>
    <row r="825" spans="1:18" hidden="1">
      <c r="A825" t="s">
        <v>76</v>
      </c>
      <c r="B825" t="s">
        <v>25</v>
      </c>
      <c r="C825">
        <v>0</v>
      </c>
      <c r="D825">
        <v>0</v>
      </c>
      <c r="E825" s="29">
        <v>0</v>
      </c>
      <c r="F825">
        <v>0</v>
      </c>
      <c r="G825">
        <v>0</v>
      </c>
      <c r="H825">
        <v>0</v>
      </c>
      <c r="I825" s="29">
        <v>0</v>
      </c>
      <c r="J825" s="29">
        <v>0</v>
      </c>
      <c r="K825" s="9">
        <v>45312</v>
      </c>
      <c r="L825">
        <f xml:space="preserve"> (交易處理資料__3[[#This Row],[售出工時]] * 60) / 5</f>
        <v>0</v>
      </c>
      <c r="M825" t="str">
        <f>VLOOKUP(交易處理資料__3[[#This Row],[人員代號]],團隊分組!$B$1:$C$52,2,FALSE)</f>
        <v>查修團隊A</v>
      </c>
      <c r="N825" t="str">
        <f>IF(交易處理資料__3[[#This Row],[上班時間]]=0,"否","是")</f>
        <v>否</v>
      </c>
      <c r="O825" t="s">
        <v>76</v>
      </c>
      <c r="P825" s="38">
        <v>0</v>
      </c>
      <c r="Q825" s="38">
        <v>0</v>
      </c>
      <c r="R825" s="38">
        <v>0</v>
      </c>
    </row>
    <row r="826" spans="1:18" hidden="1">
      <c r="A826" t="s">
        <v>76</v>
      </c>
      <c r="B826" t="s">
        <v>26</v>
      </c>
      <c r="C826">
        <v>0</v>
      </c>
      <c r="D826">
        <v>0</v>
      </c>
      <c r="E826" s="29">
        <v>0</v>
      </c>
      <c r="F826">
        <v>0</v>
      </c>
      <c r="G826">
        <v>0</v>
      </c>
      <c r="H826">
        <v>0</v>
      </c>
      <c r="I826" s="29">
        <v>0</v>
      </c>
      <c r="J826" s="29">
        <v>0</v>
      </c>
      <c r="K826" s="9">
        <v>45312</v>
      </c>
      <c r="L826">
        <f xml:space="preserve"> (交易處理資料__3[[#This Row],[售出工時]] * 60) / 5</f>
        <v>0</v>
      </c>
      <c r="M826" t="str">
        <f>VLOOKUP(交易處理資料__3[[#This Row],[人員代號]],團隊分組!$B$1:$C$52,2,FALSE)</f>
        <v>查修團隊B</v>
      </c>
      <c r="N826" t="str">
        <f>IF(交易處理資料__3[[#This Row],[上班時間]]=0,"否","是")</f>
        <v>否</v>
      </c>
      <c r="O826" t="s">
        <v>76</v>
      </c>
      <c r="P826" s="37">
        <v>0</v>
      </c>
      <c r="Q826" s="37">
        <v>0</v>
      </c>
      <c r="R826" s="37">
        <v>0</v>
      </c>
    </row>
    <row r="827" spans="1:18" hidden="1">
      <c r="A827" t="s">
        <v>76</v>
      </c>
      <c r="B827" t="s">
        <v>27</v>
      </c>
      <c r="C827">
        <v>0</v>
      </c>
      <c r="D827">
        <v>0</v>
      </c>
      <c r="E827" s="29">
        <v>0</v>
      </c>
      <c r="F827">
        <v>0</v>
      </c>
      <c r="G827">
        <v>0</v>
      </c>
      <c r="H827">
        <v>0</v>
      </c>
      <c r="I827" s="29">
        <v>0</v>
      </c>
      <c r="J827" s="29">
        <v>0</v>
      </c>
      <c r="K827" s="9">
        <v>45312</v>
      </c>
      <c r="L827">
        <f xml:space="preserve"> (交易處理資料__3[[#This Row],[售出工時]] * 60) / 5</f>
        <v>0</v>
      </c>
      <c r="M827" t="str">
        <f>VLOOKUP(交易處理資料__3[[#This Row],[人員代號]],團隊分組!$B$1:$C$52,2,FALSE)</f>
        <v>快速保養團隊B</v>
      </c>
      <c r="N827" t="str">
        <f>IF(交易處理資料__3[[#This Row],[上班時間]]=0,"否","是")</f>
        <v>否</v>
      </c>
      <c r="O827" t="s">
        <v>76</v>
      </c>
      <c r="P827" s="38">
        <v>0</v>
      </c>
      <c r="Q827" s="38">
        <v>0</v>
      </c>
      <c r="R827" s="38">
        <v>0</v>
      </c>
    </row>
    <row r="828" spans="1:18" hidden="1">
      <c r="A828" t="s">
        <v>76</v>
      </c>
      <c r="B828" t="s">
        <v>28</v>
      </c>
      <c r="C828">
        <v>0</v>
      </c>
      <c r="D828">
        <v>0</v>
      </c>
      <c r="E828" s="29">
        <v>0</v>
      </c>
      <c r="F828">
        <v>0</v>
      </c>
      <c r="G828">
        <v>0</v>
      </c>
      <c r="H828">
        <v>0</v>
      </c>
      <c r="I828" s="29">
        <v>0</v>
      </c>
      <c r="J828" s="29">
        <v>0</v>
      </c>
      <c r="K828" s="9">
        <v>45312</v>
      </c>
      <c r="L828">
        <f xml:space="preserve"> (交易處理資料__3[[#This Row],[售出工時]] * 60) / 5</f>
        <v>0</v>
      </c>
      <c r="M828" t="str">
        <f>VLOOKUP(交易處理資料__3[[#This Row],[人員代號]],團隊分組!$B$1:$C$52,2,FALSE)</f>
        <v>快速保養團隊A</v>
      </c>
      <c r="N828" t="str">
        <f>IF(交易處理資料__3[[#This Row],[上班時間]]=0,"否","是")</f>
        <v>否</v>
      </c>
      <c r="O828" t="s">
        <v>76</v>
      </c>
      <c r="P828" s="37">
        <v>0</v>
      </c>
      <c r="Q828" s="37">
        <v>0</v>
      </c>
      <c r="R828" s="37">
        <v>0</v>
      </c>
    </row>
    <row r="829" spans="1:18" hidden="1">
      <c r="A829" t="s">
        <v>76</v>
      </c>
      <c r="B829" t="s">
        <v>29</v>
      </c>
      <c r="C829">
        <v>0</v>
      </c>
      <c r="D829">
        <v>0</v>
      </c>
      <c r="E829" s="29">
        <v>0</v>
      </c>
      <c r="F829">
        <v>0</v>
      </c>
      <c r="G829">
        <v>0</v>
      </c>
      <c r="H829">
        <v>0</v>
      </c>
      <c r="I829" s="29">
        <v>0</v>
      </c>
      <c r="J829" s="29">
        <v>0</v>
      </c>
      <c r="K829" s="9">
        <v>45312</v>
      </c>
      <c r="L829">
        <f xml:space="preserve"> (交易處理資料__3[[#This Row],[售出工時]] * 60) / 5</f>
        <v>0</v>
      </c>
      <c r="M829" t="str">
        <f>VLOOKUP(交易處理資料__3[[#This Row],[人員代號]],團隊分組!$B$1:$C$52,2,FALSE)</f>
        <v>查修團隊B</v>
      </c>
      <c r="N829" t="str">
        <f>IF(交易處理資料__3[[#This Row],[上班時間]]=0,"否","是")</f>
        <v>否</v>
      </c>
      <c r="O829" t="s">
        <v>76</v>
      </c>
      <c r="P829" s="38">
        <v>0</v>
      </c>
      <c r="Q829" s="38">
        <v>0</v>
      </c>
      <c r="R829" s="38">
        <v>0</v>
      </c>
    </row>
    <row r="830" spans="1:18" hidden="1">
      <c r="A830" t="s">
        <v>76</v>
      </c>
      <c r="B830" t="s">
        <v>30</v>
      </c>
      <c r="C830">
        <v>0</v>
      </c>
      <c r="D830">
        <v>0</v>
      </c>
      <c r="E830" s="29">
        <v>0</v>
      </c>
      <c r="F830">
        <v>0</v>
      </c>
      <c r="G830">
        <v>0</v>
      </c>
      <c r="H830">
        <v>0</v>
      </c>
      <c r="I830" s="29">
        <v>0</v>
      </c>
      <c r="J830" s="29">
        <v>0</v>
      </c>
      <c r="K830" s="9">
        <v>45312</v>
      </c>
      <c r="L830">
        <f xml:space="preserve"> (交易處理資料__3[[#This Row],[售出工時]] * 60) / 5</f>
        <v>0</v>
      </c>
      <c r="M830" t="str">
        <f>VLOOKUP(交易處理資料__3[[#This Row],[人員代號]],團隊分組!$B$1:$C$52,2,FALSE)</f>
        <v>快速保養團隊B</v>
      </c>
      <c r="N830" t="str">
        <f>IF(交易處理資料__3[[#This Row],[上班時間]]=0,"否","是")</f>
        <v>否</v>
      </c>
      <c r="O830" t="s">
        <v>76</v>
      </c>
      <c r="P830" s="37">
        <v>0</v>
      </c>
      <c r="Q830" s="37">
        <v>0</v>
      </c>
      <c r="R830" s="37">
        <v>0</v>
      </c>
    </row>
    <row r="831" spans="1:18" hidden="1">
      <c r="A831" t="s">
        <v>76</v>
      </c>
      <c r="B831" t="s">
        <v>31</v>
      </c>
      <c r="C831">
        <v>0</v>
      </c>
      <c r="D831">
        <v>0</v>
      </c>
      <c r="E831" s="29">
        <v>0</v>
      </c>
      <c r="F831">
        <v>0</v>
      </c>
      <c r="G831">
        <v>0</v>
      </c>
      <c r="H831">
        <v>0</v>
      </c>
      <c r="I831" s="29">
        <v>0</v>
      </c>
      <c r="J831" s="29">
        <v>0</v>
      </c>
      <c r="K831" s="9">
        <v>45312</v>
      </c>
      <c r="L831">
        <f xml:space="preserve"> (交易處理資料__3[[#This Row],[售出工時]] * 60) / 5</f>
        <v>0</v>
      </c>
      <c r="M831" t="str">
        <f>VLOOKUP(交易處理資料__3[[#This Row],[人員代號]],團隊分組!$B$1:$C$52,2,FALSE)</f>
        <v>快速保養團隊A</v>
      </c>
      <c r="N831" t="str">
        <f>IF(交易處理資料__3[[#This Row],[上班時間]]=0,"否","是")</f>
        <v>否</v>
      </c>
      <c r="O831" t="s">
        <v>76</v>
      </c>
      <c r="P831" s="38">
        <v>0</v>
      </c>
      <c r="Q831" s="38">
        <v>0</v>
      </c>
      <c r="R831" s="38">
        <v>0</v>
      </c>
    </row>
    <row r="832" spans="1:18" hidden="1">
      <c r="A832" t="s">
        <v>76</v>
      </c>
      <c r="B832" t="s">
        <v>32</v>
      </c>
      <c r="C832">
        <v>0</v>
      </c>
      <c r="D832">
        <v>0</v>
      </c>
      <c r="E832" s="29">
        <v>0</v>
      </c>
      <c r="F832">
        <v>0</v>
      </c>
      <c r="G832">
        <v>0</v>
      </c>
      <c r="H832">
        <v>0</v>
      </c>
      <c r="I832" s="29">
        <v>0</v>
      </c>
      <c r="J832" s="29">
        <v>0</v>
      </c>
      <c r="K832" s="9">
        <v>45312</v>
      </c>
      <c r="L832">
        <f xml:space="preserve"> (交易處理資料__3[[#This Row],[售出工時]] * 60) / 5</f>
        <v>0</v>
      </c>
      <c r="M832" t="str">
        <f>VLOOKUP(交易處理資料__3[[#This Row],[人員代號]],團隊分組!$B$1:$C$52,2,FALSE)</f>
        <v>快速保養團隊B</v>
      </c>
      <c r="N832" t="str">
        <f>IF(交易處理資料__3[[#This Row],[上班時間]]=0,"否","是")</f>
        <v>否</v>
      </c>
      <c r="O832" t="s">
        <v>76</v>
      </c>
      <c r="P832" s="37">
        <v>0</v>
      </c>
      <c r="Q832" s="37">
        <v>0</v>
      </c>
      <c r="R832" s="37">
        <v>0</v>
      </c>
    </row>
    <row r="833" spans="1:18" hidden="1">
      <c r="A833" t="s">
        <v>76</v>
      </c>
      <c r="B833" t="s">
        <v>33</v>
      </c>
      <c r="C833">
        <v>0</v>
      </c>
      <c r="D833">
        <v>0</v>
      </c>
      <c r="E833" s="29">
        <v>0</v>
      </c>
      <c r="F833">
        <v>0</v>
      </c>
      <c r="G833">
        <v>0</v>
      </c>
      <c r="H833">
        <v>0</v>
      </c>
      <c r="I833" s="29">
        <v>0</v>
      </c>
      <c r="J833" s="29">
        <v>0</v>
      </c>
      <c r="K833" s="9">
        <v>45312</v>
      </c>
      <c r="L833">
        <f xml:space="preserve"> (交易處理資料__3[[#This Row],[售出工時]] * 60) / 5</f>
        <v>0</v>
      </c>
      <c r="M833" t="str">
        <f>VLOOKUP(交易處理資料__3[[#This Row],[人員代號]],團隊分組!$B$1:$C$52,2,FALSE)</f>
        <v>快速保養團隊B</v>
      </c>
      <c r="N833" t="str">
        <f>IF(交易處理資料__3[[#This Row],[上班時間]]=0,"否","是")</f>
        <v>否</v>
      </c>
      <c r="O833" t="s">
        <v>76</v>
      </c>
      <c r="P833" s="38">
        <v>0</v>
      </c>
      <c r="Q833" s="38">
        <v>0</v>
      </c>
      <c r="R833" s="38">
        <v>0</v>
      </c>
    </row>
    <row r="834" spans="1:18" hidden="1">
      <c r="A834" t="s">
        <v>76</v>
      </c>
      <c r="B834" t="s">
        <v>34</v>
      </c>
      <c r="C834">
        <v>0</v>
      </c>
      <c r="D834">
        <v>0</v>
      </c>
      <c r="E834" s="29">
        <v>0</v>
      </c>
      <c r="F834">
        <v>0</v>
      </c>
      <c r="G834">
        <v>0</v>
      </c>
      <c r="H834">
        <v>0</v>
      </c>
      <c r="I834" s="29">
        <v>0</v>
      </c>
      <c r="J834" s="29">
        <v>0</v>
      </c>
      <c r="K834" s="9">
        <v>45312</v>
      </c>
      <c r="L834">
        <f xml:space="preserve"> (交易處理資料__3[[#This Row],[售出工時]] * 60) / 5</f>
        <v>0</v>
      </c>
      <c r="M834" t="str">
        <f>VLOOKUP(交易處理資料__3[[#This Row],[人員代號]],團隊分組!$B$1:$C$52,2,FALSE)</f>
        <v>快速保養團隊A</v>
      </c>
      <c r="N834" t="str">
        <f>IF(交易處理資料__3[[#This Row],[上班時間]]=0,"否","是")</f>
        <v>否</v>
      </c>
      <c r="O834" t="s">
        <v>76</v>
      </c>
      <c r="P834" s="37">
        <v>0</v>
      </c>
      <c r="Q834" s="37">
        <v>0</v>
      </c>
      <c r="R834" s="37">
        <v>0</v>
      </c>
    </row>
    <row r="835" spans="1:18" hidden="1">
      <c r="A835" t="s">
        <v>76</v>
      </c>
      <c r="B835" t="s">
        <v>35</v>
      </c>
      <c r="C835">
        <v>0</v>
      </c>
      <c r="D835">
        <v>0</v>
      </c>
      <c r="E835" s="29">
        <v>0</v>
      </c>
      <c r="F835">
        <v>0</v>
      </c>
      <c r="G835">
        <v>0</v>
      </c>
      <c r="H835">
        <v>0</v>
      </c>
      <c r="I835" s="29">
        <v>0</v>
      </c>
      <c r="J835" s="29">
        <v>0</v>
      </c>
      <c r="K835" s="9">
        <v>45312</v>
      </c>
      <c r="L835">
        <f xml:space="preserve"> (交易處理資料__3[[#This Row],[售出工時]] * 60) / 5</f>
        <v>0</v>
      </c>
      <c r="M835" t="str">
        <f>VLOOKUP(交易處理資料__3[[#This Row],[人員代號]],團隊分組!$B$1:$C$52,2,FALSE)</f>
        <v>查修團隊B</v>
      </c>
      <c r="N835" t="str">
        <f>IF(交易處理資料__3[[#This Row],[上班時間]]=0,"否","是")</f>
        <v>否</v>
      </c>
      <c r="O835" t="s">
        <v>76</v>
      </c>
      <c r="P835" s="38">
        <v>0</v>
      </c>
      <c r="Q835" s="38">
        <v>0</v>
      </c>
      <c r="R835" s="38">
        <v>0</v>
      </c>
    </row>
    <row r="836" spans="1:18" hidden="1">
      <c r="A836" t="s">
        <v>76</v>
      </c>
      <c r="B836" t="s">
        <v>36</v>
      </c>
      <c r="C836">
        <v>0</v>
      </c>
      <c r="D836">
        <v>0</v>
      </c>
      <c r="E836" s="29">
        <v>0</v>
      </c>
      <c r="F836">
        <v>0</v>
      </c>
      <c r="G836">
        <v>0</v>
      </c>
      <c r="H836">
        <v>0</v>
      </c>
      <c r="I836" s="29">
        <v>0</v>
      </c>
      <c r="J836" s="29">
        <v>0</v>
      </c>
      <c r="K836" s="9">
        <v>45312</v>
      </c>
      <c r="L836">
        <f xml:space="preserve"> (交易處理資料__3[[#This Row],[售出工時]] * 60) / 5</f>
        <v>0</v>
      </c>
      <c r="M836" t="str">
        <f>VLOOKUP(交易處理資料__3[[#This Row],[人員代號]],團隊分組!$B$1:$C$52,2,FALSE)</f>
        <v>查修團隊B</v>
      </c>
      <c r="N836" t="str">
        <f>IF(交易處理資料__3[[#This Row],[上班時間]]=0,"否","是")</f>
        <v>否</v>
      </c>
      <c r="O836" t="s">
        <v>76</v>
      </c>
      <c r="P836" s="37">
        <v>0</v>
      </c>
      <c r="Q836" s="37">
        <v>0</v>
      </c>
      <c r="R836" s="37">
        <v>0</v>
      </c>
    </row>
    <row r="837" spans="1:18" hidden="1">
      <c r="A837" t="s">
        <v>76</v>
      </c>
      <c r="B837" t="s">
        <v>37</v>
      </c>
      <c r="C837">
        <v>0</v>
      </c>
      <c r="D837">
        <v>0</v>
      </c>
      <c r="E837" s="29">
        <v>0</v>
      </c>
      <c r="F837">
        <v>0</v>
      </c>
      <c r="G837">
        <v>0</v>
      </c>
      <c r="H837">
        <v>0</v>
      </c>
      <c r="I837" s="29">
        <v>0</v>
      </c>
      <c r="J837" s="29">
        <v>0</v>
      </c>
      <c r="K837" s="9">
        <v>45312</v>
      </c>
      <c r="L837">
        <f xml:space="preserve"> (交易處理資料__3[[#This Row],[售出工時]] * 60) / 5</f>
        <v>0</v>
      </c>
      <c r="M837" t="str">
        <f>VLOOKUP(交易處理資料__3[[#This Row],[人員代號]],團隊分組!$B$1:$C$52,2,FALSE)</f>
        <v>查修團隊A</v>
      </c>
      <c r="N837" t="str">
        <f>IF(交易處理資料__3[[#This Row],[上班時間]]=0,"否","是")</f>
        <v>否</v>
      </c>
      <c r="O837" t="s">
        <v>76</v>
      </c>
      <c r="P837" s="38">
        <v>0</v>
      </c>
      <c r="Q837" s="38">
        <v>0</v>
      </c>
      <c r="R837" s="38">
        <v>0</v>
      </c>
    </row>
    <row r="838" spans="1:18" hidden="1">
      <c r="A838" t="s">
        <v>76</v>
      </c>
      <c r="B838" t="s">
        <v>38</v>
      </c>
      <c r="C838">
        <v>0</v>
      </c>
      <c r="D838">
        <v>0</v>
      </c>
      <c r="E838" s="29">
        <v>0</v>
      </c>
      <c r="F838">
        <v>0</v>
      </c>
      <c r="G838">
        <v>0</v>
      </c>
      <c r="H838">
        <v>0</v>
      </c>
      <c r="I838" s="29">
        <v>0</v>
      </c>
      <c r="J838" s="29">
        <v>0</v>
      </c>
      <c r="K838" s="9">
        <v>45312</v>
      </c>
      <c r="L838">
        <f xml:space="preserve"> (交易處理資料__3[[#This Row],[售出工時]] * 60) / 5</f>
        <v>0</v>
      </c>
      <c r="M838" t="str">
        <f>VLOOKUP(交易處理資料__3[[#This Row],[人員代號]],團隊分組!$B$1:$C$52,2,FALSE)</f>
        <v>快速保養團隊A</v>
      </c>
      <c r="N838" t="str">
        <f>IF(交易處理資料__3[[#This Row],[上班時間]]=0,"否","是")</f>
        <v>否</v>
      </c>
      <c r="O838" t="s">
        <v>76</v>
      </c>
      <c r="P838" s="37">
        <v>0</v>
      </c>
      <c r="Q838" s="37">
        <v>0</v>
      </c>
      <c r="R838" s="37">
        <v>0</v>
      </c>
    </row>
    <row r="839" spans="1:18" hidden="1">
      <c r="A839" t="s">
        <v>76</v>
      </c>
      <c r="B839" t="s">
        <v>39</v>
      </c>
      <c r="C839">
        <v>0</v>
      </c>
      <c r="D839">
        <v>0</v>
      </c>
      <c r="E839" s="29">
        <v>0</v>
      </c>
      <c r="F839">
        <v>0</v>
      </c>
      <c r="G839">
        <v>0</v>
      </c>
      <c r="H839">
        <v>0</v>
      </c>
      <c r="I839" s="29">
        <v>0</v>
      </c>
      <c r="J839" s="29">
        <v>0</v>
      </c>
      <c r="K839" s="9">
        <v>45312</v>
      </c>
      <c r="L839">
        <f xml:space="preserve"> (交易處理資料__3[[#This Row],[售出工時]] * 60) / 5</f>
        <v>0</v>
      </c>
      <c r="M839" t="str">
        <f>VLOOKUP(交易處理資料__3[[#This Row],[人員代號]],團隊分組!$B$1:$C$52,2,FALSE)</f>
        <v>查修團隊A</v>
      </c>
      <c r="N839" t="str">
        <f>IF(交易處理資料__3[[#This Row],[上班時間]]=0,"否","是")</f>
        <v>否</v>
      </c>
      <c r="O839" t="s">
        <v>76</v>
      </c>
      <c r="P839" s="38">
        <v>0</v>
      </c>
      <c r="Q839" s="38">
        <v>0</v>
      </c>
      <c r="R839" s="38">
        <v>0</v>
      </c>
    </row>
    <row r="840" spans="1:18" hidden="1">
      <c r="A840" t="s">
        <v>76</v>
      </c>
      <c r="B840" t="s">
        <v>40</v>
      </c>
      <c r="C840">
        <v>0</v>
      </c>
      <c r="D840">
        <v>0</v>
      </c>
      <c r="E840" s="29">
        <v>0</v>
      </c>
      <c r="F840">
        <v>0</v>
      </c>
      <c r="G840">
        <v>0</v>
      </c>
      <c r="H840">
        <v>0</v>
      </c>
      <c r="I840" s="29">
        <v>0</v>
      </c>
      <c r="J840" s="29">
        <v>0</v>
      </c>
      <c r="K840" s="9">
        <v>45312</v>
      </c>
      <c r="L840">
        <f xml:space="preserve"> (交易處理資料__3[[#This Row],[售出工時]] * 60) / 5</f>
        <v>0</v>
      </c>
      <c r="M840" t="str">
        <f>VLOOKUP(交易處理資料__3[[#This Row],[人員代號]],團隊分組!$B$1:$C$52,2,FALSE)</f>
        <v>查修團隊A</v>
      </c>
      <c r="N840" t="str">
        <f>IF(交易處理資料__3[[#This Row],[上班時間]]=0,"否","是")</f>
        <v>否</v>
      </c>
      <c r="O840" t="s">
        <v>76</v>
      </c>
      <c r="P840" s="37">
        <v>0</v>
      </c>
      <c r="Q840" s="37">
        <v>0</v>
      </c>
      <c r="R840" s="37">
        <v>0</v>
      </c>
    </row>
    <row r="841" spans="1:18" hidden="1">
      <c r="A841" t="s">
        <v>76</v>
      </c>
      <c r="B841" t="s">
        <v>41</v>
      </c>
      <c r="C841">
        <v>0</v>
      </c>
      <c r="D841">
        <v>0</v>
      </c>
      <c r="E841" s="29">
        <v>0</v>
      </c>
      <c r="F841">
        <v>0</v>
      </c>
      <c r="G841">
        <v>0</v>
      </c>
      <c r="H841">
        <v>0</v>
      </c>
      <c r="I841" s="29">
        <v>0</v>
      </c>
      <c r="J841" s="29">
        <v>0</v>
      </c>
      <c r="K841" s="9">
        <v>45312</v>
      </c>
      <c r="L841">
        <f xml:space="preserve"> (交易處理資料__3[[#This Row],[售出工時]] * 60) / 5</f>
        <v>0</v>
      </c>
      <c r="M841" t="str">
        <f>VLOOKUP(交易處理資料__3[[#This Row],[人員代號]],團隊分組!$B$1:$C$52,2,FALSE)</f>
        <v>快速保養團隊A</v>
      </c>
      <c r="N841" t="str">
        <f>IF(交易處理資料__3[[#This Row],[上班時間]]=0,"否","是")</f>
        <v>否</v>
      </c>
      <c r="O841" t="s">
        <v>76</v>
      </c>
      <c r="P841" s="38">
        <v>0</v>
      </c>
      <c r="Q841" s="38">
        <v>0</v>
      </c>
      <c r="R841" s="38">
        <v>0</v>
      </c>
    </row>
    <row r="842" spans="1:18" hidden="1">
      <c r="A842" t="s">
        <v>76</v>
      </c>
      <c r="B842" t="s">
        <v>42</v>
      </c>
      <c r="C842">
        <v>0</v>
      </c>
      <c r="D842">
        <v>0</v>
      </c>
      <c r="E842" s="29">
        <v>0</v>
      </c>
      <c r="F842">
        <v>0</v>
      </c>
      <c r="G842">
        <v>0</v>
      </c>
      <c r="H842">
        <v>0</v>
      </c>
      <c r="I842" s="29">
        <v>0</v>
      </c>
      <c r="J842" s="29">
        <v>0</v>
      </c>
      <c r="K842" s="9">
        <v>45312</v>
      </c>
      <c r="L842">
        <f xml:space="preserve"> (交易處理資料__3[[#This Row],[售出工時]] * 60) / 5</f>
        <v>0</v>
      </c>
      <c r="M842" t="str">
        <f>VLOOKUP(交易處理資料__3[[#This Row],[人員代號]],團隊分組!$B$1:$C$52,2,FALSE)</f>
        <v>快速保養團隊A</v>
      </c>
      <c r="N842" t="str">
        <f>IF(交易處理資料__3[[#This Row],[上班時間]]=0,"否","是")</f>
        <v>否</v>
      </c>
      <c r="O842" t="s">
        <v>76</v>
      </c>
      <c r="P842" s="37">
        <v>0</v>
      </c>
      <c r="Q842" s="37">
        <v>0</v>
      </c>
      <c r="R842" s="37">
        <v>0</v>
      </c>
    </row>
    <row r="843" spans="1:18" hidden="1">
      <c r="A843" t="s">
        <v>76</v>
      </c>
      <c r="B843" t="s">
        <v>43</v>
      </c>
      <c r="C843">
        <v>0</v>
      </c>
      <c r="D843">
        <v>0</v>
      </c>
      <c r="E843" s="29">
        <v>0</v>
      </c>
      <c r="F843">
        <v>0</v>
      </c>
      <c r="G843">
        <v>0</v>
      </c>
      <c r="H843">
        <v>0</v>
      </c>
      <c r="I843" s="29">
        <v>0</v>
      </c>
      <c r="J843" s="29">
        <v>0</v>
      </c>
      <c r="K843" s="9">
        <v>45312</v>
      </c>
      <c r="L843">
        <f xml:space="preserve"> (交易處理資料__3[[#This Row],[售出工時]] * 60) / 5</f>
        <v>0</v>
      </c>
      <c r="M843" t="str">
        <f>VLOOKUP(交易處理資料__3[[#This Row],[人員代號]],團隊分組!$B$1:$C$52,2,FALSE)</f>
        <v>查修團隊B</v>
      </c>
      <c r="N843" t="str">
        <f>IF(交易處理資料__3[[#This Row],[上班時間]]=0,"否","是")</f>
        <v>否</v>
      </c>
      <c r="O843" t="s">
        <v>76</v>
      </c>
      <c r="P843" s="38">
        <v>0</v>
      </c>
      <c r="Q843" s="38">
        <v>0</v>
      </c>
      <c r="R843" s="38">
        <v>0</v>
      </c>
    </row>
    <row r="844" spans="1:18" hidden="1">
      <c r="A844" t="s">
        <v>76</v>
      </c>
      <c r="B844" t="s">
        <v>44</v>
      </c>
      <c r="C844">
        <v>0</v>
      </c>
      <c r="D844">
        <v>0</v>
      </c>
      <c r="E844" s="29">
        <v>0</v>
      </c>
      <c r="F844">
        <v>0</v>
      </c>
      <c r="G844">
        <v>0</v>
      </c>
      <c r="H844">
        <v>0</v>
      </c>
      <c r="I844" s="29">
        <v>0</v>
      </c>
      <c r="J844" s="29">
        <v>0</v>
      </c>
      <c r="K844" s="9">
        <v>45312</v>
      </c>
      <c r="L844">
        <f xml:space="preserve"> (交易處理資料__3[[#This Row],[售出工時]] * 60) / 5</f>
        <v>0</v>
      </c>
      <c r="M844" t="str">
        <f>VLOOKUP(交易處理資料__3[[#This Row],[人員代號]],團隊分組!$B$1:$C$52,2,FALSE)</f>
        <v>快速保養團隊B</v>
      </c>
      <c r="N844" t="str">
        <f>IF(交易處理資料__3[[#This Row],[上班時間]]=0,"否","是")</f>
        <v>否</v>
      </c>
      <c r="O844" t="s">
        <v>76</v>
      </c>
      <c r="P844" s="37">
        <v>0</v>
      </c>
      <c r="Q844" s="37">
        <v>0</v>
      </c>
      <c r="R844" s="37">
        <v>0</v>
      </c>
    </row>
    <row r="845" spans="1:18" hidden="1">
      <c r="A845" t="s">
        <v>76</v>
      </c>
      <c r="B845" t="s">
        <v>45</v>
      </c>
      <c r="C845">
        <v>0</v>
      </c>
      <c r="D845">
        <v>0</v>
      </c>
      <c r="E845" s="29">
        <v>0</v>
      </c>
      <c r="F845">
        <v>0</v>
      </c>
      <c r="G845">
        <v>0</v>
      </c>
      <c r="H845">
        <v>0</v>
      </c>
      <c r="I845" s="29">
        <v>0</v>
      </c>
      <c r="J845" s="29">
        <v>0</v>
      </c>
      <c r="K845" s="9">
        <v>45312</v>
      </c>
      <c r="L845">
        <f xml:space="preserve"> (交易處理資料__3[[#This Row],[售出工時]] * 60) / 5</f>
        <v>0</v>
      </c>
      <c r="M845" t="str">
        <f>VLOOKUP(交易處理資料__3[[#This Row],[人員代號]],團隊分組!$B$1:$C$52,2,FALSE)</f>
        <v>快速保養團隊A</v>
      </c>
      <c r="N845" t="str">
        <f>IF(交易處理資料__3[[#This Row],[上班時間]]=0,"否","是")</f>
        <v>否</v>
      </c>
      <c r="O845" t="s">
        <v>76</v>
      </c>
      <c r="P845" s="38">
        <v>0</v>
      </c>
      <c r="Q845" s="38">
        <v>0</v>
      </c>
      <c r="R845" s="38">
        <v>0</v>
      </c>
    </row>
    <row r="846" spans="1:18" hidden="1">
      <c r="A846" t="s">
        <v>76</v>
      </c>
      <c r="B846" t="s">
        <v>46</v>
      </c>
      <c r="C846">
        <v>0</v>
      </c>
      <c r="D846">
        <v>0</v>
      </c>
      <c r="E846" s="29">
        <v>0</v>
      </c>
      <c r="F846">
        <v>0</v>
      </c>
      <c r="G846">
        <v>0</v>
      </c>
      <c r="H846">
        <v>0</v>
      </c>
      <c r="I846" s="29">
        <v>0</v>
      </c>
      <c r="J846" s="29">
        <v>0</v>
      </c>
      <c r="K846" s="9">
        <v>45312</v>
      </c>
      <c r="L846">
        <f xml:space="preserve"> (交易處理資料__3[[#This Row],[售出工時]] * 60) / 5</f>
        <v>0</v>
      </c>
      <c r="M846" t="str">
        <f>VLOOKUP(交易處理資料__3[[#This Row],[人員代號]],團隊分組!$B$1:$C$52,2,FALSE)</f>
        <v>查修團隊B</v>
      </c>
      <c r="N846" t="str">
        <f>IF(交易處理資料__3[[#This Row],[上班時間]]=0,"否","是")</f>
        <v>否</v>
      </c>
      <c r="O846" t="s">
        <v>76</v>
      </c>
      <c r="P846" s="37">
        <v>0</v>
      </c>
      <c r="Q846" s="37">
        <v>0</v>
      </c>
      <c r="R846" s="37">
        <v>0</v>
      </c>
    </row>
    <row r="847" spans="1:18" hidden="1">
      <c r="A847" t="s">
        <v>76</v>
      </c>
      <c r="B847" t="s">
        <v>47</v>
      </c>
      <c r="C847">
        <v>0</v>
      </c>
      <c r="D847">
        <v>0</v>
      </c>
      <c r="E847" s="29">
        <v>0</v>
      </c>
      <c r="F847">
        <v>0</v>
      </c>
      <c r="G847">
        <v>0</v>
      </c>
      <c r="H847">
        <v>0</v>
      </c>
      <c r="I847" s="29">
        <v>0</v>
      </c>
      <c r="J847" s="29">
        <v>0</v>
      </c>
      <c r="K847" s="9">
        <v>45312</v>
      </c>
      <c r="L847">
        <f xml:space="preserve"> (交易處理資料__3[[#This Row],[售出工時]] * 60) / 5</f>
        <v>0</v>
      </c>
      <c r="M847" t="str">
        <f>VLOOKUP(交易處理資料__3[[#This Row],[人員代號]],團隊分組!$B$1:$C$52,2,FALSE)</f>
        <v>查修團隊B</v>
      </c>
      <c r="N847" t="str">
        <f>IF(交易處理資料__3[[#This Row],[上班時間]]=0,"否","是")</f>
        <v>否</v>
      </c>
      <c r="O847" t="s">
        <v>76</v>
      </c>
      <c r="P847" s="38">
        <v>0</v>
      </c>
      <c r="Q847" s="38">
        <v>0</v>
      </c>
      <c r="R847" s="38">
        <v>0</v>
      </c>
    </row>
    <row r="848" spans="1:18" hidden="1">
      <c r="A848" t="s">
        <v>76</v>
      </c>
      <c r="B848" t="s">
        <v>48</v>
      </c>
      <c r="C848">
        <v>0</v>
      </c>
      <c r="D848">
        <v>0</v>
      </c>
      <c r="E848" s="29">
        <v>0</v>
      </c>
      <c r="F848">
        <v>0</v>
      </c>
      <c r="G848">
        <v>0</v>
      </c>
      <c r="H848">
        <v>0</v>
      </c>
      <c r="I848" s="29">
        <v>0</v>
      </c>
      <c r="J848" s="29">
        <v>0</v>
      </c>
      <c r="K848" s="9">
        <v>45312</v>
      </c>
      <c r="L848">
        <f xml:space="preserve"> (交易處理資料__3[[#This Row],[售出工時]] * 60) / 5</f>
        <v>0</v>
      </c>
      <c r="M848" t="str">
        <f>VLOOKUP(交易處理資料__3[[#This Row],[人員代號]],團隊分組!$B$1:$C$52,2,FALSE)</f>
        <v>查修團隊A</v>
      </c>
      <c r="N848" t="str">
        <f>IF(交易處理資料__3[[#This Row],[上班時間]]=0,"否","是")</f>
        <v>否</v>
      </c>
      <c r="O848" t="s">
        <v>76</v>
      </c>
      <c r="P848" s="37">
        <v>0</v>
      </c>
      <c r="Q848" s="37">
        <v>0</v>
      </c>
      <c r="R848" s="37">
        <v>0</v>
      </c>
    </row>
    <row r="849" spans="1:18" hidden="1">
      <c r="A849" t="s">
        <v>76</v>
      </c>
      <c r="B849" t="s">
        <v>49</v>
      </c>
      <c r="C849">
        <v>0</v>
      </c>
      <c r="D849">
        <v>0</v>
      </c>
      <c r="E849" s="29">
        <v>0</v>
      </c>
      <c r="F849">
        <v>0</v>
      </c>
      <c r="G849">
        <v>0</v>
      </c>
      <c r="H849">
        <v>0</v>
      </c>
      <c r="I849" s="29">
        <v>0</v>
      </c>
      <c r="J849" s="29">
        <v>0</v>
      </c>
      <c r="K849" s="9">
        <v>45312</v>
      </c>
      <c r="L849">
        <f xml:space="preserve"> (交易處理資料__3[[#This Row],[售出工時]] * 60) / 5</f>
        <v>0</v>
      </c>
      <c r="M849" t="str">
        <f>VLOOKUP(交易處理資料__3[[#This Row],[人員代號]],團隊分組!$B$1:$C$52,2,FALSE)</f>
        <v>查修團隊A</v>
      </c>
      <c r="N849" t="str">
        <f>IF(交易處理資料__3[[#This Row],[上班時間]]=0,"否","是")</f>
        <v>否</v>
      </c>
      <c r="O849" t="s">
        <v>76</v>
      </c>
      <c r="P849" s="38">
        <v>0</v>
      </c>
      <c r="Q849" s="38">
        <v>0</v>
      </c>
      <c r="R849" s="38">
        <v>0</v>
      </c>
    </row>
    <row r="850" spans="1:18" hidden="1">
      <c r="A850" t="s">
        <v>76</v>
      </c>
      <c r="B850" t="s">
        <v>50</v>
      </c>
      <c r="C850">
        <v>0</v>
      </c>
      <c r="D850">
        <v>0</v>
      </c>
      <c r="E850" s="29">
        <v>0</v>
      </c>
      <c r="F850">
        <v>0</v>
      </c>
      <c r="G850">
        <v>0</v>
      </c>
      <c r="H850">
        <v>0</v>
      </c>
      <c r="I850" s="29">
        <v>0</v>
      </c>
      <c r="J850" s="29">
        <v>0</v>
      </c>
      <c r="K850" s="9">
        <v>45312</v>
      </c>
      <c r="L850">
        <f xml:space="preserve"> (交易處理資料__3[[#This Row],[售出工時]] * 60) / 5</f>
        <v>0</v>
      </c>
      <c r="M850" t="str">
        <f>VLOOKUP(交易處理資料__3[[#This Row],[人員代號]],團隊分組!$B$1:$C$52,2,FALSE)</f>
        <v>快速保養團隊B</v>
      </c>
      <c r="N850" t="str">
        <f>IF(交易處理資料__3[[#This Row],[上班時間]]=0,"否","是")</f>
        <v>否</v>
      </c>
      <c r="O850" t="s">
        <v>76</v>
      </c>
      <c r="P850" s="37">
        <v>0</v>
      </c>
      <c r="Q850" s="37">
        <v>0</v>
      </c>
      <c r="R850" s="37">
        <v>0</v>
      </c>
    </row>
    <row r="851" spans="1:18" hidden="1">
      <c r="A851" t="s">
        <v>76</v>
      </c>
      <c r="B851" t="s">
        <v>51</v>
      </c>
      <c r="C851">
        <v>0</v>
      </c>
      <c r="D851">
        <v>0</v>
      </c>
      <c r="E851" s="29">
        <v>0</v>
      </c>
      <c r="F851">
        <v>0</v>
      </c>
      <c r="G851">
        <v>0</v>
      </c>
      <c r="H851">
        <v>0</v>
      </c>
      <c r="I851" s="29">
        <v>0</v>
      </c>
      <c r="J851" s="29">
        <v>0</v>
      </c>
      <c r="K851" s="9">
        <v>45312</v>
      </c>
      <c r="L851">
        <f xml:space="preserve"> (交易處理資料__3[[#This Row],[售出工時]] * 60) / 5</f>
        <v>0</v>
      </c>
      <c r="M851" t="str">
        <f>VLOOKUP(交易處理資料__3[[#This Row],[人員代號]],團隊分組!$B$1:$C$52,2,FALSE)</f>
        <v>無效數據</v>
      </c>
      <c r="N851" t="str">
        <f>IF(交易處理資料__3[[#This Row],[上班時間]]=0,"否","是")</f>
        <v>否</v>
      </c>
      <c r="O851" t="s">
        <v>76</v>
      </c>
      <c r="P851" s="38">
        <v>0</v>
      </c>
      <c r="Q851" s="38">
        <v>0</v>
      </c>
      <c r="R851" s="38">
        <v>0</v>
      </c>
    </row>
    <row r="852" spans="1:18" hidden="1">
      <c r="A852" t="s">
        <v>76</v>
      </c>
      <c r="B852" t="s">
        <v>52</v>
      </c>
      <c r="C852">
        <v>0</v>
      </c>
      <c r="D852">
        <v>0</v>
      </c>
      <c r="E852" s="29">
        <v>0</v>
      </c>
      <c r="F852">
        <v>0</v>
      </c>
      <c r="G852">
        <v>0</v>
      </c>
      <c r="H852">
        <v>0</v>
      </c>
      <c r="I852" s="29">
        <v>0</v>
      </c>
      <c r="J852" s="29">
        <v>0</v>
      </c>
      <c r="K852" s="9">
        <v>45312</v>
      </c>
      <c r="L852">
        <f xml:space="preserve"> (交易處理資料__3[[#This Row],[售出工時]] * 60) / 5</f>
        <v>0</v>
      </c>
      <c r="M852" t="str">
        <f>VLOOKUP(交易處理資料__3[[#This Row],[人員代號]],團隊分組!$B$1:$C$52,2,FALSE)</f>
        <v>查修團隊B</v>
      </c>
      <c r="N852" t="str">
        <f>IF(交易處理資料__3[[#This Row],[上班時間]]=0,"否","是")</f>
        <v>否</v>
      </c>
      <c r="O852" t="s">
        <v>76</v>
      </c>
      <c r="P852" s="37">
        <v>0</v>
      </c>
      <c r="Q852" s="37">
        <v>0</v>
      </c>
      <c r="R852" s="37">
        <v>0</v>
      </c>
    </row>
    <row r="853" spans="1:18" hidden="1">
      <c r="A853" t="s">
        <v>76</v>
      </c>
      <c r="B853" t="s">
        <v>53</v>
      </c>
      <c r="C853">
        <v>0</v>
      </c>
      <c r="D853">
        <v>0</v>
      </c>
      <c r="E853" s="29">
        <v>0</v>
      </c>
      <c r="F853">
        <v>0</v>
      </c>
      <c r="G853">
        <v>0</v>
      </c>
      <c r="H853">
        <v>0</v>
      </c>
      <c r="I853" s="29">
        <v>0</v>
      </c>
      <c r="J853" s="29">
        <v>0</v>
      </c>
      <c r="K853" s="9">
        <v>45312</v>
      </c>
      <c r="L853">
        <f xml:space="preserve"> (交易處理資料__3[[#This Row],[售出工時]] * 60) / 5</f>
        <v>0</v>
      </c>
      <c r="M853" t="str">
        <f>VLOOKUP(交易處理資料__3[[#This Row],[人員代號]],團隊分組!$B$1:$C$52,2,FALSE)</f>
        <v>查修團隊A</v>
      </c>
      <c r="N853" t="str">
        <f>IF(交易處理資料__3[[#This Row],[上班時間]]=0,"否","是")</f>
        <v>否</v>
      </c>
      <c r="O853" t="s">
        <v>76</v>
      </c>
      <c r="P853" s="38">
        <v>0</v>
      </c>
      <c r="Q853" s="38">
        <v>0</v>
      </c>
      <c r="R853" s="38">
        <v>0</v>
      </c>
    </row>
    <row r="854" spans="1:18" hidden="1">
      <c r="A854" s="10" t="s">
        <v>74</v>
      </c>
      <c r="B854" t="s">
        <v>1</v>
      </c>
      <c r="C854">
        <v>3.09</v>
      </c>
      <c r="D854">
        <v>7.46</v>
      </c>
      <c r="E854" s="29">
        <v>0.41420000000000001</v>
      </c>
      <c r="F854">
        <v>7.36</v>
      </c>
      <c r="G854">
        <v>0.75</v>
      </c>
      <c r="H854">
        <v>8.11</v>
      </c>
      <c r="I854" s="29">
        <v>0.90749999999999997</v>
      </c>
      <c r="J854" s="29">
        <v>0.38100000000000001</v>
      </c>
      <c r="K854" s="9">
        <v>45313</v>
      </c>
      <c r="L854">
        <f xml:space="preserve"> (交易處理資料__3[[#This Row],[售出工時]] * 60) / 5</f>
        <v>37.08</v>
      </c>
      <c r="M854" t="str">
        <f>VLOOKUP(交易處理資料__3[[#This Row],[人員代號]],團隊分組!$B$1:$C$52,2,FALSE)</f>
        <v>噴漆維修組</v>
      </c>
      <c r="N854" t="str">
        <f>IF(交易處理資料__3[[#This Row],[上班時間]]=0,"否","是")</f>
        <v>是</v>
      </c>
      <c r="O854" s="10" t="s">
        <v>74</v>
      </c>
      <c r="P854" s="37">
        <v>0.41420000000000001</v>
      </c>
      <c r="Q854" s="37">
        <v>0.38100000000000001</v>
      </c>
      <c r="R854" s="37">
        <v>0.90749999999999997</v>
      </c>
    </row>
    <row r="855" spans="1:18" hidden="1">
      <c r="A855" s="10" t="s">
        <v>74</v>
      </c>
      <c r="B855" t="s">
        <v>2</v>
      </c>
      <c r="C855">
        <v>0</v>
      </c>
      <c r="D855">
        <v>0</v>
      </c>
      <c r="E855" s="29">
        <v>0</v>
      </c>
      <c r="F855">
        <v>5.26</v>
      </c>
      <c r="G855">
        <v>2.79</v>
      </c>
      <c r="H855">
        <v>8.0500000000000007</v>
      </c>
      <c r="I855" s="29">
        <v>0.65339999999999998</v>
      </c>
      <c r="J855" s="29">
        <v>0</v>
      </c>
      <c r="K855" s="9">
        <v>45313</v>
      </c>
      <c r="L855">
        <f xml:space="preserve"> (交易處理資料__3[[#This Row],[售出工時]] * 60) / 5</f>
        <v>0</v>
      </c>
      <c r="M855" t="str">
        <f>VLOOKUP(交易處理資料__3[[#This Row],[人員代號]],團隊分組!$B$1:$C$52,2,FALSE)</f>
        <v>噴漆維修組</v>
      </c>
      <c r="N855" t="str">
        <f>IF(交易處理資料__3[[#This Row],[上班時間]]=0,"否","是")</f>
        <v>是</v>
      </c>
      <c r="O855" s="10" t="s">
        <v>74</v>
      </c>
      <c r="P855" s="38">
        <v>0</v>
      </c>
      <c r="Q855" s="38">
        <v>0</v>
      </c>
      <c r="R855" s="38">
        <v>0.65339999999999998</v>
      </c>
    </row>
    <row r="856" spans="1:18" hidden="1">
      <c r="A856" s="10" t="s">
        <v>74</v>
      </c>
      <c r="B856" t="s">
        <v>3</v>
      </c>
      <c r="C856">
        <v>0</v>
      </c>
      <c r="D856">
        <v>0</v>
      </c>
      <c r="E856" s="29">
        <v>0</v>
      </c>
      <c r="F856">
        <v>5.27</v>
      </c>
      <c r="G856">
        <v>2.8</v>
      </c>
      <c r="H856">
        <v>8.07</v>
      </c>
      <c r="I856" s="29">
        <v>0.65300000000000002</v>
      </c>
      <c r="J856" s="29">
        <v>0</v>
      </c>
      <c r="K856" s="9">
        <v>45313</v>
      </c>
      <c r="L856">
        <f xml:space="preserve"> (交易處理資料__3[[#This Row],[售出工時]] * 60) / 5</f>
        <v>0</v>
      </c>
      <c r="M856" t="str">
        <f>VLOOKUP(交易處理資料__3[[#This Row],[人員代號]],團隊分組!$B$1:$C$52,2,FALSE)</f>
        <v>噴漆維修組</v>
      </c>
      <c r="N856" t="str">
        <f>IF(交易處理資料__3[[#This Row],[上班時間]]=0,"否","是")</f>
        <v>是</v>
      </c>
      <c r="O856" s="10" t="s">
        <v>74</v>
      </c>
      <c r="P856" s="37">
        <v>0</v>
      </c>
      <c r="Q856" s="37">
        <v>0</v>
      </c>
      <c r="R856" s="37">
        <v>0.65300000000000002</v>
      </c>
    </row>
    <row r="857" spans="1:18" hidden="1">
      <c r="A857" s="10" t="s">
        <v>74</v>
      </c>
      <c r="B857" t="s">
        <v>4</v>
      </c>
      <c r="C857">
        <v>0</v>
      </c>
      <c r="D857">
        <v>0</v>
      </c>
      <c r="E857" s="29">
        <v>0</v>
      </c>
      <c r="F857">
        <v>7.38</v>
      </c>
      <c r="G857">
        <v>0.75</v>
      </c>
      <c r="H857">
        <v>8.1300000000000008</v>
      </c>
      <c r="I857" s="29">
        <v>0.90769999999999995</v>
      </c>
      <c r="J857" s="29">
        <v>0</v>
      </c>
      <c r="K857" s="9">
        <v>45313</v>
      </c>
      <c r="L857">
        <f xml:space="preserve"> (交易處理資料__3[[#This Row],[售出工時]] * 60) / 5</f>
        <v>0</v>
      </c>
      <c r="M857" t="str">
        <f>VLOOKUP(交易處理資料__3[[#This Row],[人員代號]],團隊分組!$B$1:$C$52,2,FALSE)</f>
        <v>噴漆維修組</v>
      </c>
      <c r="N857" t="str">
        <f>IF(交易處理資料__3[[#This Row],[上班時間]]=0,"否","是")</f>
        <v>是</v>
      </c>
      <c r="O857" s="10" t="s">
        <v>74</v>
      </c>
      <c r="P857" s="38">
        <v>0</v>
      </c>
      <c r="Q857" s="38">
        <v>0</v>
      </c>
      <c r="R857" s="38">
        <v>0.90769999999999995</v>
      </c>
    </row>
    <row r="858" spans="1:18" hidden="1">
      <c r="A858" s="10" t="s">
        <v>74</v>
      </c>
      <c r="B858" t="s">
        <v>5</v>
      </c>
      <c r="C858">
        <v>3</v>
      </c>
      <c r="D858">
        <v>3.77</v>
      </c>
      <c r="E858" s="29">
        <v>0.79569999999999996</v>
      </c>
      <c r="F858">
        <v>7.89</v>
      </c>
      <c r="G858">
        <v>0.17</v>
      </c>
      <c r="H858">
        <v>8.06</v>
      </c>
      <c r="I858" s="29">
        <v>0.97889999999999999</v>
      </c>
      <c r="J858" s="29">
        <v>0.37219999999999998</v>
      </c>
      <c r="K858" s="9">
        <v>45313</v>
      </c>
      <c r="L858">
        <f xml:space="preserve"> (交易處理資料__3[[#This Row],[售出工時]] * 60) / 5</f>
        <v>36</v>
      </c>
      <c r="M858" t="str">
        <f>VLOOKUP(交易處理資料__3[[#This Row],[人員代號]],團隊分組!$B$1:$C$52,2,FALSE)</f>
        <v>噴漆維修組</v>
      </c>
      <c r="N858" t="str">
        <f>IF(交易處理資料__3[[#This Row],[上班時間]]=0,"否","是")</f>
        <v>是</v>
      </c>
      <c r="O858" s="10" t="s">
        <v>74</v>
      </c>
      <c r="P858" s="37">
        <v>0.79569999999999996</v>
      </c>
      <c r="Q858" s="37">
        <v>0.37219999999999998</v>
      </c>
      <c r="R858" s="37">
        <v>0.97889999999999999</v>
      </c>
    </row>
    <row r="859" spans="1:18" hidden="1">
      <c r="A859" s="10" t="s">
        <v>74</v>
      </c>
      <c r="B859" t="s">
        <v>6</v>
      </c>
      <c r="C859">
        <v>0</v>
      </c>
      <c r="D859">
        <v>0</v>
      </c>
      <c r="E859" s="29">
        <v>0</v>
      </c>
      <c r="F859">
        <v>5.26</v>
      </c>
      <c r="G859">
        <v>2.79</v>
      </c>
      <c r="H859">
        <v>8.0500000000000007</v>
      </c>
      <c r="I859" s="29">
        <v>0.65339999999999998</v>
      </c>
      <c r="J859" s="29">
        <v>0</v>
      </c>
      <c r="K859" s="9">
        <v>45313</v>
      </c>
      <c r="L859">
        <f xml:space="preserve"> (交易處理資料__3[[#This Row],[售出工時]] * 60) / 5</f>
        <v>0</v>
      </c>
      <c r="M859" t="str">
        <f>VLOOKUP(交易處理資料__3[[#This Row],[人員代號]],團隊分組!$B$1:$C$52,2,FALSE)</f>
        <v>噴漆維修組</v>
      </c>
      <c r="N859" t="str">
        <f>IF(交易處理資料__3[[#This Row],[上班時間]]=0,"否","是")</f>
        <v>是</v>
      </c>
      <c r="O859" s="10" t="s">
        <v>74</v>
      </c>
      <c r="P859" s="38">
        <v>0</v>
      </c>
      <c r="Q859" s="38">
        <v>0</v>
      </c>
      <c r="R859" s="38">
        <v>0.65339999999999998</v>
      </c>
    </row>
    <row r="860" spans="1:18">
      <c r="A860" s="10" t="s">
        <v>74</v>
      </c>
      <c r="B860" t="s">
        <v>7</v>
      </c>
      <c r="C860">
        <v>3</v>
      </c>
      <c r="D860">
        <v>3.77</v>
      </c>
      <c r="E860" s="29">
        <v>0.79569999999999996</v>
      </c>
      <c r="F860">
        <v>7.9</v>
      </c>
      <c r="G860">
        <v>0.17</v>
      </c>
      <c r="H860">
        <v>8.07</v>
      </c>
      <c r="I860" s="29">
        <v>0.97889999999999999</v>
      </c>
      <c r="J860" s="29">
        <v>0.37170000000000003</v>
      </c>
      <c r="K860" s="9">
        <v>45313</v>
      </c>
      <c r="L860">
        <f xml:space="preserve"> (交易處理資料__3[[#This Row],[售出工時]] * 60) / 5</f>
        <v>36</v>
      </c>
      <c r="M860" t="str">
        <f>VLOOKUP(交易處理資料__3[[#This Row],[人員代號]],團隊分組!$B$1:$C$52,2,FALSE)</f>
        <v>噴漆維修組</v>
      </c>
      <c r="N860" t="str">
        <f>IF(交易處理資料__3[[#This Row],[上班時間]]=0,"否","是")</f>
        <v>是</v>
      </c>
      <c r="O860" s="10" t="s">
        <v>74</v>
      </c>
      <c r="P860" s="37">
        <v>0.79569999999999996</v>
      </c>
      <c r="Q860" s="37">
        <v>0.37170000000000003</v>
      </c>
      <c r="R860" s="37">
        <v>0.97889999999999999</v>
      </c>
    </row>
    <row r="861" spans="1:18" hidden="1">
      <c r="A861" s="10" t="s">
        <v>74</v>
      </c>
      <c r="B861" t="s">
        <v>8</v>
      </c>
      <c r="C861">
        <v>0</v>
      </c>
      <c r="D861">
        <v>0</v>
      </c>
      <c r="E861" s="29">
        <v>0</v>
      </c>
      <c r="F861">
        <v>7.33</v>
      </c>
      <c r="G861">
        <v>0.74</v>
      </c>
      <c r="H861">
        <v>8.07</v>
      </c>
      <c r="I861" s="29">
        <v>0.9083</v>
      </c>
      <c r="J861" s="29">
        <v>0</v>
      </c>
      <c r="K861" s="9">
        <v>45313</v>
      </c>
      <c r="L861">
        <f xml:space="preserve"> (交易處理資料__3[[#This Row],[售出工時]] * 60) / 5</f>
        <v>0</v>
      </c>
      <c r="M861" t="str">
        <f>VLOOKUP(交易處理資料__3[[#This Row],[人員代號]],團隊分組!$B$1:$C$52,2,FALSE)</f>
        <v>噴漆維修組</v>
      </c>
      <c r="N861" t="str">
        <f>IF(交易處理資料__3[[#This Row],[上班時間]]=0,"否","是")</f>
        <v>是</v>
      </c>
      <c r="O861" s="10" t="s">
        <v>74</v>
      </c>
      <c r="P861" s="38">
        <v>0</v>
      </c>
      <c r="Q861" s="38">
        <v>0</v>
      </c>
      <c r="R861" s="38">
        <v>0.9083</v>
      </c>
    </row>
    <row r="862" spans="1:18" hidden="1">
      <c r="A862" t="s">
        <v>75</v>
      </c>
      <c r="B862" t="s">
        <v>11</v>
      </c>
      <c r="C862">
        <v>2.33</v>
      </c>
      <c r="D862">
        <v>2.12</v>
      </c>
      <c r="E862" s="29">
        <v>1.1006</v>
      </c>
      <c r="F862">
        <v>6.22</v>
      </c>
      <c r="G862">
        <v>1.84</v>
      </c>
      <c r="H862">
        <v>8.06</v>
      </c>
      <c r="I862" s="29">
        <v>0.77170000000000005</v>
      </c>
      <c r="J862" s="29">
        <v>0.28949999999999998</v>
      </c>
      <c r="K862" s="9">
        <v>45313</v>
      </c>
      <c r="L862">
        <f xml:space="preserve"> (交易處理資料__3[[#This Row],[售出工時]] * 60) / 5</f>
        <v>27.96</v>
      </c>
      <c r="M862" t="str">
        <f>VLOOKUP(交易處理資料__3[[#This Row],[人員代號]],團隊分組!$B$1:$C$52,2,FALSE)</f>
        <v>鈑金維修組</v>
      </c>
      <c r="N862" t="str">
        <f>IF(交易處理資料__3[[#This Row],[上班時間]]=0,"否","是")</f>
        <v>是</v>
      </c>
      <c r="O862" t="s">
        <v>75</v>
      </c>
      <c r="P862" s="37">
        <v>1.1006</v>
      </c>
      <c r="Q862" s="37">
        <v>0.28949999999999998</v>
      </c>
      <c r="R862" s="37">
        <v>0.77170000000000005</v>
      </c>
    </row>
    <row r="863" spans="1:18" hidden="1">
      <c r="A863" t="s">
        <v>75</v>
      </c>
      <c r="B863" t="s">
        <v>12</v>
      </c>
      <c r="C863">
        <v>3</v>
      </c>
      <c r="D863">
        <v>2.92</v>
      </c>
      <c r="E863" s="29">
        <v>1.0273000000000001</v>
      </c>
      <c r="F863">
        <v>2.52</v>
      </c>
      <c r="G863">
        <v>5.54</v>
      </c>
      <c r="H863">
        <v>8.06</v>
      </c>
      <c r="I863" s="29">
        <v>0.31269999999999998</v>
      </c>
      <c r="J863" s="29">
        <v>0.37219999999999998</v>
      </c>
      <c r="K863" s="9">
        <v>45313</v>
      </c>
      <c r="L863">
        <f xml:space="preserve"> (交易處理資料__3[[#This Row],[售出工時]] * 60) / 5</f>
        <v>36</v>
      </c>
      <c r="M863" t="str">
        <f>VLOOKUP(交易處理資料__3[[#This Row],[人員代號]],團隊分組!$B$1:$C$52,2,FALSE)</f>
        <v>鈑金維修組</v>
      </c>
      <c r="N863" t="str">
        <f>IF(交易處理資料__3[[#This Row],[上班時間]]=0,"否","是")</f>
        <v>是</v>
      </c>
      <c r="O863" t="s">
        <v>75</v>
      </c>
      <c r="P863" s="38">
        <v>1.0273000000000001</v>
      </c>
      <c r="Q863" s="38">
        <v>0.37219999999999998</v>
      </c>
      <c r="R863" s="38">
        <v>0.31269999999999998</v>
      </c>
    </row>
    <row r="864" spans="1:18" hidden="1">
      <c r="A864" t="s">
        <v>75</v>
      </c>
      <c r="B864" t="s">
        <v>14</v>
      </c>
      <c r="C864">
        <v>1.33</v>
      </c>
      <c r="D864">
        <v>3.17</v>
      </c>
      <c r="E864" s="29">
        <v>0.41950000000000004</v>
      </c>
      <c r="F864">
        <v>0.97</v>
      </c>
      <c r="G864">
        <v>7.1</v>
      </c>
      <c r="H864">
        <v>8.07</v>
      </c>
      <c r="I864" s="29">
        <v>0.1202</v>
      </c>
      <c r="J864" s="29">
        <v>0.1648</v>
      </c>
      <c r="K864" s="9">
        <v>45313</v>
      </c>
      <c r="L864">
        <f xml:space="preserve"> (交易處理資料__3[[#This Row],[售出工時]] * 60) / 5</f>
        <v>15.960000000000003</v>
      </c>
      <c r="M864" t="str">
        <f>VLOOKUP(交易處理資料__3[[#This Row],[人員代號]],團隊分組!$B$1:$C$52,2,FALSE)</f>
        <v>鈑金維修組</v>
      </c>
      <c r="N864" t="str">
        <f>IF(交易處理資料__3[[#This Row],[上班時間]]=0,"否","是")</f>
        <v>是</v>
      </c>
      <c r="O864" t="s">
        <v>75</v>
      </c>
      <c r="P864" s="37">
        <v>0.41950000000000004</v>
      </c>
      <c r="Q864" s="37">
        <v>0.1648</v>
      </c>
      <c r="R864" s="37">
        <v>0.1202</v>
      </c>
    </row>
    <row r="865" spans="1:18" hidden="1">
      <c r="A865" t="s">
        <v>75</v>
      </c>
      <c r="B865" t="s">
        <v>15</v>
      </c>
      <c r="C865">
        <v>4.83</v>
      </c>
      <c r="D865">
        <v>5.42</v>
      </c>
      <c r="E865" s="29">
        <v>0.8911</v>
      </c>
      <c r="F865">
        <v>2.54</v>
      </c>
      <c r="G865">
        <v>5.52</v>
      </c>
      <c r="H865">
        <v>8.06</v>
      </c>
      <c r="I865" s="29">
        <v>0.31509999999999999</v>
      </c>
      <c r="J865" s="29">
        <v>0.59929999999999994</v>
      </c>
      <c r="K865" s="9">
        <v>45313</v>
      </c>
      <c r="L865">
        <f xml:space="preserve"> (交易處理資料__3[[#This Row],[售出工時]] * 60) / 5</f>
        <v>57.96</v>
      </c>
      <c r="M865" t="str">
        <f>VLOOKUP(交易處理資料__3[[#This Row],[人員代號]],團隊分組!$B$1:$C$52,2,FALSE)</f>
        <v>鈑金維修組</v>
      </c>
      <c r="N865" t="str">
        <f>IF(交易處理資料__3[[#This Row],[上班時間]]=0,"否","是")</f>
        <v>是</v>
      </c>
      <c r="O865" t="s">
        <v>75</v>
      </c>
      <c r="P865" s="38">
        <v>0.8911</v>
      </c>
      <c r="Q865" s="38">
        <v>0.59929999999999994</v>
      </c>
      <c r="R865" s="38">
        <v>0.31509999999999999</v>
      </c>
    </row>
    <row r="866" spans="1:18" hidden="1">
      <c r="A866" t="s">
        <v>76</v>
      </c>
      <c r="B866" t="s">
        <v>18</v>
      </c>
      <c r="C866">
        <v>0.08</v>
      </c>
      <c r="D866">
        <v>2.08</v>
      </c>
      <c r="E866" s="29">
        <v>0.04</v>
      </c>
      <c r="F866">
        <v>6.68</v>
      </c>
      <c r="G866">
        <v>2.1</v>
      </c>
      <c r="H866">
        <v>8.7799999999999994</v>
      </c>
      <c r="I866" s="29">
        <v>0.76080000000000003</v>
      </c>
      <c r="J866" s="29">
        <v>9.4999999999999998E-3</v>
      </c>
      <c r="K866" s="9">
        <v>45313</v>
      </c>
      <c r="L866">
        <f xml:space="preserve"> (交易處理資料__3[[#This Row],[售出工時]] * 60) / 5</f>
        <v>0.96</v>
      </c>
      <c r="M866" t="str">
        <f>VLOOKUP(交易處理資料__3[[#This Row],[人員代號]],團隊分組!$B$1:$C$52,2,FALSE)</f>
        <v>查修團隊B</v>
      </c>
      <c r="N866" t="str">
        <f>IF(交易處理資料__3[[#This Row],[上班時間]]=0,"否","是")</f>
        <v>是</v>
      </c>
      <c r="O866" t="s">
        <v>76</v>
      </c>
      <c r="P866" s="37">
        <v>0.04</v>
      </c>
      <c r="Q866" s="37">
        <v>9.4999999999999998E-3</v>
      </c>
      <c r="R866" s="37">
        <v>0.76080000000000003</v>
      </c>
    </row>
    <row r="867" spans="1:18" hidden="1">
      <c r="A867" t="s">
        <v>76</v>
      </c>
      <c r="B867" t="s">
        <v>20</v>
      </c>
      <c r="C867">
        <v>0</v>
      </c>
      <c r="D867">
        <v>0</v>
      </c>
      <c r="E867" s="29">
        <v>0</v>
      </c>
      <c r="F867">
        <v>2.0299999999999998</v>
      </c>
      <c r="G867">
        <v>6.6</v>
      </c>
      <c r="H867">
        <v>8.6300000000000008</v>
      </c>
      <c r="I867" s="29">
        <v>0.23519999999999999</v>
      </c>
      <c r="J867" s="29">
        <v>0</v>
      </c>
      <c r="K867" s="9">
        <v>45313</v>
      </c>
      <c r="L867">
        <f xml:space="preserve"> (交易處理資料__3[[#This Row],[售出工時]] * 60) / 5</f>
        <v>0</v>
      </c>
      <c r="M867" t="str">
        <f>VLOOKUP(交易處理資料__3[[#This Row],[人員代號]],團隊分組!$B$1:$C$52,2,FALSE)</f>
        <v>查修團隊B</v>
      </c>
      <c r="N867" t="str">
        <f>IF(交易處理資料__3[[#This Row],[上班時間]]=0,"否","是")</f>
        <v>是</v>
      </c>
      <c r="O867" t="s">
        <v>76</v>
      </c>
      <c r="P867" s="38">
        <v>0</v>
      </c>
      <c r="Q867" s="38">
        <v>0</v>
      </c>
      <c r="R867" s="38">
        <v>0.23519999999999999</v>
      </c>
    </row>
    <row r="868" spans="1:18" hidden="1">
      <c r="A868" t="s">
        <v>76</v>
      </c>
      <c r="B868" t="s">
        <v>21</v>
      </c>
      <c r="C868">
        <v>10.66</v>
      </c>
      <c r="D868">
        <v>5.52</v>
      </c>
      <c r="E868" s="29">
        <v>1.9322999999999999</v>
      </c>
      <c r="F868">
        <v>6.83</v>
      </c>
      <c r="G868">
        <v>1.38</v>
      </c>
      <c r="H868">
        <v>8.2100000000000009</v>
      </c>
      <c r="I868" s="29">
        <v>0.83189999999999997</v>
      </c>
      <c r="J868" s="29">
        <v>1.2991999999999999</v>
      </c>
      <c r="K868" s="9">
        <v>45313</v>
      </c>
      <c r="L868">
        <f xml:space="preserve"> (交易處理資料__3[[#This Row],[售出工時]] * 60) / 5</f>
        <v>127.92</v>
      </c>
      <c r="M868" t="str">
        <f>VLOOKUP(交易處理資料__3[[#This Row],[人員代號]],團隊分組!$B$1:$C$52,2,FALSE)</f>
        <v>查修團隊B</v>
      </c>
      <c r="N868" t="str">
        <f>IF(交易處理資料__3[[#This Row],[上班時間]]=0,"否","是")</f>
        <v>是</v>
      </c>
      <c r="O868" t="s">
        <v>76</v>
      </c>
      <c r="P868" s="37">
        <v>1.9322999999999999</v>
      </c>
      <c r="Q868" s="37">
        <v>1.2991999999999999</v>
      </c>
      <c r="R868" s="37">
        <v>0.83189999999999997</v>
      </c>
    </row>
    <row r="869" spans="1:18" hidden="1">
      <c r="A869" t="s">
        <v>76</v>
      </c>
      <c r="B869" t="s">
        <v>22</v>
      </c>
      <c r="C869">
        <v>0</v>
      </c>
      <c r="D869">
        <v>0</v>
      </c>
      <c r="E869" s="29">
        <v>0</v>
      </c>
      <c r="F869">
        <v>0</v>
      </c>
      <c r="G869">
        <v>0</v>
      </c>
      <c r="H869">
        <v>0</v>
      </c>
      <c r="I869" s="29">
        <v>0</v>
      </c>
      <c r="J869" s="29">
        <v>0</v>
      </c>
      <c r="K869" s="9">
        <v>45313</v>
      </c>
      <c r="L869">
        <f xml:space="preserve"> (交易處理資料__3[[#This Row],[售出工時]] * 60) / 5</f>
        <v>0</v>
      </c>
      <c r="M869" t="str">
        <f>VLOOKUP(交易處理資料__3[[#This Row],[人員代號]],團隊分組!$B$1:$C$52,2,FALSE)</f>
        <v>快速保養團隊A</v>
      </c>
      <c r="N869" t="str">
        <f>IF(交易處理資料__3[[#This Row],[上班時間]]=0,"否","是")</f>
        <v>否</v>
      </c>
      <c r="O869" t="s">
        <v>76</v>
      </c>
      <c r="P869" s="38">
        <v>0</v>
      </c>
      <c r="Q869" s="38">
        <v>0</v>
      </c>
      <c r="R869" s="38">
        <v>0</v>
      </c>
    </row>
    <row r="870" spans="1:18" hidden="1">
      <c r="A870" t="s">
        <v>76</v>
      </c>
      <c r="B870" t="s">
        <v>24</v>
      </c>
      <c r="C870">
        <v>12.29</v>
      </c>
      <c r="D870">
        <v>6.31</v>
      </c>
      <c r="E870" s="29">
        <v>1.9487000000000001</v>
      </c>
      <c r="F870">
        <v>8.51</v>
      </c>
      <c r="G870">
        <v>1.1299999999999999</v>
      </c>
      <c r="H870">
        <v>9.64</v>
      </c>
      <c r="I870" s="29">
        <v>0.88280000000000003</v>
      </c>
      <c r="J870" s="29">
        <v>1.2756000000000001</v>
      </c>
      <c r="K870" s="9">
        <v>45313</v>
      </c>
      <c r="L870">
        <f xml:space="preserve"> (交易處理資料__3[[#This Row],[售出工時]] * 60) / 5</f>
        <v>147.47999999999999</v>
      </c>
      <c r="M870" t="str">
        <f>VLOOKUP(交易處理資料__3[[#This Row],[人員代號]],團隊分組!$B$1:$C$52,2,FALSE)</f>
        <v>快速保養團隊A</v>
      </c>
      <c r="N870" t="str">
        <f>IF(交易處理資料__3[[#This Row],[上班時間]]=0,"否","是")</f>
        <v>是</v>
      </c>
      <c r="O870" t="s">
        <v>76</v>
      </c>
      <c r="P870" s="37">
        <v>1.9487000000000001</v>
      </c>
      <c r="Q870" s="37">
        <v>1.2756000000000001</v>
      </c>
      <c r="R870" s="37">
        <v>0.88280000000000003</v>
      </c>
    </row>
    <row r="871" spans="1:18" hidden="1">
      <c r="A871" t="s">
        <v>76</v>
      </c>
      <c r="B871" t="s">
        <v>25</v>
      </c>
      <c r="C871">
        <v>3.83</v>
      </c>
      <c r="D871">
        <v>6.86</v>
      </c>
      <c r="E871" s="29">
        <v>0.55869999999999997</v>
      </c>
      <c r="F871">
        <v>8.8000000000000007</v>
      </c>
      <c r="G871">
        <v>1.0900000000000001</v>
      </c>
      <c r="H871">
        <v>9.89</v>
      </c>
      <c r="I871" s="29">
        <v>0.88980000000000004</v>
      </c>
      <c r="J871" s="29">
        <v>0.3876</v>
      </c>
      <c r="K871" s="9">
        <v>45313</v>
      </c>
      <c r="L871">
        <f xml:space="preserve"> (交易處理資料__3[[#This Row],[售出工時]] * 60) / 5</f>
        <v>45.96</v>
      </c>
      <c r="M871" t="str">
        <f>VLOOKUP(交易處理資料__3[[#This Row],[人員代號]],團隊分組!$B$1:$C$52,2,FALSE)</f>
        <v>查修團隊A</v>
      </c>
      <c r="N871" t="str">
        <f>IF(交易處理資料__3[[#This Row],[上班時間]]=0,"否","是")</f>
        <v>是</v>
      </c>
      <c r="O871" t="s">
        <v>76</v>
      </c>
      <c r="P871" s="38">
        <v>0.55869999999999997</v>
      </c>
      <c r="Q871" s="38">
        <v>0.3876</v>
      </c>
      <c r="R871" s="38">
        <v>0.88980000000000004</v>
      </c>
    </row>
    <row r="872" spans="1:18" hidden="1">
      <c r="A872" t="s">
        <v>76</v>
      </c>
      <c r="B872" t="s">
        <v>26</v>
      </c>
      <c r="C872">
        <v>2</v>
      </c>
      <c r="D872">
        <v>2.4300000000000002</v>
      </c>
      <c r="E872" s="29">
        <v>0.82299999999999995</v>
      </c>
      <c r="F872">
        <v>2.27</v>
      </c>
      <c r="G872">
        <v>6.36</v>
      </c>
      <c r="H872">
        <v>8.6300000000000008</v>
      </c>
      <c r="I872" s="29">
        <v>0.26300000000000001</v>
      </c>
      <c r="J872" s="29">
        <v>0.23170000000000002</v>
      </c>
      <c r="K872" s="9">
        <v>45313</v>
      </c>
      <c r="L872">
        <f xml:space="preserve"> (交易處理資料__3[[#This Row],[售出工時]] * 60) / 5</f>
        <v>24</v>
      </c>
      <c r="M872" t="str">
        <f>VLOOKUP(交易處理資料__3[[#This Row],[人員代號]],團隊分組!$B$1:$C$52,2,FALSE)</f>
        <v>查修團隊B</v>
      </c>
      <c r="N872" t="str">
        <f>IF(交易處理資料__3[[#This Row],[上班時間]]=0,"否","是")</f>
        <v>是</v>
      </c>
      <c r="O872" t="s">
        <v>76</v>
      </c>
      <c r="P872" s="37">
        <v>0.82299999999999995</v>
      </c>
      <c r="Q872" s="37">
        <v>0.23170000000000002</v>
      </c>
      <c r="R872" s="37">
        <v>0.26300000000000001</v>
      </c>
    </row>
    <row r="873" spans="1:18" hidden="1">
      <c r="A873" t="s">
        <v>76</v>
      </c>
      <c r="B873" t="s">
        <v>27</v>
      </c>
      <c r="C873">
        <v>7.87</v>
      </c>
      <c r="D873">
        <v>6.35</v>
      </c>
      <c r="E873" s="29">
        <v>1.2404000000000002</v>
      </c>
      <c r="F873">
        <v>5.7</v>
      </c>
      <c r="G873">
        <v>2.34</v>
      </c>
      <c r="H873">
        <v>8.0399999999999991</v>
      </c>
      <c r="I873" s="29">
        <v>0.70900000000000007</v>
      </c>
      <c r="J873" s="29">
        <v>0.97970000000000002</v>
      </c>
      <c r="K873" s="9">
        <v>45313</v>
      </c>
      <c r="L873">
        <f xml:space="preserve"> (交易處理資料__3[[#This Row],[售出工時]] * 60) / 5</f>
        <v>94.44</v>
      </c>
      <c r="M873" t="str">
        <f>VLOOKUP(交易處理資料__3[[#This Row],[人員代號]],團隊分組!$B$1:$C$52,2,FALSE)</f>
        <v>快速保養團隊B</v>
      </c>
      <c r="N873" t="str">
        <f>IF(交易處理資料__3[[#This Row],[上班時間]]=0,"否","是")</f>
        <v>是</v>
      </c>
      <c r="O873" t="s">
        <v>76</v>
      </c>
      <c r="P873" s="38">
        <v>1.2404000000000002</v>
      </c>
      <c r="Q873" s="38">
        <v>0.97970000000000002</v>
      </c>
      <c r="R873" s="38">
        <v>0.70900000000000007</v>
      </c>
    </row>
    <row r="874" spans="1:18" hidden="1">
      <c r="A874" t="s">
        <v>76</v>
      </c>
      <c r="B874" t="s">
        <v>28</v>
      </c>
      <c r="C874">
        <v>8.91</v>
      </c>
      <c r="D874">
        <v>8.33</v>
      </c>
      <c r="E874" s="29">
        <v>1.0704</v>
      </c>
      <c r="F874">
        <v>7.45</v>
      </c>
      <c r="G874">
        <v>1.03</v>
      </c>
      <c r="H874">
        <v>8.48</v>
      </c>
      <c r="I874" s="29">
        <v>0.87849999999999995</v>
      </c>
      <c r="J874" s="29">
        <v>1.0515000000000001</v>
      </c>
      <c r="K874" s="9">
        <v>45313</v>
      </c>
      <c r="L874">
        <f xml:space="preserve"> (交易處理資料__3[[#This Row],[售出工時]] * 60) / 5</f>
        <v>106.92</v>
      </c>
      <c r="M874" t="str">
        <f>VLOOKUP(交易處理資料__3[[#This Row],[人員代號]],團隊分組!$B$1:$C$52,2,FALSE)</f>
        <v>快速保養團隊A</v>
      </c>
      <c r="N874" t="str">
        <f>IF(交易處理資料__3[[#This Row],[上班時間]]=0,"否","是")</f>
        <v>是</v>
      </c>
      <c r="O874" t="s">
        <v>76</v>
      </c>
      <c r="P874" s="37">
        <v>1.0704</v>
      </c>
      <c r="Q874" s="37">
        <v>1.0515000000000001</v>
      </c>
      <c r="R874" s="37">
        <v>0.87849999999999995</v>
      </c>
    </row>
    <row r="875" spans="1:18" hidden="1">
      <c r="A875" t="s">
        <v>76</v>
      </c>
      <c r="B875" t="s">
        <v>31</v>
      </c>
      <c r="C875">
        <v>0</v>
      </c>
      <c r="D875">
        <v>0</v>
      </c>
      <c r="E875" s="29">
        <v>0</v>
      </c>
      <c r="F875">
        <v>0</v>
      </c>
      <c r="G875">
        <v>0</v>
      </c>
      <c r="H875">
        <v>0</v>
      </c>
      <c r="I875" s="29">
        <v>0</v>
      </c>
      <c r="J875" s="29">
        <v>0</v>
      </c>
      <c r="K875" s="9">
        <v>45313</v>
      </c>
      <c r="L875">
        <f xml:space="preserve"> (交易處理資料__3[[#This Row],[售出工時]] * 60) / 5</f>
        <v>0</v>
      </c>
      <c r="M875" t="str">
        <f>VLOOKUP(交易處理資料__3[[#This Row],[人員代號]],團隊分組!$B$1:$C$52,2,FALSE)</f>
        <v>快速保養團隊A</v>
      </c>
      <c r="N875" t="str">
        <f>IF(交易處理資料__3[[#This Row],[上班時間]]=0,"否","是")</f>
        <v>否</v>
      </c>
      <c r="O875" t="s">
        <v>76</v>
      </c>
      <c r="P875" s="38">
        <v>0</v>
      </c>
      <c r="Q875" s="38">
        <v>0</v>
      </c>
      <c r="R875" s="38">
        <v>0</v>
      </c>
    </row>
    <row r="876" spans="1:18" hidden="1">
      <c r="A876" t="s">
        <v>76</v>
      </c>
      <c r="B876" t="s">
        <v>32</v>
      </c>
      <c r="C876">
        <v>9.3800000000000008</v>
      </c>
      <c r="D876">
        <v>6.16</v>
      </c>
      <c r="E876" s="29">
        <v>1.5227000000000002</v>
      </c>
      <c r="F876">
        <v>9.02</v>
      </c>
      <c r="G876">
        <v>1.04</v>
      </c>
      <c r="H876">
        <v>10.06</v>
      </c>
      <c r="I876" s="29">
        <v>0.89659999999999995</v>
      </c>
      <c r="J876" s="29">
        <v>0.9323999999999999</v>
      </c>
      <c r="K876" s="9">
        <v>45313</v>
      </c>
      <c r="L876">
        <f xml:space="preserve"> (交易處理資料__3[[#This Row],[售出工時]] * 60) / 5</f>
        <v>112.56000000000002</v>
      </c>
      <c r="M876" t="str">
        <f>VLOOKUP(交易處理資料__3[[#This Row],[人員代號]],團隊分組!$B$1:$C$52,2,FALSE)</f>
        <v>快速保養團隊B</v>
      </c>
      <c r="N876" t="str">
        <f>IF(交易處理資料__3[[#This Row],[上班時間]]=0,"否","是")</f>
        <v>是</v>
      </c>
      <c r="O876" t="s">
        <v>76</v>
      </c>
      <c r="P876" s="37">
        <v>1.5227000000000002</v>
      </c>
      <c r="Q876" s="37">
        <v>0.9323999999999999</v>
      </c>
      <c r="R876" s="37">
        <v>0.89659999999999995</v>
      </c>
    </row>
    <row r="877" spans="1:18" hidden="1">
      <c r="A877" t="s">
        <v>76</v>
      </c>
      <c r="B877" t="s">
        <v>33</v>
      </c>
      <c r="C877">
        <v>0</v>
      </c>
      <c r="D877">
        <v>0</v>
      </c>
      <c r="E877" s="29">
        <v>0</v>
      </c>
      <c r="F877">
        <v>0</v>
      </c>
      <c r="G877">
        <v>0</v>
      </c>
      <c r="H877">
        <v>0</v>
      </c>
      <c r="I877" s="29">
        <v>0</v>
      </c>
      <c r="J877" s="29">
        <v>0</v>
      </c>
      <c r="K877" s="9">
        <v>45313</v>
      </c>
      <c r="L877">
        <f xml:space="preserve"> (交易處理資料__3[[#This Row],[售出工時]] * 60) / 5</f>
        <v>0</v>
      </c>
      <c r="M877" t="str">
        <f>VLOOKUP(交易處理資料__3[[#This Row],[人員代號]],團隊分組!$B$1:$C$52,2,FALSE)</f>
        <v>快速保養團隊B</v>
      </c>
      <c r="N877" t="str">
        <f>IF(交易處理資料__3[[#This Row],[上班時間]]=0,"否","是")</f>
        <v>否</v>
      </c>
      <c r="O877" t="s">
        <v>76</v>
      </c>
      <c r="P877" s="38">
        <v>0</v>
      </c>
      <c r="Q877" s="38">
        <v>0</v>
      </c>
      <c r="R877" s="38">
        <v>0</v>
      </c>
    </row>
    <row r="878" spans="1:18" hidden="1">
      <c r="A878" t="s">
        <v>76</v>
      </c>
      <c r="B878" t="s">
        <v>34</v>
      </c>
      <c r="C878">
        <v>11.16</v>
      </c>
      <c r="D878">
        <v>7.85</v>
      </c>
      <c r="E878" s="29">
        <v>1.4225000000000001</v>
      </c>
      <c r="F878">
        <v>7.85</v>
      </c>
      <c r="G878">
        <v>0.65</v>
      </c>
      <c r="H878">
        <v>8.5</v>
      </c>
      <c r="I878" s="29">
        <v>0.92349999999999999</v>
      </c>
      <c r="J878" s="29">
        <v>1.3137000000000001</v>
      </c>
      <c r="K878" s="9">
        <v>45313</v>
      </c>
      <c r="L878">
        <f xml:space="preserve"> (交易處理資料__3[[#This Row],[售出工時]] * 60) / 5</f>
        <v>133.92000000000002</v>
      </c>
      <c r="M878" t="str">
        <f>VLOOKUP(交易處理資料__3[[#This Row],[人員代號]],團隊分組!$B$1:$C$52,2,FALSE)</f>
        <v>快速保養團隊A</v>
      </c>
      <c r="N878" t="str">
        <f>IF(交易處理資料__3[[#This Row],[上班時間]]=0,"否","是")</f>
        <v>是</v>
      </c>
      <c r="O878" t="s">
        <v>76</v>
      </c>
      <c r="P878" s="37">
        <v>1.4225000000000001</v>
      </c>
      <c r="Q878" s="37">
        <v>1.3137000000000001</v>
      </c>
      <c r="R878" s="37">
        <v>0.92349999999999999</v>
      </c>
    </row>
    <row r="879" spans="1:18" hidden="1">
      <c r="A879" t="s">
        <v>76</v>
      </c>
      <c r="B879" t="s">
        <v>35</v>
      </c>
      <c r="C879">
        <v>3.08</v>
      </c>
      <c r="D879">
        <v>4.87</v>
      </c>
      <c r="E879" s="29">
        <v>0.6331</v>
      </c>
      <c r="F879">
        <v>5.85</v>
      </c>
      <c r="G879">
        <v>2.78</v>
      </c>
      <c r="H879">
        <v>8.6300000000000008</v>
      </c>
      <c r="I879" s="29">
        <v>0.67790000000000006</v>
      </c>
      <c r="J879" s="29">
        <v>0.35729999999999995</v>
      </c>
      <c r="K879" s="9">
        <v>45313</v>
      </c>
      <c r="L879">
        <f xml:space="preserve"> (交易處理資料__3[[#This Row],[售出工時]] * 60) / 5</f>
        <v>36.96</v>
      </c>
      <c r="M879" t="str">
        <f>VLOOKUP(交易處理資料__3[[#This Row],[人員代號]],團隊分組!$B$1:$C$52,2,FALSE)</f>
        <v>查修團隊B</v>
      </c>
      <c r="N879" t="str">
        <f>IF(交易處理資料__3[[#This Row],[上班時間]]=0,"否","是")</f>
        <v>是</v>
      </c>
      <c r="O879" t="s">
        <v>76</v>
      </c>
      <c r="P879" s="38">
        <v>0.6331</v>
      </c>
      <c r="Q879" s="38">
        <v>0.35729999999999995</v>
      </c>
      <c r="R879" s="38">
        <v>0.67790000000000006</v>
      </c>
    </row>
    <row r="880" spans="1:18" hidden="1">
      <c r="A880" t="s">
        <v>76</v>
      </c>
      <c r="B880" t="s">
        <v>36</v>
      </c>
      <c r="C880">
        <v>0.42</v>
      </c>
      <c r="D880">
        <v>2.52</v>
      </c>
      <c r="E880" s="29">
        <v>0.1666</v>
      </c>
      <c r="F880">
        <v>7.14</v>
      </c>
      <c r="G880">
        <v>1.29</v>
      </c>
      <c r="H880">
        <v>8.43</v>
      </c>
      <c r="I880" s="29">
        <v>0.84699999999999998</v>
      </c>
      <c r="J880" s="29">
        <v>4.9800000000000004E-2</v>
      </c>
      <c r="K880" s="9">
        <v>45313</v>
      </c>
      <c r="L880">
        <f xml:space="preserve"> (交易處理資料__3[[#This Row],[售出工時]] * 60) / 5</f>
        <v>5.04</v>
      </c>
      <c r="M880" t="str">
        <f>VLOOKUP(交易處理資料__3[[#This Row],[人員代號]],團隊分組!$B$1:$C$52,2,FALSE)</f>
        <v>查修團隊B</v>
      </c>
      <c r="N880" t="str">
        <f>IF(交易處理資料__3[[#This Row],[上班時間]]=0,"否","是")</f>
        <v>是</v>
      </c>
      <c r="O880" t="s">
        <v>76</v>
      </c>
      <c r="P880" s="37">
        <v>0.1666</v>
      </c>
      <c r="Q880" s="37">
        <v>4.9800000000000004E-2</v>
      </c>
      <c r="R880" s="37">
        <v>0.84699999999999998</v>
      </c>
    </row>
    <row r="881" spans="1:18" hidden="1">
      <c r="A881" t="s">
        <v>76</v>
      </c>
      <c r="B881" t="s">
        <v>37</v>
      </c>
      <c r="C881">
        <v>2.83</v>
      </c>
      <c r="D881">
        <v>1.4</v>
      </c>
      <c r="E881" s="29">
        <v>2.0238</v>
      </c>
      <c r="F881">
        <v>9.9600000000000009</v>
      </c>
      <c r="G881">
        <v>0.98</v>
      </c>
      <c r="H881">
        <v>10.94</v>
      </c>
      <c r="I881" s="29">
        <v>0.9104000000000001</v>
      </c>
      <c r="J881" s="29">
        <v>0.25900000000000001</v>
      </c>
      <c r="K881" s="9">
        <v>45313</v>
      </c>
      <c r="L881">
        <f xml:space="preserve"> (交易處理資料__3[[#This Row],[售出工時]] * 60) / 5</f>
        <v>33.96</v>
      </c>
      <c r="M881" t="str">
        <f>VLOOKUP(交易處理資料__3[[#This Row],[人員代號]],團隊分組!$B$1:$C$52,2,FALSE)</f>
        <v>查修團隊A</v>
      </c>
      <c r="N881" t="str">
        <f>IF(交易處理資料__3[[#This Row],[上班時間]]=0,"否","是")</f>
        <v>是</v>
      </c>
      <c r="O881" t="s">
        <v>76</v>
      </c>
      <c r="P881" s="38">
        <v>2.0238</v>
      </c>
      <c r="Q881" s="38">
        <v>0.25900000000000001</v>
      </c>
      <c r="R881" s="38">
        <v>0.9104000000000001</v>
      </c>
    </row>
    <row r="882" spans="1:18" hidden="1">
      <c r="A882" t="s">
        <v>76</v>
      </c>
      <c r="B882" t="s">
        <v>39</v>
      </c>
      <c r="C882">
        <v>0</v>
      </c>
      <c r="D882">
        <v>0</v>
      </c>
      <c r="E882" s="29">
        <v>0</v>
      </c>
      <c r="F882">
        <v>5.05</v>
      </c>
      <c r="G882">
        <v>3.84</v>
      </c>
      <c r="H882">
        <v>8.89</v>
      </c>
      <c r="I882" s="29">
        <v>0.56810000000000005</v>
      </c>
      <c r="J882" s="29">
        <v>0</v>
      </c>
      <c r="K882" s="9">
        <v>45313</v>
      </c>
      <c r="L882">
        <f xml:space="preserve"> (交易處理資料__3[[#This Row],[售出工時]] * 60) / 5</f>
        <v>0</v>
      </c>
      <c r="M882" t="str">
        <f>VLOOKUP(交易處理資料__3[[#This Row],[人員代號]],團隊分組!$B$1:$C$52,2,FALSE)</f>
        <v>查修團隊A</v>
      </c>
      <c r="N882" t="str">
        <f>IF(交易處理資料__3[[#This Row],[上班時間]]=0,"否","是")</f>
        <v>是</v>
      </c>
      <c r="O882" t="s">
        <v>76</v>
      </c>
      <c r="P882" s="37">
        <v>0</v>
      </c>
      <c r="Q882" s="37">
        <v>0</v>
      </c>
      <c r="R882" s="37">
        <v>0.56810000000000005</v>
      </c>
    </row>
    <row r="883" spans="1:18" hidden="1">
      <c r="A883" t="s">
        <v>76</v>
      </c>
      <c r="B883" t="s">
        <v>40</v>
      </c>
      <c r="C883">
        <v>0</v>
      </c>
      <c r="D883">
        <v>0</v>
      </c>
      <c r="E883" s="29">
        <v>0</v>
      </c>
      <c r="F883">
        <v>0</v>
      </c>
      <c r="G883">
        <v>0</v>
      </c>
      <c r="H883">
        <v>0</v>
      </c>
      <c r="I883" s="29">
        <v>0</v>
      </c>
      <c r="J883" s="29">
        <v>0</v>
      </c>
      <c r="K883" s="9">
        <v>45313</v>
      </c>
      <c r="L883">
        <f xml:space="preserve"> (交易處理資料__3[[#This Row],[售出工時]] * 60) / 5</f>
        <v>0</v>
      </c>
      <c r="M883" t="str">
        <f>VLOOKUP(交易處理資料__3[[#This Row],[人員代號]],團隊分組!$B$1:$C$52,2,FALSE)</f>
        <v>查修團隊A</v>
      </c>
      <c r="N883" t="str">
        <f>IF(交易處理資料__3[[#This Row],[上班時間]]=0,"否","是")</f>
        <v>否</v>
      </c>
      <c r="O883" t="s">
        <v>76</v>
      </c>
      <c r="P883" s="38">
        <v>0</v>
      </c>
      <c r="Q883" s="38">
        <v>0</v>
      </c>
      <c r="R883" s="38">
        <v>0</v>
      </c>
    </row>
    <row r="884" spans="1:18" hidden="1">
      <c r="A884" t="s">
        <v>76</v>
      </c>
      <c r="B884" t="s">
        <v>43</v>
      </c>
      <c r="C884">
        <v>1.58</v>
      </c>
      <c r="D884">
        <v>5.38</v>
      </c>
      <c r="E884" s="29">
        <v>0.29359999999999997</v>
      </c>
      <c r="F884">
        <v>6.64</v>
      </c>
      <c r="G884">
        <v>1.73</v>
      </c>
      <c r="H884">
        <v>8.3699999999999992</v>
      </c>
      <c r="I884" s="29">
        <v>0.79330000000000001</v>
      </c>
      <c r="J884" s="29">
        <v>0.1888</v>
      </c>
      <c r="K884" s="9">
        <v>45313</v>
      </c>
      <c r="L884">
        <f xml:space="preserve"> (交易處理資料__3[[#This Row],[售出工時]] * 60) / 5</f>
        <v>18.96</v>
      </c>
      <c r="M884" t="str">
        <f>VLOOKUP(交易處理資料__3[[#This Row],[人員代號]],團隊分組!$B$1:$C$52,2,FALSE)</f>
        <v>查修團隊B</v>
      </c>
      <c r="N884" t="str">
        <f>IF(交易處理資料__3[[#This Row],[上班時間]]=0,"否","是")</f>
        <v>是</v>
      </c>
      <c r="O884" t="s">
        <v>76</v>
      </c>
      <c r="P884" s="37">
        <v>0.29359999999999997</v>
      </c>
      <c r="Q884" s="37">
        <v>0.1888</v>
      </c>
      <c r="R884" s="37">
        <v>0.79330000000000001</v>
      </c>
    </row>
    <row r="885" spans="1:18" hidden="1">
      <c r="A885" t="s">
        <v>76</v>
      </c>
      <c r="B885" t="s">
        <v>47</v>
      </c>
      <c r="C885">
        <v>1.33</v>
      </c>
      <c r="D885">
        <v>1.1499999999999999</v>
      </c>
      <c r="E885" s="29">
        <v>1.1594</v>
      </c>
      <c r="F885">
        <v>5.75</v>
      </c>
      <c r="G885">
        <v>2.41</v>
      </c>
      <c r="H885">
        <v>8.16</v>
      </c>
      <c r="I885" s="29">
        <v>0.70469999999999999</v>
      </c>
      <c r="J885" s="29">
        <v>0.16339999999999999</v>
      </c>
      <c r="K885" s="9">
        <v>45313</v>
      </c>
      <c r="L885">
        <f xml:space="preserve"> (交易處理資料__3[[#This Row],[售出工時]] * 60) / 5</f>
        <v>15.960000000000003</v>
      </c>
      <c r="M885" t="str">
        <f>VLOOKUP(交易處理資料__3[[#This Row],[人員代號]],團隊分組!$B$1:$C$52,2,FALSE)</f>
        <v>查修團隊B</v>
      </c>
      <c r="N885" t="str">
        <f>IF(交易處理資料__3[[#This Row],[上班時間]]=0,"否","是")</f>
        <v>是</v>
      </c>
      <c r="O885" t="s">
        <v>76</v>
      </c>
      <c r="P885" s="38">
        <v>1.1594</v>
      </c>
      <c r="Q885" s="38">
        <v>0.16339999999999999</v>
      </c>
      <c r="R885" s="38">
        <v>0.70469999999999999</v>
      </c>
    </row>
    <row r="886" spans="1:18" hidden="1">
      <c r="A886" t="s">
        <v>76</v>
      </c>
      <c r="B886" t="s">
        <v>49</v>
      </c>
      <c r="C886">
        <v>5.34</v>
      </c>
      <c r="D886">
        <v>7.58</v>
      </c>
      <c r="E886" s="29">
        <v>0.70489999999999997</v>
      </c>
      <c r="F886">
        <v>7.77</v>
      </c>
      <c r="G886">
        <v>0.1</v>
      </c>
      <c r="H886">
        <v>7.87</v>
      </c>
      <c r="I886" s="29">
        <v>0.98730000000000007</v>
      </c>
      <c r="J886" s="29">
        <v>0.67890000000000006</v>
      </c>
      <c r="K886" s="9">
        <v>45313</v>
      </c>
      <c r="L886">
        <f xml:space="preserve"> (交易處理資料__3[[#This Row],[售出工時]] * 60) / 5</f>
        <v>64.08</v>
      </c>
      <c r="M886" t="str">
        <f>VLOOKUP(交易處理資料__3[[#This Row],[人員代號]],團隊分組!$B$1:$C$52,2,FALSE)</f>
        <v>查修團隊A</v>
      </c>
      <c r="N886" t="str">
        <f>IF(交易處理資料__3[[#This Row],[上班時間]]=0,"否","是")</f>
        <v>是</v>
      </c>
      <c r="O886" t="s">
        <v>76</v>
      </c>
      <c r="P886" s="37">
        <v>0.70489999999999997</v>
      </c>
      <c r="Q886" s="37">
        <v>0.67890000000000006</v>
      </c>
      <c r="R886" s="37">
        <v>0.98730000000000007</v>
      </c>
    </row>
    <row r="887" spans="1:18" hidden="1">
      <c r="A887" t="s">
        <v>76</v>
      </c>
      <c r="B887" t="s">
        <v>50</v>
      </c>
      <c r="C887">
        <v>8.1999999999999993</v>
      </c>
      <c r="D887">
        <v>7.25</v>
      </c>
      <c r="E887" s="29">
        <v>1.1314</v>
      </c>
      <c r="F887">
        <v>6.98</v>
      </c>
      <c r="G887">
        <v>1.1599999999999999</v>
      </c>
      <c r="H887">
        <v>8.14</v>
      </c>
      <c r="I887" s="29">
        <v>0.85750000000000004</v>
      </c>
      <c r="J887" s="29">
        <v>1.0078</v>
      </c>
      <c r="K887" s="9">
        <v>45313</v>
      </c>
      <c r="L887">
        <f xml:space="preserve"> (交易處理資料__3[[#This Row],[售出工時]] * 60) / 5</f>
        <v>98.399999999999991</v>
      </c>
      <c r="M887" t="str">
        <f>VLOOKUP(交易處理資料__3[[#This Row],[人員代號]],團隊分組!$B$1:$C$52,2,FALSE)</f>
        <v>快速保養團隊B</v>
      </c>
      <c r="N887" t="str">
        <f>IF(交易處理資料__3[[#This Row],[上班時間]]=0,"否","是")</f>
        <v>是</v>
      </c>
      <c r="O887" t="s">
        <v>76</v>
      </c>
      <c r="P887" s="38">
        <v>1.1314</v>
      </c>
      <c r="Q887" s="38">
        <v>1.0078</v>
      </c>
      <c r="R887" s="38">
        <v>0.85750000000000004</v>
      </c>
    </row>
    <row r="888" spans="1:18" hidden="1">
      <c r="A888" t="s">
        <v>76</v>
      </c>
      <c r="B888" t="s">
        <v>51</v>
      </c>
      <c r="C888">
        <v>0</v>
      </c>
      <c r="D888">
        <v>0</v>
      </c>
      <c r="E888" s="29">
        <v>0</v>
      </c>
      <c r="F888">
        <v>0</v>
      </c>
      <c r="G888">
        <v>0</v>
      </c>
      <c r="H888">
        <v>0</v>
      </c>
      <c r="I888" s="29">
        <v>0</v>
      </c>
      <c r="J888" s="29">
        <v>0</v>
      </c>
      <c r="K888" s="9">
        <v>45313</v>
      </c>
      <c r="L888">
        <f xml:space="preserve"> (交易處理資料__3[[#This Row],[售出工時]] * 60) / 5</f>
        <v>0</v>
      </c>
      <c r="M888" t="str">
        <f>VLOOKUP(交易處理資料__3[[#This Row],[人員代號]],團隊分組!$B$1:$C$52,2,FALSE)</f>
        <v>無效數據</v>
      </c>
      <c r="N888" t="str">
        <f>IF(交易處理資料__3[[#This Row],[上班時間]]=0,"否","是")</f>
        <v>否</v>
      </c>
      <c r="O888" t="s">
        <v>76</v>
      </c>
      <c r="P888" s="37">
        <v>0</v>
      </c>
      <c r="Q888" s="37">
        <v>0</v>
      </c>
      <c r="R888" s="37">
        <v>0</v>
      </c>
    </row>
    <row r="889" spans="1:18" hidden="1">
      <c r="A889" t="s">
        <v>76</v>
      </c>
      <c r="B889" t="s">
        <v>53</v>
      </c>
      <c r="C889">
        <v>4.41</v>
      </c>
      <c r="D889">
        <v>4.78</v>
      </c>
      <c r="E889" s="29">
        <v>0.92390000000000005</v>
      </c>
      <c r="F889">
        <v>7.75</v>
      </c>
      <c r="G889">
        <v>0.14000000000000001</v>
      </c>
      <c r="H889">
        <v>7.89</v>
      </c>
      <c r="I889" s="29">
        <v>0.98230000000000006</v>
      </c>
      <c r="J889" s="29">
        <v>0.55979999999999996</v>
      </c>
      <c r="K889" s="9">
        <v>45313</v>
      </c>
      <c r="L889">
        <f xml:space="preserve"> (交易處理資料__3[[#This Row],[售出工時]] * 60) / 5</f>
        <v>52.92</v>
      </c>
      <c r="M889" t="str">
        <f>VLOOKUP(交易處理資料__3[[#This Row],[人員代號]],團隊分組!$B$1:$C$52,2,FALSE)</f>
        <v>查修團隊A</v>
      </c>
      <c r="N889" t="str">
        <f>IF(交易處理資料__3[[#This Row],[上班時間]]=0,"否","是")</f>
        <v>是</v>
      </c>
      <c r="O889" t="s">
        <v>76</v>
      </c>
      <c r="P889" s="38">
        <v>0.92390000000000005</v>
      </c>
      <c r="Q889" s="38">
        <v>0.55979999999999996</v>
      </c>
      <c r="R889" s="38">
        <v>0.98230000000000006</v>
      </c>
    </row>
    <row r="890" spans="1:18" hidden="1">
      <c r="A890" s="10" t="s">
        <v>74</v>
      </c>
      <c r="B890" t="s">
        <v>1</v>
      </c>
      <c r="C890">
        <v>0</v>
      </c>
      <c r="D890">
        <v>0</v>
      </c>
      <c r="E890" s="29">
        <v>0</v>
      </c>
      <c r="F890">
        <v>6.62</v>
      </c>
      <c r="G890">
        <v>1.4</v>
      </c>
      <c r="H890">
        <v>8.02</v>
      </c>
      <c r="I890" s="29">
        <v>0.82540000000000002</v>
      </c>
      <c r="J890" s="29">
        <v>0</v>
      </c>
      <c r="K890" s="9">
        <v>45314</v>
      </c>
      <c r="L890">
        <f xml:space="preserve"> (交易處理資料__3[[#This Row],[售出工時]] * 60) / 5</f>
        <v>0</v>
      </c>
      <c r="M890" t="str">
        <f>VLOOKUP(交易處理資料__3[[#This Row],[人員代號]],團隊分組!$B$1:$C$52,2,FALSE)</f>
        <v>噴漆維修組</v>
      </c>
      <c r="N890" t="str">
        <f>IF(交易處理資料__3[[#This Row],[上班時間]]=0,"否","是")</f>
        <v>是</v>
      </c>
      <c r="O890" s="10" t="s">
        <v>74</v>
      </c>
      <c r="P890" s="37">
        <v>0</v>
      </c>
      <c r="Q890" s="37">
        <v>0</v>
      </c>
      <c r="R890" s="37">
        <v>0.82540000000000002</v>
      </c>
    </row>
    <row r="891" spans="1:18" hidden="1">
      <c r="A891" s="10" t="s">
        <v>74</v>
      </c>
      <c r="B891" t="s">
        <v>2</v>
      </c>
      <c r="C891">
        <v>0</v>
      </c>
      <c r="D891">
        <v>0</v>
      </c>
      <c r="E891" s="29">
        <v>0</v>
      </c>
      <c r="F891">
        <v>7.72</v>
      </c>
      <c r="G891">
        <v>0.26</v>
      </c>
      <c r="H891">
        <v>7.98</v>
      </c>
      <c r="I891" s="29">
        <v>0.96739999999999993</v>
      </c>
      <c r="J891" s="29">
        <v>0</v>
      </c>
      <c r="K891" s="9">
        <v>45314</v>
      </c>
      <c r="L891">
        <f xml:space="preserve"> (交易處理資料__3[[#This Row],[售出工時]] * 60) / 5</f>
        <v>0</v>
      </c>
      <c r="M891" t="str">
        <f>VLOOKUP(交易處理資料__3[[#This Row],[人員代號]],團隊分組!$B$1:$C$52,2,FALSE)</f>
        <v>噴漆維修組</v>
      </c>
      <c r="N891" t="str">
        <f>IF(交易處理資料__3[[#This Row],[上班時間]]=0,"否","是")</f>
        <v>是</v>
      </c>
      <c r="O891" s="10" t="s">
        <v>74</v>
      </c>
      <c r="P891" s="38">
        <v>0</v>
      </c>
      <c r="Q891" s="38">
        <v>0</v>
      </c>
      <c r="R891" s="38">
        <v>0.96739999999999993</v>
      </c>
    </row>
    <row r="892" spans="1:18" hidden="1">
      <c r="A892" s="10" t="s">
        <v>74</v>
      </c>
      <c r="B892" t="s">
        <v>3</v>
      </c>
      <c r="C892">
        <v>0</v>
      </c>
      <c r="D892">
        <v>0</v>
      </c>
      <c r="E892" s="29">
        <v>0</v>
      </c>
      <c r="F892">
        <v>7.74</v>
      </c>
      <c r="G892">
        <v>0.25</v>
      </c>
      <c r="H892">
        <v>7.99</v>
      </c>
      <c r="I892" s="29">
        <v>0.96870000000000001</v>
      </c>
      <c r="J892" s="29">
        <v>0</v>
      </c>
      <c r="K892" s="9">
        <v>45314</v>
      </c>
      <c r="L892">
        <f xml:space="preserve"> (交易處理資料__3[[#This Row],[售出工時]] * 60) / 5</f>
        <v>0</v>
      </c>
      <c r="M892" t="str">
        <f>VLOOKUP(交易處理資料__3[[#This Row],[人員代號]],團隊分組!$B$1:$C$52,2,FALSE)</f>
        <v>噴漆維修組</v>
      </c>
      <c r="N892" t="str">
        <f>IF(交易處理資料__3[[#This Row],[上班時間]]=0,"否","是")</f>
        <v>是</v>
      </c>
      <c r="O892" s="10" t="s">
        <v>74</v>
      </c>
      <c r="P892" s="37">
        <v>0</v>
      </c>
      <c r="Q892" s="37">
        <v>0</v>
      </c>
      <c r="R892" s="37">
        <v>0.96870000000000001</v>
      </c>
    </row>
    <row r="893" spans="1:18" hidden="1">
      <c r="A893" s="10" t="s">
        <v>74</v>
      </c>
      <c r="B893" t="s">
        <v>4</v>
      </c>
      <c r="C893">
        <v>2.42</v>
      </c>
      <c r="D893">
        <v>7.25</v>
      </c>
      <c r="E893" s="29">
        <v>0.3337</v>
      </c>
      <c r="F893">
        <v>3.22</v>
      </c>
      <c r="G893">
        <v>4.82</v>
      </c>
      <c r="H893">
        <v>8.0399999999999991</v>
      </c>
      <c r="I893" s="29">
        <v>0.40049999999999997</v>
      </c>
      <c r="J893" s="29">
        <v>0.30099999999999999</v>
      </c>
      <c r="K893" s="9">
        <v>45314</v>
      </c>
      <c r="L893">
        <f xml:space="preserve"> (交易處理資料__3[[#This Row],[售出工時]] * 60) / 5</f>
        <v>29.04</v>
      </c>
      <c r="M893" t="str">
        <f>VLOOKUP(交易處理資料__3[[#This Row],[人員代號]],團隊分組!$B$1:$C$52,2,FALSE)</f>
        <v>噴漆維修組</v>
      </c>
      <c r="N893" t="str">
        <f>IF(交易處理資料__3[[#This Row],[上班時間]]=0,"否","是")</f>
        <v>是</v>
      </c>
      <c r="O893" s="10" t="s">
        <v>74</v>
      </c>
      <c r="P893" s="38">
        <v>0.3337</v>
      </c>
      <c r="Q893" s="38">
        <v>0.30099999999999999</v>
      </c>
      <c r="R893" s="38">
        <v>0.40049999999999997</v>
      </c>
    </row>
    <row r="894" spans="1:18" hidden="1">
      <c r="A894" s="10" t="s">
        <v>74</v>
      </c>
      <c r="B894" t="s">
        <v>5</v>
      </c>
      <c r="C894">
        <v>0</v>
      </c>
      <c r="D894">
        <v>0</v>
      </c>
      <c r="E894" s="29">
        <v>0</v>
      </c>
      <c r="F894">
        <v>5.65</v>
      </c>
      <c r="G894">
        <v>2.37</v>
      </c>
      <c r="H894">
        <v>8.02</v>
      </c>
      <c r="I894" s="29">
        <v>0.70450000000000002</v>
      </c>
      <c r="J894" s="29">
        <v>0</v>
      </c>
      <c r="K894" s="9">
        <v>45314</v>
      </c>
      <c r="L894">
        <f xml:space="preserve"> (交易處理資料__3[[#This Row],[售出工時]] * 60) / 5</f>
        <v>0</v>
      </c>
      <c r="M894" t="str">
        <f>VLOOKUP(交易處理資料__3[[#This Row],[人員代號]],團隊分組!$B$1:$C$52,2,FALSE)</f>
        <v>噴漆維修組</v>
      </c>
      <c r="N894" t="str">
        <f>IF(交易處理資料__3[[#This Row],[上班時間]]=0,"否","是")</f>
        <v>是</v>
      </c>
      <c r="O894" s="10" t="s">
        <v>74</v>
      </c>
      <c r="P894" s="37">
        <v>0</v>
      </c>
      <c r="Q894" s="37">
        <v>0</v>
      </c>
      <c r="R894" s="37">
        <v>0.70450000000000002</v>
      </c>
    </row>
    <row r="895" spans="1:18" hidden="1">
      <c r="A895" s="10" t="s">
        <v>74</v>
      </c>
      <c r="B895" t="s">
        <v>6</v>
      </c>
      <c r="C895">
        <v>0</v>
      </c>
      <c r="D895">
        <v>0</v>
      </c>
      <c r="E895" s="29">
        <v>0</v>
      </c>
      <c r="F895">
        <v>0</v>
      </c>
      <c r="G895">
        <v>0</v>
      </c>
      <c r="H895">
        <v>0</v>
      </c>
      <c r="I895" s="29">
        <v>0</v>
      </c>
      <c r="J895" s="29">
        <v>0</v>
      </c>
      <c r="K895" s="9">
        <v>45314</v>
      </c>
      <c r="L895">
        <f xml:space="preserve"> (交易處理資料__3[[#This Row],[售出工時]] * 60) / 5</f>
        <v>0</v>
      </c>
      <c r="M895" t="str">
        <f>VLOOKUP(交易處理資料__3[[#This Row],[人員代號]],團隊分組!$B$1:$C$52,2,FALSE)</f>
        <v>噴漆維修組</v>
      </c>
      <c r="N895" t="str">
        <f>IF(交易處理資料__3[[#This Row],[上班時間]]=0,"否","是")</f>
        <v>否</v>
      </c>
      <c r="O895" s="10" t="s">
        <v>74</v>
      </c>
      <c r="P895" s="38">
        <v>0</v>
      </c>
      <c r="Q895" s="38">
        <v>0</v>
      </c>
      <c r="R895" s="38">
        <v>0</v>
      </c>
    </row>
    <row r="896" spans="1:18">
      <c r="A896" s="10" t="s">
        <v>74</v>
      </c>
      <c r="B896" t="s">
        <v>7</v>
      </c>
      <c r="C896">
        <v>0</v>
      </c>
      <c r="D896">
        <v>0</v>
      </c>
      <c r="E896" s="29">
        <v>0</v>
      </c>
      <c r="F896">
        <v>5.65</v>
      </c>
      <c r="G896">
        <v>2.37</v>
      </c>
      <c r="H896">
        <v>8.02</v>
      </c>
      <c r="I896" s="29">
        <v>0.70450000000000002</v>
      </c>
      <c r="J896" s="29">
        <v>0</v>
      </c>
      <c r="K896" s="9">
        <v>45314</v>
      </c>
      <c r="L896">
        <f xml:space="preserve"> (交易處理資料__3[[#This Row],[售出工時]] * 60) / 5</f>
        <v>0</v>
      </c>
      <c r="M896" t="str">
        <f>VLOOKUP(交易處理資料__3[[#This Row],[人員代號]],團隊分組!$B$1:$C$52,2,FALSE)</f>
        <v>噴漆維修組</v>
      </c>
      <c r="N896" t="str">
        <f>IF(交易處理資料__3[[#This Row],[上班時間]]=0,"否","是")</f>
        <v>是</v>
      </c>
      <c r="O896" s="10" t="s">
        <v>74</v>
      </c>
      <c r="P896" s="37">
        <v>0</v>
      </c>
      <c r="Q896" s="37">
        <v>0</v>
      </c>
      <c r="R896" s="37">
        <v>0.70450000000000002</v>
      </c>
    </row>
    <row r="897" spans="1:18" hidden="1">
      <c r="A897" s="10" t="s">
        <v>74</v>
      </c>
      <c r="B897" t="s">
        <v>9</v>
      </c>
      <c r="C897">
        <v>0</v>
      </c>
      <c r="D897">
        <v>0</v>
      </c>
      <c r="E897" s="29">
        <v>0</v>
      </c>
      <c r="F897">
        <v>7.19</v>
      </c>
      <c r="G897">
        <v>0.87</v>
      </c>
      <c r="H897">
        <v>8.06</v>
      </c>
      <c r="I897" s="29">
        <v>0.89209999999999989</v>
      </c>
      <c r="J897" s="29">
        <v>0</v>
      </c>
      <c r="K897" s="9">
        <v>45314</v>
      </c>
      <c r="L897">
        <f xml:space="preserve"> (交易處理資料__3[[#This Row],[售出工時]] * 60) / 5</f>
        <v>0</v>
      </c>
      <c r="M897" t="str">
        <f>VLOOKUP(交易處理資料__3[[#This Row],[人員代號]],團隊分組!$B$1:$C$52,2,FALSE)</f>
        <v>噴漆維修組</v>
      </c>
      <c r="N897" t="str">
        <f>IF(交易處理資料__3[[#This Row],[上班時間]]=0,"否","是")</f>
        <v>是</v>
      </c>
      <c r="O897" s="10" t="s">
        <v>74</v>
      </c>
      <c r="P897" s="38">
        <v>0</v>
      </c>
      <c r="Q897" s="38">
        <v>0</v>
      </c>
      <c r="R897" s="38">
        <v>0.89209999999999989</v>
      </c>
    </row>
    <row r="898" spans="1:18" hidden="1">
      <c r="A898" t="s">
        <v>75</v>
      </c>
      <c r="B898" t="s">
        <v>11</v>
      </c>
      <c r="C898">
        <v>4.16</v>
      </c>
      <c r="D898">
        <v>4.7</v>
      </c>
      <c r="E898" s="29">
        <v>0.88650000000000007</v>
      </c>
      <c r="F898">
        <v>7</v>
      </c>
      <c r="G898">
        <v>1.05</v>
      </c>
      <c r="H898">
        <v>8.0500000000000007</v>
      </c>
      <c r="I898" s="29">
        <v>0.86959999999999993</v>
      </c>
      <c r="J898" s="29">
        <v>0.51759999999999995</v>
      </c>
      <c r="K898" s="9">
        <v>45314</v>
      </c>
      <c r="L898">
        <f xml:space="preserve"> (交易處理資料__3[[#This Row],[售出工時]] * 60) / 5</f>
        <v>49.92</v>
      </c>
      <c r="M898" t="str">
        <f>VLOOKUP(交易處理資料__3[[#This Row],[人員代號]],團隊分組!$B$1:$C$52,2,FALSE)</f>
        <v>鈑金維修組</v>
      </c>
      <c r="N898" t="str">
        <f>IF(交易處理資料__3[[#This Row],[上班時間]]=0,"否","是")</f>
        <v>是</v>
      </c>
      <c r="O898" t="s">
        <v>75</v>
      </c>
      <c r="P898" s="37">
        <v>0.88650000000000007</v>
      </c>
      <c r="Q898" s="37">
        <v>0.51759999999999995</v>
      </c>
      <c r="R898" s="37">
        <v>0.86959999999999993</v>
      </c>
    </row>
    <row r="899" spans="1:18" hidden="1">
      <c r="A899" t="s">
        <v>75</v>
      </c>
      <c r="B899" t="s">
        <v>12</v>
      </c>
      <c r="C899">
        <v>0</v>
      </c>
      <c r="D899">
        <v>0</v>
      </c>
      <c r="E899" s="29">
        <v>0</v>
      </c>
      <c r="F899">
        <v>6.38</v>
      </c>
      <c r="G899">
        <v>1.66</v>
      </c>
      <c r="H899">
        <v>8.0399999999999991</v>
      </c>
      <c r="I899" s="29">
        <v>0.79349999999999998</v>
      </c>
      <c r="J899" s="29">
        <v>0</v>
      </c>
      <c r="K899" s="9">
        <v>45314</v>
      </c>
      <c r="L899">
        <f xml:space="preserve"> (交易處理資料__3[[#This Row],[售出工時]] * 60) / 5</f>
        <v>0</v>
      </c>
      <c r="M899" t="str">
        <f>VLOOKUP(交易處理資料__3[[#This Row],[人員代號]],團隊分組!$B$1:$C$52,2,FALSE)</f>
        <v>鈑金維修組</v>
      </c>
      <c r="N899" t="str">
        <f>IF(交易處理資料__3[[#This Row],[上班時間]]=0,"否","是")</f>
        <v>是</v>
      </c>
      <c r="O899" t="s">
        <v>75</v>
      </c>
      <c r="P899" s="38">
        <v>0</v>
      </c>
      <c r="Q899" s="38">
        <v>0</v>
      </c>
      <c r="R899" s="38">
        <v>0.79349999999999998</v>
      </c>
    </row>
    <row r="900" spans="1:18" hidden="1">
      <c r="A900" t="s">
        <v>75</v>
      </c>
      <c r="B900" t="s">
        <v>13</v>
      </c>
      <c r="C900">
        <v>0</v>
      </c>
      <c r="D900">
        <v>0</v>
      </c>
      <c r="E900" s="29">
        <v>0</v>
      </c>
      <c r="F900">
        <v>5</v>
      </c>
      <c r="G900">
        <v>3.04</v>
      </c>
      <c r="H900">
        <v>8.0399999999999991</v>
      </c>
      <c r="I900" s="29">
        <v>0.62190000000000001</v>
      </c>
      <c r="J900" s="29">
        <v>0</v>
      </c>
      <c r="K900" s="9">
        <v>45314</v>
      </c>
      <c r="L900">
        <f xml:space="preserve"> (交易處理資料__3[[#This Row],[售出工時]] * 60) / 5</f>
        <v>0</v>
      </c>
      <c r="M900" t="str">
        <f>VLOOKUP(交易處理資料__3[[#This Row],[人員代號]],團隊分組!$B$1:$C$52,2,FALSE)</f>
        <v>鈑金維修組</v>
      </c>
      <c r="N900" t="str">
        <f>IF(交易處理資料__3[[#This Row],[上班時間]]=0,"否","是")</f>
        <v>是</v>
      </c>
      <c r="O900" t="s">
        <v>75</v>
      </c>
      <c r="P900" s="37">
        <v>0</v>
      </c>
      <c r="Q900" s="37">
        <v>0</v>
      </c>
      <c r="R900" s="37">
        <v>0.62190000000000001</v>
      </c>
    </row>
    <row r="901" spans="1:18" hidden="1">
      <c r="A901" t="s">
        <v>75</v>
      </c>
      <c r="B901" t="s">
        <v>14</v>
      </c>
      <c r="C901">
        <v>0</v>
      </c>
      <c r="D901">
        <v>0</v>
      </c>
      <c r="E901" s="29">
        <v>0</v>
      </c>
      <c r="F901">
        <v>4.45</v>
      </c>
      <c r="G901">
        <v>3.6</v>
      </c>
      <c r="H901">
        <v>8.0500000000000007</v>
      </c>
      <c r="I901" s="29">
        <v>0.55279999999999996</v>
      </c>
      <c r="J901" s="29">
        <v>0</v>
      </c>
      <c r="K901" s="9">
        <v>45314</v>
      </c>
      <c r="L901">
        <f xml:space="preserve"> (交易處理資料__3[[#This Row],[售出工時]] * 60) / 5</f>
        <v>0</v>
      </c>
      <c r="M901" t="str">
        <f>VLOOKUP(交易處理資料__3[[#This Row],[人員代號]],團隊分組!$B$1:$C$52,2,FALSE)</f>
        <v>鈑金維修組</v>
      </c>
      <c r="N901" t="str">
        <f>IF(交易處理資料__3[[#This Row],[上班時間]]=0,"否","是")</f>
        <v>是</v>
      </c>
      <c r="O901" t="s">
        <v>75</v>
      </c>
      <c r="P901" s="38">
        <v>0</v>
      </c>
      <c r="Q901" s="38">
        <v>0</v>
      </c>
      <c r="R901" s="38">
        <v>0.55279999999999996</v>
      </c>
    </row>
    <row r="902" spans="1:18" hidden="1">
      <c r="A902" t="s">
        <v>75</v>
      </c>
      <c r="B902" t="s">
        <v>15</v>
      </c>
      <c r="C902">
        <v>0</v>
      </c>
      <c r="D902">
        <v>0</v>
      </c>
      <c r="E902" s="29">
        <v>0</v>
      </c>
      <c r="F902">
        <v>3.23</v>
      </c>
      <c r="G902">
        <v>4.82</v>
      </c>
      <c r="H902">
        <v>8.0500000000000007</v>
      </c>
      <c r="I902" s="29">
        <v>0.4012</v>
      </c>
      <c r="J902" s="29">
        <v>0</v>
      </c>
      <c r="K902" s="9">
        <v>45314</v>
      </c>
      <c r="L902">
        <f xml:space="preserve"> (交易處理資料__3[[#This Row],[售出工時]] * 60) / 5</f>
        <v>0</v>
      </c>
      <c r="M902" t="str">
        <f>VLOOKUP(交易處理資料__3[[#This Row],[人員代號]],團隊分組!$B$1:$C$52,2,FALSE)</f>
        <v>鈑金維修組</v>
      </c>
      <c r="N902" t="str">
        <f>IF(交易處理資料__3[[#This Row],[上班時間]]=0,"否","是")</f>
        <v>是</v>
      </c>
      <c r="O902" t="s">
        <v>75</v>
      </c>
      <c r="P902" s="37">
        <v>0</v>
      </c>
      <c r="Q902" s="37">
        <v>0</v>
      </c>
      <c r="R902" s="37">
        <v>0.4012</v>
      </c>
    </row>
    <row r="903" spans="1:18" hidden="1">
      <c r="A903" t="s">
        <v>76</v>
      </c>
      <c r="B903" t="s">
        <v>17</v>
      </c>
      <c r="C903">
        <v>16.05</v>
      </c>
      <c r="D903">
        <v>9.67</v>
      </c>
      <c r="E903" s="29">
        <v>1.6597</v>
      </c>
      <c r="F903">
        <v>10.27</v>
      </c>
      <c r="G903">
        <v>0.16</v>
      </c>
      <c r="H903">
        <v>10.43</v>
      </c>
      <c r="I903" s="29">
        <v>0.98470000000000002</v>
      </c>
      <c r="J903" s="29">
        <v>1.5387999999999999</v>
      </c>
      <c r="K903" s="9">
        <v>45314</v>
      </c>
      <c r="L903">
        <f xml:space="preserve"> (交易處理資料__3[[#This Row],[售出工時]] * 60) / 5</f>
        <v>192.6</v>
      </c>
      <c r="M903" t="str">
        <f>VLOOKUP(交易處理資料__3[[#This Row],[人員代號]],團隊分組!$B$1:$C$52,2,FALSE)</f>
        <v>快速保養團隊A</v>
      </c>
      <c r="N903" t="str">
        <f>IF(交易處理資料__3[[#This Row],[上班時間]]=0,"否","是")</f>
        <v>是</v>
      </c>
      <c r="O903" t="s">
        <v>76</v>
      </c>
      <c r="P903" s="38">
        <v>1.6597</v>
      </c>
      <c r="Q903" s="38">
        <v>1.5387999999999999</v>
      </c>
      <c r="R903" s="38">
        <v>0.98470000000000002</v>
      </c>
    </row>
    <row r="904" spans="1:18" hidden="1">
      <c r="A904" t="s">
        <v>76</v>
      </c>
      <c r="B904" t="s">
        <v>19</v>
      </c>
      <c r="C904">
        <v>0</v>
      </c>
      <c r="D904">
        <v>0</v>
      </c>
      <c r="E904" s="29">
        <v>0</v>
      </c>
      <c r="F904">
        <v>0</v>
      </c>
      <c r="G904">
        <v>0</v>
      </c>
      <c r="H904">
        <v>0</v>
      </c>
      <c r="I904" s="29">
        <v>0</v>
      </c>
      <c r="J904" s="29">
        <v>0</v>
      </c>
      <c r="K904" s="9">
        <v>45314</v>
      </c>
      <c r="L904">
        <f xml:space="preserve"> (交易處理資料__3[[#This Row],[售出工時]] * 60) / 5</f>
        <v>0</v>
      </c>
      <c r="M904" t="str">
        <f>VLOOKUP(交易處理資料__3[[#This Row],[人員代號]],團隊分組!$B$1:$C$52,2,FALSE)</f>
        <v>查修團隊A</v>
      </c>
      <c r="N904" t="str">
        <f>IF(交易處理資料__3[[#This Row],[上班時間]]=0,"否","是")</f>
        <v>否</v>
      </c>
      <c r="O904" t="s">
        <v>76</v>
      </c>
      <c r="P904" s="37">
        <v>0</v>
      </c>
      <c r="Q904" s="37">
        <v>0</v>
      </c>
      <c r="R904" s="37">
        <v>0</v>
      </c>
    </row>
    <row r="905" spans="1:18" hidden="1">
      <c r="A905" t="s">
        <v>76</v>
      </c>
      <c r="B905" t="s">
        <v>20</v>
      </c>
      <c r="C905">
        <v>2.75</v>
      </c>
      <c r="D905">
        <v>6.53</v>
      </c>
      <c r="E905" s="29">
        <v>0.42109999999999997</v>
      </c>
      <c r="F905">
        <v>2.5</v>
      </c>
      <c r="G905">
        <v>5.98</v>
      </c>
      <c r="H905">
        <v>8.48</v>
      </c>
      <c r="I905" s="29">
        <v>0.29480000000000001</v>
      </c>
      <c r="J905" s="29">
        <v>0.32429999999999998</v>
      </c>
      <c r="K905" s="9">
        <v>45314</v>
      </c>
      <c r="L905">
        <f xml:space="preserve"> (交易處理資料__3[[#This Row],[售出工時]] * 60) / 5</f>
        <v>33</v>
      </c>
      <c r="M905" t="str">
        <f>VLOOKUP(交易處理資料__3[[#This Row],[人員代號]],團隊分組!$B$1:$C$52,2,FALSE)</f>
        <v>查修團隊B</v>
      </c>
      <c r="N905" t="str">
        <f>IF(交易處理資料__3[[#This Row],[上班時間]]=0,"否","是")</f>
        <v>是</v>
      </c>
      <c r="O905" t="s">
        <v>76</v>
      </c>
      <c r="P905" s="38">
        <v>0.42109999999999997</v>
      </c>
      <c r="Q905" s="38">
        <v>0.32429999999999998</v>
      </c>
      <c r="R905" s="38">
        <v>0.29480000000000001</v>
      </c>
    </row>
    <row r="906" spans="1:18" hidden="1">
      <c r="A906" t="s">
        <v>76</v>
      </c>
      <c r="B906" t="s">
        <v>22</v>
      </c>
      <c r="C906">
        <v>0</v>
      </c>
      <c r="D906">
        <v>0</v>
      </c>
      <c r="E906" s="29">
        <v>0</v>
      </c>
      <c r="F906">
        <v>0</v>
      </c>
      <c r="G906">
        <v>0</v>
      </c>
      <c r="H906">
        <v>0</v>
      </c>
      <c r="I906" s="29">
        <v>0</v>
      </c>
      <c r="J906" s="29">
        <v>0</v>
      </c>
      <c r="K906" s="9">
        <v>45314</v>
      </c>
      <c r="L906">
        <f xml:space="preserve"> (交易處理資料__3[[#This Row],[售出工時]] * 60) / 5</f>
        <v>0</v>
      </c>
      <c r="M906" t="str">
        <f>VLOOKUP(交易處理資料__3[[#This Row],[人員代號]],團隊分組!$B$1:$C$52,2,FALSE)</f>
        <v>快速保養團隊A</v>
      </c>
      <c r="N906" t="str">
        <f>IF(交易處理資料__3[[#This Row],[上班時間]]=0,"否","是")</f>
        <v>否</v>
      </c>
      <c r="O906" t="s">
        <v>76</v>
      </c>
      <c r="P906" s="37">
        <v>0</v>
      </c>
      <c r="Q906" s="37">
        <v>0</v>
      </c>
      <c r="R906" s="37">
        <v>0</v>
      </c>
    </row>
    <row r="907" spans="1:18" hidden="1">
      <c r="A907" t="s">
        <v>76</v>
      </c>
      <c r="B907" t="s">
        <v>23</v>
      </c>
      <c r="C907">
        <v>9.4600000000000009</v>
      </c>
      <c r="D907">
        <v>4.5999999999999996</v>
      </c>
      <c r="E907" s="29">
        <v>2.0565000000000002</v>
      </c>
      <c r="F907">
        <v>6.6</v>
      </c>
      <c r="G907">
        <v>1.57</v>
      </c>
      <c r="H907">
        <v>8.17</v>
      </c>
      <c r="I907" s="29">
        <v>0.80779999999999996</v>
      </c>
      <c r="J907" s="29">
        <v>1.1579000000000002</v>
      </c>
      <c r="K907" s="9">
        <v>45314</v>
      </c>
      <c r="L907">
        <f xml:space="preserve"> (交易處理資料__3[[#This Row],[售出工時]] * 60) / 5</f>
        <v>113.52000000000001</v>
      </c>
      <c r="M907" t="str">
        <f>VLOOKUP(交易處理資料__3[[#This Row],[人員代號]],團隊分組!$B$1:$C$52,2,FALSE)</f>
        <v>快速保養團隊B</v>
      </c>
      <c r="N907" t="str">
        <f>IF(交易處理資料__3[[#This Row],[上班時間]]=0,"否","是")</f>
        <v>是</v>
      </c>
      <c r="O907" t="s">
        <v>76</v>
      </c>
      <c r="P907" s="38">
        <v>2.0565000000000002</v>
      </c>
      <c r="Q907" s="38">
        <v>1.1579000000000002</v>
      </c>
      <c r="R907" s="38">
        <v>0.80779999999999996</v>
      </c>
    </row>
    <row r="908" spans="1:18" hidden="1">
      <c r="A908" t="s">
        <v>76</v>
      </c>
      <c r="B908" t="s">
        <v>25</v>
      </c>
      <c r="C908">
        <v>4</v>
      </c>
      <c r="D908">
        <v>2.83</v>
      </c>
      <c r="E908" s="29">
        <v>1.4134</v>
      </c>
      <c r="F908">
        <v>6.67</v>
      </c>
      <c r="G908">
        <v>2.34</v>
      </c>
      <c r="H908">
        <v>9.01</v>
      </c>
      <c r="I908" s="29">
        <v>0.74029999999999996</v>
      </c>
      <c r="J908" s="29">
        <v>0.44400000000000001</v>
      </c>
      <c r="K908" s="9">
        <v>45314</v>
      </c>
      <c r="L908">
        <f xml:space="preserve"> (交易處理資料__3[[#This Row],[售出工時]] * 60) / 5</f>
        <v>48</v>
      </c>
      <c r="M908" t="str">
        <f>VLOOKUP(交易處理資料__3[[#This Row],[人員代號]],團隊分組!$B$1:$C$52,2,FALSE)</f>
        <v>查修團隊A</v>
      </c>
      <c r="N908" t="str">
        <f>IF(交易處理資料__3[[#This Row],[上班時間]]=0,"否","是")</f>
        <v>是</v>
      </c>
      <c r="O908" t="s">
        <v>76</v>
      </c>
      <c r="P908" s="37">
        <v>1.4134</v>
      </c>
      <c r="Q908" s="37">
        <v>0.44400000000000001</v>
      </c>
      <c r="R908" s="37">
        <v>0.74029999999999996</v>
      </c>
    </row>
    <row r="909" spans="1:18" hidden="1">
      <c r="A909" t="s">
        <v>76</v>
      </c>
      <c r="B909" t="s">
        <v>26</v>
      </c>
      <c r="C909">
        <v>2.2000000000000002</v>
      </c>
      <c r="D909">
        <v>1.87</v>
      </c>
      <c r="E909" s="29">
        <v>1.18</v>
      </c>
      <c r="F909">
        <v>1.32</v>
      </c>
      <c r="G909">
        <v>7.17</v>
      </c>
      <c r="H909">
        <v>8.49</v>
      </c>
      <c r="I909" s="29">
        <v>0.1555</v>
      </c>
      <c r="J909" s="29">
        <v>0.25989999999999996</v>
      </c>
      <c r="K909" s="9">
        <v>45314</v>
      </c>
      <c r="L909">
        <f xml:space="preserve"> (交易處理資料__3[[#This Row],[售出工時]] * 60) / 5</f>
        <v>26.4</v>
      </c>
      <c r="M909" t="str">
        <f>VLOOKUP(交易處理資料__3[[#This Row],[人員代號]],團隊分組!$B$1:$C$52,2,FALSE)</f>
        <v>查修團隊B</v>
      </c>
      <c r="N909" t="str">
        <f>IF(交易處理資料__3[[#This Row],[上班時間]]=0,"否","是")</f>
        <v>是</v>
      </c>
      <c r="O909" t="s">
        <v>76</v>
      </c>
      <c r="P909" s="38">
        <v>1.18</v>
      </c>
      <c r="Q909" s="38">
        <v>0.25989999999999996</v>
      </c>
      <c r="R909" s="38">
        <v>0.1555</v>
      </c>
    </row>
    <row r="910" spans="1:18" hidden="1">
      <c r="A910" t="s">
        <v>76</v>
      </c>
      <c r="B910" t="s">
        <v>27</v>
      </c>
      <c r="C910">
        <v>4.99</v>
      </c>
      <c r="D910">
        <v>2.88</v>
      </c>
      <c r="E910" s="29">
        <v>1.7325999999999999</v>
      </c>
      <c r="F910">
        <v>9.16</v>
      </c>
      <c r="G910">
        <v>0.93</v>
      </c>
      <c r="H910">
        <v>10.09</v>
      </c>
      <c r="I910" s="29">
        <v>0.90780000000000005</v>
      </c>
      <c r="J910" s="29">
        <v>0.49450000000000005</v>
      </c>
      <c r="K910" s="9">
        <v>45314</v>
      </c>
      <c r="L910">
        <f xml:space="preserve"> (交易處理資料__3[[#This Row],[售出工時]] * 60) / 5</f>
        <v>59.88000000000001</v>
      </c>
      <c r="M910" t="str">
        <f>VLOOKUP(交易處理資料__3[[#This Row],[人員代號]],團隊分組!$B$1:$C$52,2,FALSE)</f>
        <v>快速保養團隊B</v>
      </c>
      <c r="N910" t="str">
        <f>IF(交易處理資料__3[[#This Row],[上班時間]]=0,"否","是")</f>
        <v>是</v>
      </c>
      <c r="O910" t="s">
        <v>76</v>
      </c>
      <c r="P910" s="37">
        <v>1.7325999999999999</v>
      </c>
      <c r="Q910" s="37">
        <v>0.49450000000000005</v>
      </c>
      <c r="R910" s="37">
        <v>0.90780000000000005</v>
      </c>
    </row>
    <row r="911" spans="1:18" hidden="1">
      <c r="A911" t="s">
        <v>76</v>
      </c>
      <c r="B911" t="s">
        <v>28</v>
      </c>
      <c r="C911">
        <v>10.41</v>
      </c>
      <c r="D911">
        <v>8.42</v>
      </c>
      <c r="E911" s="29">
        <v>1.2370999999999999</v>
      </c>
      <c r="F911">
        <v>9.39</v>
      </c>
      <c r="G911">
        <v>0.74</v>
      </c>
      <c r="H911">
        <v>10.130000000000001</v>
      </c>
      <c r="I911" s="29">
        <v>0.92689999999999995</v>
      </c>
      <c r="J911" s="29">
        <v>1.0283</v>
      </c>
      <c r="K911" s="9">
        <v>45314</v>
      </c>
      <c r="L911">
        <f xml:space="preserve"> (交易處理資料__3[[#This Row],[售出工時]] * 60) / 5</f>
        <v>124.92</v>
      </c>
      <c r="M911" t="str">
        <f>VLOOKUP(交易處理資料__3[[#This Row],[人員代號]],團隊分組!$B$1:$C$52,2,FALSE)</f>
        <v>快速保養團隊A</v>
      </c>
      <c r="N911" t="str">
        <f>IF(交易處理資料__3[[#This Row],[上班時間]]=0,"否","是")</f>
        <v>是</v>
      </c>
      <c r="O911" t="s">
        <v>76</v>
      </c>
      <c r="P911" s="38">
        <v>1.2370999999999999</v>
      </c>
      <c r="Q911" s="38">
        <v>1.0283</v>
      </c>
      <c r="R911" s="38">
        <v>0.92689999999999995</v>
      </c>
    </row>
    <row r="912" spans="1:18" hidden="1">
      <c r="A912" t="s">
        <v>76</v>
      </c>
      <c r="B912" t="s">
        <v>29</v>
      </c>
      <c r="C912">
        <v>5.5</v>
      </c>
      <c r="D912">
        <v>5.35</v>
      </c>
      <c r="E912" s="29">
        <v>1.028</v>
      </c>
      <c r="F912">
        <v>7.02</v>
      </c>
      <c r="G912">
        <v>1.5</v>
      </c>
      <c r="H912">
        <v>8.52</v>
      </c>
      <c r="I912" s="29">
        <v>0.82389999999999997</v>
      </c>
      <c r="J912" s="29">
        <v>0.64549999999999996</v>
      </c>
      <c r="K912" s="9">
        <v>45314</v>
      </c>
      <c r="L912">
        <f xml:space="preserve"> (交易處理資料__3[[#This Row],[售出工時]] * 60) / 5</f>
        <v>66</v>
      </c>
      <c r="M912" t="str">
        <f>VLOOKUP(交易處理資料__3[[#This Row],[人員代號]],團隊分組!$B$1:$C$52,2,FALSE)</f>
        <v>查修團隊B</v>
      </c>
      <c r="N912" t="str">
        <f>IF(交易處理資料__3[[#This Row],[上班時間]]=0,"否","是")</f>
        <v>是</v>
      </c>
      <c r="O912" t="s">
        <v>76</v>
      </c>
      <c r="P912" s="37">
        <v>1.028</v>
      </c>
      <c r="Q912" s="37">
        <v>0.64549999999999996</v>
      </c>
      <c r="R912" s="37">
        <v>0.82389999999999997</v>
      </c>
    </row>
    <row r="913" spans="1:18" hidden="1">
      <c r="A913" t="s">
        <v>76</v>
      </c>
      <c r="B913" t="s">
        <v>30</v>
      </c>
      <c r="C913">
        <v>8.25</v>
      </c>
      <c r="D913">
        <v>4.4400000000000004</v>
      </c>
      <c r="E913" s="29">
        <v>1.8588</v>
      </c>
      <c r="F913">
        <v>9.99</v>
      </c>
      <c r="G913">
        <v>0.11</v>
      </c>
      <c r="H913">
        <v>10.1</v>
      </c>
      <c r="I913" s="29">
        <v>0.98909999999999998</v>
      </c>
      <c r="J913" s="29">
        <v>0.81720000000000004</v>
      </c>
      <c r="K913" s="9">
        <v>45314</v>
      </c>
      <c r="L913">
        <f xml:space="preserve"> (交易處理資料__3[[#This Row],[售出工時]] * 60) / 5</f>
        <v>99</v>
      </c>
      <c r="M913" t="str">
        <f>VLOOKUP(交易處理資料__3[[#This Row],[人員代號]],團隊分組!$B$1:$C$52,2,FALSE)</f>
        <v>快速保養團隊B</v>
      </c>
      <c r="N913" t="str">
        <f>IF(交易處理資料__3[[#This Row],[上班時間]]=0,"否","是")</f>
        <v>是</v>
      </c>
      <c r="O913" t="s">
        <v>76</v>
      </c>
      <c r="P913" s="38">
        <v>1.8588</v>
      </c>
      <c r="Q913" s="38">
        <v>0.81720000000000004</v>
      </c>
      <c r="R913" s="38">
        <v>0.98909999999999998</v>
      </c>
    </row>
    <row r="914" spans="1:18" hidden="1">
      <c r="A914" t="s">
        <v>76</v>
      </c>
      <c r="B914" t="s">
        <v>31</v>
      </c>
      <c r="C914">
        <v>0</v>
      </c>
      <c r="D914">
        <v>0</v>
      </c>
      <c r="E914" s="29">
        <v>0</v>
      </c>
      <c r="F914">
        <v>0</v>
      </c>
      <c r="G914">
        <v>0</v>
      </c>
      <c r="H914">
        <v>0</v>
      </c>
      <c r="I914" s="29">
        <v>0</v>
      </c>
      <c r="J914" s="29">
        <v>0</v>
      </c>
      <c r="K914" s="9">
        <v>45314</v>
      </c>
      <c r="L914">
        <f xml:space="preserve"> (交易處理資料__3[[#This Row],[售出工時]] * 60) / 5</f>
        <v>0</v>
      </c>
      <c r="M914" t="str">
        <f>VLOOKUP(交易處理資料__3[[#This Row],[人員代號]],團隊分組!$B$1:$C$52,2,FALSE)</f>
        <v>快速保養團隊A</v>
      </c>
      <c r="N914" t="str">
        <f>IF(交易處理資料__3[[#This Row],[上班時間]]=0,"否","是")</f>
        <v>否</v>
      </c>
      <c r="O914" t="s">
        <v>76</v>
      </c>
      <c r="P914" s="37">
        <v>0</v>
      </c>
      <c r="Q914" s="37">
        <v>0</v>
      </c>
      <c r="R914" s="37">
        <v>0</v>
      </c>
    </row>
    <row r="915" spans="1:18" hidden="1">
      <c r="A915" t="s">
        <v>76</v>
      </c>
      <c r="B915" t="s">
        <v>32</v>
      </c>
      <c r="C915">
        <v>10.57</v>
      </c>
      <c r="D915">
        <v>5.09</v>
      </c>
      <c r="E915" s="29">
        <v>2.0766</v>
      </c>
      <c r="F915">
        <v>10.38</v>
      </c>
      <c r="G915">
        <v>1.94</v>
      </c>
      <c r="H915">
        <v>12.32</v>
      </c>
      <c r="I915" s="29">
        <v>0.84250000000000003</v>
      </c>
      <c r="J915" s="29">
        <v>0.85799999999999998</v>
      </c>
      <c r="K915" s="9">
        <v>45314</v>
      </c>
      <c r="L915">
        <f xml:space="preserve"> (交易處理資料__3[[#This Row],[售出工時]] * 60) / 5</f>
        <v>126.84</v>
      </c>
      <c r="M915" t="str">
        <f>VLOOKUP(交易處理資料__3[[#This Row],[人員代號]],團隊分組!$B$1:$C$52,2,FALSE)</f>
        <v>快速保養團隊B</v>
      </c>
      <c r="N915" t="str">
        <f>IF(交易處理資料__3[[#This Row],[上班時間]]=0,"否","是")</f>
        <v>是</v>
      </c>
      <c r="O915" t="s">
        <v>76</v>
      </c>
      <c r="P915" s="38">
        <v>2.0766</v>
      </c>
      <c r="Q915" s="38">
        <v>0.85799999999999998</v>
      </c>
      <c r="R915" s="38">
        <v>0.84250000000000003</v>
      </c>
    </row>
    <row r="916" spans="1:18" hidden="1">
      <c r="A916" t="s">
        <v>76</v>
      </c>
      <c r="B916" t="s">
        <v>33</v>
      </c>
      <c r="C916">
        <v>0</v>
      </c>
      <c r="D916">
        <v>0</v>
      </c>
      <c r="E916" s="29">
        <v>0</v>
      </c>
      <c r="F916">
        <v>0</v>
      </c>
      <c r="G916">
        <v>0</v>
      </c>
      <c r="H916">
        <v>0</v>
      </c>
      <c r="I916" s="29">
        <v>0</v>
      </c>
      <c r="J916" s="29">
        <v>0</v>
      </c>
      <c r="K916" s="9">
        <v>45314</v>
      </c>
      <c r="L916">
        <f xml:space="preserve"> (交易處理資料__3[[#This Row],[售出工時]] * 60) / 5</f>
        <v>0</v>
      </c>
      <c r="M916" t="str">
        <f>VLOOKUP(交易處理資料__3[[#This Row],[人員代號]],團隊分組!$B$1:$C$52,2,FALSE)</f>
        <v>快速保養團隊B</v>
      </c>
      <c r="N916" t="str">
        <f>IF(交易處理資料__3[[#This Row],[上班時間]]=0,"否","是")</f>
        <v>否</v>
      </c>
      <c r="O916" t="s">
        <v>76</v>
      </c>
      <c r="P916" s="37">
        <v>0</v>
      </c>
      <c r="Q916" s="37">
        <v>0</v>
      </c>
      <c r="R916" s="37">
        <v>0</v>
      </c>
    </row>
    <row r="917" spans="1:18" hidden="1">
      <c r="A917" t="s">
        <v>76</v>
      </c>
      <c r="B917" t="s">
        <v>34</v>
      </c>
      <c r="C917">
        <v>21.08</v>
      </c>
      <c r="D917">
        <v>10.48</v>
      </c>
      <c r="E917" s="29">
        <v>2.0116999999999998</v>
      </c>
      <c r="F917">
        <v>10.039999999999999</v>
      </c>
      <c r="G917">
        <v>0.44</v>
      </c>
      <c r="H917">
        <v>10.48</v>
      </c>
      <c r="I917" s="29">
        <v>0.95799999999999996</v>
      </c>
      <c r="J917" s="29">
        <v>2.0118</v>
      </c>
      <c r="K917" s="9">
        <v>45314</v>
      </c>
      <c r="L917">
        <f xml:space="preserve"> (交易處理資料__3[[#This Row],[售出工時]] * 60) / 5</f>
        <v>252.95999999999998</v>
      </c>
      <c r="M917" t="str">
        <f>VLOOKUP(交易處理資料__3[[#This Row],[人員代號]],團隊分組!$B$1:$C$52,2,FALSE)</f>
        <v>快速保養團隊A</v>
      </c>
      <c r="N917" t="str">
        <f>IF(交易處理資料__3[[#This Row],[上班時間]]=0,"否","是")</f>
        <v>是</v>
      </c>
      <c r="O917" t="s">
        <v>76</v>
      </c>
      <c r="P917" s="38">
        <v>2.0116999999999998</v>
      </c>
      <c r="Q917" s="38">
        <v>2.0118</v>
      </c>
      <c r="R917" s="38">
        <v>0.95799999999999996</v>
      </c>
    </row>
    <row r="918" spans="1:18" hidden="1">
      <c r="A918" t="s">
        <v>76</v>
      </c>
      <c r="B918" t="s">
        <v>37</v>
      </c>
      <c r="C918">
        <v>3.59</v>
      </c>
      <c r="D918">
        <v>7.29</v>
      </c>
      <c r="E918" s="29">
        <v>0.4924</v>
      </c>
      <c r="F918">
        <v>10.31</v>
      </c>
      <c r="G918">
        <v>0.68</v>
      </c>
      <c r="H918">
        <v>10.99</v>
      </c>
      <c r="I918" s="29">
        <v>0.93810000000000004</v>
      </c>
      <c r="J918" s="29">
        <v>0.32669999999999999</v>
      </c>
      <c r="K918" s="9">
        <v>45314</v>
      </c>
      <c r="L918">
        <f xml:space="preserve"> (交易處理資料__3[[#This Row],[售出工時]] * 60) / 5</f>
        <v>43.08</v>
      </c>
      <c r="M918" t="str">
        <f>VLOOKUP(交易處理資料__3[[#This Row],[人員代號]],團隊分組!$B$1:$C$52,2,FALSE)</f>
        <v>查修團隊A</v>
      </c>
      <c r="N918" t="str">
        <f>IF(交易處理資料__3[[#This Row],[上班時間]]=0,"否","是")</f>
        <v>是</v>
      </c>
      <c r="O918" t="s">
        <v>76</v>
      </c>
      <c r="P918" s="37">
        <v>0.4924</v>
      </c>
      <c r="Q918" s="37">
        <v>0.32669999999999999</v>
      </c>
      <c r="R918" s="37">
        <v>0.93810000000000004</v>
      </c>
    </row>
    <row r="919" spans="1:18" hidden="1">
      <c r="A919" t="s">
        <v>76</v>
      </c>
      <c r="B919" t="s">
        <v>39</v>
      </c>
      <c r="C919">
        <v>4.25</v>
      </c>
      <c r="D919">
        <v>6.97</v>
      </c>
      <c r="E919" s="29">
        <v>0.60970000000000002</v>
      </c>
      <c r="F919">
        <v>6.74</v>
      </c>
      <c r="G919">
        <v>2.75</v>
      </c>
      <c r="H919">
        <v>9.49</v>
      </c>
      <c r="I919" s="29">
        <v>0.71019999999999994</v>
      </c>
      <c r="J919" s="29">
        <v>0.44780000000000003</v>
      </c>
      <c r="K919" s="9">
        <v>45314</v>
      </c>
      <c r="L919">
        <f xml:space="preserve"> (交易處理資料__3[[#This Row],[售出工時]] * 60) / 5</f>
        <v>51</v>
      </c>
      <c r="M919" t="str">
        <f>VLOOKUP(交易處理資料__3[[#This Row],[人員代號]],團隊分組!$B$1:$C$52,2,FALSE)</f>
        <v>查修團隊A</v>
      </c>
      <c r="N919" t="str">
        <f>IF(交易處理資料__3[[#This Row],[上班時間]]=0,"否","是")</f>
        <v>是</v>
      </c>
      <c r="O919" t="s">
        <v>76</v>
      </c>
      <c r="P919" s="38">
        <v>0.60970000000000002</v>
      </c>
      <c r="Q919" s="38">
        <v>0.44780000000000003</v>
      </c>
      <c r="R919" s="38">
        <v>0.71019999999999994</v>
      </c>
    </row>
    <row r="920" spans="1:18" hidden="1">
      <c r="A920" t="s">
        <v>76</v>
      </c>
      <c r="B920" t="s">
        <v>40</v>
      </c>
      <c r="C920">
        <v>0</v>
      </c>
      <c r="D920">
        <v>0</v>
      </c>
      <c r="E920" s="29">
        <v>0</v>
      </c>
      <c r="F920">
        <v>0</v>
      </c>
      <c r="G920">
        <v>0</v>
      </c>
      <c r="H920">
        <v>0</v>
      </c>
      <c r="I920" s="29">
        <v>0</v>
      </c>
      <c r="J920" s="29">
        <v>0</v>
      </c>
      <c r="K920" s="9">
        <v>45314</v>
      </c>
      <c r="L920">
        <f xml:space="preserve"> (交易處理資料__3[[#This Row],[售出工時]] * 60) / 5</f>
        <v>0</v>
      </c>
      <c r="M920" t="str">
        <f>VLOOKUP(交易處理資料__3[[#This Row],[人員代號]],團隊分組!$B$1:$C$52,2,FALSE)</f>
        <v>查修團隊A</v>
      </c>
      <c r="N920" t="str">
        <f>IF(交易處理資料__3[[#This Row],[上班時間]]=0,"否","是")</f>
        <v>否</v>
      </c>
      <c r="O920" t="s">
        <v>76</v>
      </c>
      <c r="P920" s="37">
        <v>0</v>
      </c>
      <c r="Q920" s="37">
        <v>0</v>
      </c>
      <c r="R920" s="37">
        <v>0</v>
      </c>
    </row>
    <row r="921" spans="1:18" hidden="1">
      <c r="A921" t="s">
        <v>76</v>
      </c>
      <c r="B921" t="s">
        <v>42</v>
      </c>
      <c r="C921">
        <v>9.82</v>
      </c>
      <c r="D921">
        <v>5.82</v>
      </c>
      <c r="E921" s="29">
        <v>1.6878</v>
      </c>
      <c r="F921">
        <v>5.97</v>
      </c>
      <c r="G921">
        <v>1.57</v>
      </c>
      <c r="H921">
        <v>7.54</v>
      </c>
      <c r="I921" s="29">
        <v>0.79180000000000006</v>
      </c>
      <c r="J921" s="29">
        <v>1.3028</v>
      </c>
      <c r="K921" s="9">
        <v>45314</v>
      </c>
      <c r="L921">
        <f xml:space="preserve"> (交易處理資料__3[[#This Row],[售出工時]] * 60) / 5</f>
        <v>117.84</v>
      </c>
      <c r="M921" t="str">
        <f>VLOOKUP(交易處理資料__3[[#This Row],[人員代號]],團隊分組!$B$1:$C$52,2,FALSE)</f>
        <v>快速保養團隊A</v>
      </c>
      <c r="N921" t="str">
        <f>IF(交易處理資料__3[[#This Row],[上班時間]]=0,"否","是")</f>
        <v>是</v>
      </c>
      <c r="O921" t="s">
        <v>76</v>
      </c>
      <c r="P921" s="38">
        <v>1.6878</v>
      </c>
      <c r="Q921" s="38">
        <v>1.3028</v>
      </c>
      <c r="R921" s="38">
        <v>0.79180000000000006</v>
      </c>
    </row>
    <row r="922" spans="1:18" hidden="1">
      <c r="A922" t="s">
        <v>76</v>
      </c>
      <c r="B922" t="s">
        <v>43</v>
      </c>
      <c r="C922">
        <v>6.77</v>
      </c>
      <c r="D922">
        <v>7.99</v>
      </c>
      <c r="E922" s="29">
        <v>0.84770000000000001</v>
      </c>
      <c r="F922">
        <v>4.37</v>
      </c>
      <c r="G922">
        <v>4.1399999999999997</v>
      </c>
      <c r="H922">
        <v>8.51</v>
      </c>
      <c r="I922" s="29">
        <v>0.51350000000000007</v>
      </c>
      <c r="J922" s="29">
        <v>0.79590000000000005</v>
      </c>
      <c r="K922" s="9">
        <v>45314</v>
      </c>
      <c r="L922">
        <f xml:space="preserve"> (交易處理資料__3[[#This Row],[售出工時]] * 60) / 5</f>
        <v>81.239999999999995</v>
      </c>
      <c r="M922" t="str">
        <f>VLOOKUP(交易處理資料__3[[#This Row],[人員代號]],團隊分組!$B$1:$C$52,2,FALSE)</f>
        <v>查修團隊B</v>
      </c>
      <c r="N922" t="str">
        <f>IF(交易處理資料__3[[#This Row],[上班時間]]=0,"否","是")</f>
        <v>是</v>
      </c>
      <c r="O922" t="s">
        <v>76</v>
      </c>
      <c r="P922" s="37">
        <v>0.84770000000000001</v>
      </c>
      <c r="Q922" s="37">
        <v>0.79590000000000005</v>
      </c>
      <c r="R922" s="37">
        <v>0.51350000000000007</v>
      </c>
    </row>
    <row r="923" spans="1:18" hidden="1">
      <c r="A923" t="s">
        <v>76</v>
      </c>
      <c r="B923" t="s">
        <v>46</v>
      </c>
      <c r="C923">
        <v>8.16</v>
      </c>
      <c r="D923">
        <v>7.6</v>
      </c>
      <c r="E923" s="29">
        <v>1.0745</v>
      </c>
      <c r="F923">
        <v>6.47</v>
      </c>
      <c r="G923">
        <v>1.85</v>
      </c>
      <c r="H923">
        <v>8.32</v>
      </c>
      <c r="I923" s="29">
        <v>0.77760000000000007</v>
      </c>
      <c r="J923" s="29">
        <v>0.98159999999999992</v>
      </c>
      <c r="K923" s="9">
        <v>45314</v>
      </c>
      <c r="L923">
        <f xml:space="preserve"> (交易處理資料__3[[#This Row],[售出工時]] * 60) / 5</f>
        <v>97.92</v>
      </c>
      <c r="M923" t="str">
        <f>VLOOKUP(交易處理資料__3[[#This Row],[人員代號]],團隊分組!$B$1:$C$52,2,FALSE)</f>
        <v>查修團隊B</v>
      </c>
      <c r="N923" t="str">
        <f>IF(交易處理資料__3[[#This Row],[上班時間]]=0,"否","是")</f>
        <v>是</v>
      </c>
      <c r="O923" t="s">
        <v>76</v>
      </c>
      <c r="P923" s="38">
        <v>1.0745</v>
      </c>
      <c r="Q923" s="38">
        <v>0.98159999999999992</v>
      </c>
      <c r="R923" s="38">
        <v>0.77760000000000007</v>
      </c>
    </row>
    <row r="924" spans="1:18" hidden="1">
      <c r="A924" t="s">
        <v>76</v>
      </c>
      <c r="B924" t="s">
        <v>47</v>
      </c>
      <c r="C924">
        <v>3.25</v>
      </c>
      <c r="D924">
        <v>3</v>
      </c>
      <c r="E924" s="29">
        <v>1.0832999999999999</v>
      </c>
      <c r="F924">
        <v>6.43</v>
      </c>
      <c r="G924">
        <v>1.73</v>
      </c>
      <c r="H924">
        <v>8.16</v>
      </c>
      <c r="I924" s="29">
        <v>0.78799999999999992</v>
      </c>
      <c r="J924" s="29">
        <v>0.39829999999999999</v>
      </c>
      <c r="K924" s="9">
        <v>45314</v>
      </c>
      <c r="L924">
        <f xml:space="preserve"> (交易處理資料__3[[#This Row],[售出工時]] * 60) / 5</f>
        <v>39</v>
      </c>
      <c r="M924" t="str">
        <f>VLOOKUP(交易處理資料__3[[#This Row],[人員代號]],團隊分組!$B$1:$C$52,2,FALSE)</f>
        <v>查修團隊B</v>
      </c>
      <c r="N924" t="str">
        <f>IF(交易處理資料__3[[#This Row],[上班時間]]=0,"否","是")</f>
        <v>是</v>
      </c>
      <c r="O924" t="s">
        <v>76</v>
      </c>
      <c r="P924" s="37">
        <v>1.0832999999999999</v>
      </c>
      <c r="Q924" s="37">
        <v>0.39829999999999999</v>
      </c>
      <c r="R924" s="37">
        <v>0.78799999999999992</v>
      </c>
    </row>
    <row r="925" spans="1:18" hidden="1">
      <c r="A925" t="s">
        <v>76</v>
      </c>
      <c r="B925" t="s">
        <v>48</v>
      </c>
      <c r="C925">
        <v>2.83</v>
      </c>
      <c r="D925">
        <v>4.63</v>
      </c>
      <c r="E925" s="29">
        <v>0.6119</v>
      </c>
      <c r="F925">
        <v>5.51</v>
      </c>
      <c r="G925">
        <v>2.81</v>
      </c>
      <c r="H925">
        <v>8.32</v>
      </c>
      <c r="I925" s="29">
        <v>0.6623</v>
      </c>
      <c r="J925" s="29">
        <v>0.34049999999999997</v>
      </c>
      <c r="K925" s="9">
        <v>45314</v>
      </c>
      <c r="L925">
        <f xml:space="preserve"> (交易處理資料__3[[#This Row],[售出工時]] * 60) / 5</f>
        <v>33.96</v>
      </c>
      <c r="M925" t="str">
        <f>VLOOKUP(交易處理資料__3[[#This Row],[人員代號]],團隊分組!$B$1:$C$52,2,FALSE)</f>
        <v>查修團隊A</v>
      </c>
      <c r="N925" t="str">
        <f>IF(交易處理資料__3[[#This Row],[上班時間]]=0,"否","是")</f>
        <v>是</v>
      </c>
      <c r="O925" t="s">
        <v>76</v>
      </c>
      <c r="P925" s="38">
        <v>0.6119</v>
      </c>
      <c r="Q925" s="38">
        <v>0.34049999999999997</v>
      </c>
      <c r="R925" s="38">
        <v>0.6623</v>
      </c>
    </row>
    <row r="926" spans="1:18" hidden="1">
      <c r="A926" t="s">
        <v>76</v>
      </c>
      <c r="B926" t="s">
        <v>49</v>
      </c>
      <c r="C926">
        <v>3.25</v>
      </c>
      <c r="D926">
        <v>2.36</v>
      </c>
      <c r="E926" s="29">
        <v>1.3771</v>
      </c>
      <c r="F926">
        <v>7.06</v>
      </c>
      <c r="G926">
        <v>1.02</v>
      </c>
      <c r="H926">
        <v>8.08</v>
      </c>
      <c r="I926" s="29">
        <v>0.87379999999999991</v>
      </c>
      <c r="J926" s="29">
        <v>0.4022</v>
      </c>
      <c r="K926" s="9">
        <v>45314</v>
      </c>
      <c r="L926">
        <f xml:space="preserve"> (交易處理資料__3[[#This Row],[售出工時]] * 60) / 5</f>
        <v>39</v>
      </c>
      <c r="M926" t="str">
        <f>VLOOKUP(交易處理資料__3[[#This Row],[人員代號]],團隊分組!$B$1:$C$52,2,FALSE)</f>
        <v>查修團隊A</v>
      </c>
      <c r="N926" t="str">
        <f>IF(交易處理資料__3[[#This Row],[上班時間]]=0,"否","是")</f>
        <v>是</v>
      </c>
      <c r="O926" t="s">
        <v>76</v>
      </c>
      <c r="P926" s="37">
        <v>1.3771</v>
      </c>
      <c r="Q926" s="37">
        <v>0.4022</v>
      </c>
      <c r="R926" s="37">
        <v>0.87379999999999991</v>
      </c>
    </row>
    <row r="927" spans="1:18" hidden="1">
      <c r="A927" t="s">
        <v>76</v>
      </c>
      <c r="B927" t="s">
        <v>51</v>
      </c>
      <c r="C927">
        <v>0</v>
      </c>
      <c r="D927">
        <v>0</v>
      </c>
      <c r="E927" s="29">
        <v>0</v>
      </c>
      <c r="F927">
        <v>0</v>
      </c>
      <c r="G927">
        <v>0</v>
      </c>
      <c r="H927">
        <v>0</v>
      </c>
      <c r="I927" s="29">
        <v>0</v>
      </c>
      <c r="J927" s="29">
        <v>0</v>
      </c>
      <c r="K927" s="9">
        <v>45314</v>
      </c>
      <c r="L927">
        <f xml:space="preserve"> (交易處理資料__3[[#This Row],[售出工時]] * 60) / 5</f>
        <v>0</v>
      </c>
      <c r="M927" t="str">
        <f>VLOOKUP(交易處理資料__3[[#This Row],[人員代號]],團隊分組!$B$1:$C$52,2,FALSE)</f>
        <v>無效數據</v>
      </c>
      <c r="N927" t="str">
        <f>IF(交易處理資料__3[[#This Row],[上班時間]]=0,"否","是")</f>
        <v>否</v>
      </c>
      <c r="O927" t="s">
        <v>76</v>
      </c>
      <c r="P927" s="38">
        <v>0</v>
      </c>
      <c r="Q927" s="38">
        <v>0</v>
      </c>
      <c r="R927" s="38">
        <v>0</v>
      </c>
    </row>
    <row r="928" spans="1:18" hidden="1">
      <c r="A928" t="s">
        <v>76</v>
      </c>
      <c r="B928" t="s">
        <v>52</v>
      </c>
      <c r="C928">
        <v>3.16</v>
      </c>
      <c r="D928">
        <v>2.2400000000000002</v>
      </c>
      <c r="E928" s="29">
        <v>1.4136000000000002</v>
      </c>
      <c r="F928">
        <v>7.75</v>
      </c>
      <c r="G928">
        <v>0.38</v>
      </c>
      <c r="H928">
        <v>8.1300000000000008</v>
      </c>
      <c r="I928" s="29">
        <v>0.95330000000000004</v>
      </c>
      <c r="J928" s="29">
        <v>0.38950000000000001</v>
      </c>
      <c r="K928" s="9">
        <v>45314</v>
      </c>
      <c r="L928">
        <f xml:space="preserve"> (交易處理資料__3[[#This Row],[售出工時]] * 60) / 5</f>
        <v>37.92</v>
      </c>
      <c r="M928" t="str">
        <f>VLOOKUP(交易處理資料__3[[#This Row],[人員代號]],團隊分組!$B$1:$C$52,2,FALSE)</f>
        <v>查修團隊B</v>
      </c>
      <c r="N928" t="str">
        <f>IF(交易處理資料__3[[#This Row],[上班時間]]=0,"否","是")</f>
        <v>是</v>
      </c>
      <c r="O928" t="s">
        <v>76</v>
      </c>
      <c r="P928" s="37">
        <v>1.4136000000000002</v>
      </c>
      <c r="Q928" s="37">
        <v>0.38950000000000001</v>
      </c>
      <c r="R928" s="37">
        <v>0.95330000000000004</v>
      </c>
    </row>
    <row r="929" spans="1:18" hidden="1">
      <c r="A929" s="10" t="s">
        <v>74</v>
      </c>
      <c r="B929" t="s">
        <v>5</v>
      </c>
      <c r="C929">
        <v>0</v>
      </c>
      <c r="D929">
        <v>0</v>
      </c>
      <c r="E929" s="29">
        <v>0</v>
      </c>
      <c r="F929">
        <v>3.93</v>
      </c>
      <c r="G929">
        <v>4.01</v>
      </c>
      <c r="H929">
        <v>7.94</v>
      </c>
      <c r="I929" s="29">
        <v>0.495</v>
      </c>
      <c r="J929" s="29">
        <v>0</v>
      </c>
      <c r="K929" s="9">
        <v>45315</v>
      </c>
      <c r="L929">
        <f xml:space="preserve"> (交易處理資料__3[[#This Row],[售出工時]] * 60) / 5</f>
        <v>0</v>
      </c>
      <c r="M929" t="str">
        <f>VLOOKUP(交易處理資料__3[[#This Row],[人員代號]],團隊分組!$B$1:$C$52,2,FALSE)</f>
        <v>噴漆維修組</v>
      </c>
      <c r="N929" t="str">
        <f>IF(交易處理資料__3[[#This Row],[上班時間]]=0,"否","是")</f>
        <v>是</v>
      </c>
      <c r="O929" s="10" t="s">
        <v>74</v>
      </c>
      <c r="P929" s="38">
        <v>0</v>
      </c>
      <c r="Q929" s="38">
        <v>0</v>
      </c>
      <c r="R929" s="38">
        <v>0.495</v>
      </c>
    </row>
    <row r="930" spans="1:18" hidden="1">
      <c r="A930" s="10" t="s">
        <v>74</v>
      </c>
      <c r="B930" t="s">
        <v>9</v>
      </c>
      <c r="C930">
        <v>0.73</v>
      </c>
      <c r="D930">
        <v>3.38</v>
      </c>
      <c r="E930" s="29">
        <v>0.2159763314</v>
      </c>
      <c r="F930">
        <v>6.88</v>
      </c>
      <c r="G930">
        <v>1.18</v>
      </c>
      <c r="H930">
        <v>8.06</v>
      </c>
      <c r="I930" s="29">
        <v>0.85360000000000003</v>
      </c>
      <c r="J930" s="29">
        <v>9.06E-2</v>
      </c>
      <c r="K930" s="9">
        <v>45315</v>
      </c>
      <c r="L930">
        <f xml:space="preserve"> (交易處理資料__3[[#This Row],[售出工時]] * 60) / 5</f>
        <v>8.76</v>
      </c>
      <c r="M930" t="str">
        <f>VLOOKUP(交易處理資料__3[[#This Row],[人員代號]],團隊分組!$B$1:$C$52,2,FALSE)</f>
        <v>噴漆維修組</v>
      </c>
      <c r="N930" t="str">
        <f>IF(交易處理資料__3[[#This Row],[上班時間]]=0,"否","是")</f>
        <v>是</v>
      </c>
      <c r="O930" s="10" t="s">
        <v>74</v>
      </c>
      <c r="P930" s="37">
        <v>0.2159763314</v>
      </c>
      <c r="Q930" s="37">
        <v>9.06E-2</v>
      </c>
      <c r="R930" s="37">
        <v>0.85360000000000003</v>
      </c>
    </row>
    <row r="931" spans="1:18" hidden="1">
      <c r="A931" t="s">
        <v>75</v>
      </c>
      <c r="B931" t="s">
        <v>11</v>
      </c>
      <c r="C931">
        <v>8.1666666669999994</v>
      </c>
      <c r="D931">
        <v>1.83</v>
      </c>
      <c r="E931" s="29">
        <v>4.4626593809999999</v>
      </c>
      <c r="F931">
        <v>4.22</v>
      </c>
      <c r="G931">
        <v>3.86</v>
      </c>
      <c r="H931">
        <v>8.08</v>
      </c>
      <c r="I931" s="29">
        <v>0.52229999999999999</v>
      </c>
      <c r="J931" s="29">
        <v>1.0106999999999999</v>
      </c>
      <c r="K931" s="9">
        <v>45315</v>
      </c>
      <c r="L931">
        <f xml:space="preserve"> (交易處理資料__3[[#This Row],[售出工時]] * 60) / 5</f>
        <v>98.000000003999986</v>
      </c>
      <c r="M931" t="str">
        <f>VLOOKUP(交易處理資料__3[[#This Row],[人員代號]],團隊分組!$B$1:$C$52,2,FALSE)</f>
        <v>鈑金維修組</v>
      </c>
      <c r="N931" t="str">
        <f>IF(交易處理資料__3[[#This Row],[上班時間]]=0,"否","是")</f>
        <v>是</v>
      </c>
      <c r="O931" t="s">
        <v>75</v>
      </c>
      <c r="P931" s="38">
        <v>4.4626593809999999</v>
      </c>
      <c r="Q931" s="38">
        <v>1.0106999999999999</v>
      </c>
      <c r="R931" s="38">
        <v>0.52229999999999999</v>
      </c>
    </row>
    <row r="932" spans="1:18" hidden="1">
      <c r="A932" t="s">
        <v>75</v>
      </c>
      <c r="B932" t="s">
        <v>13</v>
      </c>
      <c r="C932">
        <v>0.9</v>
      </c>
      <c r="D932">
        <v>2.1</v>
      </c>
      <c r="E932" s="29">
        <v>0.42857142860000003</v>
      </c>
      <c r="F932">
        <v>4</v>
      </c>
      <c r="G932">
        <v>4.07</v>
      </c>
      <c r="H932">
        <v>8.07</v>
      </c>
      <c r="I932" s="29">
        <v>0.49570000000000003</v>
      </c>
      <c r="J932" s="29">
        <v>0.1115</v>
      </c>
      <c r="K932" s="9">
        <v>45315</v>
      </c>
      <c r="L932">
        <f xml:space="preserve"> (交易處理資料__3[[#This Row],[售出工時]] * 60) / 5</f>
        <v>10.8</v>
      </c>
      <c r="M932" t="str">
        <f>VLOOKUP(交易處理資料__3[[#This Row],[人員代號]],團隊分組!$B$1:$C$52,2,FALSE)</f>
        <v>鈑金維修組</v>
      </c>
      <c r="N932" t="str">
        <f>IF(交易處理資料__3[[#This Row],[上班時間]]=0,"否","是")</f>
        <v>是</v>
      </c>
      <c r="O932" t="s">
        <v>75</v>
      </c>
      <c r="P932" s="37">
        <v>0.42857142860000003</v>
      </c>
      <c r="Q932" s="37">
        <v>0.1115</v>
      </c>
      <c r="R932" s="37">
        <v>0.49570000000000003</v>
      </c>
    </row>
    <row r="933" spans="1:18" hidden="1">
      <c r="A933" t="s">
        <v>75</v>
      </c>
      <c r="B933" t="s">
        <v>14</v>
      </c>
      <c r="C933">
        <v>2.67</v>
      </c>
      <c r="D933">
        <v>6.95</v>
      </c>
      <c r="E933" s="29">
        <v>0.38417266189999999</v>
      </c>
      <c r="F933">
        <v>1.68</v>
      </c>
      <c r="G933">
        <v>6.4</v>
      </c>
      <c r="H933">
        <v>8.08</v>
      </c>
      <c r="I933" s="29">
        <v>0.2079</v>
      </c>
      <c r="J933" s="29">
        <v>0.33039999999999997</v>
      </c>
      <c r="K933" s="9">
        <v>45315</v>
      </c>
      <c r="L933">
        <f xml:space="preserve"> (交易處理資料__3[[#This Row],[售出工時]] * 60) / 5</f>
        <v>32.04</v>
      </c>
      <c r="M933" t="str">
        <f>VLOOKUP(交易處理資料__3[[#This Row],[人員代號]],團隊分組!$B$1:$C$52,2,FALSE)</f>
        <v>鈑金維修組</v>
      </c>
      <c r="N933" t="str">
        <f>IF(交易處理資料__3[[#This Row],[上班時間]]=0,"否","是")</f>
        <v>是</v>
      </c>
      <c r="O933" t="s">
        <v>75</v>
      </c>
      <c r="P933" s="38">
        <v>0.38417266189999999</v>
      </c>
      <c r="Q933" s="38">
        <v>0.33039999999999997</v>
      </c>
      <c r="R933" s="38">
        <v>0.2079</v>
      </c>
    </row>
    <row r="934" spans="1:18" hidden="1">
      <c r="A934" t="s">
        <v>76</v>
      </c>
      <c r="B934" t="s">
        <v>17</v>
      </c>
      <c r="C934">
        <v>17.86</v>
      </c>
      <c r="D934">
        <v>10.82</v>
      </c>
      <c r="E934" s="29">
        <v>1.6506469500000001</v>
      </c>
      <c r="F934">
        <v>11.17</v>
      </c>
      <c r="G934">
        <v>0.2</v>
      </c>
      <c r="H934">
        <v>11.37</v>
      </c>
      <c r="I934" s="29">
        <v>0.98239999999999994</v>
      </c>
      <c r="J934" s="29">
        <v>1.5708000000000002</v>
      </c>
      <c r="K934" s="9">
        <v>45315</v>
      </c>
      <c r="L934">
        <f xml:space="preserve"> (交易處理資料__3[[#This Row],[售出工時]] * 60) / 5</f>
        <v>214.32</v>
      </c>
      <c r="M934" t="str">
        <f>VLOOKUP(交易處理資料__3[[#This Row],[人員代號]],團隊分組!$B$1:$C$52,2,FALSE)</f>
        <v>快速保養團隊A</v>
      </c>
      <c r="N934" t="str">
        <f>IF(交易處理資料__3[[#This Row],[上班時間]]=0,"否","是")</f>
        <v>是</v>
      </c>
      <c r="O934" t="s">
        <v>76</v>
      </c>
      <c r="P934" s="37">
        <v>1.6506469500000001</v>
      </c>
      <c r="Q934" s="37">
        <v>1.5708000000000002</v>
      </c>
      <c r="R934" s="37">
        <v>0.98239999999999994</v>
      </c>
    </row>
    <row r="935" spans="1:18" hidden="1">
      <c r="A935" t="s">
        <v>76</v>
      </c>
      <c r="B935" t="s">
        <v>18</v>
      </c>
      <c r="C935">
        <v>1.933333333</v>
      </c>
      <c r="D935">
        <v>6.13</v>
      </c>
      <c r="E935" s="29">
        <v>0.3153887983</v>
      </c>
      <c r="F935">
        <v>7.87</v>
      </c>
      <c r="G935">
        <v>0.36</v>
      </c>
      <c r="H935">
        <v>8.23</v>
      </c>
      <c r="I935" s="29">
        <v>0.95629999999999993</v>
      </c>
      <c r="J935" s="29">
        <v>0.2349</v>
      </c>
      <c r="K935" s="9">
        <v>45315</v>
      </c>
      <c r="L935">
        <f xml:space="preserve"> (交易處理資料__3[[#This Row],[售出工時]] * 60) / 5</f>
        <v>23.199999995999999</v>
      </c>
      <c r="M935" t="str">
        <f>VLOOKUP(交易處理資料__3[[#This Row],[人員代號]],團隊分組!$B$1:$C$52,2,FALSE)</f>
        <v>查修團隊B</v>
      </c>
      <c r="N935" t="str">
        <f>IF(交易處理資料__3[[#This Row],[上班時間]]=0,"否","是")</f>
        <v>是</v>
      </c>
      <c r="O935" t="s">
        <v>76</v>
      </c>
      <c r="P935" s="38">
        <v>0.3153887983</v>
      </c>
      <c r="Q935" s="38">
        <v>0.2349</v>
      </c>
      <c r="R935" s="38">
        <v>0.95629999999999993</v>
      </c>
    </row>
    <row r="936" spans="1:18" hidden="1">
      <c r="A936" t="s">
        <v>76</v>
      </c>
      <c r="B936" t="s">
        <v>19</v>
      </c>
      <c r="C936">
        <v>0</v>
      </c>
      <c r="D936">
        <v>0</v>
      </c>
      <c r="E936" s="29">
        <v>0</v>
      </c>
      <c r="F936">
        <v>7.69</v>
      </c>
      <c r="G936">
        <v>0.26</v>
      </c>
      <c r="H936">
        <v>7.95</v>
      </c>
      <c r="I936" s="29">
        <v>0.96730000000000005</v>
      </c>
      <c r="J936" s="29">
        <v>0</v>
      </c>
      <c r="K936" s="9">
        <v>45315</v>
      </c>
      <c r="L936">
        <f xml:space="preserve"> (交易處理資料__3[[#This Row],[售出工時]] * 60) / 5</f>
        <v>0</v>
      </c>
      <c r="M936" t="str">
        <f>VLOOKUP(交易處理資料__3[[#This Row],[人員代號]],團隊分組!$B$1:$C$52,2,FALSE)</f>
        <v>查修團隊A</v>
      </c>
      <c r="N936" t="str">
        <f>IF(交易處理資料__3[[#This Row],[上班時間]]=0,"否","是")</f>
        <v>是</v>
      </c>
      <c r="O936" t="s">
        <v>76</v>
      </c>
      <c r="P936" s="37">
        <v>0</v>
      </c>
      <c r="Q936" s="37">
        <v>0</v>
      </c>
      <c r="R936" s="37">
        <v>0.96730000000000005</v>
      </c>
    </row>
    <row r="937" spans="1:18" hidden="1">
      <c r="A937" t="s">
        <v>76</v>
      </c>
      <c r="B937" t="s">
        <v>20</v>
      </c>
      <c r="C937">
        <v>0</v>
      </c>
      <c r="D937">
        <v>0</v>
      </c>
      <c r="E937" s="29">
        <v>0</v>
      </c>
      <c r="F937">
        <v>0.62</v>
      </c>
      <c r="G937">
        <v>7.77</v>
      </c>
      <c r="H937">
        <v>8.39</v>
      </c>
      <c r="I937" s="29">
        <v>7.3899999999999993E-2</v>
      </c>
      <c r="J937" s="29">
        <v>0</v>
      </c>
      <c r="K937" s="9">
        <v>45315</v>
      </c>
      <c r="L937">
        <f xml:space="preserve"> (交易處理資料__3[[#This Row],[售出工時]] * 60) / 5</f>
        <v>0</v>
      </c>
      <c r="M937" t="str">
        <f>VLOOKUP(交易處理資料__3[[#This Row],[人員代號]],團隊分組!$B$1:$C$52,2,FALSE)</f>
        <v>查修團隊B</v>
      </c>
      <c r="N937" t="str">
        <f>IF(交易處理資料__3[[#This Row],[上班時間]]=0,"否","是")</f>
        <v>是</v>
      </c>
      <c r="O937" t="s">
        <v>76</v>
      </c>
      <c r="P937" s="38">
        <v>0</v>
      </c>
      <c r="Q937" s="38">
        <v>0</v>
      </c>
      <c r="R937" s="38">
        <v>7.3899999999999993E-2</v>
      </c>
    </row>
    <row r="938" spans="1:18" hidden="1">
      <c r="A938" t="s">
        <v>76</v>
      </c>
      <c r="B938" t="s">
        <v>21</v>
      </c>
      <c r="C938">
        <v>5.4166666670000003</v>
      </c>
      <c r="D938">
        <v>4.72</v>
      </c>
      <c r="E938" s="29">
        <v>1.1475988700000002</v>
      </c>
      <c r="F938">
        <v>6.57</v>
      </c>
      <c r="G938">
        <v>1.58</v>
      </c>
      <c r="H938">
        <v>8.15</v>
      </c>
      <c r="I938" s="29">
        <v>0.80610000000000004</v>
      </c>
      <c r="J938" s="29">
        <v>0.66459999999999997</v>
      </c>
      <c r="K938" s="9">
        <v>45315</v>
      </c>
      <c r="L938">
        <f xml:space="preserve"> (交易處理資料__3[[#This Row],[售出工時]] * 60) / 5</f>
        <v>65.000000004</v>
      </c>
      <c r="M938" t="str">
        <f>VLOOKUP(交易處理資料__3[[#This Row],[人員代號]],團隊分組!$B$1:$C$52,2,FALSE)</f>
        <v>查修團隊B</v>
      </c>
      <c r="N938" t="str">
        <f>IF(交易處理資料__3[[#This Row],[上班時間]]=0,"否","是")</f>
        <v>是</v>
      </c>
      <c r="O938" t="s">
        <v>76</v>
      </c>
      <c r="P938" s="37">
        <v>1.1475988700000002</v>
      </c>
      <c r="Q938" s="37">
        <v>0.66459999999999997</v>
      </c>
      <c r="R938" s="37">
        <v>0.80610000000000004</v>
      </c>
    </row>
    <row r="939" spans="1:18" hidden="1">
      <c r="A939" t="s">
        <v>76</v>
      </c>
      <c r="B939" t="s">
        <v>22</v>
      </c>
      <c r="C939">
        <v>0</v>
      </c>
      <c r="D939">
        <v>0</v>
      </c>
      <c r="E939" s="29">
        <v>0</v>
      </c>
      <c r="F939">
        <v>0</v>
      </c>
      <c r="G939">
        <v>0</v>
      </c>
      <c r="H939">
        <v>0</v>
      </c>
      <c r="I939" s="29">
        <v>0</v>
      </c>
      <c r="J939" s="29">
        <v>0</v>
      </c>
      <c r="K939" s="9">
        <v>45315</v>
      </c>
      <c r="L939">
        <f xml:space="preserve"> (交易處理資料__3[[#This Row],[售出工時]] * 60) / 5</f>
        <v>0</v>
      </c>
      <c r="M939" t="str">
        <f>VLOOKUP(交易處理資料__3[[#This Row],[人員代號]],團隊分組!$B$1:$C$52,2,FALSE)</f>
        <v>快速保養團隊A</v>
      </c>
      <c r="N939" t="str">
        <f>IF(交易處理資料__3[[#This Row],[上班時間]]=0,"否","是")</f>
        <v>否</v>
      </c>
      <c r="O939" t="s">
        <v>76</v>
      </c>
      <c r="P939" s="38">
        <v>0</v>
      </c>
      <c r="Q939" s="38">
        <v>0</v>
      </c>
      <c r="R939" s="38">
        <v>0</v>
      </c>
    </row>
    <row r="940" spans="1:18" hidden="1">
      <c r="A940" t="s">
        <v>76</v>
      </c>
      <c r="B940" t="s">
        <v>23</v>
      </c>
      <c r="C940">
        <v>7.07</v>
      </c>
      <c r="D940">
        <v>5.82</v>
      </c>
      <c r="E940" s="29">
        <v>1.214776632</v>
      </c>
      <c r="F940">
        <v>10.46</v>
      </c>
      <c r="G940">
        <v>0.96</v>
      </c>
      <c r="H940">
        <v>11.42</v>
      </c>
      <c r="I940" s="29">
        <v>0.91590000000000005</v>
      </c>
      <c r="J940" s="29">
        <v>0.61909999999999998</v>
      </c>
      <c r="K940" s="9">
        <v>45315</v>
      </c>
      <c r="L940">
        <f xml:space="preserve"> (交易處理資料__3[[#This Row],[售出工時]] * 60) / 5</f>
        <v>84.84</v>
      </c>
      <c r="M940" t="str">
        <f>VLOOKUP(交易處理資料__3[[#This Row],[人員代號]],團隊分組!$B$1:$C$52,2,FALSE)</f>
        <v>快速保養團隊B</v>
      </c>
      <c r="N940" t="str">
        <f>IF(交易處理資料__3[[#This Row],[上班時間]]=0,"否","是")</f>
        <v>是</v>
      </c>
      <c r="O940" t="s">
        <v>76</v>
      </c>
      <c r="P940" s="37">
        <v>1.214776632</v>
      </c>
      <c r="Q940" s="37">
        <v>0.61909999999999998</v>
      </c>
      <c r="R940" s="37">
        <v>0.91590000000000005</v>
      </c>
    </row>
    <row r="941" spans="1:18" hidden="1">
      <c r="A941" t="s">
        <v>76</v>
      </c>
      <c r="B941" t="s">
        <v>24</v>
      </c>
      <c r="C941">
        <v>12</v>
      </c>
      <c r="D941">
        <v>4.45</v>
      </c>
      <c r="E941" s="29">
        <v>2.696629213</v>
      </c>
      <c r="F941">
        <v>9.6300000000000008</v>
      </c>
      <c r="G941">
        <v>0.57999999999999996</v>
      </c>
      <c r="H941">
        <v>10.210000000000001</v>
      </c>
      <c r="I941" s="29">
        <v>0.94319999999999993</v>
      </c>
      <c r="J941" s="29">
        <v>1.1753</v>
      </c>
      <c r="K941" s="9">
        <v>45315</v>
      </c>
      <c r="L941">
        <f xml:space="preserve"> (交易處理資料__3[[#This Row],[售出工時]] * 60) / 5</f>
        <v>144</v>
      </c>
      <c r="M941" t="str">
        <f>VLOOKUP(交易處理資料__3[[#This Row],[人員代號]],團隊分組!$B$1:$C$52,2,FALSE)</f>
        <v>快速保養團隊A</v>
      </c>
      <c r="N941" t="str">
        <f>IF(交易處理資料__3[[#This Row],[上班時間]]=0,"否","是")</f>
        <v>是</v>
      </c>
      <c r="O941" t="s">
        <v>76</v>
      </c>
      <c r="P941" s="38">
        <v>2.696629213</v>
      </c>
      <c r="Q941" s="38">
        <v>1.1753</v>
      </c>
      <c r="R941" s="38">
        <v>0.94319999999999993</v>
      </c>
    </row>
    <row r="942" spans="1:18" hidden="1">
      <c r="A942" t="s">
        <v>76</v>
      </c>
      <c r="B942" t="s">
        <v>26</v>
      </c>
      <c r="C942">
        <v>1.3</v>
      </c>
      <c r="D942">
        <v>7.21</v>
      </c>
      <c r="E942" s="29">
        <v>0.18030513179999999</v>
      </c>
      <c r="F942">
        <v>1.47</v>
      </c>
      <c r="G942">
        <v>6.91</v>
      </c>
      <c r="H942">
        <v>8.3800000000000008</v>
      </c>
      <c r="I942" s="29">
        <v>0.1754</v>
      </c>
      <c r="J942" s="29">
        <v>0.15509999999999999</v>
      </c>
      <c r="K942" s="9">
        <v>45315</v>
      </c>
      <c r="L942">
        <f xml:space="preserve"> (交易處理資料__3[[#This Row],[售出工時]] * 60) / 5</f>
        <v>15.6</v>
      </c>
      <c r="M942" t="str">
        <f>VLOOKUP(交易處理資料__3[[#This Row],[人員代號]],團隊分組!$B$1:$C$52,2,FALSE)</f>
        <v>查修團隊B</v>
      </c>
      <c r="N942" t="str">
        <f>IF(交易處理資料__3[[#This Row],[上班時間]]=0,"否","是")</f>
        <v>是</v>
      </c>
      <c r="O942" t="s">
        <v>76</v>
      </c>
      <c r="P942" s="37">
        <v>0.18030513179999999</v>
      </c>
      <c r="Q942" s="37">
        <v>0.15509999999999999</v>
      </c>
      <c r="R942" s="37">
        <v>0.1754</v>
      </c>
    </row>
    <row r="943" spans="1:18" hidden="1">
      <c r="A943" t="s">
        <v>76</v>
      </c>
      <c r="B943" t="s">
        <v>27</v>
      </c>
      <c r="C943">
        <v>6.67</v>
      </c>
      <c r="D943">
        <v>7.86</v>
      </c>
      <c r="E943" s="29">
        <v>0.84860050889999994</v>
      </c>
      <c r="F943">
        <v>9.9700000000000006</v>
      </c>
      <c r="G943">
        <v>0.1</v>
      </c>
      <c r="H943">
        <v>10.07</v>
      </c>
      <c r="I943" s="29">
        <v>0.99010000000000009</v>
      </c>
      <c r="J943" s="29">
        <v>0.66239999999999999</v>
      </c>
      <c r="K943" s="9">
        <v>45315</v>
      </c>
      <c r="L943">
        <f xml:space="preserve"> (交易處理資料__3[[#This Row],[售出工時]] * 60) / 5</f>
        <v>80.039999999999992</v>
      </c>
      <c r="M943" t="str">
        <f>VLOOKUP(交易處理資料__3[[#This Row],[人員代號]],團隊分組!$B$1:$C$52,2,FALSE)</f>
        <v>快速保養團隊B</v>
      </c>
      <c r="N943" t="str">
        <f>IF(交易處理資料__3[[#This Row],[上班時間]]=0,"否","是")</f>
        <v>是</v>
      </c>
      <c r="O943" t="s">
        <v>76</v>
      </c>
      <c r="P943" s="38">
        <v>0.84860050889999994</v>
      </c>
      <c r="Q943" s="38">
        <v>0.66239999999999999</v>
      </c>
      <c r="R943" s="38">
        <v>0.99010000000000009</v>
      </c>
    </row>
    <row r="944" spans="1:18" hidden="1">
      <c r="A944" t="s">
        <v>76</v>
      </c>
      <c r="B944" t="s">
        <v>28</v>
      </c>
      <c r="C944">
        <v>7.75</v>
      </c>
      <c r="D944">
        <v>7.46</v>
      </c>
      <c r="E944" s="29">
        <v>1.0388739950000001</v>
      </c>
      <c r="F944">
        <v>9.4</v>
      </c>
      <c r="G944">
        <v>0.18</v>
      </c>
      <c r="H944">
        <v>9.58</v>
      </c>
      <c r="I944" s="29">
        <v>0.98120000000000007</v>
      </c>
      <c r="J944" s="29">
        <v>0.80900000000000005</v>
      </c>
      <c r="K944" s="9">
        <v>45315</v>
      </c>
      <c r="L944">
        <f xml:space="preserve"> (交易處理資料__3[[#This Row],[售出工時]] * 60) / 5</f>
        <v>93</v>
      </c>
      <c r="M944" t="str">
        <f>VLOOKUP(交易處理資料__3[[#This Row],[人員代號]],團隊分組!$B$1:$C$52,2,FALSE)</f>
        <v>快速保養團隊A</v>
      </c>
      <c r="N944" t="str">
        <f>IF(交易處理資料__3[[#This Row],[上班時間]]=0,"否","是")</f>
        <v>是</v>
      </c>
      <c r="O944" t="s">
        <v>76</v>
      </c>
      <c r="P944" s="37">
        <v>1.0388739950000001</v>
      </c>
      <c r="Q944" s="37">
        <v>0.80900000000000005</v>
      </c>
      <c r="R944" s="37">
        <v>0.98120000000000007</v>
      </c>
    </row>
    <row r="945" spans="1:18" hidden="1">
      <c r="A945" t="s">
        <v>76</v>
      </c>
      <c r="B945" t="s">
        <v>29</v>
      </c>
      <c r="C945">
        <v>3.6666666669999999</v>
      </c>
      <c r="D945">
        <v>4.41</v>
      </c>
      <c r="E945" s="29">
        <v>0.83144368859999995</v>
      </c>
      <c r="F945">
        <v>7.62</v>
      </c>
      <c r="G945">
        <v>0.48</v>
      </c>
      <c r="H945">
        <v>8.1</v>
      </c>
      <c r="I945" s="29">
        <v>0.94069999999999998</v>
      </c>
      <c r="J945" s="29">
        <v>0.45270000000000005</v>
      </c>
      <c r="K945" s="9">
        <v>45315</v>
      </c>
      <c r="L945">
        <f xml:space="preserve"> (交易處理資料__3[[#This Row],[售出工時]] * 60) / 5</f>
        <v>44.000000004</v>
      </c>
      <c r="M945" t="str">
        <f>VLOOKUP(交易處理資料__3[[#This Row],[人員代號]],團隊分組!$B$1:$C$52,2,FALSE)</f>
        <v>查修團隊B</v>
      </c>
      <c r="N945" t="str">
        <f>IF(交易處理資料__3[[#This Row],[上班時間]]=0,"否","是")</f>
        <v>是</v>
      </c>
      <c r="O945" t="s">
        <v>76</v>
      </c>
      <c r="P945" s="38">
        <v>0.83144368859999995</v>
      </c>
      <c r="Q945" s="38">
        <v>0.45270000000000005</v>
      </c>
      <c r="R945" s="38">
        <v>0.94069999999999998</v>
      </c>
    </row>
    <row r="946" spans="1:18" hidden="1">
      <c r="A946" t="s">
        <v>76</v>
      </c>
      <c r="B946" t="s">
        <v>32</v>
      </c>
      <c r="C946">
        <v>11.096666669999999</v>
      </c>
      <c r="D946">
        <v>6.26</v>
      </c>
      <c r="E946" s="29">
        <v>1.7726304579999999</v>
      </c>
      <c r="F946">
        <v>6.63</v>
      </c>
      <c r="G946">
        <v>1.56</v>
      </c>
      <c r="H946">
        <v>8.19</v>
      </c>
      <c r="I946" s="29">
        <v>0.8095</v>
      </c>
      <c r="J946" s="29">
        <v>1.3549</v>
      </c>
      <c r="K946" s="9">
        <v>45315</v>
      </c>
      <c r="L946">
        <f xml:space="preserve"> (交易處理資料__3[[#This Row],[售出工時]] * 60) / 5</f>
        <v>133.16000004</v>
      </c>
      <c r="M946" t="str">
        <f>VLOOKUP(交易處理資料__3[[#This Row],[人員代號]],團隊分組!$B$1:$C$52,2,FALSE)</f>
        <v>快速保養團隊B</v>
      </c>
      <c r="N946" t="str">
        <f>IF(交易處理資料__3[[#This Row],[上班時間]]=0,"否","是")</f>
        <v>是</v>
      </c>
      <c r="O946" t="s">
        <v>76</v>
      </c>
      <c r="P946" s="37">
        <v>1.7726304579999999</v>
      </c>
      <c r="Q946" s="37">
        <v>1.3549</v>
      </c>
      <c r="R946" s="37">
        <v>0.8095</v>
      </c>
    </row>
    <row r="947" spans="1:18" hidden="1">
      <c r="A947" t="s">
        <v>76</v>
      </c>
      <c r="B947" t="s">
        <v>33</v>
      </c>
      <c r="C947">
        <v>0</v>
      </c>
      <c r="D947">
        <v>0</v>
      </c>
      <c r="E947" s="29">
        <v>0</v>
      </c>
      <c r="F947">
        <v>0</v>
      </c>
      <c r="G947">
        <v>0</v>
      </c>
      <c r="H947">
        <v>0</v>
      </c>
      <c r="I947" s="29">
        <v>0</v>
      </c>
      <c r="J947" s="29">
        <v>0</v>
      </c>
      <c r="K947" s="9">
        <v>45315</v>
      </c>
      <c r="L947">
        <f xml:space="preserve"> (交易處理資料__3[[#This Row],[售出工時]] * 60) / 5</f>
        <v>0</v>
      </c>
      <c r="M947" t="str">
        <f>VLOOKUP(交易處理資料__3[[#This Row],[人員代號]],團隊分組!$B$1:$C$52,2,FALSE)</f>
        <v>快速保養團隊B</v>
      </c>
      <c r="N947" t="str">
        <f>IF(交易處理資料__3[[#This Row],[上班時間]]=0,"否","是")</f>
        <v>否</v>
      </c>
      <c r="O947" t="s">
        <v>76</v>
      </c>
      <c r="P947" s="38">
        <v>0</v>
      </c>
      <c r="Q947" s="38">
        <v>0</v>
      </c>
      <c r="R947" s="38">
        <v>0</v>
      </c>
    </row>
    <row r="948" spans="1:18" hidden="1">
      <c r="A948" t="s">
        <v>76</v>
      </c>
      <c r="B948" t="s">
        <v>35</v>
      </c>
      <c r="C948">
        <v>6.25</v>
      </c>
      <c r="D948">
        <v>8.2899999999999991</v>
      </c>
      <c r="E948" s="29">
        <v>0.75392038600000011</v>
      </c>
      <c r="F948">
        <v>6.18</v>
      </c>
      <c r="G948">
        <v>2.15</v>
      </c>
      <c r="H948">
        <v>8.33</v>
      </c>
      <c r="I948" s="29">
        <v>0.7419</v>
      </c>
      <c r="J948" s="29">
        <v>0.75029999999999997</v>
      </c>
      <c r="K948" s="9">
        <v>45315</v>
      </c>
      <c r="L948">
        <f xml:space="preserve"> (交易處理資料__3[[#This Row],[售出工時]] * 60) / 5</f>
        <v>75</v>
      </c>
      <c r="M948" t="str">
        <f>VLOOKUP(交易處理資料__3[[#This Row],[人員代號]],團隊分組!$B$1:$C$52,2,FALSE)</f>
        <v>查修團隊B</v>
      </c>
      <c r="N948" t="str">
        <f>IF(交易處理資料__3[[#This Row],[上班時間]]=0,"否","是")</f>
        <v>是</v>
      </c>
      <c r="O948" t="s">
        <v>76</v>
      </c>
      <c r="P948" s="37">
        <v>0.75392038600000011</v>
      </c>
      <c r="Q948" s="37">
        <v>0.75029999999999997</v>
      </c>
      <c r="R948" s="37">
        <v>0.7419</v>
      </c>
    </row>
    <row r="949" spans="1:18" hidden="1">
      <c r="A949" t="s">
        <v>76</v>
      </c>
      <c r="B949" t="s">
        <v>36</v>
      </c>
      <c r="C949">
        <v>1.75</v>
      </c>
      <c r="D949">
        <v>2.59</v>
      </c>
      <c r="E949" s="29">
        <v>0.67567567569999998</v>
      </c>
      <c r="F949">
        <v>7.9</v>
      </c>
      <c r="G949">
        <v>0.26</v>
      </c>
      <c r="H949">
        <v>8.16</v>
      </c>
      <c r="I949" s="29">
        <v>0.96810000000000007</v>
      </c>
      <c r="J949" s="29">
        <v>0.2145</v>
      </c>
      <c r="K949" s="9">
        <v>45315</v>
      </c>
      <c r="L949">
        <f xml:space="preserve"> (交易處理資料__3[[#This Row],[售出工時]] * 60) / 5</f>
        <v>21</v>
      </c>
      <c r="M949" t="str">
        <f>VLOOKUP(交易處理資料__3[[#This Row],[人員代號]],團隊分組!$B$1:$C$52,2,FALSE)</f>
        <v>查修團隊B</v>
      </c>
      <c r="N949" t="str">
        <f>IF(交易處理資料__3[[#This Row],[上班時間]]=0,"否","是")</f>
        <v>是</v>
      </c>
      <c r="O949" t="s">
        <v>76</v>
      </c>
      <c r="P949" s="38">
        <v>0.67567567569999998</v>
      </c>
      <c r="Q949" s="38">
        <v>0.2145</v>
      </c>
      <c r="R949" s="38">
        <v>0.96810000000000007</v>
      </c>
    </row>
    <row r="950" spans="1:18" hidden="1">
      <c r="A950" t="s">
        <v>76</v>
      </c>
      <c r="B950" t="s">
        <v>38</v>
      </c>
      <c r="C950">
        <v>9.81</v>
      </c>
      <c r="D950">
        <v>4.38</v>
      </c>
      <c r="E950" s="29">
        <v>2.2397260270000001</v>
      </c>
      <c r="F950">
        <v>10.42</v>
      </c>
      <c r="G950">
        <v>0.2</v>
      </c>
      <c r="H950">
        <v>10.62</v>
      </c>
      <c r="I950" s="29">
        <v>0.98120000000000007</v>
      </c>
      <c r="J950" s="29">
        <v>0.92370000000000008</v>
      </c>
      <c r="K950" s="9">
        <v>45315</v>
      </c>
      <c r="L950">
        <f xml:space="preserve"> (交易處理資料__3[[#This Row],[售出工時]] * 60) / 5</f>
        <v>117.72</v>
      </c>
      <c r="M950" t="str">
        <f>VLOOKUP(交易處理資料__3[[#This Row],[人員代號]],團隊分組!$B$1:$C$52,2,FALSE)</f>
        <v>快速保養團隊A</v>
      </c>
      <c r="N950" t="str">
        <f>IF(交易處理資料__3[[#This Row],[上班時間]]=0,"否","是")</f>
        <v>是</v>
      </c>
      <c r="O950" t="s">
        <v>76</v>
      </c>
      <c r="P950" s="37">
        <v>2.2397260270000001</v>
      </c>
      <c r="Q950" s="37">
        <v>0.92370000000000008</v>
      </c>
      <c r="R950" s="37">
        <v>0.98120000000000007</v>
      </c>
    </row>
    <row r="951" spans="1:18" hidden="1">
      <c r="A951" t="s">
        <v>76</v>
      </c>
      <c r="B951" t="s">
        <v>40</v>
      </c>
      <c r="C951">
        <v>0</v>
      </c>
      <c r="D951">
        <v>0</v>
      </c>
      <c r="E951" s="29">
        <v>0</v>
      </c>
      <c r="F951">
        <v>0</v>
      </c>
      <c r="G951">
        <v>0</v>
      </c>
      <c r="H951">
        <v>0</v>
      </c>
      <c r="I951" s="29">
        <v>0</v>
      </c>
      <c r="J951" s="29">
        <v>0</v>
      </c>
      <c r="K951" s="9">
        <v>45315</v>
      </c>
      <c r="L951">
        <f xml:space="preserve"> (交易處理資料__3[[#This Row],[售出工時]] * 60) / 5</f>
        <v>0</v>
      </c>
      <c r="M951" t="str">
        <f>VLOOKUP(交易處理資料__3[[#This Row],[人員代號]],團隊分組!$B$1:$C$52,2,FALSE)</f>
        <v>查修團隊A</v>
      </c>
      <c r="N951" t="str">
        <f>IF(交易處理資料__3[[#This Row],[上班時間]]=0,"否","是")</f>
        <v>否</v>
      </c>
      <c r="O951" t="s">
        <v>76</v>
      </c>
      <c r="P951" s="38">
        <v>0</v>
      </c>
      <c r="Q951" s="38">
        <v>0</v>
      </c>
      <c r="R951" s="38">
        <v>0</v>
      </c>
    </row>
    <row r="952" spans="1:18" hidden="1">
      <c r="A952" t="s">
        <v>76</v>
      </c>
      <c r="B952" t="s">
        <v>41</v>
      </c>
      <c r="C952">
        <v>6.4166666670000003</v>
      </c>
      <c r="D952">
        <v>3.78</v>
      </c>
      <c r="E952" s="29">
        <v>1.697530864</v>
      </c>
      <c r="F952">
        <v>7.58</v>
      </c>
      <c r="G952">
        <v>0.92</v>
      </c>
      <c r="H952">
        <v>8.5</v>
      </c>
      <c r="I952" s="29">
        <v>0.89180000000000004</v>
      </c>
      <c r="J952" s="29">
        <v>0.7548999999999999</v>
      </c>
      <c r="K952" s="9">
        <v>45315</v>
      </c>
      <c r="L952">
        <f xml:space="preserve"> (交易處理資料__3[[#This Row],[售出工時]] * 60) / 5</f>
        <v>77.000000004</v>
      </c>
      <c r="M952" t="str">
        <f>VLOOKUP(交易處理資料__3[[#This Row],[人員代號]],團隊分組!$B$1:$C$52,2,FALSE)</f>
        <v>快速保養團隊A</v>
      </c>
      <c r="N952" t="str">
        <f>IF(交易處理資料__3[[#This Row],[上班時間]]=0,"否","是")</f>
        <v>是</v>
      </c>
      <c r="O952" t="s">
        <v>76</v>
      </c>
      <c r="P952" s="37">
        <v>1.697530864</v>
      </c>
      <c r="Q952" s="37">
        <v>0.7548999999999999</v>
      </c>
      <c r="R952" s="37">
        <v>0.89180000000000004</v>
      </c>
    </row>
    <row r="953" spans="1:18" hidden="1">
      <c r="A953" t="s">
        <v>76</v>
      </c>
      <c r="B953" t="s">
        <v>42</v>
      </c>
      <c r="C953">
        <v>4.9166666670000003</v>
      </c>
      <c r="D953">
        <v>4.4800000000000004</v>
      </c>
      <c r="E953" s="29">
        <v>1.0974702379999999</v>
      </c>
      <c r="F953">
        <v>9.43</v>
      </c>
      <c r="G953">
        <v>0.86</v>
      </c>
      <c r="H953">
        <v>10.29</v>
      </c>
      <c r="I953" s="29">
        <v>0.91639999999999999</v>
      </c>
      <c r="J953" s="29">
        <v>0.4778</v>
      </c>
      <c r="K953" s="9">
        <v>45315</v>
      </c>
      <c r="L953">
        <f xml:space="preserve"> (交易處理資料__3[[#This Row],[售出工時]] * 60) / 5</f>
        <v>59.000000004</v>
      </c>
      <c r="M953" t="str">
        <f>VLOOKUP(交易處理資料__3[[#This Row],[人員代號]],團隊分組!$B$1:$C$52,2,FALSE)</f>
        <v>快速保養團隊A</v>
      </c>
      <c r="N953" t="str">
        <f>IF(交易處理資料__3[[#This Row],[上班時間]]=0,"否","是")</f>
        <v>是</v>
      </c>
      <c r="O953" t="s">
        <v>76</v>
      </c>
      <c r="P953" s="38">
        <v>1.0974702379999999</v>
      </c>
      <c r="Q953" s="38">
        <v>0.4778</v>
      </c>
      <c r="R953" s="38">
        <v>0.91639999999999999</v>
      </c>
    </row>
    <row r="954" spans="1:18" hidden="1">
      <c r="A954" t="s">
        <v>76</v>
      </c>
      <c r="B954" t="s">
        <v>43</v>
      </c>
      <c r="C954">
        <v>4.63</v>
      </c>
      <c r="D954">
        <v>7.4</v>
      </c>
      <c r="E954" s="29">
        <v>0.62567567570000004</v>
      </c>
      <c r="F954">
        <v>7.89</v>
      </c>
      <c r="G954">
        <v>0.24</v>
      </c>
      <c r="H954">
        <v>8.1300000000000008</v>
      </c>
      <c r="I954" s="29">
        <v>0.97049999999999992</v>
      </c>
      <c r="J954" s="29">
        <v>0.56950000000000001</v>
      </c>
      <c r="K954" s="9">
        <v>45315</v>
      </c>
      <c r="L954">
        <f xml:space="preserve"> (交易處理資料__3[[#This Row],[售出工時]] * 60) / 5</f>
        <v>55.56</v>
      </c>
      <c r="M954" t="str">
        <f>VLOOKUP(交易處理資料__3[[#This Row],[人員代號]],團隊分組!$B$1:$C$52,2,FALSE)</f>
        <v>查修團隊B</v>
      </c>
      <c r="N954" t="str">
        <f>IF(交易處理資料__3[[#This Row],[上班時間]]=0,"否","是")</f>
        <v>是</v>
      </c>
      <c r="O954" t="s">
        <v>76</v>
      </c>
      <c r="P954" s="37">
        <v>0.62567567570000004</v>
      </c>
      <c r="Q954" s="37">
        <v>0.56950000000000001</v>
      </c>
      <c r="R954" s="37">
        <v>0.97049999999999992</v>
      </c>
    </row>
    <row r="955" spans="1:18" hidden="1">
      <c r="A955" t="s">
        <v>76</v>
      </c>
      <c r="B955" t="s">
        <v>44</v>
      </c>
      <c r="C955">
        <v>4.45</v>
      </c>
      <c r="D955">
        <v>5.45</v>
      </c>
      <c r="E955" s="29">
        <v>0.81651376149999999</v>
      </c>
      <c r="F955">
        <v>10.02</v>
      </c>
      <c r="G955">
        <v>0.09</v>
      </c>
      <c r="H955">
        <v>10.11</v>
      </c>
      <c r="I955" s="29">
        <v>0.99109999999999998</v>
      </c>
      <c r="J955" s="29">
        <v>0.44020000000000004</v>
      </c>
      <c r="K955" s="9">
        <v>45315</v>
      </c>
      <c r="L955">
        <f xml:space="preserve"> (交易處理資料__3[[#This Row],[售出工時]] * 60) / 5</f>
        <v>53.4</v>
      </c>
      <c r="M955" t="str">
        <f>VLOOKUP(交易處理資料__3[[#This Row],[人員代號]],團隊分組!$B$1:$C$52,2,FALSE)</f>
        <v>快速保養團隊B</v>
      </c>
      <c r="N955" t="str">
        <f>IF(交易處理資料__3[[#This Row],[上班時間]]=0,"否","是")</f>
        <v>是</v>
      </c>
      <c r="O955" t="s">
        <v>76</v>
      </c>
      <c r="P955" s="38">
        <v>0.81651376149999999</v>
      </c>
      <c r="Q955" s="38">
        <v>0.44020000000000004</v>
      </c>
      <c r="R955" s="38">
        <v>0.99109999999999998</v>
      </c>
    </row>
    <row r="956" spans="1:18" hidden="1">
      <c r="A956" t="s">
        <v>76</v>
      </c>
      <c r="B956" t="s">
        <v>47</v>
      </c>
      <c r="C956">
        <v>4.4166666670000003</v>
      </c>
      <c r="D956">
        <v>5.5</v>
      </c>
      <c r="E956" s="29">
        <v>0.803030303</v>
      </c>
      <c r="F956">
        <v>3.98</v>
      </c>
      <c r="G956">
        <v>4.1399999999999997</v>
      </c>
      <c r="H956">
        <v>8.1199999999999992</v>
      </c>
      <c r="I956" s="29">
        <v>0.49009999999999998</v>
      </c>
      <c r="J956" s="29">
        <v>0.54390000000000005</v>
      </c>
      <c r="K956" s="9">
        <v>45315</v>
      </c>
      <c r="L956">
        <f xml:space="preserve"> (交易處理資料__3[[#This Row],[售出工時]] * 60) / 5</f>
        <v>53.000000004</v>
      </c>
      <c r="M956" t="str">
        <f>VLOOKUP(交易處理資料__3[[#This Row],[人員代號]],團隊分組!$B$1:$C$52,2,FALSE)</f>
        <v>查修團隊B</v>
      </c>
      <c r="N956" t="str">
        <f>IF(交易處理資料__3[[#This Row],[上班時間]]=0,"否","是")</f>
        <v>是</v>
      </c>
      <c r="O956" t="s">
        <v>76</v>
      </c>
      <c r="P956" s="37">
        <v>0.803030303</v>
      </c>
      <c r="Q956" s="37">
        <v>0.54390000000000005</v>
      </c>
      <c r="R956" s="37">
        <v>0.49009999999999998</v>
      </c>
    </row>
    <row r="957" spans="1:18" hidden="1">
      <c r="A957" t="s">
        <v>76</v>
      </c>
      <c r="B957" t="s">
        <v>48</v>
      </c>
      <c r="C957">
        <v>1.53</v>
      </c>
      <c r="D957">
        <v>1.93</v>
      </c>
      <c r="E957" s="29">
        <v>0.79274611399999995</v>
      </c>
      <c r="F957">
        <v>6.5</v>
      </c>
      <c r="G957">
        <v>0.72</v>
      </c>
      <c r="H957">
        <v>7.22</v>
      </c>
      <c r="I957" s="29">
        <v>0.90029999999999999</v>
      </c>
      <c r="J957" s="29">
        <v>0.21190000000000001</v>
      </c>
      <c r="K957" s="9">
        <v>45315</v>
      </c>
      <c r="L957">
        <f xml:space="preserve"> (交易處理資料__3[[#This Row],[售出工時]] * 60) / 5</f>
        <v>18.36</v>
      </c>
      <c r="M957" t="str">
        <f>VLOOKUP(交易處理資料__3[[#This Row],[人員代號]],團隊分組!$B$1:$C$52,2,FALSE)</f>
        <v>查修團隊A</v>
      </c>
      <c r="N957" t="str">
        <f>IF(交易處理資料__3[[#This Row],[上班時間]]=0,"否","是")</f>
        <v>是</v>
      </c>
      <c r="O957" t="s">
        <v>76</v>
      </c>
      <c r="P957" s="38">
        <v>0.79274611399999995</v>
      </c>
      <c r="Q957" s="38">
        <v>0.21190000000000001</v>
      </c>
      <c r="R957" s="38">
        <v>0.90029999999999999</v>
      </c>
    </row>
    <row r="958" spans="1:18" hidden="1">
      <c r="A958" t="s">
        <v>76</v>
      </c>
      <c r="B958" t="s">
        <v>49</v>
      </c>
      <c r="C958">
        <v>4.5</v>
      </c>
      <c r="D958">
        <v>6.42</v>
      </c>
      <c r="E958" s="29">
        <v>0.70093457939999992</v>
      </c>
      <c r="F958">
        <v>7.65</v>
      </c>
      <c r="G958">
        <v>0.36</v>
      </c>
      <c r="H958">
        <v>8.01</v>
      </c>
      <c r="I958" s="29">
        <v>0.95510000000000006</v>
      </c>
      <c r="J958" s="29">
        <v>0.56179999999999997</v>
      </c>
      <c r="K958" s="9">
        <v>45315</v>
      </c>
      <c r="L958">
        <f xml:space="preserve"> (交易處理資料__3[[#This Row],[售出工時]] * 60) / 5</f>
        <v>54</v>
      </c>
      <c r="M958" t="str">
        <f>VLOOKUP(交易處理資料__3[[#This Row],[人員代號]],團隊分組!$B$1:$C$52,2,FALSE)</f>
        <v>查修團隊A</v>
      </c>
      <c r="N958" t="str">
        <f>IF(交易處理資料__3[[#This Row],[上班時間]]=0,"否","是")</f>
        <v>是</v>
      </c>
      <c r="O958" t="s">
        <v>76</v>
      </c>
      <c r="P958" s="37">
        <v>0.70093457939999992</v>
      </c>
      <c r="Q958" s="37">
        <v>0.56179999999999997</v>
      </c>
      <c r="R958" s="37">
        <v>0.95510000000000006</v>
      </c>
    </row>
    <row r="959" spans="1:18" hidden="1">
      <c r="A959" t="s">
        <v>76</v>
      </c>
      <c r="B959" t="s">
        <v>50</v>
      </c>
      <c r="C959">
        <v>6.45</v>
      </c>
      <c r="D959">
        <v>5.44</v>
      </c>
      <c r="E959" s="29">
        <v>1.1856617649999999</v>
      </c>
      <c r="F959">
        <v>7.87</v>
      </c>
      <c r="G959">
        <v>0.22</v>
      </c>
      <c r="H959">
        <v>8.09</v>
      </c>
      <c r="I959" s="29">
        <v>0.9728</v>
      </c>
      <c r="J959" s="29">
        <v>0.79730000000000001</v>
      </c>
      <c r="K959" s="9">
        <v>45315</v>
      </c>
      <c r="L959">
        <f xml:space="preserve"> (交易處理資料__3[[#This Row],[售出工時]] * 60) / 5</f>
        <v>77.400000000000006</v>
      </c>
      <c r="M959" t="str">
        <f>VLOOKUP(交易處理資料__3[[#This Row],[人員代號]],團隊分組!$B$1:$C$52,2,FALSE)</f>
        <v>快速保養團隊B</v>
      </c>
      <c r="N959" t="str">
        <f>IF(交易處理資料__3[[#This Row],[上班時間]]=0,"否","是")</f>
        <v>是</v>
      </c>
      <c r="O959" t="s">
        <v>76</v>
      </c>
      <c r="P959" s="38">
        <v>1.1856617649999999</v>
      </c>
      <c r="Q959" s="38">
        <v>0.79730000000000001</v>
      </c>
      <c r="R959" s="38">
        <v>0.9728</v>
      </c>
    </row>
    <row r="960" spans="1:18" hidden="1">
      <c r="A960" t="s">
        <v>76</v>
      </c>
      <c r="B960" t="s">
        <v>51</v>
      </c>
      <c r="C960">
        <v>0</v>
      </c>
      <c r="D960">
        <v>0</v>
      </c>
      <c r="E960" s="29">
        <v>0</v>
      </c>
      <c r="F960">
        <v>0</v>
      </c>
      <c r="G960">
        <v>0</v>
      </c>
      <c r="H960">
        <v>0</v>
      </c>
      <c r="I960" s="29">
        <v>0</v>
      </c>
      <c r="J960" s="29">
        <v>0</v>
      </c>
      <c r="K960" s="9">
        <v>45315</v>
      </c>
      <c r="L960">
        <f xml:space="preserve"> (交易處理資料__3[[#This Row],[售出工時]] * 60) / 5</f>
        <v>0</v>
      </c>
      <c r="M960" t="str">
        <f>VLOOKUP(交易處理資料__3[[#This Row],[人員代號]],團隊分組!$B$1:$C$52,2,FALSE)</f>
        <v>無效數據</v>
      </c>
      <c r="N960" t="str">
        <f>IF(交易處理資料__3[[#This Row],[上班時間]]=0,"否","是")</f>
        <v>否</v>
      </c>
      <c r="O960" t="s">
        <v>76</v>
      </c>
      <c r="P960" s="37">
        <v>0</v>
      </c>
      <c r="Q960" s="37">
        <v>0</v>
      </c>
      <c r="R960" s="37">
        <v>0</v>
      </c>
    </row>
    <row r="961" spans="1:18" hidden="1">
      <c r="A961" t="s">
        <v>76</v>
      </c>
      <c r="B961" t="s">
        <v>52</v>
      </c>
      <c r="C961">
        <v>4</v>
      </c>
      <c r="D961">
        <v>5.76</v>
      </c>
      <c r="E961" s="29">
        <v>0.69444444439999997</v>
      </c>
      <c r="F961">
        <v>7.79</v>
      </c>
      <c r="G961">
        <v>0.33</v>
      </c>
      <c r="H961">
        <v>8.1199999999999992</v>
      </c>
      <c r="I961" s="29">
        <v>0.95940000000000003</v>
      </c>
      <c r="J961" s="29">
        <v>0.49259999999999998</v>
      </c>
      <c r="K961" s="9">
        <v>45315</v>
      </c>
      <c r="L961">
        <f xml:space="preserve"> (交易處理資料__3[[#This Row],[售出工時]] * 60) / 5</f>
        <v>48</v>
      </c>
      <c r="M961" t="str">
        <f>VLOOKUP(交易處理資料__3[[#This Row],[人員代號]],團隊分組!$B$1:$C$52,2,FALSE)</f>
        <v>查修團隊B</v>
      </c>
      <c r="N961" t="str">
        <f>IF(交易處理資料__3[[#This Row],[上班時間]]=0,"否","是")</f>
        <v>是</v>
      </c>
      <c r="O961" t="s">
        <v>76</v>
      </c>
      <c r="P961" s="38">
        <v>0.69444444439999997</v>
      </c>
      <c r="Q961" s="38">
        <v>0.49259999999999998</v>
      </c>
      <c r="R961" s="38">
        <v>0.95940000000000003</v>
      </c>
    </row>
    <row r="962" spans="1:18" hidden="1">
      <c r="A962" s="10" t="s">
        <v>74</v>
      </c>
      <c r="B962" t="s">
        <v>1</v>
      </c>
      <c r="C962">
        <v>2.38</v>
      </c>
      <c r="D962">
        <v>3.73</v>
      </c>
      <c r="E962" s="29">
        <v>0.63806970509999994</v>
      </c>
      <c r="F962">
        <v>6.04</v>
      </c>
      <c r="G962">
        <v>1.99</v>
      </c>
      <c r="H962">
        <v>8.0299999999999994</v>
      </c>
      <c r="I962" s="29">
        <v>0.75219999999999998</v>
      </c>
      <c r="J962" s="29">
        <v>0.2964</v>
      </c>
      <c r="K962" s="9">
        <v>45316</v>
      </c>
      <c r="L962">
        <f xml:space="preserve"> (交易處理資料__3[[#This Row],[售出工時]] * 60) / 5</f>
        <v>28.559999999999995</v>
      </c>
      <c r="M962" t="str">
        <f>VLOOKUP(交易處理資料__3[[#This Row],[人員代號]],團隊分組!$B$1:$C$52,2,FALSE)</f>
        <v>噴漆維修組</v>
      </c>
      <c r="N962" t="str">
        <f>IF(交易處理資料__3[[#This Row],[上班時間]]=0,"否","是")</f>
        <v>是</v>
      </c>
      <c r="O962" s="10" t="s">
        <v>74</v>
      </c>
      <c r="P962" s="37">
        <v>0.63806970509999994</v>
      </c>
      <c r="Q962" s="37">
        <v>0.2964</v>
      </c>
      <c r="R962" s="37">
        <v>0.75219999999999998</v>
      </c>
    </row>
    <row r="963" spans="1:18" hidden="1">
      <c r="A963" s="10" t="s">
        <v>74</v>
      </c>
      <c r="B963" t="s">
        <v>2</v>
      </c>
      <c r="C963">
        <v>3.0833333330000001</v>
      </c>
      <c r="D963">
        <v>6.1</v>
      </c>
      <c r="E963" s="29">
        <v>0.50546448089999996</v>
      </c>
      <c r="F963">
        <v>8.3699999999999992</v>
      </c>
      <c r="G963">
        <v>2.63</v>
      </c>
      <c r="H963">
        <v>11</v>
      </c>
      <c r="I963" s="29">
        <v>0.76090000000000002</v>
      </c>
      <c r="J963" s="29">
        <v>0.28029999999999999</v>
      </c>
      <c r="K963" s="9">
        <v>45316</v>
      </c>
      <c r="L963">
        <f xml:space="preserve"> (交易處理資料__3[[#This Row],[售出工時]] * 60) / 5</f>
        <v>36.999999996</v>
      </c>
      <c r="M963" t="str">
        <f>VLOOKUP(交易處理資料__3[[#This Row],[人員代號]],團隊分組!$B$1:$C$52,2,FALSE)</f>
        <v>噴漆維修組</v>
      </c>
      <c r="N963" t="str">
        <f>IF(交易處理資料__3[[#This Row],[上班時間]]=0,"否","是")</f>
        <v>是</v>
      </c>
      <c r="O963" s="10" t="s">
        <v>74</v>
      </c>
      <c r="P963" s="38">
        <v>0.50546448089999996</v>
      </c>
      <c r="Q963" s="38">
        <v>0.28029999999999999</v>
      </c>
      <c r="R963" s="38">
        <v>0.76090000000000002</v>
      </c>
    </row>
    <row r="964" spans="1:18" hidden="1">
      <c r="A964" s="10" t="s">
        <v>74</v>
      </c>
      <c r="B964" t="s">
        <v>3</v>
      </c>
      <c r="C964">
        <v>2.25</v>
      </c>
      <c r="D964">
        <v>3.87</v>
      </c>
      <c r="E964" s="29">
        <v>0.58139534879999999</v>
      </c>
      <c r="F964">
        <v>8.3699999999999992</v>
      </c>
      <c r="G964">
        <v>2.63</v>
      </c>
      <c r="H964">
        <v>11</v>
      </c>
      <c r="I964" s="29">
        <v>0.76090000000000002</v>
      </c>
      <c r="J964" s="29">
        <v>0.20449999999999999</v>
      </c>
      <c r="K964" s="9">
        <v>45316</v>
      </c>
      <c r="L964">
        <f xml:space="preserve"> (交易處理資料__3[[#This Row],[售出工時]] * 60) / 5</f>
        <v>27</v>
      </c>
      <c r="M964" t="str">
        <f>VLOOKUP(交易處理資料__3[[#This Row],[人員代號]],團隊分組!$B$1:$C$52,2,FALSE)</f>
        <v>噴漆維修組</v>
      </c>
      <c r="N964" t="str">
        <f>IF(交易處理資料__3[[#This Row],[上班時間]]=0,"否","是")</f>
        <v>是</v>
      </c>
      <c r="O964" s="10" t="s">
        <v>74</v>
      </c>
      <c r="P964" s="37">
        <v>0.58139534879999999</v>
      </c>
      <c r="Q964" s="37">
        <v>0.20449999999999999</v>
      </c>
      <c r="R964" s="37">
        <v>0.76090000000000002</v>
      </c>
    </row>
    <row r="965" spans="1:18" hidden="1">
      <c r="A965" s="10" t="s">
        <v>74</v>
      </c>
      <c r="B965" t="s">
        <v>5</v>
      </c>
      <c r="C965">
        <v>8.58</v>
      </c>
      <c r="D965">
        <v>10.029999999999999</v>
      </c>
      <c r="E965" s="29">
        <v>0.85543369889999998</v>
      </c>
      <c r="F965">
        <v>10.4</v>
      </c>
      <c r="G965">
        <v>0.13</v>
      </c>
      <c r="H965">
        <v>10.53</v>
      </c>
      <c r="I965" s="29">
        <v>0.98769999999999991</v>
      </c>
      <c r="J965" s="29">
        <v>0.81480000000000008</v>
      </c>
      <c r="K965" s="9">
        <v>45316</v>
      </c>
      <c r="L965">
        <f xml:space="preserve"> (交易處理資料__3[[#This Row],[售出工時]] * 60) / 5</f>
        <v>102.96</v>
      </c>
      <c r="M965" t="str">
        <f>VLOOKUP(交易處理資料__3[[#This Row],[人員代號]],團隊分組!$B$1:$C$52,2,FALSE)</f>
        <v>噴漆維修組</v>
      </c>
      <c r="N965" t="str">
        <f>IF(交易處理資料__3[[#This Row],[上班時間]]=0,"否","是")</f>
        <v>是</v>
      </c>
      <c r="O965" s="10" t="s">
        <v>74</v>
      </c>
      <c r="P965" s="38">
        <v>0.85543369889999998</v>
      </c>
      <c r="Q965" s="38">
        <v>0.81480000000000008</v>
      </c>
      <c r="R965" s="38">
        <v>0.98769999999999991</v>
      </c>
    </row>
    <row r="966" spans="1:18" hidden="1">
      <c r="A966" s="10" t="s">
        <v>74</v>
      </c>
      <c r="B966" t="s">
        <v>6</v>
      </c>
      <c r="C966">
        <v>0</v>
      </c>
      <c r="D966">
        <v>0</v>
      </c>
      <c r="E966" s="29">
        <v>0</v>
      </c>
      <c r="F966">
        <v>0</v>
      </c>
      <c r="G966">
        <v>0</v>
      </c>
      <c r="H966">
        <v>0</v>
      </c>
      <c r="I966" s="29">
        <v>0</v>
      </c>
      <c r="J966" s="29">
        <v>0</v>
      </c>
      <c r="K966" s="9">
        <v>45316</v>
      </c>
      <c r="L966">
        <f xml:space="preserve"> (交易處理資料__3[[#This Row],[售出工時]] * 60) / 5</f>
        <v>0</v>
      </c>
      <c r="M966" t="str">
        <f>VLOOKUP(交易處理資料__3[[#This Row],[人員代號]],團隊分組!$B$1:$C$52,2,FALSE)</f>
        <v>噴漆維修組</v>
      </c>
      <c r="N966" t="str">
        <f>IF(交易處理資料__3[[#This Row],[上班時間]]=0,"否","是")</f>
        <v>否</v>
      </c>
      <c r="O966" s="10" t="s">
        <v>74</v>
      </c>
      <c r="P966" s="37">
        <v>0</v>
      </c>
      <c r="Q966" s="37">
        <v>0</v>
      </c>
      <c r="R966" s="37">
        <v>0</v>
      </c>
    </row>
    <row r="967" spans="1:18" hidden="1">
      <c r="A967" s="10" t="s">
        <v>74</v>
      </c>
      <c r="B967" t="s">
        <v>9</v>
      </c>
      <c r="C967">
        <v>0</v>
      </c>
      <c r="D967">
        <v>0</v>
      </c>
      <c r="E967" s="29">
        <v>0</v>
      </c>
      <c r="F967">
        <v>6.27</v>
      </c>
      <c r="G967">
        <v>1.79</v>
      </c>
      <c r="H967">
        <v>8.06</v>
      </c>
      <c r="I967" s="29">
        <v>0.77790000000000004</v>
      </c>
      <c r="J967" s="29">
        <v>0</v>
      </c>
      <c r="K967" s="9">
        <v>45316</v>
      </c>
      <c r="L967">
        <f xml:space="preserve"> (交易處理資料__3[[#This Row],[售出工時]] * 60) / 5</f>
        <v>0</v>
      </c>
      <c r="M967" t="str">
        <f>VLOOKUP(交易處理資料__3[[#This Row],[人員代號]],團隊分組!$B$1:$C$52,2,FALSE)</f>
        <v>噴漆維修組</v>
      </c>
      <c r="N967" t="str">
        <f>IF(交易處理資料__3[[#This Row],[上班時間]]=0,"否","是")</f>
        <v>是</v>
      </c>
      <c r="O967" s="10" t="s">
        <v>74</v>
      </c>
      <c r="P967" s="38">
        <v>0</v>
      </c>
      <c r="Q967" s="38">
        <v>0</v>
      </c>
      <c r="R967" s="38">
        <v>0.77790000000000004</v>
      </c>
    </row>
    <row r="968" spans="1:18" hidden="1">
      <c r="A968" t="s">
        <v>75</v>
      </c>
      <c r="B968" t="s">
        <v>11</v>
      </c>
      <c r="C968">
        <v>0</v>
      </c>
      <c r="D968">
        <v>0</v>
      </c>
      <c r="E968" s="29">
        <v>0</v>
      </c>
      <c r="F968">
        <v>6.99</v>
      </c>
      <c r="G968">
        <v>1.08</v>
      </c>
      <c r="H968">
        <v>8.07</v>
      </c>
      <c r="I968" s="29">
        <v>0.86620000000000008</v>
      </c>
      <c r="J968" s="29">
        <v>0</v>
      </c>
      <c r="K968" s="9">
        <v>45316</v>
      </c>
      <c r="L968">
        <f xml:space="preserve"> (交易處理資料__3[[#This Row],[售出工時]] * 60) / 5</f>
        <v>0</v>
      </c>
      <c r="M968" t="str">
        <f>VLOOKUP(交易處理資料__3[[#This Row],[人員代號]],團隊分組!$B$1:$C$52,2,FALSE)</f>
        <v>鈑金維修組</v>
      </c>
      <c r="N968" t="str">
        <f>IF(交易處理資料__3[[#This Row],[上班時間]]=0,"否","是")</f>
        <v>是</v>
      </c>
      <c r="O968" t="s">
        <v>75</v>
      </c>
      <c r="P968" s="37">
        <v>0</v>
      </c>
      <c r="Q968" s="37">
        <v>0</v>
      </c>
      <c r="R968" s="37">
        <v>0.86620000000000008</v>
      </c>
    </row>
    <row r="969" spans="1:18" hidden="1">
      <c r="A969" t="s">
        <v>75</v>
      </c>
      <c r="B969" t="s">
        <v>12</v>
      </c>
      <c r="C969">
        <v>7.5833333329999997</v>
      </c>
      <c r="D969">
        <v>5.05</v>
      </c>
      <c r="E969" s="29">
        <v>1.501650165</v>
      </c>
      <c r="F969">
        <v>6.4</v>
      </c>
      <c r="G969">
        <v>1.66</v>
      </c>
      <c r="H969">
        <v>8.06</v>
      </c>
      <c r="I969" s="29">
        <v>0.79400000000000004</v>
      </c>
      <c r="J969" s="29">
        <v>0.94090000000000007</v>
      </c>
      <c r="K969" s="9">
        <v>45316</v>
      </c>
      <c r="L969">
        <f xml:space="preserve"> (交易處理資料__3[[#This Row],[售出工時]] * 60) / 5</f>
        <v>90.999999996</v>
      </c>
      <c r="M969" t="str">
        <f>VLOOKUP(交易處理資料__3[[#This Row],[人員代號]],團隊分組!$B$1:$C$52,2,FALSE)</f>
        <v>鈑金維修組</v>
      </c>
      <c r="N969" t="str">
        <f>IF(交易處理資料__3[[#This Row],[上班時間]]=0,"否","是")</f>
        <v>是</v>
      </c>
      <c r="O969" t="s">
        <v>75</v>
      </c>
      <c r="P969" s="38">
        <v>1.501650165</v>
      </c>
      <c r="Q969" s="38">
        <v>0.94090000000000007</v>
      </c>
      <c r="R969" s="38">
        <v>0.79400000000000004</v>
      </c>
    </row>
    <row r="970" spans="1:18" hidden="1">
      <c r="A970" t="s">
        <v>75</v>
      </c>
      <c r="B970" t="s">
        <v>14</v>
      </c>
      <c r="C970">
        <v>4.83</v>
      </c>
      <c r="D970">
        <v>5.38</v>
      </c>
      <c r="E970" s="29">
        <v>0.89776951670000005</v>
      </c>
      <c r="F970">
        <v>5.54</v>
      </c>
      <c r="G970">
        <v>2.54</v>
      </c>
      <c r="H970">
        <v>8.08</v>
      </c>
      <c r="I970" s="29">
        <v>0.68559999999999999</v>
      </c>
      <c r="J970" s="29">
        <v>0.5978</v>
      </c>
      <c r="K970" s="9">
        <v>45316</v>
      </c>
      <c r="L970">
        <f xml:space="preserve"> (交易處理資料__3[[#This Row],[售出工時]] * 60) / 5</f>
        <v>57.96</v>
      </c>
      <c r="M970" t="str">
        <f>VLOOKUP(交易處理資料__3[[#This Row],[人員代號]],團隊分組!$B$1:$C$52,2,FALSE)</f>
        <v>鈑金維修組</v>
      </c>
      <c r="N970" t="str">
        <f>IF(交易處理資料__3[[#This Row],[上班時間]]=0,"否","是")</f>
        <v>是</v>
      </c>
      <c r="O970" t="s">
        <v>75</v>
      </c>
      <c r="P970" s="37">
        <v>0.89776951670000005</v>
      </c>
      <c r="Q970" s="37">
        <v>0.5978</v>
      </c>
      <c r="R970" s="37">
        <v>0.68559999999999999</v>
      </c>
    </row>
    <row r="971" spans="1:18" hidden="1">
      <c r="A971" t="s">
        <v>75</v>
      </c>
      <c r="B971" t="s">
        <v>15</v>
      </c>
      <c r="C971">
        <v>4.76</v>
      </c>
      <c r="D971">
        <v>3.86</v>
      </c>
      <c r="E971" s="29">
        <v>1.233160622</v>
      </c>
      <c r="F971">
        <v>5.56</v>
      </c>
      <c r="G971">
        <v>2.5</v>
      </c>
      <c r="H971">
        <v>8.06</v>
      </c>
      <c r="I971" s="29">
        <v>0.68980000000000008</v>
      </c>
      <c r="J971" s="29">
        <v>0.59060000000000001</v>
      </c>
      <c r="K971" s="9">
        <v>45316</v>
      </c>
      <c r="L971">
        <f xml:space="preserve"> (交易處理資料__3[[#This Row],[售出工時]] * 60) / 5</f>
        <v>57.11999999999999</v>
      </c>
      <c r="M971" t="str">
        <f>VLOOKUP(交易處理資料__3[[#This Row],[人員代號]],團隊分組!$B$1:$C$52,2,FALSE)</f>
        <v>鈑金維修組</v>
      </c>
      <c r="N971" t="str">
        <f>IF(交易處理資料__3[[#This Row],[上班時間]]=0,"否","是")</f>
        <v>是</v>
      </c>
      <c r="O971" t="s">
        <v>75</v>
      </c>
      <c r="P971" s="38">
        <v>1.233160622</v>
      </c>
      <c r="Q971" s="38">
        <v>0.59060000000000001</v>
      </c>
      <c r="R971" s="38">
        <v>0.68980000000000008</v>
      </c>
    </row>
    <row r="972" spans="1:18" hidden="1">
      <c r="A972" t="s">
        <v>76</v>
      </c>
      <c r="B972" t="s">
        <v>17</v>
      </c>
      <c r="C972">
        <v>11.176666669999999</v>
      </c>
      <c r="D972">
        <v>9.07</v>
      </c>
      <c r="E972" s="29">
        <v>1.2322675490000001</v>
      </c>
      <c r="F972">
        <v>9.7799999999999994</v>
      </c>
      <c r="G972">
        <v>0.26</v>
      </c>
      <c r="H972">
        <v>10.039999999999999</v>
      </c>
      <c r="I972" s="29">
        <v>0.97409999999999997</v>
      </c>
      <c r="J972" s="29">
        <v>1.1132</v>
      </c>
      <c r="K972" s="9">
        <v>45316</v>
      </c>
      <c r="L972">
        <f xml:space="preserve"> (交易處理資料__3[[#This Row],[售出工時]] * 60) / 5</f>
        <v>134.12000003999998</v>
      </c>
      <c r="M972" t="str">
        <f>VLOOKUP(交易處理資料__3[[#This Row],[人員代號]],團隊分組!$B$1:$C$52,2,FALSE)</f>
        <v>快速保養團隊A</v>
      </c>
      <c r="N972" t="str">
        <f>IF(交易處理資料__3[[#This Row],[上班時間]]=0,"否","是")</f>
        <v>是</v>
      </c>
      <c r="O972" t="s">
        <v>76</v>
      </c>
      <c r="P972" s="37">
        <v>1.2322675490000001</v>
      </c>
      <c r="Q972" s="37">
        <v>1.1132</v>
      </c>
      <c r="R972" s="37">
        <v>0.97409999999999997</v>
      </c>
    </row>
    <row r="973" spans="1:18" hidden="1">
      <c r="A973" t="s">
        <v>76</v>
      </c>
      <c r="B973" t="s">
        <v>18</v>
      </c>
      <c r="C973">
        <v>0.83</v>
      </c>
      <c r="D973">
        <v>0.75</v>
      </c>
      <c r="E973" s="29">
        <v>1.1066666669999998</v>
      </c>
      <c r="F973">
        <v>6.61</v>
      </c>
      <c r="G973">
        <v>1.67</v>
      </c>
      <c r="H973">
        <v>8.2799999999999994</v>
      </c>
      <c r="I973" s="29">
        <v>0.79830000000000001</v>
      </c>
      <c r="J973" s="29">
        <v>0.1002</v>
      </c>
      <c r="K973" s="9">
        <v>45316</v>
      </c>
      <c r="L973">
        <f xml:space="preserve"> (交易處理資料__3[[#This Row],[售出工時]] * 60) / 5</f>
        <v>9.9599999999999991</v>
      </c>
      <c r="M973" t="str">
        <f>VLOOKUP(交易處理資料__3[[#This Row],[人員代號]],團隊分組!$B$1:$C$52,2,FALSE)</f>
        <v>查修團隊B</v>
      </c>
      <c r="N973" t="str">
        <f>IF(交易處理資料__3[[#This Row],[上班時間]]=0,"否","是")</f>
        <v>是</v>
      </c>
      <c r="O973" t="s">
        <v>76</v>
      </c>
      <c r="P973" s="38">
        <v>1.1066666669999998</v>
      </c>
      <c r="Q973" s="38">
        <v>0.1002</v>
      </c>
      <c r="R973" s="38">
        <v>0.79830000000000001</v>
      </c>
    </row>
    <row r="974" spans="1:18" hidden="1">
      <c r="A974" t="s">
        <v>76</v>
      </c>
      <c r="B974" t="s">
        <v>20</v>
      </c>
      <c r="C974">
        <v>1.25</v>
      </c>
      <c r="D974">
        <v>4.1500000000000004</v>
      </c>
      <c r="E974" s="29">
        <v>0.30120481929999998</v>
      </c>
      <c r="F974">
        <v>5.55</v>
      </c>
      <c r="G974">
        <v>4.5999999999999996</v>
      </c>
      <c r="H974">
        <v>10.15</v>
      </c>
      <c r="I974" s="29">
        <v>0.54679999999999995</v>
      </c>
      <c r="J974" s="29">
        <v>0.1232</v>
      </c>
      <c r="K974" s="9">
        <v>45316</v>
      </c>
      <c r="L974">
        <f xml:space="preserve"> (交易處理資料__3[[#This Row],[售出工時]] * 60) / 5</f>
        <v>15</v>
      </c>
      <c r="M974" t="str">
        <f>VLOOKUP(交易處理資料__3[[#This Row],[人員代號]],團隊分組!$B$1:$C$52,2,FALSE)</f>
        <v>查修團隊B</v>
      </c>
      <c r="N974" t="str">
        <f>IF(交易處理資料__3[[#This Row],[上班時間]]=0,"否","是")</f>
        <v>是</v>
      </c>
      <c r="O974" t="s">
        <v>76</v>
      </c>
      <c r="P974" s="37">
        <v>0.30120481929999998</v>
      </c>
      <c r="Q974" s="37">
        <v>0.1232</v>
      </c>
      <c r="R974" s="37">
        <v>0.54679999999999995</v>
      </c>
    </row>
    <row r="975" spans="1:18" hidden="1">
      <c r="A975" t="s">
        <v>76</v>
      </c>
      <c r="B975" t="s">
        <v>22</v>
      </c>
      <c r="C975">
        <v>0</v>
      </c>
      <c r="D975">
        <v>0</v>
      </c>
      <c r="E975" s="29">
        <v>0</v>
      </c>
      <c r="F975">
        <v>0</v>
      </c>
      <c r="G975">
        <v>0</v>
      </c>
      <c r="H975">
        <v>0</v>
      </c>
      <c r="I975" s="29">
        <v>0</v>
      </c>
      <c r="J975" s="29">
        <v>0</v>
      </c>
      <c r="K975" s="9">
        <v>45316</v>
      </c>
      <c r="L975">
        <f xml:space="preserve"> (交易處理資料__3[[#This Row],[售出工時]] * 60) / 5</f>
        <v>0</v>
      </c>
      <c r="M975" t="str">
        <f>VLOOKUP(交易處理資料__3[[#This Row],[人員代號]],團隊分組!$B$1:$C$52,2,FALSE)</f>
        <v>快速保養團隊A</v>
      </c>
      <c r="N975" t="str">
        <f>IF(交易處理資料__3[[#This Row],[上班時間]]=0,"否","是")</f>
        <v>否</v>
      </c>
      <c r="O975" t="s">
        <v>76</v>
      </c>
      <c r="P975" s="38">
        <v>0</v>
      </c>
      <c r="Q975" s="38">
        <v>0</v>
      </c>
      <c r="R975" s="38">
        <v>0</v>
      </c>
    </row>
    <row r="976" spans="1:18" hidden="1">
      <c r="A976" t="s">
        <v>76</v>
      </c>
      <c r="B976" t="s">
        <v>23</v>
      </c>
      <c r="C976">
        <v>5.25</v>
      </c>
      <c r="D976">
        <v>4.51</v>
      </c>
      <c r="E976" s="29">
        <v>1.164079823</v>
      </c>
      <c r="F976">
        <v>9.4499999999999993</v>
      </c>
      <c r="G976">
        <v>1.03</v>
      </c>
      <c r="H976">
        <v>10.48</v>
      </c>
      <c r="I976" s="29">
        <v>0.90170000000000006</v>
      </c>
      <c r="J976" s="29">
        <v>0.501</v>
      </c>
      <c r="K976" s="9">
        <v>45316</v>
      </c>
      <c r="L976">
        <f xml:space="preserve"> (交易處理資料__3[[#This Row],[售出工時]] * 60) / 5</f>
        <v>63</v>
      </c>
      <c r="M976" t="str">
        <f>VLOOKUP(交易處理資料__3[[#This Row],[人員代號]],團隊分組!$B$1:$C$52,2,FALSE)</f>
        <v>快速保養團隊B</v>
      </c>
      <c r="N976" t="str">
        <f>IF(交易處理資料__3[[#This Row],[上班時間]]=0,"否","是")</f>
        <v>是</v>
      </c>
      <c r="O976" t="s">
        <v>76</v>
      </c>
      <c r="P976" s="37">
        <v>1.164079823</v>
      </c>
      <c r="Q976" s="37">
        <v>0.501</v>
      </c>
      <c r="R976" s="37">
        <v>0.90170000000000006</v>
      </c>
    </row>
    <row r="977" spans="1:18" hidden="1">
      <c r="A977" t="s">
        <v>76</v>
      </c>
      <c r="B977" t="s">
        <v>26</v>
      </c>
      <c r="C977">
        <v>1</v>
      </c>
      <c r="D977">
        <v>1.4</v>
      </c>
      <c r="E977" s="29">
        <v>0.7142857143000001</v>
      </c>
      <c r="F977">
        <v>9.6300000000000008</v>
      </c>
      <c r="G977">
        <v>0.74</v>
      </c>
      <c r="H977">
        <v>10.37</v>
      </c>
      <c r="I977" s="29">
        <v>0.92859999999999998</v>
      </c>
      <c r="J977" s="29">
        <v>9.64E-2</v>
      </c>
      <c r="K977" s="9">
        <v>45316</v>
      </c>
      <c r="L977">
        <f xml:space="preserve"> (交易處理資料__3[[#This Row],[售出工時]] * 60) / 5</f>
        <v>12</v>
      </c>
      <c r="M977" t="str">
        <f>VLOOKUP(交易處理資料__3[[#This Row],[人員代號]],團隊分組!$B$1:$C$52,2,FALSE)</f>
        <v>查修團隊B</v>
      </c>
      <c r="N977" t="str">
        <f>IF(交易處理資料__3[[#This Row],[上班時間]]=0,"否","是")</f>
        <v>是</v>
      </c>
      <c r="O977" t="s">
        <v>76</v>
      </c>
      <c r="P977" s="38">
        <v>0.7142857143000001</v>
      </c>
      <c r="Q977" s="38">
        <v>9.64E-2</v>
      </c>
      <c r="R977" s="38">
        <v>0.92859999999999998</v>
      </c>
    </row>
    <row r="978" spans="1:18" hidden="1">
      <c r="A978" t="s">
        <v>76</v>
      </c>
      <c r="B978" t="s">
        <v>32</v>
      </c>
      <c r="C978">
        <v>11.45333333</v>
      </c>
      <c r="D978">
        <v>5.77</v>
      </c>
      <c r="E978" s="29">
        <v>1.98497978</v>
      </c>
      <c r="F978">
        <v>9.11</v>
      </c>
      <c r="G978">
        <v>1.2</v>
      </c>
      <c r="H978">
        <v>10.31</v>
      </c>
      <c r="I978" s="29">
        <v>0.88359999999999994</v>
      </c>
      <c r="J978" s="29">
        <v>1.1109</v>
      </c>
      <c r="K978" s="9">
        <v>45316</v>
      </c>
      <c r="L978">
        <f xml:space="preserve"> (交易處理資料__3[[#This Row],[售出工時]] * 60) / 5</f>
        <v>137.43999995999999</v>
      </c>
      <c r="M978" t="str">
        <f>VLOOKUP(交易處理資料__3[[#This Row],[人員代號]],團隊分組!$B$1:$C$52,2,FALSE)</f>
        <v>快速保養團隊B</v>
      </c>
      <c r="N978" t="str">
        <f>IF(交易處理資料__3[[#This Row],[上班時間]]=0,"否","是")</f>
        <v>是</v>
      </c>
      <c r="O978" t="s">
        <v>76</v>
      </c>
      <c r="P978" s="37">
        <v>1.98497978</v>
      </c>
      <c r="Q978" s="37">
        <v>1.1109</v>
      </c>
      <c r="R978" s="37">
        <v>0.88359999999999994</v>
      </c>
    </row>
    <row r="979" spans="1:18" hidden="1">
      <c r="A979" t="s">
        <v>76</v>
      </c>
      <c r="B979" t="s">
        <v>33</v>
      </c>
      <c r="C979">
        <v>0</v>
      </c>
      <c r="D979">
        <v>0</v>
      </c>
      <c r="E979" s="29">
        <v>0</v>
      </c>
      <c r="F979">
        <v>0</v>
      </c>
      <c r="G979">
        <v>0</v>
      </c>
      <c r="H979">
        <v>0</v>
      </c>
      <c r="I979" s="29">
        <v>0</v>
      </c>
      <c r="J979" s="29">
        <v>0</v>
      </c>
      <c r="K979" s="9">
        <v>45316</v>
      </c>
      <c r="L979">
        <f xml:space="preserve"> (交易處理資料__3[[#This Row],[售出工時]] * 60) / 5</f>
        <v>0</v>
      </c>
      <c r="M979" t="str">
        <f>VLOOKUP(交易處理資料__3[[#This Row],[人員代號]],團隊分組!$B$1:$C$52,2,FALSE)</f>
        <v>快速保養團隊B</v>
      </c>
      <c r="N979" t="str">
        <f>IF(交易處理資料__3[[#This Row],[上班時間]]=0,"否","是")</f>
        <v>否</v>
      </c>
      <c r="O979" t="s">
        <v>76</v>
      </c>
      <c r="P979" s="38">
        <v>0</v>
      </c>
      <c r="Q979" s="38">
        <v>0</v>
      </c>
      <c r="R979" s="38">
        <v>0</v>
      </c>
    </row>
    <row r="980" spans="1:18" hidden="1">
      <c r="A980" t="s">
        <v>76</v>
      </c>
      <c r="B980" t="s">
        <v>34</v>
      </c>
      <c r="C980">
        <v>6.3333333329999997</v>
      </c>
      <c r="D980">
        <v>4.1500000000000004</v>
      </c>
      <c r="E980" s="29">
        <v>1.5261044179999999</v>
      </c>
      <c r="F980">
        <v>9.61</v>
      </c>
      <c r="G980">
        <v>0.8</v>
      </c>
      <c r="H980">
        <v>10.41</v>
      </c>
      <c r="I980" s="29">
        <v>0.92319999999999991</v>
      </c>
      <c r="J980" s="29">
        <v>0.60840000000000005</v>
      </c>
      <c r="K980" s="9">
        <v>45316</v>
      </c>
      <c r="L980">
        <f xml:space="preserve"> (交易處理資料__3[[#This Row],[售出工時]] * 60) / 5</f>
        <v>75.999999996</v>
      </c>
      <c r="M980" t="str">
        <f>VLOOKUP(交易處理資料__3[[#This Row],[人員代號]],團隊分組!$B$1:$C$52,2,FALSE)</f>
        <v>快速保養團隊A</v>
      </c>
      <c r="N980" t="str">
        <f>IF(交易處理資料__3[[#This Row],[上班時間]]=0,"否","是")</f>
        <v>是</v>
      </c>
      <c r="O980" t="s">
        <v>76</v>
      </c>
      <c r="P980" s="37">
        <v>1.5261044179999999</v>
      </c>
      <c r="Q980" s="37">
        <v>0.60840000000000005</v>
      </c>
      <c r="R980" s="37">
        <v>0.92319999999999991</v>
      </c>
    </row>
    <row r="981" spans="1:18" hidden="1">
      <c r="A981" t="s">
        <v>76</v>
      </c>
      <c r="B981" t="s">
        <v>35</v>
      </c>
      <c r="C981">
        <v>5.25</v>
      </c>
      <c r="D981">
        <v>9.36</v>
      </c>
      <c r="E981" s="29">
        <v>0.56089743589999996</v>
      </c>
      <c r="F981">
        <v>5.35</v>
      </c>
      <c r="G981">
        <v>4.8</v>
      </c>
      <c r="H981">
        <v>10.15</v>
      </c>
      <c r="I981" s="29">
        <v>0.52710000000000001</v>
      </c>
      <c r="J981" s="29">
        <v>0.51719999999999999</v>
      </c>
      <c r="K981" s="9">
        <v>45316</v>
      </c>
      <c r="L981">
        <f xml:space="preserve"> (交易處理資料__3[[#This Row],[售出工時]] * 60) / 5</f>
        <v>63</v>
      </c>
      <c r="M981" t="str">
        <f>VLOOKUP(交易處理資料__3[[#This Row],[人員代號]],團隊分組!$B$1:$C$52,2,FALSE)</f>
        <v>查修團隊B</v>
      </c>
      <c r="N981" t="str">
        <f>IF(交易處理資料__3[[#This Row],[上班時間]]=0,"否","是")</f>
        <v>是</v>
      </c>
      <c r="O981" t="s">
        <v>76</v>
      </c>
      <c r="P981" s="38">
        <v>0.56089743589999996</v>
      </c>
      <c r="Q981" s="38">
        <v>0.51719999999999999</v>
      </c>
      <c r="R981" s="38">
        <v>0.52710000000000001</v>
      </c>
    </row>
    <row r="982" spans="1:18" hidden="1">
      <c r="A982" t="s">
        <v>76</v>
      </c>
      <c r="B982" t="s">
        <v>36</v>
      </c>
      <c r="C982">
        <v>2.2966666670000002</v>
      </c>
      <c r="D982">
        <v>4.6100000000000003</v>
      </c>
      <c r="E982" s="29">
        <v>0.49819233549999997</v>
      </c>
      <c r="F982">
        <v>7.72</v>
      </c>
      <c r="G982">
        <v>0.71</v>
      </c>
      <c r="H982">
        <v>8.43</v>
      </c>
      <c r="I982" s="29">
        <v>0.91579999999999995</v>
      </c>
      <c r="J982" s="29">
        <v>0.27239999999999998</v>
      </c>
      <c r="K982" s="9">
        <v>45316</v>
      </c>
      <c r="L982">
        <f xml:space="preserve"> (交易處理資料__3[[#This Row],[售出工時]] * 60) / 5</f>
        <v>27.560000004000006</v>
      </c>
      <c r="M982" t="str">
        <f>VLOOKUP(交易處理資料__3[[#This Row],[人員代號]],團隊分組!$B$1:$C$52,2,FALSE)</f>
        <v>查修團隊B</v>
      </c>
      <c r="N982" t="str">
        <f>IF(交易處理資料__3[[#This Row],[上班時間]]=0,"否","是")</f>
        <v>是</v>
      </c>
      <c r="O982" t="s">
        <v>76</v>
      </c>
      <c r="P982" s="37">
        <v>0.49819233549999997</v>
      </c>
      <c r="Q982" s="37">
        <v>0.27239999999999998</v>
      </c>
      <c r="R982" s="37">
        <v>0.91579999999999995</v>
      </c>
    </row>
    <row r="983" spans="1:18" hidden="1">
      <c r="A983" t="s">
        <v>76</v>
      </c>
      <c r="B983" t="s">
        <v>38</v>
      </c>
      <c r="C983">
        <v>16</v>
      </c>
      <c r="D983">
        <v>9.89</v>
      </c>
      <c r="E983" s="29">
        <v>1.617795753</v>
      </c>
      <c r="F983">
        <v>10.17</v>
      </c>
      <c r="G983">
        <v>1.01</v>
      </c>
      <c r="H983">
        <v>11.18</v>
      </c>
      <c r="I983" s="29">
        <v>0.90969999999999995</v>
      </c>
      <c r="J983" s="29">
        <v>1.4311</v>
      </c>
      <c r="K983" s="9">
        <v>45316</v>
      </c>
      <c r="L983">
        <f xml:space="preserve"> (交易處理資料__3[[#This Row],[售出工時]] * 60) / 5</f>
        <v>192</v>
      </c>
      <c r="M983" t="str">
        <f>VLOOKUP(交易處理資料__3[[#This Row],[人員代號]],團隊分組!$B$1:$C$52,2,FALSE)</f>
        <v>快速保養團隊A</v>
      </c>
      <c r="N983" t="str">
        <f>IF(交易處理資料__3[[#This Row],[上班時間]]=0,"否","是")</f>
        <v>是</v>
      </c>
      <c r="O983" t="s">
        <v>76</v>
      </c>
      <c r="P983" s="38">
        <v>1.617795753</v>
      </c>
      <c r="Q983" s="38">
        <v>1.4311</v>
      </c>
      <c r="R983" s="38">
        <v>0.90969999999999995</v>
      </c>
    </row>
    <row r="984" spans="1:18" hidden="1">
      <c r="A984" t="s">
        <v>76</v>
      </c>
      <c r="B984" t="s">
        <v>39</v>
      </c>
      <c r="C984">
        <v>2.75</v>
      </c>
      <c r="D984">
        <v>6.55</v>
      </c>
      <c r="E984" s="29">
        <v>0.41984732819999998</v>
      </c>
      <c r="F984">
        <v>8.7899999999999991</v>
      </c>
      <c r="G984">
        <v>1.2</v>
      </c>
      <c r="H984">
        <v>9.99</v>
      </c>
      <c r="I984" s="29">
        <v>0.8798999999999999</v>
      </c>
      <c r="J984" s="29">
        <v>0.27529999999999999</v>
      </c>
      <c r="K984" s="9">
        <v>45316</v>
      </c>
      <c r="L984">
        <f xml:space="preserve"> (交易處理資料__3[[#This Row],[售出工時]] * 60) / 5</f>
        <v>33</v>
      </c>
      <c r="M984" t="str">
        <f>VLOOKUP(交易處理資料__3[[#This Row],[人員代號]],團隊分組!$B$1:$C$52,2,FALSE)</f>
        <v>查修團隊A</v>
      </c>
      <c r="N984" t="str">
        <f>IF(交易處理資料__3[[#This Row],[上班時間]]=0,"否","是")</f>
        <v>是</v>
      </c>
      <c r="O984" t="s">
        <v>76</v>
      </c>
      <c r="P984" s="37">
        <v>0.41984732819999998</v>
      </c>
      <c r="Q984" s="37">
        <v>0.27529999999999999</v>
      </c>
      <c r="R984" s="37">
        <v>0.8798999999999999</v>
      </c>
    </row>
    <row r="985" spans="1:18" hidden="1">
      <c r="A985" t="s">
        <v>76</v>
      </c>
      <c r="B985" t="s">
        <v>40</v>
      </c>
      <c r="C985">
        <v>0</v>
      </c>
      <c r="D985">
        <v>0</v>
      </c>
      <c r="E985" s="29">
        <v>0</v>
      </c>
      <c r="F985">
        <v>0</v>
      </c>
      <c r="G985">
        <v>0</v>
      </c>
      <c r="H985">
        <v>0</v>
      </c>
      <c r="I985" s="29">
        <v>0</v>
      </c>
      <c r="J985" s="29">
        <v>0</v>
      </c>
      <c r="K985" s="9">
        <v>45316</v>
      </c>
      <c r="L985">
        <f xml:space="preserve"> (交易處理資料__3[[#This Row],[售出工時]] * 60) / 5</f>
        <v>0</v>
      </c>
      <c r="M985" t="str">
        <f>VLOOKUP(交易處理資料__3[[#This Row],[人員代號]],團隊分組!$B$1:$C$52,2,FALSE)</f>
        <v>查修團隊A</v>
      </c>
      <c r="N985" t="str">
        <f>IF(交易處理資料__3[[#This Row],[上班時間]]=0,"否","是")</f>
        <v>否</v>
      </c>
      <c r="O985" t="s">
        <v>76</v>
      </c>
      <c r="P985" s="38">
        <v>0</v>
      </c>
      <c r="Q985" s="38">
        <v>0</v>
      </c>
      <c r="R985" s="38">
        <v>0</v>
      </c>
    </row>
    <row r="986" spans="1:18" hidden="1">
      <c r="A986" t="s">
        <v>76</v>
      </c>
      <c r="B986" t="s">
        <v>41</v>
      </c>
      <c r="C986">
        <v>11.66666667</v>
      </c>
      <c r="D986">
        <v>6.08</v>
      </c>
      <c r="E986" s="29">
        <v>1.9188596490000001</v>
      </c>
      <c r="F986">
        <v>7.81</v>
      </c>
      <c r="G986">
        <v>0.46</v>
      </c>
      <c r="H986">
        <v>8.27</v>
      </c>
      <c r="I986" s="29">
        <v>0.94440000000000002</v>
      </c>
      <c r="J986" s="29">
        <v>1.4106999999999998</v>
      </c>
      <c r="K986" s="9">
        <v>45316</v>
      </c>
      <c r="L986">
        <f xml:space="preserve"> (交易處理資料__3[[#This Row],[售出工時]] * 60) / 5</f>
        <v>140.00000003999997</v>
      </c>
      <c r="M986" t="str">
        <f>VLOOKUP(交易處理資料__3[[#This Row],[人員代號]],團隊分組!$B$1:$C$52,2,FALSE)</f>
        <v>快速保養團隊A</v>
      </c>
      <c r="N986" t="str">
        <f>IF(交易處理資料__3[[#This Row],[上班時間]]=0,"否","是")</f>
        <v>是</v>
      </c>
      <c r="O986" t="s">
        <v>76</v>
      </c>
      <c r="P986" s="37">
        <v>1.9188596490000001</v>
      </c>
      <c r="Q986" s="37">
        <v>1.4106999999999998</v>
      </c>
      <c r="R986" s="37">
        <v>0.94440000000000002</v>
      </c>
    </row>
    <row r="987" spans="1:18" hidden="1">
      <c r="A987" t="s">
        <v>76</v>
      </c>
      <c r="B987" t="s">
        <v>43</v>
      </c>
      <c r="C987">
        <v>1.286666667</v>
      </c>
      <c r="D987">
        <v>3.36</v>
      </c>
      <c r="E987" s="29">
        <v>0.3829365079</v>
      </c>
      <c r="F987">
        <v>7.7</v>
      </c>
      <c r="G987">
        <v>0.72</v>
      </c>
      <c r="H987">
        <v>8.42</v>
      </c>
      <c r="I987" s="29">
        <v>0.91449999999999998</v>
      </c>
      <c r="J987" s="29">
        <v>0.15279999999999999</v>
      </c>
      <c r="K987" s="9">
        <v>45316</v>
      </c>
      <c r="L987">
        <f xml:space="preserve"> (交易處理資料__3[[#This Row],[售出工時]] * 60) / 5</f>
        <v>15.440000004000002</v>
      </c>
      <c r="M987" t="str">
        <f>VLOOKUP(交易處理資料__3[[#This Row],[人員代號]],團隊分組!$B$1:$C$52,2,FALSE)</f>
        <v>查修團隊B</v>
      </c>
      <c r="N987" t="str">
        <f>IF(交易處理資料__3[[#This Row],[上班時間]]=0,"否","是")</f>
        <v>是</v>
      </c>
      <c r="O987" t="s">
        <v>76</v>
      </c>
      <c r="P987" s="38">
        <v>0.3829365079</v>
      </c>
      <c r="Q987" s="38">
        <v>0.15279999999999999</v>
      </c>
      <c r="R987" s="38">
        <v>0.91449999999999998</v>
      </c>
    </row>
    <row r="988" spans="1:18" hidden="1">
      <c r="A988" t="s">
        <v>76</v>
      </c>
      <c r="B988" t="s">
        <v>46</v>
      </c>
      <c r="C988">
        <v>0</v>
      </c>
      <c r="D988">
        <v>0</v>
      </c>
      <c r="E988" s="29">
        <v>0</v>
      </c>
      <c r="F988">
        <v>7.15</v>
      </c>
      <c r="G988">
        <v>1.07</v>
      </c>
      <c r="H988">
        <v>8.2200000000000006</v>
      </c>
      <c r="I988" s="29">
        <v>0.86980000000000002</v>
      </c>
      <c r="J988" s="29">
        <v>0</v>
      </c>
      <c r="K988" s="9">
        <v>45316</v>
      </c>
      <c r="L988">
        <f xml:space="preserve"> (交易處理資料__3[[#This Row],[售出工時]] * 60) / 5</f>
        <v>0</v>
      </c>
      <c r="M988" t="str">
        <f>VLOOKUP(交易處理資料__3[[#This Row],[人員代號]],團隊分組!$B$1:$C$52,2,FALSE)</f>
        <v>查修團隊B</v>
      </c>
      <c r="N988" t="str">
        <f>IF(交易處理資料__3[[#This Row],[上班時間]]=0,"否","是")</f>
        <v>是</v>
      </c>
      <c r="O988" t="s">
        <v>76</v>
      </c>
      <c r="P988" s="37">
        <v>0</v>
      </c>
      <c r="Q988" s="37">
        <v>0</v>
      </c>
      <c r="R988" s="37">
        <v>0.86980000000000002</v>
      </c>
    </row>
    <row r="989" spans="1:18" hidden="1">
      <c r="A989" t="s">
        <v>76</v>
      </c>
      <c r="B989" t="s">
        <v>47</v>
      </c>
      <c r="C989">
        <v>2.4166666669999999</v>
      </c>
      <c r="D989">
        <v>2.72</v>
      </c>
      <c r="E989" s="29">
        <v>0.88848039220000008</v>
      </c>
      <c r="F989">
        <v>3.98</v>
      </c>
      <c r="G989">
        <v>4.3</v>
      </c>
      <c r="H989">
        <v>8.2799999999999994</v>
      </c>
      <c r="I989" s="29">
        <v>0.48070000000000002</v>
      </c>
      <c r="J989" s="29">
        <v>0.29189999999999999</v>
      </c>
      <c r="K989" s="9">
        <v>45316</v>
      </c>
      <c r="L989">
        <f xml:space="preserve"> (交易處理資料__3[[#This Row],[售出工時]] * 60) / 5</f>
        <v>29.000000003999997</v>
      </c>
      <c r="M989" t="str">
        <f>VLOOKUP(交易處理資料__3[[#This Row],[人員代號]],團隊分組!$B$1:$C$52,2,FALSE)</f>
        <v>查修團隊B</v>
      </c>
      <c r="N989" t="str">
        <f>IF(交易處理資料__3[[#This Row],[上班時間]]=0,"否","是")</f>
        <v>是</v>
      </c>
      <c r="O989" t="s">
        <v>76</v>
      </c>
      <c r="P989" s="38">
        <v>0.88848039220000008</v>
      </c>
      <c r="Q989" s="38">
        <v>0.29189999999999999</v>
      </c>
      <c r="R989" s="38">
        <v>0.48070000000000002</v>
      </c>
    </row>
    <row r="990" spans="1:18" hidden="1">
      <c r="A990" t="s">
        <v>76</v>
      </c>
      <c r="B990" t="s">
        <v>48</v>
      </c>
      <c r="C990">
        <v>2.5</v>
      </c>
      <c r="D990">
        <v>5.0599999999999996</v>
      </c>
      <c r="E990" s="29">
        <v>0.49407114620000003</v>
      </c>
      <c r="F990">
        <v>5.0599999999999996</v>
      </c>
      <c r="G990">
        <v>3.03</v>
      </c>
      <c r="H990">
        <v>8.09</v>
      </c>
      <c r="I990" s="29">
        <v>0.62549999999999994</v>
      </c>
      <c r="J990" s="29">
        <v>0.309</v>
      </c>
      <c r="K990" s="9">
        <v>45316</v>
      </c>
      <c r="L990">
        <f xml:space="preserve"> (交易處理資料__3[[#This Row],[售出工時]] * 60) / 5</f>
        <v>30</v>
      </c>
      <c r="M990" t="str">
        <f>VLOOKUP(交易處理資料__3[[#This Row],[人員代號]],團隊分組!$B$1:$C$52,2,FALSE)</f>
        <v>查修團隊A</v>
      </c>
      <c r="N990" t="str">
        <f>IF(交易處理資料__3[[#This Row],[上班時間]]=0,"否","是")</f>
        <v>是</v>
      </c>
      <c r="O990" t="s">
        <v>76</v>
      </c>
      <c r="P990" s="37">
        <v>0.49407114620000003</v>
      </c>
      <c r="Q990" s="37">
        <v>0.309</v>
      </c>
      <c r="R990" s="37">
        <v>0.62549999999999994</v>
      </c>
    </row>
    <row r="991" spans="1:18" hidden="1">
      <c r="A991" t="s">
        <v>76</v>
      </c>
      <c r="B991" t="s">
        <v>51</v>
      </c>
      <c r="C991">
        <v>0</v>
      </c>
      <c r="D991">
        <v>0</v>
      </c>
      <c r="E991" s="29">
        <v>0</v>
      </c>
      <c r="F991">
        <v>0</v>
      </c>
      <c r="G991">
        <v>0</v>
      </c>
      <c r="H991">
        <v>0</v>
      </c>
      <c r="I991" s="29">
        <v>0</v>
      </c>
      <c r="J991" s="29">
        <v>0</v>
      </c>
      <c r="K991" s="9">
        <v>45316</v>
      </c>
      <c r="L991">
        <f xml:space="preserve"> (交易處理資料__3[[#This Row],[售出工時]] * 60) / 5</f>
        <v>0</v>
      </c>
      <c r="M991" t="str">
        <f>VLOOKUP(交易處理資料__3[[#This Row],[人員代號]],團隊分組!$B$1:$C$52,2,FALSE)</f>
        <v>無效數據</v>
      </c>
      <c r="N991" t="str">
        <f>IF(交易處理資料__3[[#This Row],[上班時間]]=0,"否","是")</f>
        <v>否</v>
      </c>
      <c r="O991" t="s">
        <v>76</v>
      </c>
      <c r="P991" s="38">
        <v>0</v>
      </c>
      <c r="Q991" s="38">
        <v>0</v>
      </c>
      <c r="R991" s="38">
        <v>0</v>
      </c>
    </row>
    <row r="992" spans="1:18" hidden="1">
      <c r="A992" s="10" t="s">
        <v>74</v>
      </c>
      <c r="B992" t="s">
        <v>4</v>
      </c>
      <c r="C992">
        <v>0.5</v>
      </c>
      <c r="D992">
        <v>3.65</v>
      </c>
      <c r="E992" s="29">
        <v>0.13698630140000001</v>
      </c>
      <c r="F992">
        <v>6.86</v>
      </c>
      <c r="G992">
        <v>1.05</v>
      </c>
      <c r="H992">
        <v>7.91</v>
      </c>
      <c r="I992" s="29">
        <v>0.86730000000000007</v>
      </c>
      <c r="J992" s="29">
        <v>6.3200000000000006E-2</v>
      </c>
      <c r="K992" s="9">
        <v>45317</v>
      </c>
      <c r="L992">
        <f xml:space="preserve"> (交易處理資料__3[[#This Row],[售出工時]] * 60) / 5</f>
        <v>6</v>
      </c>
      <c r="M992" t="str">
        <f>VLOOKUP(交易處理資料__3[[#This Row],[人員代號]],團隊分組!$B$1:$C$52,2,FALSE)</f>
        <v>噴漆維修組</v>
      </c>
      <c r="N992" t="str">
        <f>IF(交易處理資料__3[[#This Row],[上班時間]]=0,"否","是")</f>
        <v>是</v>
      </c>
      <c r="O992" s="10" t="s">
        <v>74</v>
      </c>
      <c r="P992" s="37">
        <v>0.13698630140000001</v>
      </c>
      <c r="Q992" s="37">
        <v>6.3200000000000006E-2</v>
      </c>
      <c r="R992" s="37">
        <v>0.86730000000000007</v>
      </c>
    </row>
    <row r="993" spans="1:18" hidden="1">
      <c r="A993" s="10" t="s">
        <v>74</v>
      </c>
      <c r="B993" t="s">
        <v>8</v>
      </c>
      <c r="C993">
        <v>2.17</v>
      </c>
      <c r="D993">
        <v>7.33</v>
      </c>
      <c r="E993" s="29">
        <v>0.2960436562</v>
      </c>
      <c r="F993">
        <v>6.86</v>
      </c>
      <c r="G993">
        <v>1.05</v>
      </c>
      <c r="H993">
        <v>7.91</v>
      </c>
      <c r="I993" s="29">
        <v>0.86730000000000007</v>
      </c>
      <c r="J993" s="29">
        <v>0.27429999999999999</v>
      </c>
      <c r="K993" s="9">
        <v>45317</v>
      </c>
      <c r="L993">
        <f xml:space="preserve"> (交易處理資料__3[[#This Row],[售出工時]] * 60) / 5</f>
        <v>26.04</v>
      </c>
      <c r="M993" t="str">
        <f>VLOOKUP(交易處理資料__3[[#This Row],[人員代號]],團隊分組!$B$1:$C$52,2,FALSE)</f>
        <v>噴漆維修組</v>
      </c>
      <c r="N993" t="str">
        <f>IF(交易處理資料__3[[#This Row],[上班時間]]=0,"否","是")</f>
        <v>是</v>
      </c>
      <c r="O993" s="10" t="s">
        <v>74</v>
      </c>
      <c r="P993" s="38">
        <v>0.2960436562</v>
      </c>
      <c r="Q993" s="38">
        <v>0.27429999999999999</v>
      </c>
      <c r="R993" s="38">
        <v>0.86730000000000007</v>
      </c>
    </row>
    <row r="994" spans="1:18" hidden="1">
      <c r="A994" s="10" t="s">
        <v>74</v>
      </c>
      <c r="B994" t="s">
        <v>9</v>
      </c>
      <c r="C994">
        <v>5.1666666670000003</v>
      </c>
      <c r="D994">
        <v>3.43</v>
      </c>
      <c r="E994" s="29">
        <v>1.5063168120000001</v>
      </c>
      <c r="F994">
        <v>7.12</v>
      </c>
      <c r="G994">
        <v>0.86</v>
      </c>
      <c r="H994">
        <v>7.98</v>
      </c>
      <c r="I994" s="29">
        <v>0.89219999999999999</v>
      </c>
      <c r="J994" s="29">
        <v>0.64749999999999996</v>
      </c>
      <c r="K994" s="9">
        <v>45317</v>
      </c>
      <c r="L994">
        <f xml:space="preserve"> (交易處理資料__3[[#This Row],[售出工時]] * 60) / 5</f>
        <v>62.000000004</v>
      </c>
      <c r="M994" t="str">
        <f>VLOOKUP(交易處理資料__3[[#This Row],[人員代號]],團隊分組!$B$1:$C$52,2,FALSE)</f>
        <v>噴漆維修組</v>
      </c>
      <c r="N994" t="str">
        <f>IF(交易處理資料__3[[#This Row],[上班時間]]=0,"否","是")</f>
        <v>是</v>
      </c>
      <c r="O994" s="10" t="s">
        <v>74</v>
      </c>
      <c r="P994" s="37">
        <v>1.5063168120000001</v>
      </c>
      <c r="Q994" s="37">
        <v>0.64749999999999996</v>
      </c>
      <c r="R994" s="37">
        <v>0.89219999999999999</v>
      </c>
    </row>
    <row r="995" spans="1:18" hidden="1">
      <c r="A995" t="s">
        <v>75</v>
      </c>
      <c r="B995" t="s">
        <v>12</v>
      </c>
      <c r="C995">
        <v>6.4166666670000003</v>
      </c>
      <c r="D995">
        <v>7.88</v>
      </c>
      <c r="E995" s="29">
        <v>0.81429780029999999</v>
      </c>
      <c r="F995">
        <v>2.4500000000000002</v>
      </c>
      <c r="G995">
        <v>5.6</v>
      </c>
      <c r="H995">
        <v>8.0500000000000007</v>
      </c>
      <c r="I995" s="29">
        <v>0.30430000000000001</v>
      </c>
      <c r="J995" s="29">
        <v>0.79709999999999992</v>
      </c>
      <c r="K995" s="9">
        <v>45317</v>
      </c>
      <c r="L995">
        <f xml:space="preserve"> (交易處理資料__3[[#This Row],[售出工時]] * 60) / 5</f>
        <v>77.000000004</v>
      </c>
      <c r="M995" t="str">
        <f>VLOOKUP(交易處理資料__3[[#This Row],[人員代號]],團隊分組!$B$1:$C$52,2,FALSE)</f>
        <v>鈑金維修組</v>
      </c>
      <c r="N995" t="str">
        <f>IF(交易處理資料__3[[#This Row],[上班時間]]=0,"否","是")</f>
        <v>是</v>
      </c>
      <c r="O995" t="s">
        <v>75</v>
      </c>
      <c r="P995" s="38">
        <v>0.81429780029999999</v>
      </c>
      <c r="Q995" s="38">
        <v>0.79709999999999992</v>
      </c>
      <c r="R995" s="38">
        <v>0.30430000000000001</v>
      </c>
    </row>
    <row r="996" spans="1:18" hidden="1">
      <c r="A996" t="s">
        <v>75</v>
      </c>
      <c r="B996" t="s">
        <v>13</v>
      </c>
      <c r="C996">
        <v>17.84333333</v>
      </c>
      <c r="D996">
        <v>6.94</v>
      </c>
      <c r="E996" s="29">
        <v>2.5710854949999997</v>
      </c>
      <c r="F996">
        <v>6.58</v>
      </c>
      <c r="G996">
        <v>1.48</v>
      </c>
      <c r="H996">
        <v>8.06</v>
      </c>
      <c r="I996" s="29">
        <v>0.81640000000000001</v>
      </c>
      <c r="J996" s="29">
        <v>2.2138</v>
      </c>
      <c r="K996" s="9">
        <v>45317</v>
      </c>
      <c r="L996">
        <f xml:space="preserve"> (交易處理資料__3[[#This Row],[售出工時]] * 60) / 5</f>
        <v>214.11999996</v>
      </c>
      <c r="M996" t="str">
        <f>VLOOKUP(交易處理資料__3[[#This Row],[人員代號]],團隊分組!$B$1:$C$52,2,FALSE)</f>
        <v>鈑金維修組</v>
      </c>
      <c r="N996" t="str">
        <f>IF(交易處理資料__3[[#This Row],[上班時間]]=0,"否","是")</f>
        <v>是</v>
      </c>
      <c r="O996" t="s">
        <v>75</v>
      </c>
      <c r="P996" s="37">
        <v>2.5710854949999997</v>
      </c>
      <c r="Q996" s="37">
        <v>2.2138</v>
      </c>
      <c r="R996" s="37">
        <v>0.81640000000000001</v>
      </c>
    </row>
    <row r="997" spans="1:18" hidden="1">
      <c r="A997" t="s">
        <v>76</v>
      </c>
      <c r="B997" t="s">
        <v>18</v>
      </c>
      <c r="C997">
        <v>1.9166666670000001</v>
      </c>
      <c r="D997">
        <v>1.68</v>
      </c>
      <c r="E997" s="29">
        <v>1.140873016</v>
      </c>
      <c r="F997">
        <v>5.0999999999999996</v>
      </c>
      <c r="G997">
        <v>4.0999999999999996</v>
      </c>
      <c r="H997">
        <v>9.1999999999999993</v>
      </c>
      <c r="I997" s="29">
        <v>0.55430000000000001</v>
      </c>
      <c r="J997" s="29">
        <v>0.20829999999999999</v>
      </c>
      <c r="K997" s="9">
        <v>45317</v>
      </c>
      <c r="L997">
        <f xml:space="preserve"> (交易處理資料__3[[#This Row],[售出工時]] * 60) / 5</f>
        <v>23.000000004</v>
      </c>
      <c r="M997" t="str">
        <f>VLOOKUP(交易處理資料__3[[#This Row],[人員代號]],團隊分組!$B$1:$C$52,2,FALSE)</f>
        <v>查修團隊B</v>
      </c>
      <c r="N997" t="str">
        <f>IF(交易處理資料__3[[#This Row],[上班時間]]=0,"否","是")</f>
        <v>是</v>
      </c>
      <c r="O997" t="s">
        <v>76</v>
      </c>
      <c r="P997" s="38">
        <v>1.140873016</v>
      </c>
      <c r="Q997" s="38">
        <v>0.20829999999999999</v>
      </c>
      <c r="R997" s="38">
        <v>0.55430000000000001</v>
      </c>
    </row>
    <row r="998" spans="1:18" hidden="1">
      <c r="A998" t="s">
        <v>76</v>
      </c>
      <c r="B998" t="s">
        <v>20</v>
      </c>
      <c r="C998">
        <v>0</v>
      </c>
      <c r="D998">
        <v>0</v>
      </c>
      <c r="E998" s="29">
        <v>0</v>
      </c>
      <c r="F998">
        <v>2.96</v>
      </c>
      <c r="G998">
        <v>6.02</v>
      </c>
      <c r="H998">
        <v>8.98</v>
      </c>
      <c r="I998" s="29">
        <v>0.3296</v>
      </c>
      <c r="J998" s="29">
        <v>0</v>
      </c>
      <c r="K998" s="9">
        <v>45317</v>
      </c>
      <c r="L998">
        <f xml:space="preserve"> (交易處理資料__3[[#This Row],[售出工時]] * 60) / 5</f>
        <v>0</v>
      </c>
      <c r="M998" t="str">
        <f>VLOOKUP(交易處理資料__3[[#This Row],[人員代號]],團隊分組!$B$1:$C$52,2,FALSE)</f>
        <v>查修團隊B</v>
      </c>
      <c r="N998" t="str">
        <f>IF(交易處理資料__3[[#This Row],[上班時間]]=0,"否","是")</f>
        <v>是</v>
      </c>
      <c r="O998" t="s">
        <v>76</v>
      </c>
      <c r="P998" s="37">
        <v>0</v>
      </c>
      <c r="Q998" s="37">
        <v>0</v>
      </c>
      <c r="R998" s="37">
        <v>0.3296</v>
      </c>
    </row>
    <row r="999" spans="1:18" hidden="1">
      <c r="A999" t="s">
        <v>76</v>
      </c>
      <c r="B999" t="s">
        <v>21</v>
      </c>
      <c r="C999">
        <v>5.5833333329999997</v>
      </c>
      <c r="D999">
        <v>6.96</v>
      </c>
      <c r="E999" s="29">
        <v>0.80220306510000006</v>
      </c>
      <c r="F999">
        <v>4.71</v>
      </c>
      <c r="G999">
        <v>4.28</v>
      </c>
      <c r="H999">
        <v>8.99</v>
      </c>
      <c r="I999" s="29">
        <v>0.52390000000000003</v>
      </c>
      <c r="J999" s="29">
        <v>0.62109999999999999</v>
      </c>
      <c r="K999" s="9">
        <v>45317</v>
      </c>
      <c r="L999">
        <f xml:space="preserve"> (交易處理資料__3[[#This Row],[售出工時]] * 60) / 5</f>
        <v>66.999999996</v>
      </c>
      <c r="M999" t="str">
        <f>VLOOKUP(交易處理資料__3[[#This Row],[人員代號]],團隊分組!$B$1:$C$52,2,FALSE)</f>
        <v>查修團隊B</v>
      </c>
      <c r="N999" t="str">
        <f>IF(交易處理資料__3[[#This Row],[上班時間]]=0,"否","是")</f>
        <v>是</v>
      </c>
      <c r="O999" t="s">
        <v>76</v>
      </c>
      <c r="P999" s="38">
        <v>0.80220306510000006</v>
      </c>
      <c r="Q999" s="38">
        <v>0.62109999999999999</v>
      </c>
      <c r="R999" s="38">
        <v>0.52390000000000003</v>
      </c>
    </row>
    <row r="1000" spans="1:18" hidden="1">
      <c r="A1000" t="s">
        <v>76</v>
      </c>
      <c r="B1000" t="s">
        <v>22</v>
      </c>
      <c r="C1000">
        <v>0</v>
      </c>
      <c r="D1000">
        <v>0</v>
      </c>
      <c r="E1000" s="29">
        <v>0</v>
      </c>
      <c r="F1000">
        <v>0</v>
      </c>
      <c r="G1000">
        <v>0</v>
      </c>
      <c r="H1000">
        <v>0</v>
      </c>
      <c r="I1000" s="29">
        <v>0</v>
      </c>
      <c r="J1000" s="29">
        <v>0</v>
      </c>
      <c r="K1000" s="9">
        <v>45317</v>
      </c>
      <c r="L1000">
        <f xml:space="preserve"> (交易處理資料__3[[#This Row],[售出工時]] * 60) / 5</f>
        <v>0</v>
      </c>
      <c r="M1000" t="str">
        <f>VLOOKUP(交易處理資料__3[[#This Row],[人員代號]],團隊分組!$B$1:$C$52,2,FALSE)</f>
        <v>快速保養團隊A</v>
      </c>
      <c r="N1000" t="str">
        <f>IF(交易處理資料__3[[#This Row],[上班時間]]=0,"否","是")</f>
        <v>否</v>
      </c>
      <c r="O1000" t="s">
        <v>76</v>
      </c>
      <c r="P1000" s="37">
        <v>0</v>
      </c>
      <c r="Q1000" s="37">
        <v>0</v>
      </c>
      <c r="R1000" s="37">
        <v>0</v>
      </c>
    </row>
    <row r="1001" spans="1:18" hidden="1">
      <c r="A1001" t="s">
        <v>76</v>
      </c>
      <c r="B1001" t="s">
        <v>26</v>
      </c>
      <c r="C1001">
        <v>0.33333333300000001</v>
      </c>
      <c r="D1001">
        <v>0.67</v>
      </c>
      <c r="E1001" s="29">
        <v>0.49751243780000004</v>
      </c>
      <c r="F1001">
        <v>1.33</v>
      </c>
      <c r="G1001">
        <v>7.63</v>
      </c>
      <c r="H1001">
        <v>8.9600000000000009</v>
      </c>
      <c r="I1001" s="29">
        <v>0.1484</v>
      </c>
      <c r="J1001" s="29">
        <v>3.7200000000000004E-2</v>
      </c>
      <c r="K1001" s="9">
        <v>45317</v>
      </c>
      <c r="L1001">
        <f xml:space="preserve"> (交易處理資料__3[[#This Row],[售出工時]] * 60) / 5</f>
        <v>3.9999999960000006</v>
      </c>
      <c r="M1001" t="str">
        <f>VLOOKUP(交易處理資料__3[[#This Row],[人員代號]],團隊分組!$B$1:$C$52,2,FALSE)</f>
        <v>查修團隊B</v>
      </c>
      <c r="N1001" t="str">
        <f>IF(交易處理資料__3[[#This Row],[上班時間]]=0,"否","是")</f>
        <v>是</v>
      </c>
      <c r="O1001" t="s">
        <v>76</v>
      </c>
      <c r="P1001" s="38">
        <v>0.49751243780000004</v>
      </c>
      <c r="Q1001" s="38">
        <v>3.7200000000000004E-2</v>
      </c>
      <c r="R1001" s="38">
        <v>0.1484</v>
      </c>
    </row>
    <row r="1002" spans="1:18" hidden="1">
      <c r="A1002" t="s">
        <v>76</v>
      </c>
      <c r="B1002" t="s">
        <v>28</v>
      </c>
      <c r="C1002">
        <v>9.4166666669999994</v>
      </c>
      <c r="D1002">
        <v>7.41</v>
      </c>
      <c r="E1002" s="29">
        <v>1.270805218</v>
      </c>
      <c r="F1002">
        <v>7.4</v>
      </c>
      <c r="G1002">
        <v>0.62</v>
      </c>
      <c r="H1002">
        <v>8.02</v>
      </c>
      <c r="I1002" s="29">
        <v>0.92269999999999996</v>
      </c>
      <c r="J1002" s="29">
        <v>1.1740999999999999</v>
      </c>
      <c r="K1002" s="9">
        <v>45317</v>
      </c>
      <c r="L1002">
        <f xml:space="preserve"> (交易處理資料__3[[#This Row],[售出工時]] * 60) / 5</f>
        <v>113.000000004</v>
      </c>
      <c r="M1002" t="str">
        <f>VLOOKUP(交易處理資料__3[[#This Row],[人員代號]],團隊分組!$B$1:$C$52,2,FALSE)</f>
        <v>快速保養團隊A</v>
      </c>
      <c r="N1002" t="str">
        <f>IF(交易處理資料__3[[#This Row],[上班時間]]=0,"否","是")</f>
        <v>是</v>
      </c>
      <c r="O1002" t="s">
        <v>76</v>
      </c>
      <c r="P1002" s="37">
        <v>1.270805218</v>
      </c>
      <c r="Q1002" s="37">
        <v>1.1740999999999999</v>
      </c>
      <c r="R1002" s="37">
        <v>0.92269999999999996</v>
      </c>
    </row>
    <row r="1003" spans="1:18" hidden="1">
      <c r="A1003" t="s">
        <v>76</v>
      </c>
      <c r="B1003" t="s">
        <v>30</v>
      </c>
      <c r="C1003">
        <v>7.95</v>
      </c>
      <c r="D1003">
        <v>7.02</v>
      </c>
      <c r="E1003" s="29">
        <v>1.132478632</v>
      </c>
      <c r="F1003">
        <v>6.86</v>
      </c>
      <c r="G1003">
        <v>3.37</v>
      </c>
      <c r="H1003">
        <v>10.23</v>
      </c>
      <c r="I1003" s="29">
        <v>0.67059999999999997</v>
      </c>
      <c r="J1003" s="29">
        <v>0.7770999999999999</v>
      </c>
      <c r="K1003" s="9">
        <v>45317</v>
      </c>
      <c r="L1003">
        <f xml:space="preserve"> (交易處理資料__3[[#This Row],[售出工時]] * 60) / 5</f>
        <v>95.4</v>
      </c>
      <c r="M1003" t="str">
        <f>VLOOKUP(交易處理資料__3[[#This Row],[人員代號]],團隊分組!$B$1:$C$52,2,FALSE)</f>
        <v>快速保養團隊B</v>
      </c>
      <c r="N1003" t="str">
        <f>IF(交易處理資料__3[[#This Row],[上班時間]]=0,"否","是")</f>
        <v>是</v>
      </c>
      <c r="O1003" t="s">
        <v>76</v>
      </c>
      <c r="P1003" s="38">
        <v>1.132478632</v>
      </c>
      <c r="Q1003" s="38">
        <v>0.7770999999999999</v>
      </c>
      <c r="R1003" s="38">
        <v>0.67059999999999997</v>
      </c>
    </row>
    <row r="1004" spans="1:18" hidden="1">
      <c r="A1004" t="s">
        <v>76</v>
      </c>
      <c r="B1004" t="s">
        <v>33</v>
      </c>
      <c r="C1004">
        <v>0</v>
      </c>
      <c r="D1004">
        <v>0</v>
      </c>
      <c r="E1004" s="29">
        <v>0</v>
      </c>
      <c r="F1004">
        <v>0</v>
      </c>
      <c r="G1004">
        <v>0</v>
      </c>
      <c r="H1004">
        <v>0</v>
      </c>
      <c r="I1004" s="29">
        <v>0</v>
      </c>
      <c r="J1004" s="29">
        <v>0</v>
      </c>
      <c r="K1004" s="9">
        <v>45317</v>
      </c>
      <c r="L1004">
        <f xml:space="preserve"> (交易處理資料__3[[#This Row],[售出工時]] * 60) / 5</f>
        <v>0</v>
      </c>
      <c r="M1004" t="str">
        <f>VLOOKUP(交易處理資料__3[[#This Row],[人員代號]],團隊分組!$B$1:$C$52,2,FALSE)</f>
        <v>快速保養團隊B</v>
      </c>
      <c r="N1004" t="str">
        <f>IF(交易處理資料__3[[#This Row],[上班時間]]=0,"否","是")</f>
        <v>否</v>
      </c>
      <c r="O1004" t="s">
        <v>76</v>
      </c>
      <c r="P1004" s="37">
        <v>0</v>
      </c>
      <c r="Q1004" s="37">
        <v>0</v>
      </c>
      <c r="R1004" s="37">
        <v>0</v>
      </c>
    </row>
    <row r="1005" spans="1:18" hidden="1">
      <c r="A1005" t="s">
        <v>76</v>
      </c>
      <c r="B1005" t="s">
        <v>34</v>
      </c>
      <c r="C1005">
        <v>9.8333333330000006</v>
      </c>
      <c r="D1005">
        <v>7.92</v>
      </c>
      <c r="E1005" s="29">
        <v>1.241582492</v>
      </c>
      <c r="F1005">
        <v>7.66</v>
      </c>
      <c r="G1005">
        <v>0.33</v>
      </c>
      <c r="H1005">
        <v>7.99</v>
      </c>
      <c r="I1005" s="29">
        <v>0.9587</v>
      </c>
      <c r="J1005" s="29">
        <v>1.2306999999999999</v>
      </c>
      <c r="K1005" s="9">
        <v>45317</v>
      </c>
      <c r="L1005">
        <f xml:space="preserve"> (交易處理資料__3[[#This Row],[售出工時]] * 60) / 5</f>
        <v>117.999999996</v>
      </c>
      <c r="M1005" t="str">
        <f>VLOOKUP(交易處理資料__3[[#This Row],[人員代號]],團隊分組!$B$1:$C$52,2,FALSE)</f>
        <v>快速保養團隊A</v>
      </c>
      <c r="N1005" t="str">
        <f>IF(交易處理資料__3[[#This Row],[上班時間]]=0,"否","是")</f>
        <v>是</v>
      </c>
      <c r="O1005" t="s">
        <v>76</v>
      </c>
      <c r="P1005" s="38">
        <v>1.241582492</v>
      </c>
      <c r="Q1005" s="38">
        <v>1.2306999999999999</v>
      </c>
      <c r="R1005" s="38">
        <v>0.9587</v>
      </c>
    </row>
    <row r="1006" spans="1:18" hidden="1">
      <c r="A1006" t="s">
        <v>76</v>
      </c>
      <c r="B1006" t="s">
        <v>35</v>
      </c>
      <c r="C1006">
        <v>3</v>
      </c>
      <c r="D1006">
        <v>2.98</v>
      </c>
      <c r="E1006" s="29">
        <v>1.006711409</v>
      </c>
      <c r="F1006">
        <v>4.47</v>
      </c>
      <c r="G1006">
        <v>4.49</v>
      </c>
      <c r="H1006">
        <v>8.9600000000000009</v>
      </c>
      <c r="I1006" s="29">
        <v>0.49890000000000001</v>
      </c>
      <c r="J1006" s="29">
        <v>0.33479999999999999</v>
      </c>
      <c r="K1006" s="9">
        <v>45317</v>
      </c>
      <c r="L1006">
        <f xml:space="preserve"> (交易處理資料__3[[#This Row],[售出工時]] * 60) / 5</f>
        <v>36</v>
      </c>
      <c r="M1006" t="str">
        <f>VLOOKUP(交易處理資料__3[[#This Row],[人員代號]],團隊分組!$B$1:$C$52,2,FALSE)</f>
        <v>查修團隊B</v>
      </c>
      <c r="N1006" t="str">
        <f>IF(交易處理資料__3[[#This Row],[上班時間]]=0,"否","是")</f>
        <v>是</v>
      </c>
      <c r="O1006" t="s">
        <v>76</v>
      </c>
      <c r="P1006" s="37">
        <v>1.006711409</v>
      </c>
      <c r="Q1006" s="37">
        <v>0.33479999999999999</v>
      </c>
      <c r="R1006" s="37">
        <v>0.49890000000000001</v>
      </c>
    </row>
    <row r="1007" spans="1:18" hidden="1">
      <c r="A1007" t="s">
        <v>76</v>
      </c>
      <c r="B1007" t="s">
        <v>36</v>
      </c>
      <c r="C1007">
        <v>3.26</v>
      </c>
      <c r="D1007">
        <v>7.61</v>
      </c>
      <c r="E1007" s="29">
        <v>0.42838370570000001</v>
      </c>
      <c r="F1007">
        <v>2.1800000000000002</v>
      </c>
      <c r="G1007">
        <v>6.78</v>
      </c>
      <c r="H1007">
        <v>8.9600000000000009</v>
      </c>
      <c r="I1007" s="29">
        <v>0.24329999999999999</v>
      </c>
      <c r="J1007" s="29">
        <v>0.36380000000000001</v>
      </c>
      <c r="K1007" s="9">
        <v>45317</v>
      </c>
      <c r="L1007">
        <f xml:space="preserve"> (交易處理資料__3[[#This Row],[售出工時]] * 60) / 5</f>
        <v>39.119999999999997</v>
      </c>
      <c r="M1007" t="str">
        <f>VLOOKUP(交易處理資料__3[[#This Row],[人員代號]],團隊分組!$B$1:$C$52,2,FALSE)</f>
        <v>查修團隊B</v>
      </c>
      <c r="N1007" t="str">
        <f>IF(交易處理資料__3[[#This Row],[上班時間]]=0,"否","是")</f>
        <v>是</v>
      </c>
      <c r="O1007" t="s">
        <v>76</v>
      </c>
      <c r="P1007" s="38">
        <v>0.42838370570000001</v>
      </c>
      <c r="Q1007" s="38">
        <v>0.36380000000000001</v>
      </c>
      <c r="R1007" s="38">
        <v>0.24329999999999999</v>
      </c>
    </row>
    <row r="1008" spans="1:18" hidden="1">
      <c r="A1008" t="s">
        <v>76</v>
      </c>
      <c r="B1008" t="s">
        <v>40</v>
      </c>
      <c r="C1008">
        <v>0</v>
      </c>
      <c r="D1008">
        <v>0</v>
      </c>
      <c r="E1008" s="29">
        <v>0</v>
      </c>
      <c r="F1008">
        <v>0</v>
      </c>
      <c r="G1008">
        <v>0.1</v>
      </c>
      <c r="H1008">
        <v>0.1</v>
      </c>
      <c r="I1008" s="29">
        <v>0</v>
      </c>
      <c r="J1008" s="29">
        <v>0</v>
      </c>
      <c r="K1008" s="9">
        <v>45317</v>
      </c>
      <c r="L1008">
        <f xml:space="preserve"> (交易處理資料__3[[#This Row],[售出工時]] * 60) / 5</f>
        <v>0</v>
      </c>
      <c r="M1008" t="str">
        <f>VLOOKUP(交易處理資料__3[[#This Row],[人員代號]],團隊分組!$B$1:$C$52,2,FALSE)</f>
        <v>查修團隊A</v>
      </c>
      <c r="N1008" t="str">
        <f>IF(交易處理資料__3[[#This Row],[上班時間]]=0,"否","是")</f>
        <v>是</v>
      </c>
      <c r="O1008" t="s">
        <v>76</v>
      </c>
      <c r="P1008" s="37">
        <v>0</v>
      </c>
      <c r="Q1008" s="37">
        <v>0</v>
      </c>
      <c r="R1008" s="37">
        <v>0</v>
      </c>
    </row>
    <row r="1009" spans="1:18" hidden="1">
      <c r="A1009" t="s">
        <v>76</v>
      </c>
      <c r="B1009" t="s">
        <v>42</v>
      </c>
      <c r="C1009">
        <v>10.58333333</v>
      </c>
      <c r="D1009">
        <v>5.17</v>
      </c>
      <c r="E1009" s="29">
        <v>2.0470664090000001</v>
      </c>
      <c r="F1009">
        <v>6.39</v>
      </c>
      <c r="G1009">
        <v>1.6</v>
      </c>
      <c r="H1009">
        <v>7.99</v>
      </c>
      <c r="I1009" s="29">
        <v>0.79969999999999997</v>
      </c>
      <c r="J1009" s="29">
        <v>1.3246</v>
      </c>
      <c r="K1009" s="9">
        <v>45317</v>
      </c>
      <c r="L1009">
        <f xml:space="preserve"> (交易處理資料__3[[#This Row],[售出工時]] * 60) / 5</f>
        <v>126.99999996000001</v>
      </c>
      <c r="M1009" t="str">
        <f>VLOOKUP(交易處理資料__3[[#This Row],[人員代號]],團隊分組!$B$1:$C$52,2,FALSE)</f>
        <v>快速保養團隊A</v>
      </c>
      <c r="N1009" t="str">
        <f>IF(交易處理資料__3[[#This Row],[上班時間]]=0,"否","是")</f>
        <v>是</v>
      </c>
      <c r="O1009" t="s">
        <v>76</v>
      </c>
      <c r="P1009" s="38">
        <v>2.0470664090000001</v>
      </c>
      <c r="Q1009" s="38">
        <v>1.3246</v>
      </c>
      <c r="R1009" s="38">
        <v>0.79969999999999997</v>
      </c>
    </row>
    <row r="1010" spans="1:18" hidden="1">
      <c r="A1010" t="s">
        <v>76</v>
      </c>
      <c r="B1010" t="s">
        <v>43</v>
      </c>
      <c r="C1010">
        <v>3.746666667</v>
      </c>
      <c r="D1010">
        <v>8.8800000000000008</v>
      </c>
      <c r="E1010" s="29">
        <v>0.4219219219</v>
      </c>
      <c r="F1010">
        <v>0</v>
      </c>
      <c r="G1010">
        <v>9.5500000000000007</v>
      </c>
      <c r="H1010">
        <v>9.5500000000000007</v>
      </c>
      <c r="I1010" s="29">
        <v>0</v>
      </c>
      <c r="J1010" s="29">
        <v>0.39229999999999998</v>
      </c>
      <c r="K1010" s="9">
        <v>45317</v>
      </c>
      <c r="L1010">
        <f xml:space="preserve"> (交易處理資料__3[[#This Row],[售出工時]] * 60) / 5</f>
        <v>44.960000004000001</v>
      </c>
      <c r="M1010" t="str">
        <f>VLOOKUP(交易處理資料__3[[#This Row],[人員代號]],團隊分組!$B$1:$C$52,2,FALSE)</f>
        <v>查修團隊B</v>
      </c>
      <c r="N1010" t="str">
        <f>IF(交易處理資料__3[[#This Row],[上班時間]]=0,"否","是")</f>
        <v>是</v>
      </c>
      <c r="O1010" t="s">
        <v>76</v>
      </c>
      <c r="P1010" s="37">
        <v>0.4219219219</v>
      </c>
      <c r="Q1010" s="37">
        <v>0.39229999999999998</v>
      </c>
      <c r="R1010" s="37">
        <v>0</v>
      </c>
    </row>
    <row r="1011" spans="1:18" hidden="1">
      <c r="A1011" t="s">
        <v>76</v>
      </c>
      <c r="B1011" t="s">
        <v>44</v>
      </c>
      <c r="C1011">
        <v>8.8966666669999999</v>
      </c>
      <c r="D1011">
        <v>6.58</v>
      </c>
      <c r="E1011" s="29">
        <v>1.3520770010000001</v>
      </c>
      <c r="F1011">
        <v>7.96</v>
      </c>
      <c r="G1011">
        <v>0.09</v>
      </c>
      <c r="H1011">
        <v>8.0500000000000007</v>
      </c>
      <c r="I1011" s="29">
        <v>0.9887999999999999</v>
      </c>
      <c r="J1011" s="29">
        <v>1.1052</v>
      </c>
      <c r="K1011" s="9">
        <v>45317</v>
      </c>
      <c r="L1011">
        <f xml:space="preserve"> (交易處理資料__3[[#This Row],[售出工時]] * 60) / 5</f>
        <v>106.76000000399999</v>
      </c>
      <c r="M1011" t="str">
        <f>VLOOKUP(交易處理資料__3[[#This Row],[人員代號]],團隊分組!$B$1:$C$52,2,FALSE)</f>
        <v>快速保養團隊B</v>
      </c>
      <c r="N1011" t="str">
        <f>IF(交易處理資料__3[[#This Row],[上班時間]]=0,"否","是")</f>
        <v>是</v>
      </c>
      <c r="O1011" t="s">
        <v>76</v>
      </c>
      <c r="P1011" s="38">
        <v>1.3520770010000001</v>
      </c>
      <c r="Q1011" s="38">
        <v>1.1052</v>
      </c>
      <c r="R1011" s="38">
        <v>0.9887999999999999</v>
      </c>
    </row>
    <row r="1012" spans="1:18" hidden="1">
      <c r="A1012" t="s">
        <v>76</v>
      </c>
      <c r="B1012" t="s">
        <v>45</v>
      </c>
      <c r="C1012">
        <v>17.916666670000001</v>
      </c>
      <c r="D1012">
        <v>7.62</v>
      </c>
      <c r="E1012" s="29">
        <v>2.3512685909999997</v>
      </c>
      <c r="F1012">
        <v>7.34</v>
      </c>
      <c r="G1012">
        <v>1.38</v>
      </c>
      <c r="H1012">
        <v>8.7200000000000006</v>
      </c>
      <c r="I1012" s="29">
        <v>0.8417</v>
      </c>
      <c r="J1012" s="29">
        <v>2.0547</v>
      </c>
      <c r="K1012" s="9">
        <v>45317</v>
      </c>
      <c r="L1012">
        <f xml:space="preserve"> (交易處理資料__3[[#This Row],[售出工時]] * 60) / 5</f>
        <v>215.00000004000003</v>
      </c>
      <c r="M1012" t="str">
        <f>VLOOKUP(交易處理資料__3[[#This Row],[人員代號]],團隊分組!$B$1:$C$52,2,FALSE)</f>
        <v>快速保養團隊A</v>
      </c>
      <c r="N1012" t="str">
        <f>IF(交易處理資料__3[[#This Row],[上班時間]]=0,"否","是")</f>
        <v>是</v>
      </c>
      <c r="O1012" t="s">
        <v>76</v>
      </c>
      <c r="P1012" s="37">
        <v>2.3512685909999997</v>
      </c>
      <c r="Q1012" s="37">
        <v>2.0547</v>
      </c>
      <c r="R1012" s="37">
        <v>0.8417</v>
      </c>
    </row>
    <row r="1013" spans="1:18" hidden="1">
      <c r="A1013" t="s">
        <v>76</v>
      </c>
      <c r="B1013" t="s">
        <v>47</v>
      </c>
      <c r="C1013">
        <v>0</v>
      </c>
      <c r="D1013">
        <v>0</v>
      </c>
      <c r="E1013" s="29">
        <v>0</v>
      </c>
      <c r="F1013">
        <v>3.7</v>
      </c>
      <c r="G1013">
        <v>5.26</v>
      </c>
      <c r="H1013">
        <v>8.9600000000000009</v>
      </c>
      <c r="I1013" s="29">
        <v>0.41289999999999999</v>
      </c>
      <c r="J1013" s="29">
        <v>0</v>
      </c>
      <c r="K1013" s="9">
        <v>45317</v>
      </c>
      <c r="L1013">
        <f xml:space="preserve"> (交易處理資料__3[[#This Row],[售出工時]] * 60) / 5</f>
        <v>0</v>
      </c>
      <c r="M1013" t="str">
        <f>VLOOKUP(交易處理資料__3[[#This Row],[人員代號]],團隊分組!$B$1:$C$52,2,FALSE)</f>
        <v>查修團隊B</v>
      </c>
      <c r="N1013" t="str">
        <f>IF(交易處理資料__3[[#This Row],[上班時間]]=0,"否","是")</f>
        <v>是</v>
      </c>
      <c r="O1013" t="s">
        <v>76</v>
      </c>
      <c r="P1013" s="38">
        <v>0</v>
      </c>
      <c r="Q1013" s="38">
        <v>0</v>
      </c>
      <c r="R1013" s="38">
        <v>0.41289999999999999</v>
      </c>
    </row>
    <row r="1014" spans="1:18" hidden="1">
      <c r="A1014" t="s">
        <v>76</v>
      </c>
      <c r="B1014" t="s">
        <v>48</v>
      </c>
      <c r="C1014">
        <v>1.5</v>
      </c>
      <c r="D1014">
        <v>7.98</v>
      </c>
      <c r="E1014" s="29">
        <v>0.18796992479999999</v>
      </c>
      <c r="F1014">
        <v>5.57</v>
      </c>
      <c r="G1014">
        <v>2.66</v>
      </c>
      <c r="H1014">
        <v>8.23</v>
      </c>
      <c r="I1014" s="29">
        <v>0.67680000000000007</v>
      </c>
      <c r="J1014" s="29">
        <v>0.18230000000000002</v>
      </c>
      <c r="K1014" s="9">
        <v>45317</v>
      </c>
      <c r="L1014">
        <f xml:space="preserve"> (交易處理資料__3[[#This Row],[售出工時]] * 60) / 5</f>
        <v>18</v>
      </c>
      <c r="M1014" t="str">
        <f>VLOOKUP(交易處理資料__3[[#This Row],[人員代號]],團隊分組!$B$1:$C$52,2,FALSE)</f>
        <v>查修團隊A</v>
      </c>
      <c r="N1014" t="str">
        <f>IF(交易處理資料__3[[#This Row],[上班時間]]=0,"否","是")</f>
        <v>是</v>
      </c>
      <c r="O1014" t="s">
        <v>76</v>
      </c>
      <c r="P1014" s="37">
        <v>0.18796992479999999</v>
      </c>
      <c r="Q1014" s="37">
        <v>0.18230000000000002</v>
      </c>
      <c r="R1014" s="37">
        <v>0.67680000000000007</v>
      </c>
    </row>
    <row r="1015" spans="1:18" hidden="1">
      <c r="A1015" t="s">
        <v>76</v>
      </c>
      <c r="B1015" t="s">
        <v>50</v>
      </c>
      <c r="C1015">
        <v>10.08666667</v>
      </c>
      <c r="D1015">
        <v>6.43</v>
      </c>
      <c r="E1015" s="29">
        <v>1.5686884399999999</v>
      </c>
      <c r="F1015">
        <v>7.96</v>
      </c>
      <c r="G1015">
        <v>0.08</v>
      </c>
      <c r="H1015">
        <v>8.0399999999999991</v>
      </c>
      <c r="I1015" s="29">
        <v>0.99</v>
      </c>
      <c r="J1015" s="29">
        <v>1.2545999999999999</v>
      </c>
      <c r="K1015" s="9">
        <v>45317</v>
      </c>
      <c r="L1015">
        <f xml:space="preserve"> (交易處理資料__3[[#This Row],[售出工時]] * 60) / 5</f>
        <v>121.04000004</v>
      </c>
      <c r="M1015" t="str">
        <f>VLOOKUP(交易處理資料__3[[#This Row],[人員代號]],團隊分組!$B$1:$C$52,2,FALSE)</f>
        <v>快速保養團隊B</v>
      </c>
      <c r="N1015" t="str">
        <f>IF(交易處理資料__3[[#This Row],[上班時間]]=0,"否","是")</f>
        <v>是</v>
      </c>
      <c r="O1015" t="s">
        <v>76</v>
      </c>
      <c r="P1015" s="38">
        <v>1.5686884399999999</v>
      </c>
      <c r="Q1015" s="38">
        <v>1.2545999999999999</v>
      </c>
      <c r="R1015" s="38">
        <v>0.99</v>
      </c>
    </row>
    <row r="1016" spans="1:18" hidden="1">
      <c r="A1016" t="s">
        <v>76</v>
      </c>
      <c r="B1016" t="s">
        <v>51</v>
      </c>
      <c r="C1016">
        <v>0</v>
      </c>
      <c r="D1016">
        <v>0</v>
      </c>
      <c r="E1016" s="29">
        <v>0</v>
      </c>
      <c r="F1016">
        <v>0</v>
      </c>
      <c r="G1016">
        <v>0</v>
      </c>
      <c r="H1016">
        <v>0</v>
      </c>
      <c r="I1016" s="29">
        <v>0</v>
      </c>
      <c r="J1016" s="29">
        <v>0</v>
      </c>
      <c r="K1016" s="9">
        <v>45317</v>
      </c>
      <c r="L1016">
        <f xml:space="preserve"> (交易處理資料__3[[#This Row],[售出工時]] * 60) / 5</f>
        <v>0</v>
      </c>
      <c r="M1016" t="str">
        <f>VLOOKUP(交易處理資料__3[[#This Row],[人員代號]],團隊分組!$B$1:$C$52,2,FALSE)</f>
        <v>無效數據</v>
      </c>
      <c r="N1016" t="str">
        <f>IF(交易處理資料__3[[#This Row],[上班時間]]=0,"否","是")</f>
        <v>否</v>
      </c>
      <c r="O1016" t="s">
        <v>76</v>
      </c>
      <c r="P1016" s="37">
        <v>0</v>
      </c>
      <c r="Q1016" s="37">
        <v>0</v>
      </c>
      <c r="R1016" s="37">
        <v>0</v>
      </c>
    </row>
    <row r="1017" spans="1:18" hidden="1">
      <c r="A1017" t="s">
        <v>76</v>
      </c>
      <c r="B1017" t="s">
        <v>53</v>
      </c>
      <c r="C1017">
        <v>1.3333333329999999</v>
      </c>
      <c r="D1017">
        <v>1.2</v>
      </c>
      <c r="E1017" s="29">
        <v>1.111111111</v>
      </c>
      <c r="F1017">
        <v>7.26</v>
      </c>
      <c r="G1017">
        <v>0.76</v>
      </c>
      <c r="H1017">
        <v>8.02</v>
      </c>
      <c r="I1017" s="29">
        <v>0.9052</v>
      </c>
      <c r="J1017" s="29">
        <v>0.1663</v>
      </c>
      <c r="K1017" s="9">
        <v>45317</v>
      </c>
      <c r="L1017">
        <f xml:space="preserve"> (交易處理資料__3[[#This Row],[售出工時]] * 60) / 5</f>
        <v>15.999999996</v>
      </c>
      <c r="M1017" t="str">
        <f>VLOOKUP(交易處理資料__3[[#This Row],[人員代號]],團隊分組!$B$1:$C$52,2,FALSE)</f>
        <v>查修團隊A</v>
      </c>
      <c r="N1017" t="str">
        <f>IF(交易處理資料__3[[#This Row],[上班時間]]=0,"否","是")</f>
        <v>是</v>
      </c>
      <c r="O1017" t="s">
        <v>76</v>
      </c>
      <c r="P1017" s="38">
        <v>1.111111111</v>
      </c>
      <c r="Q1017" s="38">
        <v>0.1663</v>
      </c>
      <c r="R1017" s="38">
        <v>0.9052</v>
      </c>
    </row>
    <row r="1018" spans="1:18" hidden="1">
      <c r="A1018" s="10" t="s">
        <v>74</v>
      </c>
      <c r="B1018" t="s">
        <v>1</v>
      </c>
      <c r="C1018">
        <v>0</v>
      </c>
      <c r="D1018">
        <v>0</v>
      </c>
      <c r="E1018" s="29">
        <v>0</v>
      </c>
      <c r="F1018">
        <v>0</v>
      </c>
      <c r="G1018">
        <v>0</v>
      </c>
      <c r="H1018">
        <v>0</v>
      </c>
      <c r="I1018" s="29">
        <v>0</v>
      </c>
      <c r="J1018" s="29">
        <v>0</v>
      </c>
      <c r="K1018" s="9">
        <v>45318</v>
      </c>
      <c r="L1018">
        <f xml:space="preserve"> (交易處理資料__3[[#This Row],[售出工時]] * 60) / 5</f>
        <v>0</v>
      </c>
      <c r="M1018" t="str">
        <f>VLOOKUP(交易處理資料__3[[#This Row],[人員代號]],團隊分組!$B$1:$C$52,2,FALSE)</f>
        <v>噴漆維修組</v>
      </c>
      <c r="N1018" t="str">
        <f>IF(交易處理資料__3[[#This Row],[上班時間]]=0,"否","是")</f>
        <v>否</v>
      </c>
      <c r="O1018" s="10" t="s">
        <v>74</v>
      </c>
      <c r="P1018" s="37">
        <v>0</v>
      </c>
      <c r="Q1018" s="37">
        <v>0</v>
      </c>
      <c r="R1018" s="37">
        <v>0</v>
      </c>
    </row>
    <row r="1019" spans="1:18" hidden="1">
      <c r="A1019" s="10" t="s">
        <v>74</v>
      </c>
      <c r="B1019" t="s">
        <v>2</v>
      </c>
      <c r="C1019">
        <v>0</v>
      </c>
      <c r="D1019">
        <v>0</v>
      </c>
      <c r="E1019" s="29">
        <v>0</v>
      </c>
      <c r="F1019">
        <v>0</v>
      </c>
      <c r="G1019">
        <v>0</v>
      </c>
      <c r="H1019">
        <v>0</v>
      </c>
      <c r="I1019" s="29">
        <v>0</v>
      </c>
      <c r="J1019" s="29">
        <v>0</v>
      </c>
      <c r="K1019" s="9">
        <v>45318</v>
      </c>
      <c r="L1019">
        <f xml:space="preserve"> (交易處理資料__3[[#This Row],[售出工時]] * 60) / 5</f>
        <v>0</v>
      </c>
      <c r="M1019" t="str">
        <f>VLOOKUP(交易處理資料__3[[#This Row],[人員代號]],團隊分組!$B$1:$C$52,2,FALSE)</f>
        <v>噴漆維修組</v>
      </c>
      <c r="N1019" t="str">
        <f>IF(交易處理資料__3[[#This Row],[上班時間]]=0,"否","是")</f>
        <v>否</v>
      </c>
      <c r="O1019" s="10" t="s">
        <v>74</v>
      </c>
      <c r="P1019" s="38">
        <v>0</v>
      </c>
      <c r="Q1019" s="38">
        <v>0</v>
      </c>
      <c r="R1019" s="38">
        <v>0</v>
      </c>
    </row>
    <row r="1020" spans="1:18" hidden="1">
      <c r="A1020" s="10" t="s">
        <v>74</v>
      </c>
      <c r="B1020" t="s">
        <v>3</v>
      </c>
      <c r="C1020">
        <v>0</v>
      </c>
      <c r="D1020">
        <v>0</v>
      </c>
      <c r="E1020" s="29">
        <v>0</v>
      </c>
      <c r="F1020">
        <v>0</v>
      </c>
      <c r="G1020">
        <v>0</v>
      </c>
      <c r="H1020">
        <v>0</v>
      </c>
      <c r="I1020" s="29">
        <v>0</v>
      </c>
      <c r="J1020" s="29">
        <v>0</v>
      </c>
      <c r="K1020" s="9">
        <v>45318</v>
      </c>
      <c r="L1020">
        <f xml:space="preserve"> (交易處理資料__3[[#This Row],[售出工時]] * 60) / 5</f>
        <v>0</v>
      </c>
      <c r="M1020" t="str">
        <f>VLOOKUP(交易處理資料__3[[#This Row],[人員代號]],團隊分組!$B$1:$C$52,2,FALSE)</f>
        <v>噴漆維修組</v>
      </c>
      <c r="N1020" t="str">
        <f>IF(交易處理資料__3[[#This Row],[上班時間]]=0,"否","是")</f>
        <v>否</v>
      </c>
      <c r="O1020" s="10" t="s">
        <v>74</v>
      </c>
      <c r="P1020" s="37">
        <v>0</v>
      </c>
      <c r="Q1020" s="37">
        <v>0</v>
      </c>
      <c r="R1020" s="37">
        <v>0</v>
      </c>
    </row>
    <row r="1021" spans="1:18" hidden="1">
      <c r="A1021" s="10" t="s">
        <v>74</v>
      </c>
      <c r="B1021" t="s">
        <v>4</v>
      </c>
      <c r="C1021">
        <v>0</v>
      </c>
      <c r="D1021">
        <v>0</v>
      </c>
      <c r="E1021" s="29">
        <v>0</v>
      </c>
      <c r="F1021">
        <v>0</v>
      </c>
      <c r="G1021">
        <v>0</v>
      </c>
      <c r="H1021">
        <v>0</v>
      </c>
      <c r="I1021" s="29">
        <v>0</v>
      </c>
      <c r="J1021" s="29">
        <v>0</v>
      </c>
      <c r="K1021" s="9">
        <v>45318</v>
      </c>
      <c r="L1021">
        <f xml:space="preserve"> (交易處理資料__3[[#This Row],[售出工時]] * 60) / 5</f>
        <v>0</v>
      </c>
      <c r="M1021" t="str">
        <f>VLOOKUP(交易處理資料__3[[#This Row],[人員代號]],團隊分組!$B$1:$C$52,2,FALSE)</f>
        <v>噴漆維修組</v>
      </c>
      <c r="N1021" t="str">
        <f>IF(交易處理資料__3[[#This Row],[上班時間]]=0,"否","是")</f>
        <v>否</v>
      </c>
      <c r="O1021" s="10" t="s">
        <v>74</v>
      </c>
      <c r="P1021" s="38">
        <v>0</v>
      </c>
      <c r="Q1021" s="38">
        <v>0</v>
      </c>
      <c r="R1021" s="38">
        <v>0</v>
      </c>
    </row>
    <row r="1022" spans="1:18" hidden="1">
      <c r="A1022" s="10" t="s">
        <v>74</v>
      </c>
      <c r="B1022" t="s">
        <v>5</v>
      </c>
      <c r="C1022">
        <v>1.25</v>
      </c>
      <c r="D1022">
        <v>2.6</v>
      </c>
      <c r="E1022" s="29">
        <v>0.4807692308</v>
      </c>
      <c r="F1022">
        <v>7.17</v>
      </c>
      <c r="G1022">
        <v>0.75</v>
      </c>
      <c r="H1022">
        <v>7.92</v>
      </c>
      <c r="I1022" s="29">
        <v>0.90529999999999999</v>
      </c>
      <c r="J1022" s="29">
        <v>0.1578</v>
      </c>
      <c r="K1022" s="9">
        <v>45318</v>
      </c>
      <c r="L1022">
        <f xml:space="preserve"> (交易處理資料__3[[#This Row],[售出工時]] * 60) / 5</f>
        <v>15</v>
      </c>
      <c r="M1022" t="str">
        <f>VLOOKUP(交易處理資料__3[[#This Row],[人員代號]],團隊分組!$B$1:$C$52,2,FALSE)</f>
        <v>噴漆維修組</v>
      </c>
      <c r="N1022" t="str">
        <f>IF(交易處理資料__3[[#This Row],[上班時間]]=0,"否","是")</f>
        <v>是</v>
      </c>
      <c r="O1022" s="10" t="s">
        <v>74</v>
      </c>
      <c r="P1022" s="37">
        <v>0.4807692308</v>
      </c>
      <c r="Q1022" s="37">
        <v>0.1578</v>
      </c>
      <c r="R1022" s="37">
        <v>0.90529999999999999</v>
      </c>
    </row>
    <row r="1023" spans="1:18" hidden="1">
      <c r="A1023" s="10" t="s">
        <v>74</v>
      </c>
      <c r="B1023" t="s">
        <v>6</v>
      </c>
      <c r="C1023">
        <v>0</v>
      </c>
      <c r="D1023">
        <v>0</v>
      </c>
      <c r="E1023" s="29">
        <v>0</v>
      </c>
      <c r="F1023">
        <v>0</v>
      </c>
      <c r="G1023">
        <v>0</v>
      </c>
      <c r="H1023">
        <v>0</v>
      </c>
      <c r="I1023" s="29">
        <v>0</v>
      </c>
      <c r="J1023" s="29">
        <v>0</v>
      </c>
      <c r="K1023" s="9">
        <v>45318</v>
      </c>
      <c r="L1023">
        <f xml:space="preserve"> (交易處理資料__3[[#This Row],[售出工時]] * 60) / 5</f>
        <v>0</v>
      </c>
      <c r="M1023" t="str">
        <f>VLOOKUP(交易處理資料__3[[#This Row],[人員代號]],團隊分組!$B$1:$C$52,2,FALSE)</f>
        <v>噴漆維修組</v>
      </c>
      <c r="N1023" t="str">
        <f>IF(交易處理資料__3[[#This Row],[上班時間]]=0,"否","是")</f>
        <v>否</v>
      </c>
      <c r="O1023" s="10" t="s">
        <v>74</v>
      </c>
      <c r="P1023" s="38">
        <v>0</v>
      </c>
      <c r="Q1023" s="38">
        <v>0</v>
      </c>
      <c r="R1023" s="38">
        <v>0</v>
      </c>
    </row>
    <row r="1024" spans="1:18">
      <c r="A1024" s="10" t="s">
        <v>74</v>
      </c>
      <c r="B1024" t="s">
        <v>7</v>
      </c>
      <c r="C1024">
        <v>1.25</v>
      </c>
      <c r="D1024">
        <v>2.6</v>
      </c>
      <c r="E1024" s="29">
        <v>0.4807692308</v>
      </c>
      <c r="F1024">
        <v>7.17</v>
      </c>
      <c r="G1024">
        <v>0.75</v>
      </c>
      <c r="H1024">
        <v>7.92</v>
      </c>
      <c r="I1024" s="29">
        <v>0.90529999999999999</v>
      </c>
      <c r="J1024" s="29">
        <v>0.1578</v>
      </c>
      <c r="K1024" s="9">
        <v>45318</v>
      </c>
      <c r="L1024">
        <f xml:space="preserve"> (交易處理資料__3[[#This Row],[售出工時]] * 60) / 5</f>
        <v>15</v>
      </c>
      <c r="M1024" t="str">
        <f>VLOOKUP(交易處理資料__3[[#This Row],[人員代號]],團隊分組!$B$1:$C$52,2,FALSE)</f>
        <v>噴漆維修組</v>
      </c>
      <c r="N1024" t="str">
        <f>IF(交易處理資料__3[[#This Row],[上班時間]]=0,"否","是")</f>
        <v>是</v>
      </c>
      <c r="O1024" s="10" t="s">
        <v>74</v>
      </c>
      <c r="P1024" s="37">
        <v>0.4807692308</v>
      </c>
      <c r="Q1024" s="37">
        <v>0.1578</v>
      </c>
      <c r="R1024" s="37">
        <v>0.90529999999999999</v>
      </c>
    </row>
    <row r="1025" spans="1:18" hidden="1">
      <c r="A1025" s="10" t="s">
        <v>74</v>
      </c>
      <c r="B1025" t="s">
        <v>8</v>
      </c>
      <c r="C1025">
        <v>0</v>
      </c>
      <c r="D1025">
        <v>0</v>
      </c>
      <c r="E1025" s="29">
        <v>0</v>
      </c>
      <c r="F1025">
        <v>0</v>
      </c>
      <c r="G1025">
        <v>0</v>
      </c>
      <c r="H1025">
        <v>0</v>
      </c>
      <c r="I1025" s="29">
        <v>0</v>
      </c>
      <c r="J1025" s="29">
        <v>0</v>
      </c>
      <c r="K1025" s="9">
        <v>45318</v>
      </c>
      <c r="L1025">
        <f xml:space="preserve"> (交易處理資料__3[[#This Row],[售出工時]] * 60) / 5</f>
        <v>0</v>
      </c>
      <c r="M1025" t="str">
        <f>VLOOKUP(交易處理資料__3[[#This Row],[人員代號]],團隊分組!$B$1:$C$52,2,FALSE)</f>
        <v>噴漆維修組</v>
      </c>
      <c r="N1025" t="str">
        <f>IF(交易處理資料__3[[#This Row],[上班時間]]=0,"否","是")</f>
        <v>否</v>
      </c>
      <c r="O1025" s="10" t="s">
        <v>74</v>
      </c>
      <c r="P1025" s="38">
        <v>0</v>
      </c>
      <c r="Q1025" s="38">
        <v>0</v>
      </c>
      <c r="R1025" s="38">
        <v>0</v>
      </c>
    </row>
    <row r="1026" spans="1:18" hidden="1">
      <c r="A1026" s="10" t="s">
        <v>74</v>
      </c>
      <c r="B1026" t="s">
        <v>9</v>
      </c>
      <c r="C1026">
        <v>0</v>
      </c>
      <c r="D1026">
        <v>0</v>
      </c>
      <c r="E1026" s="29">
        <v>0</v>
      </c>
      <c r="F1026">
        <v>0</v>
      </c>
      <c r="G1026">
        <v>0</v>
      </c>
      <c r="H1026">
        <v>0</v>
      </c>
      <c r="I1026" s="29">
        <v>0</v>
      </c>
      <c r="J1026" s="29">
        <v>0</v>
      </c>
      <c r="K1026" s="9">
        <v>45318</v>
      </c>
      <c r="L1026">
        <f xml:space="preserve"> (交易處理資料__3[[#This Row],[售出工時]] * 60) / 5</f>
        <v>0</v>
      </c>
      <c r="M1026" t="str">
        <f>VLOOKUP(交易處理資料__3[[#This Row],[人員代號]],團隊分組!$B$1:$C$52,2,FALSE)</f>
        <v>噴漆維修組</v>
      </c>
      <c r="N1026" t="str">
        <f>IF(交易處理資料__3[[#This Row],[上班時間]]=0,"否","是")</f>
        <v>否</v>
      </c>
      <c r="O1026" s="10" t="s">
        <v>74</v>
      </c>
      <c r="P1026" s="37">
        <v>0</v>
      </c>
      <c r="Q1026" s="37">
        <v>0</v>
      </c>
      <c r="R1026" s="37">
        <v>0</v>
      </c>
    </row>
    <row r="1027" spans="1:18" hidden="1">
      <c r="A1027" t="s">
        <v>75</v>
      </c>
      <c r="B1027" t="s">
        <v>11</v>
      </c>
      <c r="C1027">
        <v>0</v>
      </c>
      <c r="D1027">
        <v>0</v>
      </c>
      <c r="E1027" s="29">
        <v>0</v>
      </c>
      <c r="F1027">
        <v>6.45</v>
      </c>
      <c r="G1027">
        <v>1.46</v>
      </c>
      <c r="H1027">
        <v>7.91</v>
      </c>
      <c r="I1027" s="29">
        <v>0.81540000000000001</v>
      </c>
      <c r="J1027" s="29">
        <v>0</v>
      </c>
      <c r="K1027" s="9">
        <v>45318</v>
      </c>
      <c r="L1027">
        <f xml:space="preserve"> (交易處理資料__3[[#This Row],[售出工時]] * 60) / 5</f>
        <v>0</v>
      </c>
      <c r="M1027" t="str">
        <f>VLOOKUP(交易處理資料__3[[#This Row],[人員代號]],團隊分組!$B$1:$C$52,2,FALSE)</f>
        <v>鈑金維修組</v>
      </c>
      <c r="N1027" t="str">
        <f>IF(交易處理資料__3[[#This Row],[上班時間]]=0,"否","是")</f>
        <v>是</v>
      </c>
      <c r="O1027" t="s">
        <v>75</v>
      </c>
      <c r="P1027" s="38">
        <v>0</v>
      </c>
      <c r="Q1027" s="38">
        <v>0</v>
      </c>
      <c r="R1027" s="38">
        <v>0.81540000000000001</v>
      </c>
    </row>
    <row r="1028" spans="1:18" hidden="1">
      <c r="A1028" t="s">
        <v>75</v>
      </c>
      <c r="B1028" t="s">
        <v>13</v>
      </c>
      <c r="C1028">
        <v>0</v>
      </c>
      <c r="D1028">
        <v>0</v>
      </c>
      <c r="E1028" s="29">
        <v>0</v>
      </c>
      <c r="F1028">
        <v>0</v>
      </c>
      <c r="G1028">
        <v>0</v>
      </c>
      <c r="H1028">
        <v>0</v>
      </c>
      <c r="I1028" s="29">
        <v>0</v>
      </c>
      <c r="J1028" s="29">
        <v>0</v>
      </c>
      <c r="K1028" s="9">
        <v>45318</v>
      </c>
      <c r="L1028">
        <f xml:space="preserve"> (交易處理資料__3[[#This Row],[售出工時]] * 60) / 5</f>
        <v>0</v>
      </c>
      <c r="M1028" t="str">
        <f>VLOOKUP(交易處理資料__3[[#This Row],[人員代號]],團隊分組!$B$1:$C$52,2,FALSE)</f>
        <v>鈑金維修組</v>
      </c>
      <c r="N1028" t="str">
        <f>IF(交易處理資料__3[[#This Row],[上班時間]]=0,"否","是")</f>
        <v>否</v>
      </c>
      <c r="O1028" t="s">
        <v>75</v>
      </c>
      <c r="P1028" s="37">
        <v>0</v>
      </c>
      <c r="Q1028" s="37">
        <v>0</v>
      </c>
      <c r="R1028" s="37">
        <v>0</v>
      </c>
    </row>
    <row r="1029" spans="1:18" hidden="1">
      <c r="A1029" t="s">
        <v>75</v>
      </c>
      <c r="B1029" t="s">
        <v>14</v>
      </c>
      <c r="C1029">
        <v>0</v>
      </c>
      <c r="D1029">
        <v>0</v>
      </c>
      <c r="E1029" s="29">
        <v>0</v>
      </c>
      <c r="F1029">
        <v>0</v>
      </c>
      <c r="G1029">
        <v>0</v>
      </c>
      <c r="H1029">
        <v>0</v>
      </c>
      <c r="I1029" s="29">
        <v>0</v>
      </c>
      <c r="J1029" s="29">
        <v>0</v>
      </c>
      <c r="K1029" s="9">
        <v>45318</v>
      </c>
      <c r="L1029">
        <f xml:space="preserve"> (交易處理資料__3[[#This Row],[售出工時]] * 60) / 5</f>
        <v>0</v>
      </c>
      <c r="M1029" t="str">
        <f>VLOOKUP(交易處理資料__3[[#This Row],[人員代號]],團隊分組!$B$1:$C$52,2,FALSE)</f>
        <v>鈑金維修組</v>
      </c>
      <c r="N1029" t="str">
        <f>IF(交易處理資料__3[[#This Row],[上班時間]]=0,"否","是")</f>
        <v>否</v>
      </c>
      <c r="O1029" t="s">
        <v>75</v>
      </c>
      <c r="P1029" s="38">
        <v>0</v>
      </c>
      <c r="Q1029" s="38">
        <v>0</v>
      </c>
      <c r="R1029" s="38">
        <v>0</v>
      </c>
    </row>
    <row r="1030" spans="1:18" hidden="1">
      <c r="A1030" t="s">
        <v>75</v>
      </c>
      <c r="B1030" t="s">
        <v>15</v>
      </c>
      <c r="C1030">
        <v>0</v>
      </c>
      <c r="D1030">
        <v>0</v>
      </c>
      <c r="E1030" s="29">
        <v>0</v>
      </c>
      <c r="F1030">
        <v>0</v>
      </c>
      <c r="G1030">
        <v>0</v>
      </c>
      <c r="H1030">
        <v>0</v>
      </c>
      <c r="I1030" s="29">
        <v>0</v>
      </c>
      <c r="J1030" s="29">
        <v>0</v>
      </c>
      <c r="K1030" s="9">
        <v>45318</v>
      </c>
      <c r="L1030">
        <f xml:space="preserve"> (交易處理資料__3[[#This Row],[售出工時]] * 60) / 5</f>
        <v>0</v>
      </c>
      <c r="M1030" t="str">
        <f>VLOOKUP(交易處理資料__3[[#This Row],[人員代號]],團隊分組!$B$1:$C$52,2,FALSE)</f>
        <v>鈑金維修組</v>
      </c>
      <c r="N1030" t="str">
        <f>IF(交易處理資料__3[[#This Row],[上班時間]]=0,"否","是")</f>
        <v>否</v>
      </c>
      <c r="O1030" t="s">
        <v>75</v>
      </c>
      <c r="P1030" s="37">
        <v>0</v>
      </c>
      <c r="Q1030" s="37">
        <v>0</v>
      </c>
      <c r="R1030" s="37">
        <v>0</v>
      </c>
    </row>
    <row r="1031" spans="1:18" hidden="1">
      <c r="A1031" t="s">
        <v>76</v>
      </c>
      <c r="B1031" t="s">
        <v>17</v>
      </c>
      <c r="C1031">
        <v>3.9</v>
      </c>
      <c r="D1031">
        <v>3.65</v>
      </c>
      <c r="E1031" s="29">
        <v>1.068493151</v>
      </c>
      <c r="F1031">
        <v>5.55</v>
      </c>
      <c r="G1031">
        <v>2.33</v>
      </c>
      <c r="H1031">
        <v>7.88</v>
      </c>
      <c r="I1031" s="29">
        <v>0.70430000000000004</v>
      </c>
      <c r="J1031" s="29">
        <v>0.49490000000000001</v>
      </c>
      <c r="K1031" s="9">
        <v>45318</v>
      </c>
      <c r="L1031">
        <f xml:space="preserve"> (交易處理資料__3[[#This Row],[售出工時]] * 60) / 5</f>
        <v>46.8</v>
      </c>
      <c r="M1031" t="str">
        <f>VLOOKUP(交易處理資料__3[[#This Row],[人員代號]],團隊分組!$B$1:$C$52,2,FALSE)</f>
        <v>快速保養團隊A</v>
      </c>
      <c r="N1031" t="str">
        <f>IF(交易處理資料__3[[#This Row],[上班時間]]=0,"否","是")</f>
        <v>是</v>
      </c>
      <c r="O1031" t="s">
        <v>76</v>
      </c>
      <c r="P1031" s="38">
        <v>1.068493151</v>
      </c>
      <c r="Q1031" s="38">
        <v>0.49490000000000001</v>
      </c>
      <c r="R1031" s="38">
        <v>0.70430000000000004</v>
      </c>
    </row>
    <row r="1032" spans="1:18" hidden="1">
      <c r="A1032" t="s">
        <v>76</v>
      </c>
      <c r="B1032" t="s">
        <v>19</v>
      </c>
      <c r="C1032">
        <v>4.4000000000000004</v>
      </c>
      <c r="D1032">
        <v>3.59</v>
      </c>
      <c r="E1032" s="29">
        <v>1.2256267409999999</v>
      </c>
      <c r="F1032">
        <v>6.88</v>
      </c>
      <c r="G1032">
        <v>1.03</v>
      </c>
      <c r="H1032">
        <v>7.91</v>
      </c>
      <c r="I1032" s="29">
        <v>0.86980000000000002</v>
      </c>
      <c r="J1032" s="29">
        <v>0.55630000000000002</v>
      </c>
      <c r="K1032" s="9">
        <v>45318</v>
      </c>
      <c r="L1032">
        <f xml:space="preserve"> (交易處理資料__3[[#This Row],[售出工時]] * 60) / 5</f>
        <v>52.8</v>
      </c>
      <c r="M1032" t="str">
        <f>VLOOKUP(交易處理資料__3[[#This Row],[人員代號]],團隊分組!$B$1:$C$52,2,FALSE)</f>
        <v>查修團隊A</v>
      </c>
      <c r="N1032" t="str">
        <f>IF(交易處理資料__3[[#This Row],[上班時間]]=0,"否","是")</f>
        <v>是</v>
      </c>
      <c r="O1032" t="s">
        <v>76</v>
      </c>
      <c r="P1032" s="37">
        <v>1.2256267409999999</v>
      </c>
      <c r="Q1032" s="37">
        <v>0.55630000000000002</v>
      </c>
      <c r="R1032" s="37">
        <v>0.86980000000000002</v>
      </c>
    </row>
    <row r="1033" spans="1:18" hidden="1">
      <c r="A1033" t="s">
        <v>76</v>
      </c>
      <c r="B1033" t="s">
        <v>20</v>
      </c>
      <c r="C1033">
        <v>1.5</v>
      </c>
      <c r="D1033">
        <v>2.0699999999999998</v>
      </c>
      <c r="E1033" s="29">
        <v>0.72463768119999994</v>
      </c>
      <c r="F1033">
        <v>2.87</v>
      </c>
      <c r="G1033">
        <v>5.05</v>
      </c>
      <c r="H1033">
        <v>7.92</v>
      </c>
      <c r="I1033" s="29">
        <v>0.3624</v>
      </c>
      <c r="J1033" s="29">
        <v>0.18940000000000001</v>
      </c>
      <c r="K1033" s="9">
        <v>45318</v>
      </c>
      <c r="L1033">
        <f xml:space="preserve"> (交易處理資料__3[[#This Row],[售出工時]] * 60) / 5</f>
        <v>18</v>
      </c>
      <c r="M1033" t="str">
        <f>VLOOKUP(交易處理資料__3[[#This Row],[人員代號]],團隊分組!$B$1:$C$52,2,FALSE)</f>
        <v>查修團隊B</v>
      </c>
      <c r="N1033" t="str">
        <f>IF(交易處理資料__3[[#This Row],[上班時間]]=0,"否","是")</f>
        <v>是</v>
      </c>
      <c r="O1033" t="s">
        <v>76</v>
      </c>
      <c r="P1033" s="38">
        <v>0.72463768119999994</v>
      </c>
      <c r="Q1033" s="38">
        <v>0.18940000000000001</v>
      </c>
      <c r="R1033" s="38">
        <v>0.3624</v>
      </c>
    </row>
    <row r="1034" spans="1:18" hidden="1">
      <c r="A1034" t="s">
        <v>76</v>
      </c>
      <c r="B1034" t="s">
        <v>21</v>
      </c>
      <c r="C1034">
        <v>0</v>
      </c>
      <c r="D1034">
        <v>0</v>
      </c>
      <c r="E1034" s="29">
        <v>0</v>
      </c>
      <c r="F1034">
        <v>0</v>
      </c>
      <c r="G1034">
        <v>0</v>
      </c>
      <c r="H1034">
        <v>0</v>
      </c>
      <c r="I1034" s="29">
        <v>0</v>
      </c>
      <c r="J1034" s="29">
        <v>0</v>
      </c>
      <c r="K1034" s="9">
        <v>45318</v>
      </c>
      <c r="L1034">
        <f xml:space="preserve"> (交易處理資料__3[[#This Row],[售出工時]] * 60) / 5</f>
        <v>0</v>
      </c>
      <c r="M1034" t="str">
        <f>VLOOKUP(交易處理資料__3[[#This Row],[人員代號]],團隊分組!$B$1:$C$52,2,FALSE)</f>
        <v>查修團隊B</v>
      </c>
      <c r="N1034" t="str">
        <f>IF(交易處理資料__3[[#This Row],[上班時間]]=0,"否","是")</f>
        <v>否</v>
      </c>
      <c r="O1034" t="s">
        <v>76</v>
      </c>
      <c r="P1034" s="37">
        <v>0</v>
      </c>
      <c r="Q1034" s="37">
        <v>0</v>
      </c>
      <c r="R1034" s="37">
        <v>0</v>
      </c>
    </row>
    <row r="1035" spans="1:18" hidden="1">
      <c r="A1035" t="s">
        <v>76</v>
      </c>
      <c r="B1035" t="s">
        <v>22</v>
      </c>
      <c r="C1035">
        <v>0</v>
      </c>
      <c r="D1035">
        <v>0</v>
      </c>
      <c r="E1035" s="29">
        <v>0</v>
      </c>
      <c r="F1035">
        <v>0</v>
      </c>
      <c r="G1035">
        <v>0</v>
      </c>
      <c r="H1035">
        <v>0</v>
      </c>
      <c r="I1035" s="29">
        <v>0</v>
      </c>
      <c r="J1035" s="29">
        <v>0</v>
      </c>
      <c r="K1035" s="9">
        <v>45318</v>
      </c>
      <c r="L1035">
        <f xml:space="preserve"> (交易處理資料__3[[#This Row],[售出工時]] * 60) / 5</f>
        <v>0</v>
      </c>
      <c r="M1035" t="str">
        <f>VLOOKUP(交易處理資料__3[[#This Row],[人員代號]],團隊分組!$B$1:$C$52,2,FALSE)</f>
        <v>快速保養團隊A</v>
      </c>
      <c r="N1035" t="str">
        <f>IF(交易處理資料__3[[#This Row],[上班時間]]=0,"否","是")</f>
        <v>否</v>
      </c>
      <c r="O1035" t="s">
        <v>76</v>
      </c>
      <c r="P1035" s="38">
        <v>0</v>
      </c>
      <c r="Q1035" s="38">
        <v>0</v>
      </c>
      <c r="R1035" s="38">
        <v>0</v>
      </c>
    </row>
    <row r="1036" spans="1:18" hidden="1">
      <c r="A1036" t="s">
        <v>76</v>
      </c>
      <c r="B1036" t="s">
        <v>23</v>
      </c>
      <c r="C1036">
        <v>8.4166666669999994</v>
      </c>
      <c r="D1036">
        <v>6.65</v>
      </c>
      <c r="E1036" s="29">
        <v>1.26566416</v>
      </c>
      <c r="F1036">
        <v>7.29</v>
      </c>
      <c r="G1036">
        <v>0.61</v>
      </c>
      <c r="H1036">
        <v>7.9</v>
      </c>
      <c r="I1036" s="29">
        <v>0.92280000000000006</v>
      </c>
      <c r="J1036" s="29">
        <v>1.0654000000000001</v>
      </c>
      <c r="K1036" s="9">
        <v>45318</v>
      </c>
      <c r="L1036">
        <f xml:space="preserve"> (交易處理資料__3[[#This Row],[售出工時]] * 60) / 5</f>
        <v>101.00000000399999</v>
      </c>
      <c r="M1036" t="str">
        <f>VLOOKUP(交易處理資料__3[[#This Row],[人員代號]],團隊分組!$B$1:$C$52,2,FALSE)</f>
        <v>快速保養團隊B</v>
      </c>
      <c r="N1036" t="str">
        <f>IF(交易處理資料__3[[#This Row],[上班時間]]=0,"否","是")</f>
        <v>是</v>
      </c>
      <c r="O1036" t="s">
        <v>76</v>
      </c>
      <c r="P1036" s="37">
        <v>1.26566416</v>
      </c>
      <c r="Q1036" s="37">
        <v>1.0654000000000001</v>
      </c>
      <c r="R1036" s="37">
        <v>0.92280000000000006</v>
      </c>
    </row>
    <row r="1037" spans="1:18" hidden="1">
      <c r="A1037" t="s">
        <v>76</v>
      </c>
      <c r="B1037" t="s">
        <v>24</v>
      </c>
      <c r="C1037">
        <v>5.3533333330000001</v>
      </c>
      <c r="D1037">
        <v>3.78</v>
      </c>
      <c r="E1037" s="29">
        <v>1.4162257500000002</v>
      </c>
      <c r="F1037">
        <v>5.75</v>
      </c>
      <c r="G1037">
        <v>2.16</v>
      </c>
      <c r="H1037">
        <v>7.91</v>
      </c>
      <c r="I1037" s="29">
        <v>0.72689999999999999</v>
      </c>
      <c r="J1037" s="29">
        <v>0.67680000000000007</v>
      </c>
      <c r="K1037" s="9">
        <v>45318</v>
      </c>
      <c r="L1037">
        <f xml:space="preserve"> (交易處理資料__3[[#This Row],[售出工時]] * 60) / 5</f>
        <v>64.239999996000009</v>
      </c>
      <c r="M1037" t="str">
        <f>VLOOKUP(交易處理資料__3[[#This Row],[人員代號]],團隊分組!$B$1:$C$52,2,FALSE)</f>
        <v>快速保養團隊A</v>
      </c>
      <c r="N1037" t="str">
        <f>IF(交易處理資料__3[[#This Row],[上班時間]]=0,"否","是")</f>
        <v>是</v>
      </c>
      <c r="O1037" t="s">
        <v>76</v>
      </c>
      <c r="P1037" s="38">
        <v>1.4162257500000002</v>
      </c>
      <c r="Q1037" s="38">
        <v>0.67680000000000007</v>
      </c>
      <c r="R1037" s="38">
        <v>0.72689999999999999</v>
      </c>
    </row>
    <row r="1038" spans="1:18" hidden="1">
      <c r="A1038" t="s">
        <v>76</v>
      </c>
      <c r="B1038" t="s">
        <v>26</v>
      </c>
      <c r="C1038">
        <v>0</v>
      </c>
      <c r="D1038">
        <v>0</v>
      </c>
      <c r="E1038" s="29">
        <v>0</v>
      </c>
      <c r="F1038">
        <v>0</v>
      </c>
      <c r="G1038">
        <v>0</v>
      </c>
      <c r="H1038">
        <v>0</v>
      </c>
      <c r="I1038" s="29">
        <v>0</v>
      </c>
      <c r="J1038" s="29">
        <v>0</v>
      </c>
      <c r="K1038" s="9">
        <v>45318</v>
      </c>
      <c r="L1038">
        <f xml:space="preserve"> (交易處理資料__3[[#This Row],[售出工時]] * 60) / 5</f>
        <v>0</v>
      </c>
      <c r="M1038" t="str">
        <f>VLOOKUP(交易處理資料__3[[#This Row],[人員代號]],團隊分組!$B$1:$C$52,2,FALSE)</f>
        <v>查修團隊B</v>
      </c>
      <c r="N1038" t="str">
        <f>IF(交易處理資料__3[[#This Row],[上班時間]]=0,"否","是")</f>
        <v>否</v>
      </c>
      <c r="O1038" t="s">
        <v>76</v>
      </c>
      <c r="P1038" s="37">
        <v>0</v>
      </c>
      <c r="Q1038" s="37">
        <v>0</v>
      </c>
      <c r="R1038" s="37">
        <v>0</v>
      </c>
    </row>
    <row r="1039" spans="1:18" hidden="1">
      <c r="A1039" t="s">
        <v>76</v>
      </c>
      <c r="B1039" t="s">
        <v>27</v>
      </c>
      <c r="C1039">
        <v>0</v>
      </c>
      <c r="D1039">
        <v>0</v>
      </c>
      <c r="E1039" s="29">
        <v>0</v>
      </c>
      <c r="F1039">
        <v>0</v>
      </c>
      <c r="G1039">
        <v>0</v>
      </c>
      <c r="H1039">
        <v>0</v>
      </c>
      <c r="I1039" s="29">
        <v>0</v>
      </c>
      <c r="J1039" s="29">
        <v>0</v>
      </c>
      <c r="K1039" s="9">
        <v>45318</v>
      </c>
      <c r="L1039">
        <f xml:space="preserve"> (交易處理資料__3[[#This Row],[售出工時]] * 60) / 5</f>
        <v>0</v>
      </c>
      <c r="M1039" t="str">
        <f>VLOOKUP(交易處理資料__3[[#This Row],[人員代號]],團隊分組!$B$1:$C$52,2,FALSE)</f>
        <v>快速保養團隊B</v>
      </c>
      <c r="N1039" t="str">
        <f>IF(交易處理資料__3[[#This Row],[上班時間]]=0,"否","是")</f>
        <v>否</v>
      </c>
      <c r="O1039" t="s">
        <v>76</v>
      </c>
      <c r="P1039" s="38">
        <v>0</v>
      </c>
      <c r="Q1039" s="38">
        <v>0</v>
      </c>
      <c r="R1039" s="38">
        <v>0</v>
      </c>
    </row>
    <row r="1040" spans="1:18" hidden="1">
      <c r="A1040" t="s">
        <v>76</v>
      </c>
      <c r="B1040" t="s">
        <v>28</v>
      </c>
      <c r="C1040">
        <v>0</v>
      </c>
      <c r="D1040">
        <v>0</v>
      </c>
      <c r="E1040" s="29">
        <v>0</v>
      </c>
      <c r="F1040">
        <v>0</v>
      </c>
      <c r="G1040">
        <v>0</v>
      </c>
      <c r="H1040">
        <v>0</v>
      </c>
      <c r="I1040" s="29">
        <v>0</v>
      </c>
      <c r="J1040" s="29">
        <v>0</v>
      </c>
      <c r="K1040" s="9">
        <v>45318</v>
      </c>
      <c r="L1040">
        <f xml:space="preserve"> (交易處理資料__3[[#This Row],[售出工時]] * 60) / 5</f>
        <v>0</v>
      </c>
      <c r="M1040" t="str">
        <f>VLOOKUP(交易處理資料__3[[#This Row],[人員代號]],團隊分組!$B$1:$C$52,2,FALSE)</f>
        <v>快速保養團隊A</v>
      </c>
      <c r="N1040" t="str">
        <f>IF(交易處理資料__3[[#This Row],[上班時間]]=0,"否","是")</f>
        <v>否</v>
      </c>
      <c r="O1040" t="s">
        <v>76</v>
      </c>
      <c r="P1040" s="37">
        <v>0</v>
      </c>
      <c r="Q1040" s="37">
        <v>0</v>
      </c>
      <c r="R1040" s="37">
        <v>0</v>
      </c>
    </row>
    <row r="1041" spans="1:18" hidden="1">
      <c r="A1041" t="s">
        <v>76</v>
      </c>
      <c r="B1041" t="s">
        <v>32</v>
      </c>
      <c r="C1041">
        <v>1.9566666669999999</v>
      </c>
      <c r="D1041">
        <v>1.55</v>
      </c>
      <c r="E1041" s="29">
        <v>1.262365591</v>
      </c>
      <c r="F1041">
        <v>5.92</v>
      </c>
      <c r="G1041">
        <v>1.96</v>
      </c>
      <c r="H1041">
        <v>7.88</v>
      </c>
      <c r="I1041" s="29">
        <v>0.75129999999999997</v>
      </c>
      <c r="J1041" s="29">
        <v>0.24829999999999999</v>
      </c>
      <c r="K1041" s="9">
        <v>45318</v>
      </c>
      <c r="L1041">
        <f xml:space="preserve"> (交易處理資料__3[[#This Row],[售出工時]] * 60) / 5</f>
        <v>23.480000003999997</v>
      </c>
      <c r="M1041" t="str">
        <f>VLOOKUP(交易處理資料__3[[#This Row],[人員代號]],團隊分組!$B$1:$C$52,2,FALSE)</f>
        <v>快速保養團隊B</v>
      </c>
      <c r="N1041" t="str">
        <f>IF(交易處理資料__3[[#This Row],[上班時間]]=0,"否","是")</f>
        <v>是</v>
      </c>
      <c r="O1041" t="s">
        <v>76</v>
      </c>
      <c r="P1041" s="38">
        <v>1.262365591</v>
      </c>
      <c r="Q1041" s="38">
        <v>0.24829999999999999</v>
      </c>
      <c r="R1041" s="38">
        <v>0.75129999999999997</v>
      </c>
    </row>
    <row r="1042" spans="1:18" hidden="1">
      <c r="A1042" t="s">
        <v>76</v>
      </c>
      <c r="B1042" t="s">
        <v>33</v>
      </c>
      <c r="C1042">
        <v>0</v>
      </c>
      <c r="D1042">
        <v>0</v>
      </c>
      <c r="E1042" s="29">
        <v>0</v>
      </c>
      <c r="F1042">
        <v>0</v>
      </c>
      <c r="G1042">
        <v>0</v>
      </c>
      <c r="H1042">
        <v>0</v>
      </c>
      <c r="I1042" s="29">
        <v>0</v>
      </c>
      <c r="J1042" s="29">
        <v>0</v>
      </c>
      <c r="K1042" s="9">
        <v>45318</v>
      </c>
      <c r="L1042">
        <f xml:space="preserve"> (交易處理資料__3[[#This Row],[售出工時]] * 60) / 5</f>
        <v>0</v>
      </c>
      <c r="M1042" t="str">
        <f>VLOOKUP(交易處理資料__3[[#This Row],[人員代號]],團隊分組!$B$1:$C$52,2,FALSE)</f>
        <v>快速保養團隊B</v>
      </c>
      <c r="N1042" t="str">
        <f>IF(交易處理資料__3[[#This Row],[上班時間]]=0,"否","是")</f>
        <v>否</v>
      </c>
      <c r="O1042" t="s">
        <v>76</v>
      </c>
      <c r="P1042" s="37">
        <v>0</v>
      </c>
      <c r="Q1042" s="37">
        <v>0</v>
      </c>
      <c r="R1042" s="37">
        <v>0</v>
      </c>
    </row>
    <row r="1043" spans="1:18" hidden="1">
      <c r="A1043" t="s">
        <v>76</v>
      </c>
      <c r="B1043" t="s">
        <v>34</v>
      </c>
      <c r="C1043">
        <v>0</v>
      </c>
      <c r="D1043">
        <v>0</v>
      </c>
      <c r="E1043" s="29">
        <v>0</v>
      </c>
      <c r="F1043">
        <v>0</v>
      </c>
      <c r="G1043">
        <v>0</v>
      </c>
      <c r="H1043">
        <v>0</v>
      </c>
      <c r="I1043" s="29">
        <v>0</v>
      </c>
      <c r="J1043" s="29">
        <v>0</v>
      </c>
      <c r="K1043" s="9">
        <v>45318</v>
      </c>
      <c r="L1043">
        <f xml:space="preserve"> (交易處理資料__3[[#This Row],[售出工時]] * 60) / 5</f>
        <v>0</v>
      </c>
      <c r="M1043" t="str">
        <f>VLOOKUP(交易處理資料__3[[#This Row],[人員代號]],團隊分組!$B$1:$C$52,2,FALSE)</f>
        <v>快速保養團隊A</v>
      </c>
      <c r="N1043" t="str">
        <f>IF(交易處理資料__3[[#This Row],[上班時間]]=0,"否","是")</f>
        <v>否</v>
      </c>
      <c r="O1043" t="s">
        <v>76</v>
      </c>
      <c r="P1043" s="38">
        <v>0</v>
      </c>
      <c r="Q1043" s="38">
        <v>0</v>
      </c>
      <c r="R1043" s="38">
        <v>0</v>
      </c>
    </row>
    <row r="1044" spans="1:18" hidden="1">
      <c r="A1044" t="s">
        <v>76</v>
      </c>
      <c r="B1044" t="s">
        <v>35</v>
      </c>
      <c r="C1044">
        <v>5.42</v>
      </c>
      <c r="D1044">
        <v>5.51</v>
      </c>
      <c r="E1044" s="29">
        <v>0.98366606169999993</v>
      </c>
      <c r="F1044">
        <v>4.3</v>
      </c>
      <c r="G1044">
        <v>3.58</v>
      </c>
      <c r="H1044">
        <v>7.88</v>
      </c>
      <c r="I1044" s="29">
        <v>0.54569999999999996</v>
      </c>
      <c r="J1044" s="29">
        <v>0.68779999999999997</v>
      </c>
      <c r="K1044" s="9">
        <v>45318</v>
      </c>
      <c r="L1044">
        <f xml:space="preserve"> (交易處理資料__3[[#This Row],[售出工時]] * 60) / 5</f>
        <v>65.039999999999992</v>
      </c>
      <c r="M1044" t="str">
        <f>VLOOKUP(交易處理資料__3[[#This Row],[人員代號]],團隊分組!$B$1:$C$52,2,FALSE)</f>
        <v>查修團隊B</v>
      </c>
      <c r="N1044" t="str">
        <f>IF(交易處理資料__3[[#This Row],[上班時間]]=0,"否","是")</f>
        <v>是</v>
      </c>
      <c r="O1044" t="s">
        <v>76</v>
      </c>
      <c r="P1044" s="37">
        <v>0.98366606169999993</v>
      </c>
      <c r="Q1044" s="37">
        <v>0.68779999999999997</v>
      </c>
      <c r="R1044" s="37">
        <v>0.54569999999999996</v>
      </c>
    </row>
    <row r="1045" spans="1:18" hidden="1">
      <c r="A1045" t="s">
        <v>76</v>
      </c>
      <c r="B1045" t="s">
        <v>36</v>
      </c>
      <c r="C1045">
        <v>6.6766666670000001</v>
      </c>
      <c r="D1045">
        <v>6.77</v>
      </c>
      <c r="E1045" s="29">
        <v>0.98621368779999996</v>
      </c>
      <c r="F1045">
        <v>6.64</v>
      </c>
      <c r="G1045">
        <v>1.36</v>
      </c>
      <c r="H1045">
        <v>8</v>
      </c>
      <c r="I1045" s="29">
        <v>0.83</v>
      </c>
      <c r="J1045" s="29">
        <v>0.8345999999999999</v>
      </c>
      <c r="K1045" s="9">
        <v>45318</v>
      </c>
      <c r="L1045">
        <f xml:space="preserve"> (交易處理資料__3[[#This Row],[售出工時]] * 60) / 5</f>
        <v>80.120000003999991</v>
      </c>
      <c r="M1045" t="str">
        <f>VLOOKUP(交易處理資料__3[[#This Row],[人員代號]],團隊分組!$B$1:$C$52,2,FALSE)</f>
        <v>查修團隊B</v>
      </c>
      <c r="N1045" t="str">
        <f>IF(交易處理資料__3[[#This Row],[上班時間]]=0,"否","是")</f>
        <v>是</v>
      </c>
      <c r="O1045" t="s">
        <v>76</v>
      </c>
      <c r="P1045" s="38">
        <v>0.98621368779999996</v>
      </c>
      <c r="Q1045" s="38">
        <v>0.8345999999999999</v>
      </c>
      <c r="R1045" s="38">
        <v>0.83</v>
      </c>
    </row>
    <row r="1046" spans="1:18" hidden="1">
      <c r="A1046" t="s">
        <v>76</v>
      </c>
      <c r="B1046" t="s">
        <v>40</v>
      </c>
      <c r="C1046">
        <v>5.91</v>
      </c>
      <c r="D1046">
        <v>5.3</v>
      </c>
      <c r="E1046" s="29">
        <v>1.11509434</v>
      </c>
      <c r="F1046">
        <v>5.3</v>
      </c>
      <c r="G1046">
        <v>2.5499999999999998</v>
      </c>
      <c r="H1046">
        <v>7.85</v>
      </c>
      <c r="I1046" s="29">
        <v>0.67519999999999991</v>
      </c>
      <c r="J1046" s="29">
        <v>0.75290000000000001</v>
      </c>
      <c r="K1046" s="9">
        <v>45318</v>
      </c>
      <c r="L1046">
        <f xml:space="preserve"> (交易處理資料__3[[#This Row],[售出工時]] * 60) / 5</f>
        <v>70.92</v>
      </c>
      <c r="M1046" t="str">
        <f>VLOOKUP(交易處理資料__3[[#This Row],[人員代號]],團隊分組!$B$1:$C$52,2,FALSE)</f>
        <v>查修團隊A</v>
      </c>
      <c r="N1046" t="str">
        <f>IF(交易處理資料__3[[#This Row],[上班時間]]=0,"否","是")</f>
        <v>是</v>
      </c>
      <c r="O1046" t="s">
        <v>76</v>
      </c>
      <c r="P1046" s="37">
        <v>1.11509434</v>
      </c>
      <c r="Q1046" s="37">
        <v>0.75290000000000001</v>
      </c>
      <c r="R1046" s="37">
        <v>0.67519999999999991</v>
      </c>
    </row>
    <row r="1047" spans="1:18" hidden="1">
      <c r="A1047" t="s">
        <v>76</v>
      </c>
      <c r="B1047" t="s">
        <v>41</v>
      </c>
      <c r="C1047">
        <v>13.83333333</v>
      </c>
      <c r="D1047">
        <v>4.92</v>
      </c>
      <c r="E1047" s="29">
        <v>2.8116531170000001</v>
      </c>
      <c r="F1047">
        <v>7.27</v>
      </c>
      <c r="G1047">
        <v>0.63</v>
      </c>
      <c r="H1047">
        <v>7.9</v>
      </c>
      <c r="I1047" s="29">
        <v>0.92030000000000001</v>
      </c>
      <c r="J1047" s="29">
        <v>1.7511000000000001</v>
      </c>
      <c r="K1047" s="9">
        <v>45318</v>
      </c>
      <c r="L1047">
        <f xml:space="preserve"> (交易處理資料__3[[#This Row],[售出工時]] * 60) / 5</f>
        <v>165.99999996000003</v>
      </c>
      <c r="M1047" t="str">
        <f>VLOOKUP(交易處理資料__3[[#This Row],[人員代號]],團隊分組!$B$1:$C$52,2,FALSE)</f>
        <v>快速保養團隊A</v>
      </c>
      <c r="N1047" t="str">
        <f>IF(交易處理資料__3[[#This Row],[上班時間]]=0,"否","是")</f>
        <v>是</v>
      </c>
      <c r="O1047" t="s">
        <v>76</v>
      </c>
      <c r="P1047" s="38">
        <v>2.8116531170000001</v>
      </c>
      <c r="Q1047" s="38">
        <v>1.7511000000000001</v>
      </c>
      <c r="R1047" s="38">
        <v>0.92030000000000001</v>
      </c>
    </row>
    <row r="1048" spans="1:18" hidden="1">
      <c r="A1048" t="s">
        <v>76</v>
      </c>
      <c r="B1048" t="s">
        <v>42</v>
      </c>
      <c r="C1048">
        <v>4.4166666670000003</v>
      </c>
      <c r="D1048">
        <v>4.74</v>
      </c>
      <c r="E1048" s="29">
        <v>0.93178621660000005</v>
      </c>
      <c r="F1048">
        <v>5.08</v>
      </c>
      <c r="G1048">
        <v>2.81</v>
      </c>
      <c r="H1048">
        <v>7.89</v>
      </c>
      <c r="I1048" s="29">
        <v>0.64390000000000003</v>
      </c>
      <c r="J1048" s="29">
        <v>0.55979999999999996</v>
      </c>
      <c r="K1048" s="9">
        <v>45318</v>
      </c>
      <c r="L1048">
        <f xml:space="preserve"> (交易處理資料__3[[#This Row],[售出工時]] * 60) / 5</f>
        <v>53.000000004</v>
      </c>
      <c r="M1048" t="str">
        <f>VLOOKUP(交易處理資料__3[[#This Row],[人員代號]],團隊分組!$B$1:$C$52,2,FALSE)</f>
        <v>快速保養團隊A</v>
      </c>
      <c r="N1048" t="str">
        <f>IF(交易處理資料__3[[#This Row],[上班時間]]=0,"否","是")</f>
        <v>是</v>
      </c>
      <c r="O1048" t="s">
        <v>76</v>
      </c>
      <c r="P1048" s="37">
        <v>0.93178621660000005</v>
      </c>
      <c r="Q1048" s="37">
        <v>0.55979999999999996</v>
      </c>
      <c r="R1048" s="37">
        <v>0.64390000000000003</v>
      </c>
    </row>
    <row r="1049" spans="1:18" hidden="1">
      <c r="A1049" t="s">
        <v>76</v>
      </c>
      <c r="B1049" t="s">
        <v>43</v>
      </c>
      <c r="C1049">
        <v>6.94</v>
      </c>
      <c r="D1049">
        <v>7.21</v>
      </c>
      <c r="E1049" s="29">
        <v>0.96255201109999999</v>
      </c>
      <c r="F1049">
        <v>6.53</v>
      </c>
      <c r="G1049">
        <v>1.46</v>
      </c>
      <c r="H1049">
        <v>7.99</v>
      </c>
      <c r="I1049" s="29">
        <v>0.81730000000000003</v>
      </c>
      <c r="J1049" s="29">
        <v>0.86860000000000004</v>
      </c>
      <c r="K1049" s="9">
        <v>45318</v>
      </c>
      <c r="L1049">
        <f xml:space="preserve"> (交易處理資料__3[[#This Row],[售出工時]] * 60) / 5</f>
        <v>83.28</v>
      </c>
      <c r="M1049" t="str">
        <f>VLOOKUP(交易處理資料__3[[#This Row],[人員代號]],團隊分組!$B$1:$C$52,2,FALSE)</f>
        <v>查修團隊B</v>
      </c>
      <c r="N1049" t="str">
        <f>IF(交易處理資料__3[[#This Row],[上班時間]]=0,"否","是")</f>
        <v>是</v>
      </c>
      <c r="O1049" t="s">
        <v>76</v>
      </c>
      <c r="P1049" s="38">
        <v>0.96255201109999999</v>
      </c>
      <c r="Q1049" s="38">
        <v>0.86860000000000004</v>
      </c>
      <c r="R1049" s="38">
        <v>0.81730000000000003</v>
      </c>
    </row>
    <row r="1050" spans="1:18" hidden="1">
      <c r="A1050" t="s">
        <v>76</v>
      </c>
      <c r="B1050" t="s">
        <v>46</v>
      </c>
      <c r="C1050">
        <v>0</v>
      </c>
      <c r="D1050">
        <v>0</v>
      </c>
      <c r="E1050" s="29">
        <v>0</v>
      </c>
      <c r="F1050">
        <v>0</v>
      </c>
      <c r="G1050">
        <v>0</v>
      </c>
      <c r="H1050">
        <v>0</v>
      </c>
      <c r="I1050" s="29">
        <v>0</v>
      </c>
      <c r="J1050" s="29">
        <v>0</v>
      </c>
      <c r="K1050" s="9">
        <v>45318</v>
      </c>
      <c r="L1050">
        <f xml:space="preserve"> (交易處理資料__3[[#This Row],[售出工時]] * 60) / 5</f>
        <v>0</v>
      </c>
      <c r="M1050" t="str">
        <f>VLOOKUP(交易處理資料__3[[#This Row],[人員代號]],團隊分組!$B$1:$C$52,2,FALSE)</f>
        <v>查修團隊B</v>
      </c>
      <c r="N1050" t="str">
        <f>IF(交易處理資料__3[[#This Row],[上班時間]]=0,"否","是")</f>
        <v>否</v>
      </c>
      <c r="O1050" t="s">
        <v>76</v>
      </c>
      <c r="P1050" s="37">
        <v>0</v>
      </c>
      <c r="Q1050" s="37">
        <v>0</v>
      </c>
      <c r="R1050" s="37">
        <v>0</v>
      </c>
    </row>
    <row r="1051" spans="1:18" hidden="1">
      <c r="A1051" t="s">
        <v>76</v>
      </c>
      <c r="B1051" t="s">
        <v>47</v>
      </c>
      <c r="C1051">
        <v>6.0833333329999997</v>
      </c>
      <c r="D1051">
        <v>4.3600000000000003</v>
      </c>
      <c r="E1051" s="29">
        <v>1.395259939</v>
      </c>
      <c r="F1051">
        <v>3.98</v>
      </c>
      <c r="G1051">
        <v>3.9</v>
      </c>
      <c r="H1051">
        <v>7.88</v>
      </c>
      <c r="I1051" s="29">
        <v>0.50509999999999999</v>
      </c>
      <c r="J1051" s="29">
        <v>0.77200000000000002</v>
      </c>
      <c r="K1051" s="9">
        <v>45318</v>
      </c>
      <c r="L1051">
        <f xml:space="preserve"> (交易處理資料__3[[#This Row],[售出工時]] * 60) / 5</f>
        <v>72.999999996</v>
      </c>
      <c r="M1051" t="str">
        <f>VLOOKUP(交易處理資料__3[[#This Row],[人員代號]],團隊分組!$B$1:$C$52,2,FALSE)</f>
        <v>查修團隊B</v>
      </c>
      <c r="N1051" t="str">
        <f>IF(交易處理資料__3[[#This Row],[上班時間]]=0,"否","是")</f>
        <v>是</v>
      </c>
      <c r="O1051" t="s">
        <v>76</v>
      </c>
      <c r="P1051" s="38">
        <v>1.395259939</v>
      </c>
      <c r="Q1051" s="38">
        <v>0.77200000000000002</v>
      </c>
      <c r="R1051" s="38">
        <v>0.50509999999999999</v>
      </c>
    </row>
    <row r="1052" spans="1:18" hidden="1">
      <c r="A1052" t="s">
        <v>76</v>
      </c>
      <c r="B1052" t="s">
        <v>48</v>
      </c>
      <c r="C1052">
        <v>4.8333333329999997</v>
      </c>
      <c r="D1052">
        <v>4.42</v>
      </c>
      <c r="E1052" s="29">
        <v>1.093514329</v>
      </c>
      <c r="F1052">
        <v>4.42</v>
      </c>
      <c r="G1052">
        <v>3.44</v>
      </c>
      <c r="H1052">
        <v>7.86</v>
      </c>
      <c r="I1052" s="29">
        <v>0.56230000000000002</v>
      </c>
      <c r="J1052" s="29">
        <v>0.6149</v>
      </c>
      <c r="K1052" s="9">
        <v>45318</v>
      </c>
      <c r="L1052">
        <f xml:space="preserve"> (交易處理資料__3[[#This Row],[售出工時]] * 60) / 5</f>
        <v>57.999999996</v>
      </c>
      <c r="M1052" t="str">
        <f>VLOOKUP(交易處理資料__3[[#This Row],[人員代號]],團隊分組!$B$1:$C$52,2,FALSE)</f>
        <v>查修團隊A</v>
      </c>
      <c r="N1052" t="str">
        <f>IF(交易處理資料__3[[#This Row],[上班時間]]=0,"否","是")</f>
        <v>是</v>
      </c>
      <c r="O1052" t="s">
        <v>76</v>
      </c>
      <c r="P1052" s="37">
        <v>1.093514329</v>
      </c>
      <c r="Q1052" s="37">
        <v>0.6149</v>
      </c>
      <c r="R1052" s="37">
        <v>0.56230000000000002</v>
      </c>
    </row>
    <row r="1053" spans="1:18" hidden="1">
      <c r="A1053" t="s">
        <v>76</v>
      </c>
      <c r="B1053" t="s">
        <v>49</v>
      </c>
      <c r="C1053">
        <v>0</v>
      </c>
      <c r="D1053">
        <v>0</v>
      </c>
      <c r="E1053" s="29">
        <v>0</v>
      </c>
      <c r="F1053">
        <v>0</v>
      </c>
      <c r="G1053">
        <v>0</v>
      </c>
      <c r="H1053">
        <v>0</v>
      </c>
      <c r="I1053" s="29">
        <v>0</v>
      </c>
      <c r="J1053" s="29">
        <v>0</v>
      </c>
      <c r="K1053" s="9">
        <v>45318</v>
      </c>
      <c r="L1053">
        <f xml:space="preserve"> (交易處理資料__3[[#This Row],[售出工時]] * 60) / 5</f>
        <v>0</v>
      </c>
      <c r="M1053" t="str">
        <f>VLOOKUP(交易處理資料__3[[#This Row],[人員代號]],團隊分組!$B$1:$C$52,2,FALSE)</f>
        <v>查修團隊A</v>
      </c>
      <c r="N1053" t="str">
        <f>IF(交易處理資料__3[[#This Row],[上班時間]]=0,"否","是")</f>
        <v>否</v>
      </c>
      <c r="O1053" t="s">
        <v>76</v>
      </c>
      <c r="P1053" s="38">
        <v>0</v>
      </c>
      <c r="Q1053" s="38">
        <v>0</v>
      </c>
      <c r="R1053" s="38">
        <v>0</v>
      </c>
    </row>
    <row r="1054" spans="1:18" hidden="1">
      <c r="A1054" t="s">
        <v>76</v>
      </c>
      <c r="B1054" t="s">
        <v>51</v>
      </c>
      <c r="C1054">
        <v>0</v>
      </c>
      <c r="D1054">
        <v>0</v>
      </c>
      <c r="E1054" s="29">
        <v>0</v>
      </c>
      <c r="F1054">
        <v>0</v>
      </c>
      <c r="G1054">
        <v>0</v>
      </c>
      <c r="H1054">
        <v>0</v>
      </c>
      <c r="I1054" s="29">
        <v>0</v>
      </c>
      <c r="J1054" s="29">
        <v>0</v>
      </c>
      <c r="K1054" s="9">
        <v>45318</v>
      </c>
      <c r="L1054">
        <f xml:space="preserve"> (交易處理資料__3[[#This Row],[售出工時]] * 60) / 5</f>
        <v>0</v>
      </c>
      <c r="M1054" t="str">
        <f>VLOOKUP(交易處理資料__3[[#This Row],[人員代號]],團隊分組!$B$1:$C$52,2,FALSE)</f>
        <v>無效數據</v>
      </c>
      <c r="N1054" t="str">
        <f>IF(交易處理資料__3[[#This Row],[上班時間]]=0,"否","是")</f>
        <v>否</v>
      </c>
      <c r="O1054" t="s">
        <v>76</v>
      </c>
      <c r="P1054" s="37">
        <v>0</v>
      </c>
      <c r="Q1054" s="37">
        <v>0</v>
      </c>
      <c r="R1054" s="37">
        <v>0</v>
      </c>
    </row>
    <row r="1055" spans="1:18" hidden="1">
      <c r="A1055" s="10" t="s">
        <v>74</v>
      </c>
      <c r="B1055" t="s">
        <v>1</v>
      </c>
      <c r="C1055">
        <v>0</v>
      </c>
      <c r="D1055">
        <v>0</v>
      </c>
      <c r="E1055" s="29">
        <v>0</v>
      </c>
      <c r="F1055">
        <v>0</v>
      </c>
      <c r="G1055">
        <v>0</v>
      </c>
      <c r="H1055">
        <v>0</v>
      </c>
      <c r="I1055" s="29">
        <v>0</v>
      </c>
      <c r="J1055" s="29">
        <v>0</v>
      </c>
      <c r="K1055" s="9">
        <v>45319</v>
      </c>
      <c r="L1055">
        <f xml:space="preserve"> (交易處理資料__3[[#This Row],[售出工時]] * 60) / 5</f>
        <v>0</v>
      </c>
      <c r="M1055" t="str">
        <f>VLOOKUP(交易處理資料__3[[#This Row],[人員代號]],團隊分組!$B$1:$C$52,2,FALSE)</f>
        <v>噴漆維修組</v>
      </c>
      <c r="N1055" t="str">
        <f>IF(交易處理資料__3[[#This Row],[上班時間]]=0,"否","是")</f>
        <v>否</v>
      </c>
      <c r="O1055" s="10" t="s">
        <v>74</v>
      </c>
      <c r="P1055" s="38">
        <v>0</v>
      </c>
      <c r="Q1055" s="38">
        <v>0</v>
      </c>
      <c r="R1055" s="38">
        <v>0</v>
      </c>
    </row>
    <row r="1056" spans="1:18" hidden="1">
      <c r="A1056" s="10" t="s">
        <v>74</v>
      </c>
      <c r="B1056" t="s">
        <v>2</v>
      </c>
      <c r="C1056">
        <v>0</v>
      </c>
      <c r="D1056">
        <v>0</v>
      </c>
      <c r="E1056" s="29">
        <v>0</v>
      </c>
      <c r="F1056">
        <v>0</v>
      </c>
      <c r="G1056">
        <v>0</v>
      </c>
      <c r="H1056">
        <v>0</v>
      </c>
      <c r="I1056" s="29">
        <v>0</v>
      </c>
      <c r="J1056" s="29">
        <v>0</v>
      </c>
      <c r="K1056" s="9">
        <v>45319</v>
      </c>
      <c r="L1056">
        <f xml:space="preserve"> (交易處理資料__3[[#This Row],[售出工時]] * 60) / 5</f>
        <v>0</v>
      </c>
      <c r="M1056" t="str">
        <f>VLOOKUP(交易處理資料__3[[#This Row],[人員代號]],團隊分組!$B$1:$C$52,2,FALSE)</f>
        <v>噴漆維修組</v>
      </c>
      <c r="N1056" t="str">
        <f>IF(交易處理資料__3[[#This Row],[上班時間]]=0,"否","是")</f>
        <v>否</v>
      </c>
      <c r="O1056" s="10" t="s">
        <v>74</v>
      </c>
      <c r="P1056" s="37">
        <v>0</v>
      </c>
      <c r="Q1056" s="37">
        <v>0</v>
      </c>
      <c r="R1056" s="37">
        <v>0</v>
      </c>
    </row>
    <row r="1057" spans="1:18" hidden="1">
      <c r="A1057" s="10" t="s">
        <v>74</v>
      </c>
      <c r="B1057" t="s">
        <v>3</v>
      </c>
      <c r="C1057">
        <v>0</v>
      </c>
      <c r="D1057">
        <v>0</v>
      </c>
      <c r="E1057" s="29">
        <v>0</v>
      </c>
      <c r="F1057">
        <v>0</v>
      </c>
      <c r="G1057">
        <v>0</v>
      </c>
      <c r="H1057">
        <v>0</v>
      </c>
      <c r="I1057" s="29">
        <v>0</v>
      </c>
      <c r="J1057" s="29">
        <v>0</v>
      </c>
      <c r="K1057" s="9">
        <v>45319</v>
      </c>
      <c r="L1057">
        <f xml:space="preserve"> (交易處理資料__3[[#This Row],[售出工時]] * 60) / 5</f>
        <v>0</v>
      </c>
      <c r="M1057" t="str">
        <f>VLOOKUP(交易處理資料__3[[#This Row],[人員代號]],團隊分組!$B$1:$C$52,2,FALSE)</f>
        <v>噴漆維修組</v>
      </c>
      <c r="N1057" t="str">
        <f>IF(交易處理資料__3[[#This Row],[上班時間]]=0,"否","是")</f>
        <v>否</v>
      </c>
      <c r="O1057" s="10" t="s">
        <v>74</v>
      </c>
      <c r="P1057" s="38">
        <v>0</v>
      </c>
      <c r="Q1057" s="38">
        <v>0</v>
      </c>
      <c r="R1057" s="38">
        <v>0</v>
      </c>
    </row>
    <row r="1058" spans="1:18" hidden="1">
      <c r="A1058" s="10" t="s">
        <v>74</v>
      </c>
      <c r="B1058" t="s">
        <v>4</v>
      </c>
      <c r="C1058">
        <v>0</v>
      </c>
      <c r="D1058">
        <v>0</v>
      </c>
      <c r="E1058" s="29">
        <v>0</v>
      </c>
      <c r="F1058">
        <v>0</v>
      </c>
      <c r="G1058">
        <v>0</v>
      </c>
      <c r="H1058">
        <v>0</v>
      </c>
      <c r="I1058" s="29">
        <v>0</v>
      </c>
      <c r="J1058" s="29">
        <v>0</v>
      </c>
      <c r="K1058" s="9">
        <v>45319</v>
      </c>
      <c r="L1058">
        <f xml:space="preserve"> (交易處理資料__3[[#This Row],[售出工時]] * 60) / 5</f>
        <v>0</v>
      </c>
      <c r="M1058" t="str">
        <f>VLOOKUP(交易處理資料__3[[#This Row],[人員代號]],團隊分組!$B$1:$C$52,2,FALSE)</f>
        <v>噴漆維修組</v>
      </c>
      <c r="N1058" t="str">
        <f>IF(交易處理資料__3[[#This Row],[上班時間]]=0,"否","是")</f>
        <v>否</v>
      </c>
      <c r="O1058" s="10" t="s">
        <v>74</v>
      </c>
      <c r="P1058" s="37">
        <v>0</v>
      </c>
      <c r="Q1058" s="37">
        <v>0</v>
      </c>
      <c r="R1058" s="37">
        <v>0</v>
      </c>
    </row>
    <row r="1059" spans="1:18" hidden="1">
      <c r="A1059" s="10" t="s">
        <v>74</v>
      </c>
      <c r="B1059" t="s">
        <v>5</v>
      </c>
      <c r="C1059">
        <v>0</v>
      </c>
      <c r="D1059">
        <v>0</v>
      </c>
      <c r="E1059" s="29">
        <v>0</v>
      </c>
      <c r="F1059">
        <v>0</v>
      </c>
      <c r="G1059">
        <v>0</v>
      </c>
      <c r="H1059">
        <v>0</v>
      </c>
      <c r="I1059" s="29">
        <v>0</v>
      </c>
      <c r="J1059" s="29">
        <v>0</v>
      </c>
      <c r="K1059" s="9">
        <v>45319</v>
      </c>
      <c r="L1059">
        <f xml:space="preserve"> (交易處理資料__3[[#This Row],[售出工時]] * 60) / 5</f>
        <v>0</v>
      </c>
      <c r="M1059" t="str">
        <f>VLOOKUP(交易處理資料__3[[#This Row],[人員代號]],團隊分組!$B$1:$C$52,2,FALSE)</f>
        <v>噴漆維修組</v>
      </c>
      <c r="N1059" t="str">
        <f>IF(交易處理資料__3[[#This Row],[上班時間]]=0,"否","是")</f>
        <v>否</v>
      </c>
      <c r="O1059" s="10" t="s">
        <v>74</v>
      </c>
      <c r="P1059" s="38">
        <v>0</v>
      </c>
      <c r="Q1059" s="38">
        <v>0</v>
      </c>
      <c r="R1059" s="38">
        <v>0</v>
      </c>
    </row>
    <row r="1060" spans="1:18" hidden="1">
      <c r="A1060" s="10" t="s">
        <v>74</v>
      </c>
      <c r="B1060" t="s">
        <v>6</v>
      </c>
      <c r="C1060">
        <v>0</v>
      </c>
      <c r="D1060">
        <v>0</v>
      </c>
      <c r="E1060" s="29">
        <v>0</v>
      </c>
      <c r="F1060">
        <v>0</v>
      </c>
      <c r="G1060">
        <v>0</v>
      </c>
      <c r="H1060">
        <v>0</v>
      </c>
      <c r="I1060" s="29">
        <v>0</v>
      </c>
      <c r="J1060" s="29">
        <v>0</v>
      </c>
      <c r="K1060" s="9">
        <v>45319</v>
      </c>
      <c r="L1060">
        <f xml:space="preserve"> (交易處理資料__3[[#This Row],[售出工時]] * 60) / 5</f>
        <v>0</v>
      </c>
      <c r="M1060" t="str">
        <f>VLOOKUP(交易處理資料__3[[#This Row],[人員代號]],團隊分組!$B$1:$C$52,2,FALSE)</f>
        <v>噴漆維修組</v>
      </c>
      <c r="N1060" t="str">
        <f>IF(交易處理資料__3[[#This Row],[上班時間]]=0,"否","是")</f>
        <v>否</v>
      </c>
      <c r="O1060" s="10" t="s">
        <v>74</v>
      </c>
      <c r="P1060" s="37">
        <v>0</v>
      </c>
      <c r="Q1060" s="37">
        <v>0</v>
      </c>
      <c r="R1060" s="37">
        <v>0</v>
      </c>
    </row>
    <row r="1061" spans="1:18">
      <c r="A1061" s="10" t="s">
        <v>74</v>
      </c>
      <c r="B1061" t="s">
        <v>7</v>
      </c>
      <c r="C1061">
        <v>0</v>
      </c>
      <c r="D1061">
        <v>0</v>
      </c>
      <c r="E1061" s="29">
        <v>0</v>
      </c>
      <c r="F1061">
        <v>0</v>
      </c>
      <c r="G1061">
        <v>0</v>
      </c>
      <c r="H1061">
        <v>0</v>
      </c>
      <c r="I1061" s="29">
        <v>0</v>
      </c>
      <c r="J1061" s="29">
        <v>0</v>
      </c>
      <c r="K1061" s="9">
        <v>45319</v>
      </c>
      <c r="L1061">
        <f xml:space="preserve"> (交易處理資料__3[[#This Row],[售出工時]] * 60) / 5</f>
        <v>0</v>
      </c>
      <c r="M1061" t="str">
        <f>VLOOKUP(交易處理資料__3[[#This Row],[人員代號]],團隊分組!$B$1:$C$52,2,FALSE)</f>
        <v>噴漆維修組</v>
      </c>
      <c r="N1061" t="str">
        <f>IF(交易處理資料__3[[#This Row],[上班時間]]=0,"否","是")</f>
        <v>否</v>
      </c>
      <c r="O1061" s="10" t="s">
        <v>74</v>
      </c>
      <c r="P1061" s="38">
        <v>0</v>
      </c>
      <c r="Q1061" s="38">
        <v>0</v>
      </c>
      <c r="R1061" s="38">
        <v>0</v>
      </c>
    </row>
    <row r="1062" spans="1:18" hidden="1">
      <c r="A1062" s="10" t="s">
        <v>74</v>
      </c>
      <c r="B1062" t="s">
        <v>8</v>
      </c>
      <c r="C1062">
        <v>0</v>
      </c>
      <c r="D1062">
        <v>0</v>
      </c>
      <c r="E1062" s="29">
        <v>0</v>
      </c>
      <c r="F1062">
        <v>0</v>
      </c>
      <c r="G1062">
        <v>0</v>
      </c>
      <c r="H1062">
        <v>0</v>
      </c>
      <c r="I1062" s="29">
        <v>0</v>
      </c>
      <c r="J1062" s="29">
        <v>0</v>
      </c>
      <c r="K1062" s="9">
        <v>45319</v>
      </c>
      <c r="L1062">
        <f xml:space="preserve"> (交易處理資料__3[[#This Row],[售出工時]] * 60) / 5</f>
        <v>0</v>
      </c>
      <c r="M1062" t="str">
        <f>VLOOKUP(交易處理資料__3[[#This Row],[人員代號]],團隊分組!$B$1:$C$52,2,FALSE)</f>
        <v>噴漆維修組</v>
      </c>
      <c r="N1062" t="str">
        <f>IF(交易處理資料__3[[#This Row],[上班時間]]=0,"否","是")</f>
        <v>否</v>
      </c>
      <c r="O1062" s="10" t="s">
        <v>74</v>
      </c>
      <c r="P1062" s="37">
        <v>0</v>
      </c>
      <c r="Q1062" s="37">
        <v>0</v>
      </c>
      <c r="R1062" s="37">
        <v>0</v>
      </c>
    </row>
    <row r="1063" spans="1:18" hidden="1">
      <c r="A1063" s="10" t="s">
        <v>74</v>
      </c>
      <c r="B1063" t="s">
        <v>9</v>
      </c>
      <c r="C1063">
        <v>0</v>
      </c>
      <c r="D1063">
        <v>0</v>
      </c>
      <c r="E1063" s="29">
        <v>0</v>
      </c>
      <c r="F1063">
        <v>0</v>
      </c>
      <c r="G1063">
        <v>0</v>
      </c>
      <c r="H1063">
        <v>0</v>
      </c>
      <c r="I1063" s="29">
        <v>0</v>
      </c>
      <c r="J1063" s="29">
        <v>0</v>
      </c>
      <c r="K1063" s="9">
        <v>45319</v>
      </c>
      <c r="L1063">
        <f xml:space="preserve"> (交易處理資料__3[[#This Row],[售出工時]] * 60) / 5</f>
        <v>0</v>
      </c>
      <c r="M1063" t="str">
        <f>VLOOKUP(交易處理資料__3[[#This Row],[人員代號]],團隊分組!$B$1:$C$52,2,FALSE)</f>
        <v>噴漆維修組</v>
      </c>
      <c r="N1063" t="str">
        <f>IF(交易處理資料__3[[#This Row],[上班時間]]=0,"否","是")</f>
        <v>否</v>
      </c>
      <c r="O1063" s="10" t="s">
        <v>74</v>
      </c>
      <c r="P1063" s="38">
        <v>0</v>
      </c>
      <c r="Q1063" s="38">
        <v>0</v>
      </c>
      <c r="R1063" s="38">
        <v>0</v>
      </c>
    </row>
    <row r="1064" spans="1:18" hidden="1">
      <c r="A1064" t="s">
        <v>75</v>
      </c>
      <c r="B1064" t="s">
        <v>11</v>
      </c>
      <c r="C1064">
        <v>0</v>
      </c>
      <c r="D1064">
        <v>0</v>
      </c>
      <c r="E1064" s="29">
        <v>0</v>
      </c>
      <c r="F1064">
        <v>0</v>
      </c>
      <c r="G1064">
        <v>0</v>
      </c>
      <c r="H1064">
        <v>0</v>
      </c>
      <c r="I1064" s="29">
        <v>0</v>
      </c>
      <c r="J1064" s="29">
        <v>0</v>
      </c>
      <c r="K1064" s="9">
        <v>45319</v>
      </c>
      <c r="L1064">
        <f xml:space="preserve"> (交易處理資料__3[[#This Row],[售出工時]] * 60) / 5</f>
        <v>0</v>
      </c>
      <c r="M1064" t="str">
        <f>VLOOKUP(交易處理資料__3[[#This Row],[人員代號]],團隊分組!$B$1:$C$52,2,FALSE)</f>
        <v>鈑金維修組</v>
      </c>
      <c r="N1064" t="str">
        <f>IF(交易處理資料__3[[#This Row],[上班時間]]=0,"否","是")</f>
        <v>否</v>
      </c>
      <c r="O1064" t="s">
        <v>75</v>
      </c>
      <c r="P1064" s="37">
        <v>0</v>
      </c>
      <c r="Q1064" s="37">
        <v>0</v>
      </c>
      <c r="R1064" s="37">
        <v>0</v>
      </c>
    </row>
    <row r="1065" spans="1:18" hidden="1">
      <c r="A1065" t="s">
        <v>75</v>
      </c>
      <c r="B1065" t="s">
        <v>12</v>
      </c>
      <c r="C1065">
        <v>0</v>
      </c>
      <c r="D1065">
        <v>0</v>
      </c>
      <c r="E1065" s="29">
        <v>0</v>
      </c>
      <c r="F1065">
        <v>0</v>
      </c>
      <c r="G1065">
        <v>0</v>
      </c>
      <c r="H1065">
        <v>0</v>
      </c>
      <c r="I1065" s="29">
        <v>0</v>
      </c>
      <c r="J1065" s="29">
        <v>0</v>
      </c>
      <c r="K1065" s="9">
        <v>45319</v>
      </c>
      <c r="L1065">
        <f xml:space="preserve"> (交易處理資料__3[[#This Row],[售出工時]] * 60) / 5</f>
        <v>0</v>
      </c>
      <c r="M1065" t="str">
        <f>VLOOKUP(交易處理資料__3[[#This Row],[人員代號]],團隊分組!$B$1:$C$52,2,FALSE)</f>
        <v>鈑金維修組</v>
      </c>
      <c r="N1065" t="str">
        <f>IF(交易處理資料__3[[#This Row],[上班時間]]=0,"否","是")</f>
        <v>否</v>
      </c>
      <c r="O1065" t="s">
        <v>75</v>
      </c>
      <c r="P1065" s="38">
        <v>0</v>
      </c>
      <c r="Q1065" s="38">
        <v>0</v>
      </c>
      <c r="R1065" s="38">
        <v>0</v>
      </c>
    </row>
    <row r="1066" spans="1:18" hidden="1">
      <c r="A1066" t="s">
        <v>75</v>
      </c>
      <c r="B1066" t="s">
        <v>13</v>
      </c>
      <c r="C1066">
        <v>0</v>
      </c>
      <c r="D1066">
        <v>0</v>
      </c>
      <c r="E1066" s="29">
        <v>0</v>
      </c>
      <c r="F1066">
        <v>0</v>
      </c>
      <c r="G1066">
        <v>0</v>
      </c>
      <c r="H1066">
        <v>0</v>
      </c>
      <c r="I1066" s="29">
        <v>0</v>
      </c>
      <c r="J1066" s="29">
        <v>0</v>
      </c>
      <c r="K1066" s="9">
        <v>45319</v>
      </c>
      <c r="L1066">
        <f xml:space="preserve"> (交易處理資料__3[[#This Row],[售出工時]] * 60) / 5</f>
        <v>0</v>
      </c>
      <c r="M1066" t="str">
        <f>VLOOKUP(交易處理資料__3[[#This Row],[人員代號]],團隊分組!$B$1:$C$52,2,FALSE)</f>
        <v>鈑金維修組</v>
      </c>
      <c r="N1066" t="str">
        <f>IF(交易處理資料__3[[#This Row],[上班時間]]=0,"否","是")</f>
        <v>否</v>
      </c>
      <c r="O1066" t="s">
        <v>75</v>
      </c>
      <c r="P1066" s="37">
        <v>0</v>
      </c>
      <c r="Q1066" s="37">
        <v>0</v>
      </c>
      <c r="R1066" s="37">
        <v>0</v>
      </c>
    </row>
    <row r="1067" spans="1:18" hidden="1">
      <c r="A1067" t="s">
        <v>75</v>
      </c>
      <c r="B1067" t="s">
        <v>14</v>
      </c>
      <c r="C1067">
        <v>0</v>
      </c>
      <c r="D1067">
        <v>0</v>
      </c>
      <c r="E1067" s="29">
        <v>0</v>
      </c>
      <c r="F1067">
        <v>0</v>
      </c>
      <c r="G1067">
        <v>0</v>
      </c>
      <c r="H1067">
        <v>0</v>
      </c>
      <c r="I1067" s="29">
        <v>0</v>
      </c>
      <c r="J1067" s="29">
        <v>0</v>
      </c>
      <c r="K1067" s="9">
        <v>45319</v>
      </c>
      <c r="L1067">
        <f xml:space="preserve"> (交易處理資料__3[[#This Row],[售出工時]] * 60) / 5</f>
        <v>0</v>
      </c>
      <c r="M1067" t="str">
        <f>VLOOKUP(交易處理資料__3[[#This Row],[人員代號]],團隊分組!$B$1:$C$52,2,FALSE)</f>
        <v>鈑金維修組</v>
      </c>
      <c r="N1067" t="str">
        <f>IF(交易處理資料__3[[#This Row],[上班時間]]=0,"否","是")</f>
        <v>否</v>
      </c>
      <c r="O1067" t="s">
        <v>75</v>
      </c>
      <c r="P1067" s="38">
        <v>0</v>
      </c>
      <c r="Q1067" s="38">
        <v>0</v>
      </c>
      <c r="R1067" s="38">
        <v>0</v>
      </c>
    </row>
    <row r="1068" spans="1:18" hidden="1">
      <c r="A1068" t="s">
        <v>75</v>
      </c>
      <c r="B1068" t="s">
        <v>15</v>
      </c>
      <c r="C1068">
        <v>0</v>
      </c>
      <c r="D1068">
        <v>0</v>
      </c>
      <c r="E1068" s="29">
        <v>0</v>
      </c>
      <c r="F1068">
        <v>0</v>
      </c>
      <c r="G1068">
        <v>0</v>
      </c>
      <c r="H1068">
        <v>0</v>
      </c>
      <c r="I1068" s="29">
        <v>0</v>
      </c>
      <c r="J1068" s="29">
        <v>0</v>
      </c>
      <c r="K1068" s="9">
        <v>45319</v>
      </c>
      <c r="L1068">
        <f xml:space="preserve"> (交易處理資料__3[[#This Row],[售出工時]] * 60) / 5</f>
        <v>0</v>
      </c>
      <c r="M1068" t="str">
        <f>VLOOKUP(交易處理資料__3[[#This Row],[人員代號]],團隊分組!$B$1:$C$52,2,FALSE)</f>
        <v>鈑金維修組</v>
      </c>
      <c r="N1068" t="str">
        <f>IF(交易處理資料__3[[#This Row],[上班時間]]=0,"否","是")</f>
        <v>否</v>
      </c>
      <c r="O1068" t="s">
        <v>75</v>
      </c>
      <c r="P1068" s="37">
        <v>0</v>
      </c>
      <c r="Q1068" s="37">
        <v>0</v>
      </c>
      <c r="R1068" s="37">
        <v>0</v>
      </c>
    </row>
    <row r="1069" spans="1:18" hidden="1">
      <c r="A1069" t="s">
        <v>76</v>
      </c>
      <c r="B1069" t="s">
        <v>17</v>
      </c>
      <c r="C1069">
        <v>0</v>
      </c>
      <c r="D1069">
        <v>0</v>
      </c>
      <c r="E1069" s="29">
        <v>0</v>
      </c>
      <c r="F1069">
        <v>0</v>
      </c>
      <c r="G1069">
        <v>0</v>
      </c>
      <c r="H1069">
        <v>0</v>
      </c>
      <c r="I1069" s="29">
        <v>0</v>
      </c>
      <c r="J1069" s="29">
        <v>0</v>
      </c>
      <c r="K1069" s="9">
        <v>45319</v>
      </c>
      <c r="L1069">
        <f xml:space="preserve"> (交易處理資料__3[[#This Row],[售出工時]] * 60) / 5</f>
        <v>0</v>
      </c>
      <c r="M1069" t="str">
        <f>VLOOKUP(交易處理資料__3[[#This Row],[人員代號]],團隊分組!$B$1:$C$52,2,FALSE)</f>
        <v>快速保養團隊A</v>
      </c>
      <c r="N1069" t="str">
        <f>IF(交易處理資料__3[[#This Row],[上班時間]]=0,"否","是")</f>
        <v>否</v>
      </c>
      <c r="O1069" t="s">
        <v>76</v>
      </c>
      <c r="P1069" s="38">
        <v>0</v>
      </c>
      <c r="Q1069" s="38">
        <v>0</v>
      </c>
      <c r="R1069" s="38">
        <v>0</v>
      </c>
    </row>
    <row r="1070" spans="1:18" hidden="1">
      <c r="A1070" t="s">
        <v>76</v>
      </c>
      <c r="B1070" t="s">
        <v>18</v>
      </c>
      <c r="C1070">
        <v>0</v>
      </c>
      <c r="D1070">
        <v>0</v>
      </c>
      <c r="E1070" s="29">
        <v>0</v>
      </c>
      <c r="F1070">
        <v>0</v>
      </c>
      <c r="G1070">
        <v>0</v>
      </c>
      <c r="H1070">
        <v>0</v>
      </c>
      <c r="I1070" s="29">
        <v>0</v>
      </c>
      <c r="J1070" s="29">
        <v>0</v>
      </c>
      <c r="K1070" s="9">
        <v>45319</v>
      </c>
      <c r="L1070">
        <f xml:space="preserve"> (交易處理資料__3[[#This Row],[售出工時]] * 60) / 5</f>
        <v>0</v>
      </c>
      <c r="M1070" t="str">
        <f>VLOOKUP(交易處理資料__3[[#This Row],[人員代號]],團隊分組!$B$1:$C$52,2,FALSE)</f>
        <v>查修團隊B</v>
      </c>
      <c r="N1070" t="str">
        <f>IF(交易處理資料__3[[#This Row],[上班時間]]=0,"否","是")</f>
        <v>否</v>
      </c>
      <c r="O1070" t="s">
        <v>76</v>
      </c>
      <c r="P1070" s="37">
        <v>0</v>
      </c>
      <c r="Q1070" s="37">
        <v>0</v>
      </c>
      <c r="R1070" s="37">
        <v>0</v>
      </c>
    </row>
    <row r="1071" spans="1:18" hidden="1">
      <c r="A1071" t="s">
        <v>76</v>
      </c>
      <c r="B1071" t="s">
        <v>19</v>
      </c>
      <c r="C1071">
        <v>0</v>
      </c>
      <c r="D1071">
        <v>0</v>
      </c>
      <c r="E1071" s="29">
        <v>0</v>
      </c>
      <c r="F1071">
        <v>0</v>
      </c>
      <c r="G1071">
        <v>0</v>
      </c>
      <c r="H1071">
        <v>0</v>
      </c>
      <c r="I1071" s="29">
        <v>0</v>
      </c>
      <c r="J1071" s="29">
        <v>0</v>
      </c>
      <c r="K1071" s="9">
        <v>45319</v>
      </c>
      <c r="L1071">
        <f xml:space="preserve"> (交易處理資料__3[[#This Row],[售出工時]] * 60) / 5</f>
        <v>0</v>
      </c>
      <c r="M1071" t="str">
        <f>VLOOKUP(交易處理資料__3[[#This Row],[人員代號]],團隊分組!$B$1:$C$52,2,FALSE)</f>
        <v>查修團隊A</v>
      </c>
      <c r="N1071" t="str">
        <f>IF(交易處理資料__3[[#This Row],[上班時間]]=0,"否","是")</f>
        <v>否</v>
      </c>
      <c r="O1071" t="s">
        <v>76</v>
      </c>
      <c r="P1071" s="38">
        <v>0</v>
      </c>
      <c r="Q1071" s="38">
        <v>0</v>
      </c>
      <c r="R1071" s="38">
        <v>0</v>
      </c>
    </row>
    <row r="1072" spans="1:18" hidden="1">
      <c r="A1072" t="s">
        <v>76</v>
      </c>
      <c r="B1072" t="s">
        <v>20</v>
      </c>
      <c r="C1072">
        <v>0</v>
      </c>
      <c r="D1072">
        <v>0</v>
      </c>
      <c r="E1072" s="29">
        <v>0</v>
      </c>
      <c r="F1072">
        <v>0</v>
      </c>
      <c r="G1072">
        <v>0</v>
      </c>
      <c r="H1072">
        <v>0</v>
      </c>
      <c r="I1072" s="29">
        <v>0</v>
      </c>
      <c r="J1072" s="29">
        <v>0</v>
      </c>
      <c r="K1072" s="9">
        <v>45319</v>
      </c>
      <c r="L1072">
        <f xml:space="preserve"> (交易處理資料__3[[#This Row],[售出工時]] * 60) / 5</f>
        <v>0</v>
      </c>
      <c r="M1072" t="str">
        <f>VLOOKUP(交易處理資料__3[[#This Row],[人員代號]],團隊分組!$B$1:$C$52,2,FALSE)</f>
        <v>查修團隊B</v>
      </c>
      <c r="N1072" t="str">
        <f>IF(交易處理資料__3[[#This Row],[上班時間]]=0,"否","是")</f>
        <v>否</v>
      </c>
      <c r="O1072" t="s">
        <v>76</v>
      </c>
      <c r="P1072" s="37">
        <v>0</v>
      </c>
      <c r="Q1072" s="37">
        <v>0</v>
      </c>
      <c r="R1072" s="37">
        <v>0</v>
      </c>
    </row>
    <row r="1073" spans="1:18" hidden="1">
      <c r="A1073" t="s">
        <v>76</v>
      </c>
      <c r="B1073" t="s">
        <v>21</v>
      </c>
      <c r="C1073">
        <v>0</v>
      </c>
      <c r="D1073">
        <v>0</v>
      </c>
      <c r="E1073" s="29">
        <v>0</v>
      </c>
      <c r="F1073">
        <v>0</v>
      </c>
      <c r="G1073">
        <v>0</v>
      </c>
      <c r="H1073">
        <v>0</v>
      </c>
      <c r="I1073" s="29">
        <v>0</v>
      </c>
      <c r="J1073" s="29">
        <v>0</v>
      </c>
      <c r="K1073" s="9">
        <v>45319</v>
      </c>
      <c r="L1073">
        <f xml:space="preserve"> (交易處理資料__3[[#This Row],[售出工時]] * 60) / 5</f>
        <v>0</v>
      </c>
      <c r="M1073" t="str">
        <f>VLOOKUP(交易處理資料__3[[#This Row],[人員代號]],團隊分組!$B$1:$C$52,2,FALSE)</f>
        <v>查修團隊B</v>
      </c>
      <c r="N1073" t="str">
        <f>IF(交易處理資料__3[[#This Row],[上班時間]]=0,"否","是")</f>
        <v>否</v>
      </c>
      <c r="O1073" t="s">
        <v>76</v>
      </c>
      <c r="P1073" s="38">
        <v>0</v>
      </c>
      <c r="Q1073" s="38">
        <v>0</v>
      </c>
      <c r="R1073" s="38">
        <v>0</v>
      </c>
    </row>
    <row r="1074" spans="1:18" hidden="1">
      <c r="A1074" t="s">
        <v>76</v>
      </c>
      <c r="B1074" t="s">
        <v>22</v>
      </c>
      <c r="C1074">
        <v>0</v>
      </c>
      <c r="D1074">
        <v>0</v>
      </c>
      <c r="E1074" s="29">
        <v>0</v>
      </c>
      <c r="F1074">
        <v>0</v>
      </c>
      <c r="G1074">
        <v>0</v>
      </c>
      <c r="H1074">
        <v>0</v>
      </c>
      <c r="I1074" s="29">
        <v>0</v>
      </c>
      <c r="J1074" s="29">
        <v>0</v>
      </c>
      <c r="K1074" s="9">
        <v>45319</v>
      </c>
      <c r="L1074">
        <f xml:space="preserve"> (交易處理資料__3[[#This Row],[售出工時]] * 60) / 5</f>
        <v>0</v>
      </c>
      <c r="M1074" t="str">
        <f>VLOOKUP(交易處理資料__3[[#This Row],[人員代號]],團隊分組!$B$1:$C$52,2,FALSE)</f>
        <v>快速保養團隊A</v>
      </c>
      <c r="N1074" t="str">
        <f>IF(交易處理資料__3[[#This Row],[上班時間]]=0,"否","是")</f>
        <v>否</v>
      </c>
      <c r="O1074" t="s">
        <v>76</v>
      </c>
      <c r="P1074" s="37">
        <v>0</v>
      </c>
      <c r="Q1074" s="37">
        <v>0</v>
      </c>
      <c r="R1074" s="37">
        <v>0</v>
      </c>
    </row>
    <row r="1075" spans="1:18" hidden="1">
      <c r="A1075" t="s">
        <v>76</v>
      </c>
      <c r="B1075" t="s">
        <v>23</v>
      </c>
      <c r="C1075">
        <v>0</v>
      </c>
      <c r="D1075">
        <v>0</v>
      </c>
      <c r="E1075" s="29">
        <v>0</v>
      </c>
      <c r="F1075">
        <v>0</v>
      </c>
      <c r="G1075">
        <v>0</v>
      </c>
      <c r="H1075">
        <v>0</v>
      </c>
      <c r="I1075" s="29">
        <v>0</v>
      </c>
      <c r="J1075" s="29">
        <v>0</v>
      </c>
      <c r="K1075" s="9">
        <v>45319</v>
      </c>
      <c r="L1075">
        <f xml:space="preserve"> (交易處理資料__3[[#This Row],[售出工時]] * 60) / 5</f>
        <v>0</v>
      </c>
      <c r="M1075" t="str">
        <f>VLOOKUP(交易處理資料__3[[#This Row],[人員代號]],團隊分組!$B$1:$C$52,2,FALSE)</f>
        <v>快速保養團隊B</v>
      </c>
      <c r="N1075" t="str">
        <f>IF(交易處理資料__3[[#This Row],[上班時間]]=0,"否","是")</f>
        <v>否</v>
      </c>
      <c r="O1075" t="s">
        <v>76</v>
      </c>
      <c r="P1075" s="38">
        <v>0</v>
      </c>
      <c r="Q1075" s="38">
        <v>0</v>
      </c>
      <c r="R1075" s="38">
        <v>0</v>
      </c>
    </row>
    <row r="1076" spans="1:18" hidden="1">
      <c r="A1076" t="s">
        <v>76</v>
      </c>
      <c r="B1076" t="s">
        <v>24</v>
      </c>
      <c r="C1076">
        <v>0</v>
      </c>
      <c r="D1076">
        <v>0</v>
      </c>
      <c r="E1076" s="29">
        <v>0</v>
      </c>
      <c r="F1076">
        <v>0</v>
      </c>
      <c r="G1076">
        <v>0</v>
      </c>
      <c r="H1076">
        <v>0</v>
      </c>
      <c r="I1076" s="29">
        <v>0</v>
      </c>
      <c r="J1076" s="29">
        <v>0</v>
      </c>
      <c r="K1076" s="9">
        <v>45319</v>
      </c>
      <c r="L1076">
        <f xml:space="preserve"> (交易處理資料__3[[#This Row],[售出工時]] * 60) / 5</f>
        <v>0</v>
      </c>
      <c r="M1076" t="str">
        <f>VLOOKUP(交易處理資料__3[[#This Row],[人員代號]],團隊分組!$B$1:$C$52,2,FALSE)</f>
        <v>快速保養團隊A</v>
      </c>
      <c r="N1076" t="str">
        <f>IF(交易處理資料__3[[#This Row],[上班時間]]=0,"否","是")</f>
        <v>否</v>
      </c>
      <c r="O1076" t="s">
        <v>76</v>
      </c>
      <c r="P1076" s="37">
        <v>0</v>
      </c>
      <c r="Q1076" s="37">
        <v>0</v>
      </c>
      <c r="R1076" s="37">
        <v>0</v>
      </c>
    </row>
    <row r="1077" spans="1:18" hidden="1">
      <c r="A1077" t="s">
        <v>76</v>
      </c>
      <c r="B1077" t="s">
        <v>25</v>
      </c>
      <c r="C1077">
        <v>0</v>
      </c>
      <c r="D1077">
        <v>0</v>
      </c>
      <c r="E1077" s="29">
        <v>0</v>
      </c>
      <c r="F1077">
        <v>0</v>
      </c>
      <c r="G1077">
        <v>0</v>
      </c>
      <c r="H1077">
        <v>0</v>
      </c>
      <c r="I1077" s="29">
        <v>0</v>
      </c>
      <c r="J1077" s="29">
        <v>0</v>
      </c>
      <c r="K1077" s="9">
        <v>45319</v>
      </c>
      <c r="L1077">
        <f xml:space="preserve"> (交易處理資料__3[[#This Row],[售出工時]] * 60) / 5</f>
        <v>0</v>
      </c>
      <c r="M1077" t="str">
        <f>VLOOKUP(交易處理資料__3[[#This Row],[人員代號]],團隊分組!$B$1:$C$52,2,FALSE)</f>
        <v>查修團隊A</v>
      </c>
      <c r="N1077" t="str">
        <f>IF(交易處理資料__3[[#This Row],[上班時間]]=0,"否","是")</f>
        <v>否</v>
      </c>
      <c r="O1077" t="s">
        <v>76</v>
      </c>
      <c r="P1077" s="38">
        <v>0</v>
      </c>
      <c r="Q1077" s="38">
        <v>0</v>
      </c>
      <c r="R1077" s="38">
        <v>0</v>
      </c>
    </row>
    <row r="1078" spans="1:18" hidden="1">
      <c r="A1078" t="s">
        <v>76</v>
      </c>
      <c r="B1078" t="s">
        <v>26</v>
      </c>
      <c r="C1078">
        <v>0</v>
      </c>
      <c r="D1078">
        <v>0</v>
      </c>
      <c r="E1078" s="29">
        <v>0</v>
      </c>
      <c r="F1078">
        <v>0</v>
      </c>
      <c r="G1078">
        <v>0</v>
      </c>
      <c r="H1078">
        <v>0</v>
      </c>
      <c r="I1078" s="29">
        <v>0</v>
      </c>
      <c r="J1078" s="29">
        <v>0</v>
      </c>
      <c r="K1078" s="9">
        <v>45319</v>
      </c>
      <c r="L1078">
        <f xml:space="preserve"> (交易處理資料__3[[#This Row],[售出工時]] * 60) / 5</f>
        <v>0</v>
      </c>
      <c r="M1078" t="str">
        <f>VLOOKUP(交易處理資料__3[[#This Row],[人員代號]],團隊分組!$B$1:$C$52,2,FALSE)</f>
        <v>查修團隊B</v>
      </c>
      <c r="N1078" t="str">
        <f>IF(交易處理資料__3[[#This Row],[上班時間]]=0,"否","是")</f>
        <v>否</v>
      </c>
      <c r="O1078" t="s">
        <v>76</v>
      </c>
      <c r="P1078" s="37">
        <v>0</v>
      </c>
      <c r="Q1078" s="37">
        <v>0</v>
      </c>
      <c r="R1078" s="37">
        <v>0</v>
      </c>
    </row>
    <row r="1079" spans="1:18" hidden="1">
      <c r="A1079" t="s">
        <v>76</v>
      </c>
      <c r="B1079" t="s">
        <v>27</v>
      </c>
      <c r="C1079">
        <v>0</v>
      </c>
      <c r="D1079">
        <v>0</v>
      </c>
      <c r="E1079" s="29">
        <v>0</v>
      </c>
      <c r="F1079">
        <v>0</v>
      </c>
      <c r="G1079">
        <v>0</v>
      </c>
      <c r="H1079">
        <v>0</v>
      </c>
      <c r="I1079" s="29">
        <v>0</v>
      </c>
      <c r="J1079" s="29">
        <v>0</v>
      </c>
      <c r="K1079" s="9">
        <v>45319</v>
      </c>
      <c r="L1079">
        <f xml:space="preserve"> (交易處理資料__3[[#This Row],[售出工時]] * 60) / 5</f>
        <v>0</v>
      </c>
      <c r="M1079" t="str">
        <f>VLOOKUP(交易處理資料__3[[#This Row],[人員代號]],團隊分組!$B$1:$C$52,2,FALSE)</f>
        <v>快速保養團隊B</v>
      </c>
      <c r="N1079" t="str">
        <f>IF(交易處理資料__3[[#This Row],[上班時間]]=0,"否","是")</f>
        <v>否</v>
      </c>
      <c r="O1079" t="s">
        <v>76</v>
      </c>
      <c r="P1079" s="38">
        <v>0</v>
      </c>
      <c r="Q1079" s="38">
        <v>0</v>
      </c>
      <c r="R1079" s="38">
        <v>0</v>
      </c>
    </row>
    <row r="1080" spans="1:18" hidden="1">
      <c r="A1080" t="s">
        <v>76</v>
      </c>
      <c r="B1080" t="s">
        <v>28</v>
      </c>
      <c r="C1080">
        <v>0</v>
      </c>
      <c r="D1080">
        <v>0</v>
      </c>
      <c r="E1080" s="29">
        <v>0</v>
      </c>
      <c r="F1080">
        <v>0</v>
      </c>
      <c r="G1080">
        <v>0</v>
      </c>
      <c r="H1080">
        <v>0</v>
      </c>
      <c r="I1080" s="29">
        <v>0</v>
      </c>
      <c r="J1080" s="29">
        <v>0</v>
      </c>
      <c r="K1080" s="9">
        <v>45319</v>
      </c>
      <c r="L1080">
        <f xml:space="preserve"> (交易處理資料__3[[#This Row],[售出工時]] * 60) / 5</f>
        <v>0</v>
      </c>
      <c r="M1080" t="str">
        <f>VLOOKUP(交易處理資料__3[[#This Row],[人員代號]],團隊分組!$B$1:$C$52,2,FALSE)</f>
        <v>快速保養團隊A</v>
      </c>
      <c r="N1080" t="str">
        <f>IF(交易處理資料__3[[#This Row],[上班時間]]=0,"否","是")</f>
        <v>否</v>
      </c>
      <c r="O1080" t="s">
        <v>76</v>
      </c>
      <c r="P1080" s="37">
        <v>0</v>
      </c>
      <c r="Q1080" s="37">
        <v>0</v>
      </c>
      <c r="R1080" s="37">
        <v>0</v>
      </c>
    </row>
    <row r="1081" spans="1:18" hidden="1">
      <c r="A1081" t="s">
        <v>76</v>
      </c>
      <c r="B1081" t="s">
        <v>29</v>
      </c>
      <c r="C1081">
        <v>0</v>
      </c>
      <c r="D1081">
        <v>0</v>
      </c>
      <c r="E1081" s="29">
        <v>0</v>
      </c>
      <c r="F1081">
        <v>0</v>
      </c>
      <c r="G1081">
        <v>0</v>
      </c>
      <c r="H1081">
        <v>0</v>
      </c>
      <c r="I1081" s="29">
        <v>0</v>
      </c>
      <c r="J1081" s="29">
        <v>0</v>
      </c>
      <c r="K1081" s="9">
        <v>45319</v>
      </c>
      <c r="L1081">
        <f xml:space="preserve"> (交易處理資料__3[[#This Row],[售出工時]] * 60) / 5</f>
        <v>0</v>
      </c>
      <c r="M1081" t="str">
        <f>VLOOKUP(交易處理資料__3[[#This Row],[人員代號]],團隊分組!$B$1:$C$52,2,FALSE)</f>
        <v>查修團隊B</v>
      </c>
      <c r="N1081" t="str">
        <f>IF(交易處理資料__3[[#This Row],[上班時間]]=0,"否","是")</f>
        <v>否</v>
      </c>
      <c r="O1081" t="s">
        <v>76</v>
      </c>
      <c r="P1081" s="38">
        <v>0</v>
      </c>
      <c r="Q1081" s="38">
        <v>0</v>
      </c>
      <c r="R1081" s="38">
        <v>0</v>
      </c>
    </row>
    <row r="1082" spans="1:18" hidden="1">
      <c r="A1082" t="s">
        <v>76</v>
      </c>
      <c r="B1082" t="s">
        <v>30</v>
      </c>
      <c r="C1082">
        <v>0</v>
      </c>
      <c r="D1082">
        <v>0</v>
      </c>
      <c r="E1082" s="29">
        <v>0</v>
      </c>
      <c r="F1082">
        <v>0</v>
      </c>
      <c r="G1082">
        <v>0</v>
      </c>
      <c r="H1082">
        <v>0</v>
      </c>
      <c r="I1082" s="29">
        <v>0</v>
      </c>
      <c r="J1082" s="29">
        <v>0</v>
      </c>
      <c r="K1082" s="9">
        <v>45319</v>
      </c>
      <c r="L1082">
        <f xml:space="preserve"> (交易處理資料__3[[#This Row],[售出工時]] * 60) / 5</f>
        <v>0</v>
      </c>
      <c r="M1082" t="str">
        <f>VLOOKUP(交易處理資料__3[[#This Row],[人員代號]],團隊分組!$B$1:$C$52,2,FALSE)</f>
        <v>快速保養團隊B</v>
      </c>
      <c r="N1082" t="str">
        <f>IF(交易處理資料__3[[#This Row],[上班時間]]=0,"否","是")</f>
        <v>否</v>
      </c>
      <c r="O1082" t="s">
        <v>76</v>
      </c>
      <c r="P1082" s="37">
        <v>0</v>
      </c>
      <c r="Q1082" s="37">
        <v>0</v>
      </c>
      <c r="R1082" s="37">
        <v>0</v>
      </c>
    </row>
    <row r="1083" spans="1:18" hidden="1">
      <c r="A1083" t="s">
        <v>76</v>
      </c>
      <c r="B1083" t="s">
        <v>32</v>
      </c>
      <c r="C1083">
        <v>0</v>
      </c>
      <c r="D1083">
        <v>0</v>
      </c>
      <c r="E1083" s="29">
        <v>0</v>
      </c>
      <c r="F1083">
        <v>0</v>
      </c>
      <c r="G1083">
        <v>0</v>
      </c>
      <c r="H1083">
        <v>0</v>
      </c>
      <c r="I1083" s="29">
        <v>0</v>
      </c>
      <c r="J1083" s="29">
        <v>0</v>
      </c>
      <c r="K1083" s="9">
        <v>45319</v>
      </c>
      <c r="L1083">
        <f xml:space="preserve"> (交易處理資料__3[[#This Row],[售出工時]] * 60) / 5</f>
        <v>0</v>
      </c>
      <c r="M1083" t="str">
        <f>VLOOKUP(交易處理資料__3[[#This Row],[人員代號]],團隊分組!$B$1:$C$52,2,FALSE)</f>
        <v>快速保養團隊B</v>
      </c>
      <c r="N1083" t="str">
        <f>IF(交易處理資料__3[[#This Row],[上班時間]]=0,"否","是")</f>
        <v>否</v>
      </c>
      <c r="O1083" t="s">
        <v>76</v>
      </c>
      <c r="P1083" s="38">
        <v>0</v>
      </c>
      <c r="Q1083" s="38">
        <v>0</v>
      </c>
      <c r="R1083" s="38">
        <v>0</v>
      </c>
    </row>
    <row r="1084" spans="1:18" hidden="1">
      <c r="A1084" t="s">
        <v>76</v>
      </c>
      <c r="B1084" t="s">
        <v>33</v>
      </c>
      <c r="C1084">
        <v>0</v>
      </c>
      <c r="D1084">
        <v>0</v>
      </c>
      <c r="E1084" s="29">
        <v>0</v>
      </c>
      <c r="F1084">
        <v>0</v>
      </c>
      <c r="G1084">
        <v>0</v>
      </c>
      <c r="H1084">
        <v>0</v>
      </c>
      <c r="I1084" s="29">
        <v>0</v>
      </c>
      <c r="J1084" s="29">
        <v>0</v>
      </c>
      <c r="K1084" s="9">
        <v>45319</v>
      </c>
      <c r="L1084">
        <f xml:space="preserve"> (交易處理資料__3[[#This Row],[售出工時]] * 60) / 5</f>
        <v>0</v>
      </c>
      <c r="M1084" t="str">
        <f>VLOOKUP(交易處理資料__3[[#This Row],[人員代號]],團隊分組!$B$1:$C$52,2,FALSE)</f>
        <v>快速保養團隊B</v>
      </c>
      <c r="N1084" t="str">
        <f>IF(交易處理資料__3[[#This Row],[上班時間]]=0,"否","是")</f>
        <v>否</v>
      </c>
      <c r="O1084" t="s">
        <v>76</v>
      </c>
      <c r="P1084" s="37">
        <v>0</v>
      </c>
      <c r="Q1084" s="37">
        <v>0</v>
      </c>
      <c r="R1084" s="37">
        <v>0</v>
      </c>
    </row>
    <row r="1085" spans="1:18" hidden="1">
      <c r="A1085" t="s">
        <v>76</v>
      </c>
      <c r="B1085" t="s">
        <v>34</v>
      </c>
      <c r="C1085">
        <v>0</v>
      </c>
      <c r="D1085">
        <v>0</v>
      </c>
      <c r="E1085" s="29">
        <v>0</v>
      </c>
      <c r="F1085">
        <v>0</v>
      </c>
      <c r="G1085">
        <v>0</v>
      </c>
      <c r="H1085">
        <v>0</v>
      </c>
      <c r="I1085" s="29">
        <v>0</v>
      </c>
      <c r="J1085" s="29">
        <v>0</v>
      </c>
      <c r="K1085" s="9">
        <v>45319</v>
      </c>
      <c r="L1085">
        <f xml:space="preserve"> (交易處理資料__3[[#This Row],[售出工時]] * 60) / 5</f>
        <v>0</v>
      </c>
      <c r="M1085" t="str">
        <f>VLOOKUP(交易處理資料__3[[#This Row],[人員代號]],團隊分組!$B$1:$C$52,2,FALSE)</f>
        <v>快速保養團隊A</v>
      </c>
      <c r="N1085" t="str">
        <f>IF(交易處理資料__3[[#This Row],[上班時間]]=0,"否","是")</f>
        <v>否</v>
      </c>
      <c r="O1085" t="s">
        <v>76</v>
      </c>
      <c r="P1085" s="38">
        <v>0</v>
      </c>
      <c r="Q1085" s="38">
        <v>0</v>
      </c>
      <c r="R1085" s="38">
        <v>0</v>
      </c>
    </row>
    <row r="1086" spans="1:18" hidden="1">
      <c r="A1086" t="s">
        <v>76</v>
      </c>
      <c r="B1086" t="s">
        <v>35</v>
      </c>
      <c r="C1086">
        <v>0</v>
      </c>
      <c r="D1086">
        <v>0</v>
      </c>
      <c r="E1086" s="29">
        <v>0</v>
      </c>
      <c r="F1086">
        <v>0</v>
      </c>
      <c r="G1086">
        <v>0</v>
      </c>
      <c r="H1086">
        <v>0</v>
      </c>
      <c r="I1086" s="29">
        <v>0</v>
      </c>
      <c r="J1086" s="29">
        <v>0</v>
      </c>
      <c r="K1086" s="9">
        <v>45319</v>
      </c>
      <c r="L1086">
        <f xml:space="preserve"> (交易處理資料__3[[#This Row],[售出工時]] * 60) / 5</f>
        <v>0</v>
      </c>
      <c r="M1086" t="str">
        <f>VLOOKUP(交易處理資料__3[[#This Row],[人員代號]],團隊分組!$B$1:$C$52,2,FALSE)</f>
        <v>查修團隊B</v>
      </c>
      <c r="N1086" t="str">
        <f>IF(交易處理資料__3[[#This Row],[上班時間]]=0,"否","是")</f>
        <v>否</v>
      </c>
      <c r="O1086" t="s">
        <v>76</v>
      </c>
      <c r="P1086" s="37">
        <v>0</v>
      </c>
      <c r="Q1086" s="37">
        <v>0</v>
      </c>
      <c r="R1086" s="37">
        <v>0</v>
      </c>
    </row>
    <row r="1087" spans="1:18" hidden="1">
      <c r="A1087" t="s">
        <v>76</v>
      </c>
      <c r="B1087" t="s">
        <v>36</v>
      </c>
      <c r="C1087">
        <v>0</v>
      </c>
      <c r="D1087">
        <v>0</v>
      </c>
      <c r="E1087" s="29">
        <v>0</v>
      </c>
      <c r="F1087">
        <v>0</v>
      </c>
      <c r="G1087">
        <v>0</v>
      </c>
      <c r="H1087">
        <v>0</v>
      </c>
      <c r="I1087" s="29">
        <v>0</v>
      </c>
      <c r="J1087" s="29">
        <v>0</v>
      </c>
      <c r="K1087" s="9">
        <v>45319</v>
      </c>
      <c r="L1087">
        <f xml:space="preserve"> (交易處理資料__3[[#This Row],[售出工時]] * 60) / 5</f>
        <v>0</v>
      </c>
      <c r="M1087" t="str">
        <f>VLOOKUP(交易處理資料__3[[#This Row],[人員代號]],團隊分組!$B$1:$C$52,2,FALSE)</f>
        <v>查修團隊B</v>
      </c>
      <c r="N1087" t="str">
        <f>IF(交易處理資料__3[[#This Row],[上班時間]]=0,"否","是")</f>
        <v>否</v>
      </c>
      <c r="O1087" t="s">
        <v>76</v>
      </c>
      <c r="P1087" s="38">
        <v>0</v>
      </c>
      <c r="Q1087" s="38">
        <v>0</v>
      </c>
      <c r="R1087" s="38">
        <v>0</v>
      </c>
    </row>
    <row r="1088" spans="1:18" hidden="1">
      <c r="A1088" t="s">
        <v>76</v>
      </c>
      <c r="B1088" t="s">
        <v>37</v>
      </c>
      <c r="C1088">
        <v>0</v>
      </c>
      <c r="D1088">
        <v>0</v>
      </c>
      <c r="E1088" s="29">
        <v>0</v>
      </c>
      <c r="F1088">
        <v>0</v>
      </c>
      <c r="G1088">
        <v>0</v>
      </c>
      <c r="H1088">
        <v>0</v>
      </c>
      <c r="I1088" s="29">
        <v>0</v>
      </c>
      <c r="J1088" s="29">
        <v>0</v>
      </c>
      <c r="K1088" s="9">
        <v>45319</v>
      </c>
      <c r="L1088">
        <f xml:space="preserve"> (交易處理資料__3[[#This Row],[售出工時]] * 60) / 5</f>
        <v>0</v>
      </c>
      <c r="M1088" t="str">
        <f>VLOOKUP(交易處理資料__3[[#This Row],[人員代號]],團隊分組!$B$1:$C$52,2,FALSE)</f>
        <v>查修團隊A</v>
      </c>
      <c r="N1088" t="str">
        <f>IF(交易處理資料__3[[#This Row],[上班時間]]=0,"否","是")</f>
        <v>否</v>
      </c>
      <c r="O1088" t="s">
        <v>76</v>
      </c>
      <c r="P1088" s="37">
        <v>0</v>
      </c>
      <c r="Q1088" s="37">
        <v>0</v>
      </c>
      <c r="R1088" s="37">
        <v>0</v>
      </c>
    </row>
    <row r="1089" spans="1:18" hidden="1">
      <c r="A1089" t="s">
        <v>76</v>
      </c>
      <c r="B1089" t="s">
        <v>38</v>
      </c>
      <c r="C1089">
        <v>0</v>
      </c>
      <c r="D1089">
        <v>0</v>
      </c>
      <c r="E1089" s="29">
        <v>0</v>
      </c>
      <c r="F1089">
        <v>0</v>
      </c>
      <c r="G1089">
        <v>0</v>
      </c>
      <c r="H1089">
        <v>0</v>
      </c>
      <c r="I1089" s="29">
        <v>0</v>
      </c>
      <c r="J1089" s="29">
        <v>0</v>
      </c>
      <c r="K1089" s="9">
        <v>45319</v>
      </c>
      <c r="L1089">
        <f xml:space="preserve"> (交易處理資料__3[[#This Row],[售出工時]] * 60) / 5</f>
        <v>0</v>
      </c>
      <c r="M1089" t="str">
        <f>VLOOKUP(交易處理資料__3[[#This Row],[人員代號]],團隊分組!$B$1:$C$52,2,FALSE)</f>
        <v>快速保養團隊A</v>
      </c>
      <c r="N1089" t="str">
        <f>IF(交易處理資料__3[[#This Row],[上班時間]]=0,"否","是")</f>
        <v>否</v>
      </c>
      <c r="O1089" t="s">
        <v>76</v>
      </c>
      <c r="P1089" s="38">
        <v>0</v>
      </c>
      <c r="Q1089" s="38">
        <v>0</v>
      </c>
      <c r="R1089" s="38">
        <v>0</v>
      </c>
    </row>
    <row r="1090" spans="1:18" hidden="1">
      <c r="A1090" t="s">
        <v>76</v>
      </c>
      <c r="B1090" t="s">
        <v>39</v>
      </c>
      <c r="C1090">
        <v>0</v>
      </c>
      <c r="D1090">
        <v>0</v>
      </c>
      <c r="E1090" s="29">
        <v>0</v>
      </c>
      <c r="F1090">
        <v>0</v>
      </c>
      <c r="G1090">
        <v>0</v>
      </c>
      <c r="H1090">
        <v>0</v>
      </c>
      <c r="I1090" s="29">
        <v>0</v>
      </c>
      <c r="J1090" s="29">
        <v>0</v>
      </c>
      <c r="K1090" s="9">
        <v>45319</v>
      </c>
      <c r="L1090">
        <f xml:space="preserve"> (交易處理資料__3[[#This Row],[售出工時]] * 60) / 5</f>
        <v>0</v>
      </c>
      <c r="M1090" t="str">
        <f>VLOOKUP(交易處理資料__3[[#This Row],[人員代號]],團隊分組!$B$1:$C$52,2,FALSE)</f>
        <v>查修團隊A</v>
      </c>
      <c r="N1090" t="str">
        <f>IF(交易處理資料__3[[#This Row],[上班時間]]=0,"否","是")</f>
        <v>否</v>
      </c>
      <c r="O1090" t="s">
        <v>76</v>
      </c>
      <c r="P1090" s="37">
        <v>0</v>
      </c>
      <c r="Q1090" s="37">
        <v>0</v>
      </c>
      <c r="R1090" s="37">
        <v>0</v>
      </c>
    </row>
    <row r="1091" spans="1:18" hidden="1">
      <c r="A1091" t="s">
        <v>76</v>
      </c>
      <c r="B1091" t="s">
        <v>40</v>
      </c>
      <c r="C1091">
        <v>0</v>
      </c>
      <c r="D1091">
        <v>0</v>
      </c>
      <c r="E1091" s="29">
        <v>0</v>
      </c>
      <c r="F1091">
        <v>0</v>
      </c>
      <c r="G1091">
        <v>0</v>
      </c>
      <c r="H1091">
        <v>0</v>
      </c>
      <c r="I1091" s="29">
        <v>0</v>
      </c>
      <c r="J1091" s="29">
        <v>0</v>
      </c>
      <c r="K1091" s="9">
        <v>45319</v>
      </c>
      <c r="L1091">
        <f xml:space="preserve"> (交易處理資料__3[[#This Row],[售出工時]] * 60) / 5</f>
        <v>0</v>
      </c>
      <c r="M1091" t="str">
        <f>VLOOKUP(交易處理資料__3[[#This Row],[人員代號]],團隊分組!$B$1:$C$52,2,FALSE)</f>
        <v>查修團隊A</v>
      </c>
      <c r="N1091" t="str">
        <f>IF(交易處理資料__3[[#This Row],[上班時間]]=0,"否","是")</f>
        <v>否</v>
      </c>
      <c r="O1091" t="s">
        <v>76</v>
      </c>
      <c r="P1091" s="38">
        <v>0</v>
      </c>
      <c r="Q1091" s="38">
        <v>0</v>
      </c>
      <c r="R1091" s="38">
        <v>0</v>
      </c>
    </row>
    <row r="1092" spans="1:18" hidden="1">
      <c r="A1092" t="s">
        <v>76</v>
      </c>
      <c r="B1092" t="s">
        <v>41</v>
      </c>
      <c r="C1092">
        <v>0</v>
      </c>
      <c r="D1092">
        <v>0</v>
      </c>
      <c r="E1092" s="29">
        <v>0</v>
      </c>
      <c r="F1092">
        <v>0</v>
      </c>
      <c r="G1092">
        <v>0</v>
      </c>
      <c r="H1092">
        <v>0</v>
      </c>
      <c r="I1092" s="29">
        <v>0</v>
      </c>
      <c r="J1092" s="29">
        <v>0</v>
      </c>
      <c r="K1092" s="9">
        <v>45319</v>
      </c>
      <c r="L1092">
        <f xml:space="preserve"> (交易處理資料__3[[#This Row],[售出工時]] * 60) / 5</f>
        <v>0</v>
      </c>
      <c r="M1092" t="str">
        <f>VLOOKUP(交易處理資料__3[[#This Row],[人員代號]],團隊分組!$B$1:$C$52,2,FALSE)</f>
        <v>快速保養團隊A</v>
      </c>
      <c r="N1092" t="str">
        <f>IF(交易處理資料__3[[#This Row],[上班時間]]=0,"否","是")</f>
        <v>否</v>
      </c>
      <c r="O1092" t="s">
        <v>76</v>
      </c>
      <c r="P1092" s="37">
        <v>0</v>
      </c>
      <c r="Q1092" s="37">
        <v>0</v>
      </c>
      <c r="R1092" s="37">
        <v>0</v>
      </c>
    </row>
    <row r="1093" spans="1:18" hidden="1">
      <c r="A1093" t="s">
        <v>76</v>
      </c>
      <c r="B1093" t="s">
        <v>42</v>
      </c>
      <c r="C1093">
        <v>0</v>
      </c>
      <c r="D1093">
        <v>0</v>
      </c>
      <c r="E1093" s="29">
        <v>0</v>
      </c>
      <c r="F1093">
        <v>0</v>
      </c>
      <c r="G1093">
        <v>0</v>
      </c>
      <c r="H1093">
        <v>0</v>
      </c>
      <c r="I1093" s="29">
        <v>0</v>
      </c>
      <c r="J1093" s="29">
        <v>0</v>
      </c>
      <c r="K1093" s="9">
        <v>45319</v>
      </c>
      <c r="L1093">
        <f xml:space="preserve"> (交易處理資料__3[[#This Row],[售出工時]] * 60) / 5</f>
        <v>0</v>
      </c>
      <c r="M1093" t="str">
        <f>VLOOKUP(交易處理資料__3[[#This Row],[人員代號]],團隊分組!$B$1:$C$52,2,FALSE)</f>
        <v>快速保養團隊A</v>
      </c>
      <c r="N1093" t="str">
        <f>IF(交易處理資料__3[[#This Row],[上班時間]]=0,"否","是")</f>
        <v>否</v>
      </c>
      <c r="O1093" t="s">
        <v>76</v>
      </c>
      <c r="P1093" s="38">
        <v>0</v>
      </c>
      <c r="Q1093" s="38">
        <v>0</v>
      </c>
      <c r="R1093" s="38">
        <v>0</v>
      </c>
    </row>
    <row r="1094" spans="1:18" hidden="1">
      <c r="A1094" t="s">
        <v>76</v>
      </c>
      <c r="B1094" t="s">
        <v>43</v>
      </c>
      <c r="C1094">
        <v>0</v>
      </c>
      <c r="D1094">
        <v>0</v>
      </c>
      <c r="E1094" s="29">
        <v>0</v>
      </c>
      <c r="F1094">
        <v>0</v>
      </c>
      <c r="G1094">
        <v>0</v>
      </c>
      <c r="H1094">
        <v>0</v>
      </c>
      <c r="I1094" s="29">
        <v>0</v>
      </c>
      <c r="J1094" s="29">
        <v>0</v>
      </c>
      <c r="K1094" s="9">
        <v>45319</v>
      </c>
      <c r="L1094">
        <f xml:space="preserve"> (交易處理資料__3[[#This Row],[售出工時]] * 60) / 5</f>
        <v>0</v>
      </c>
      <c r="M1094" t="str">
        <f>VLOOKUP(交易處理資料__3[[#This Row],[人員代號]],團隊分組!$B$1:$C$52,2,FALSE)</f>
        <v>查修團隊B</v>
      </c>
      <c r="N1094" t="str">
        <f>IF(交易處理資料__3[[#This Row],[上班時間]]=0,"否","是")</f>
        <v>否</v>
      </c>
      <c r="O1094" t="s">
        <v>76</v>
      </c>
      <c r="P1094" s="37">
        <v>0</v>
      </c>
      <c r="Q1094" s="37">
        <v>0</v>
      </c>
      <c r="R1094" s="37">
        <v>0</v>
      </c>
    </row>
    <row r="1095" spans="1:18" hidden="1">
      <c r="A1095" t="s">
        <v>76</v>
      </c>
      <c r="B1095" t="s">
        <v>44</v>
      </c>
      <c r="C1095">
        <v>0</v>
      </c>
      <c r="D1095">
        <v>0</v>
      </c>
      <c r="E1095" s="29">
        <v>0</v>
      </c>
      <c r="F1095">
        <v>0</v>
      </c>
      <c r="G1095">
        <v>0</v>
      </c>
      <c r="H1095">
        <v>0</v>
      </c>
      <c r="I1095" s="29">
        <v>0</v>
      </c>
      <c r="J1095" s="29">
        <v>0</v>
      </c>
      <c r="K1095" s="9">
        <v>45319</v>
      </c>
      <c r="L1095">
        <f xml:space="preserve"> (交易處理資料__3[[#This Row],[售出工時]] * 60) / 5</f>
        <v>0</v>
      </c>
      <c r="M1095" t="str">
        <f>VLOOKUP(交易處理資料__3[[#This Row],[人員代號]],團隊分組!$B$1:$C$52,2,FALSE)</f>
        <v>快速保養團隊B</v>
      </c>
      <c r="N1095" t="str">
        <f>IF(交易處理資料__3[[#This Row],[上班時間]]=0,"否","是")</f>
        <v>否</v>
      </c>
      <c r="O1095" t="s">
        <v>76</v>
      </c>
      <c r="P1095" s="38">
        <v>0</v>
      </c>
      <c r="Q1095" s="38">
        <v>0</v>
      </c>
      <c r="R1095" s="38">
        <v>0</v>
      </c>
    </row>
    <row r="1096" spans="1:18" hidden="1">
      <c r="A1096" t="s">
        <v>76</v>
      </c>
      <c r="B1096" t="s">
        <v>45</v>
      </c>
      <c r="C1096">
        <v>0</v>
      </c>
      <c r="D1096">
        <v>0</v>
      </c>
      <c r="E1096" s="29">
        <v>0</v>
      </c>
      <c r="F1096">
        <v>0</v>
      </c>
      <c r="G1096">
        <v>0</v>
      </c>
      <c r="H1096">
        <v>0</v>
      </c>
      <c r="I1096" s="29">
        <v>0</v>
      </c>
      <c r="J1096" s="29">
        <v>0</v>
      </c>
      <c r="K1096" s="9">
        <v>45319</v>
      </c>
      <c r="L1096">
        <f xml:space="preserve"> (交易處理資料__3[[#This Row],[售出工時]] * 60) / 5</f>
        <v>0</v>
      </c>
      <c r="M1096" t="str">
        <f>VLOOKUP(交易處理資料__3[[#This Row],[人員代號]],團隊分組!$B$1:$C$52,2,FALSE)</f>
        <v>快速保養團隊A</v>
      </c>
      <c r="N1096" t="str">
        <f>IF(交易處理資料__3[[#This Row],[上班時間]]=0,"否","是")</f>
        <v>否</v>
      </c>
      <c r="O1096" t="s">
        <v>76</v>
      </c>
      <c r="P1096" s="37">
        <v>0</v>
      </c>
      <c r="Q1096" s="37">
        <v>0</v>
      </c>
      <c r="R1096" s="37">
        <v>0</v>
      </c>
    </row>
    <row r="1097" spans="1:18" hidden="1">
      <c r="A1097" t="s">
        <v>76</v>
      </c>
      <c r="B1097" t="s">
        <v>46</v>
      </c>
      <c r="C1097">
        <v>0</v>
      </c>
      <c r="D1097">
        <v>0</v>
      </c>
      <c r="E1097" s="29">
        <v>0</v>
      </c>
      <c r="F1097">
        <v>0</v>
      </c>
      <c r="G1097">
        <v>0</v>
      </c>
      <c r="H1097">
        <v>0</v>
      </c>
      <c r="I1097" s="29">
        <v>0</v>
      </c>
      <c r="J1097" s="29">
        <v>0</v>
      </c>
      <c r="K1097" s="9">
        <v>45319</v>
      </c>
      <c r="L1097">
        <f xml:space="preserve"> (交易處理資料__3[[#This Row],[售出工時]] * 60) / 5</f>
        <v>0</v>
      </c>
      <c r="M1097" t="str">
        <f>VLOOKUP(交易處理資料__3[[#This Row],[人員代號]],團隊分組!$B$1:$C$52,2,FALSE)</f>
        <v>查修團隊B</v>
      </c>
      <c r="N1097" t="str">
        <f>IF(交易處理資料__3[[#This Row],[上班時間]]=0,"否","是")</f>
        <v>否</v>
      </c>
      <c r="O1097" t="s">
        <v>76</v>
      </c>
      <c r="P1097" s="38">
        <v>0</v>
      </c>
      <c r="Q1097" s="38">
        <v>0</v>
      </c>
      <c r="R1097" s="38">
        <v>0</v>
      </c>
    </row>
    <row r="1098" spans="1:18" hidden="1">
      <c r="A1098" t="s">
        <v>76</v>
      </c>
      <c r="B1098" t="s">
        <v>47</v>
      </c>
      <c r="C1098">
        <v>0</v>
      </c>
      <c r="D1098">
        <v>0</v>
      </c>
      <c r="E1098" s="29">
        <v>0</v>
      </c>
      <c r="F1098">
        <v>0</v>
      </c>
      <c r="G1098">
        <v>0</v>
      </c>
      <c r="H1098">
        <v>0</v>
      </c>
      <c r="I1098" s="29">
        <v>0</v>
      </c>
      <c r="J1098" s="29">
        <v>0</v>
      </c>
      <c r="K1098" s="9">
        <v>45319</v>
      </c>
      <c r="L1098">
        <f xml:space="preserve"> (交易處理資料__3[[#This Row],[售出工時]] * 60) / 5</f>
        <v>0</v>
      </c>
      <c r="M1098" t="str">
        <f>VLOOKUP(交易處理資料__3[[#This Row],[人員代號]],團隊分組!$B$1:$C$52,2,FALSE)</f>
        <v>查修團隊B</v>
      </c>
      <c r="N1098" t="str">
        <f>IF(交易處理資料__3[[#This Row],[上班時間]]=0,"否","是")</f>
        <v>否</v>
      </c>
      <c r="O1098" t="s">
        <v>76</v>
      </c>
      <c r="P1098" s="37">
        <v>0</v>
      </c>
      <c r="Q1098" s="37">
        <v>0</v>
      </c>
      <c r="R1098" s="37">
        <v>0</v>
      </c>
    </row>
    <row r="1099" spans="1:18" hidden="1">
      <c r="A1099" t="s">
        <v>76</v>
      </c>
      <c r="B1099" t="s">
        <v>48</v>
      </c>
      <c r="C1099">
        <v>0</v>
      </c>
      <c r="D1099">
        <v>0</v>
      </c>
      <c r="E1099" s="29">
        <v>0</v>
      </c>
      <c r="F1099">
        <v>0</v>
      </c>
      <c r="G1099">
        <v>0</v>
      </c>
      <c r="H1099">
        <v>0</v>
      </c>
      <c r="I1099" s="29">
        <v>0</v>
      </c>
      <c r="J1099" s="29">
        <v>0</v>
      </c>
      <c r="K1099" s="9">
        <v>45319</v>
      </c>
      <c r="L1099">
        <f xml:space="preserve"> (交易處理資料__3[[#This Row],[售出工時]] * 60) / 5</f>
        <v>0</v>
      </c>
      <c r="M1099" t="str">
        <f>VLOOKUP(交易處理資料__3[[#This Row],[人員代號]],團隊分組!$B$1:$C$52,2,FALSE)</f>
        <v>查修團隊A</v>
      </c>
      <c r="N1099" t="str">
        <f>IF(交易處理資料__3[[#This Row],[上班時間]]=0,"否","是")</f>
        <v>否</v>
      </c>
      <c r="O1099" t="s">
        <v>76</v>
      </c>
      <c r="P1099" s="38">
        <v>0</v>
      </c>
      <c r="Q1099" s="38">
        <v>0</v>
      </c>
      <c r="R1099" s="38">
        <v>0</v>
      </c>
    </row>
    <row r="1100" spans="1:18" hidden="1">
      <c r="A1100" t="s">
        <v>76</v>
      </c>
      <c r="B1100" t="s">
        <v>49</v>
      </c>
      <c r="C1100">
        <v>0</v>
      </c>
      <c r="D1100">
        <v>0</v>
      </c>
      <c r="E1100" s="29">
        <v>0</v>
      </c>
      <c r="F1100">
        <v>0</v>
      </c>
      <c r="G1100">
        <v>0</v>
      </c>
      <c r="H1100">
        <v>0</v>
      </c>
      <c r="I1100" s="29">
        <v>0</v>
      </c>
      <c r="J1100" s="29">
        <v>0</v>
      </c>
      <c r="K1100" s="9">
        <v>45319</v>
      </c>
      <c r="L1100">
        <f xml:space="preserve"> (交易處理資料__3[[#This Row],[售出工時]] * 60) / 5</f>
        <v>0</v>
      </c>
      <c r="M1100" t="str">
        <f>VLOOKUP(交易處理資料__3[[#This Row],[人員代號]],團隊分組!$B$1:$C$52,2,FALSE)</f>
        <v>查修團隊A</v>
      </c>
      <c r="N1100" t="str">
        <f>IF(交易處理資料__3[[#This Row],[上班時間]]=0,"否","是")</f>
        <v>否</v>
      </c>
      <c r="O1100" t="s">
        <v>76</v>
      </c>
      <c r="P1100" s="37">
        <v>0</v>
      </c>
      <c r="Q1100" s="37">
        <v>0</v>
      </c>
      <c r="R1100" s="37">
        <v>0</v>
      </c>
    </row>
    <row r="1101" spans="1:18" hidden="1">
      <c r="A1101" t="s">
        <v>76</v>
      </c>
      <c r="B1101" t="s">
        <v>50</v>
      </c>
      <c r="C1101">
        <v>0</v>
      </c>
      <c r="D1101">
        <v>0</v>
      </c>
      <c r="E1101" s="29">
        <v>0</v>
      </c>
      <c r="F1101">
        <v>0</v>
      </c>
      <c r="G1101">
        <v>0</v>
      </c>
      <c r="H1101">
        <v>0</v>
      </c>
      <c r="I1101" s="29">
        <v>0</v>
      </c>
      <c r="J1101" s="29">
        <v>0</v>
      </c>
      <c r="K1101" s="9">
        <v>45319</v>
      </c>
      <c r="L1101">
        <f xml:space="preserve"> (交易處理資料__3[[#This Row],[售出工時]] * 60) / 5</f>
        <v>0</v>
      </c>
      <c r="M1101" t="str">
        <f>VLOOKUP(交易處理資料__3[[#This Row],[人員代號]],團隊分組!$B$1:$C$52,2,FALSE)</f>
        <v>快速保養團隊B</v>
      </c>
      <c r="N1101" t="str">
        <f>IF(交易處理資料__3[[#This Row],[上班時間]]=0,"否","是")</f>
        <v>否</v>
      </c>
      <c r="O1101" t="s">
        <v>76</v>
      </c>
      <c r="P1101" s="38">
        <v>0</v>
      </c>
      <c r="Q1101" s="38">
        <v>0</v>
      </c>
      <c r="R1101" s="38">
        <v>0</v>
      </c>
    </row>
    <row r="1102" spans="1:18" hidden="1">
      <c r="A1102" t="s">
        <v>76</v>
      </c>
      <c r="B1102" t="s">
        <v>51</v>
      </c>
      <c r="C1102">
        <v>0</v>
      </c>
      <c r="D1102">
        <v>0</v>
      </c>
      <c r="E1102" s="29">
        <v>0</v>
      </c>
      <c r="F1102">
        <v>0</v>
      </c>
      <c r="G1102">
        <v>0</v>
      </c>
      <c r="H1102">
        <v>0</v>
      </c>
      <c r="I1102" s="29">
        <v>0</v>
      </c>
      <c r="J1102" s="29">
        <v>0</v>
      </c>
      <c r="K1102" s="9">
        <v>45319</v>
      </c>
      <c r="L1102">
        <f xml:space="preserve"> (交易處理資料__3[[#This Row],[售出工時]] * 60) / 5</f>
        <v>0</v>
      </c>
      <c r="M1102" t="str">
        <f>VLOOKUP(交易處理資料__3[[#This Row],[人員代號]],團隊分組!$B$1:$C$52,2,FALSE)</f>
        <v>無效數據</v>
      </c>
      <c r="N1102" t="str">
        <f>IF(交易處理資料__3[[#This Row],[上班時間]]=0,"否","是")</f>
        <v>否</v>
      </c>
      <c r="O1102" t="s">
        <v>76</v>
      </c>
      <c r="P1102" s="37">
        <v>0</v>
      </c>
      <c r="Q1102" s="37">
        <v>0</v>
      </c>
      <c r="R1102" s="37">
        <v>0</v>
      </c>
    </row>
    <row r="1103" spans="1:18" hidden="1">
      <c r="A1103" t="s">
        <v>76</v>
      </c>
      <c r="B1103" t="s">
        <v>52</v>
      </c>
      <c r="C1103">
        <v>0</v>
      </c>
      <c r="D1103">
        <v>0</v>
      </c>
      <c r="E1103" s="29">
        <v>0</v>
      </c>
      <c r="F1103">
        <v>0</v>
      </c>
      <c r="G1103">
        <v>0</v>
      </c>
      <c r="H1103">
        <v>0</v>
      </c>
      <c r="I1103" s="29">
        <v>0</v>
      </c>
      <c r="J1103" s="29">
        <v>0</v>
      </c>
      <c r="K1103" s="9">
        <v>45319</v>
      </c>
      <c r="L1103">
        <f xml:space="preserve"> (交易處理資料__3[[#This Row],[售出工時]] * 60) / 5</f>
        <v>0</v>
      </c>
      <c r="M1103" t="str">
        <f>VLOOKUP(交易處理資料__3[[#This Row],[人員代號]],團隊分組!$B$1:$C$52,2,FALSE)</f>
        <v>查修團隊B</v>
      </c>
      <c r="N1103" t="str">
        <f>IF(交易處理資料__3[[#This Row],[上班時間]]=0,"否","是")</f>
        <v>否</v>
      </c>
      <c r="O1103" t="s">
        <v>76</v>
      </c>
      <c r="P1103" s="38">
        <v>0</v>
      </c>
      <c r="Q1103" s="38">
        <v>0</v>
      </c>
      <c r="R1103" s="38">
        <v>0</v>
      </c>
    </row>
    <row r="1104" spans="1:18" hidden="1">
      <c r="A1104" t="s">
        <v>76</v>
      </c>
      <c r="B1104" t="s">
        <v>53</v>
      </c>
      <c r="C1104">
        <v>0</v>
      </c>
      <c r="D1104">
        <v>0</v>
      </c>
      <c r="E1104" s="29">
        <v>0</v>
      </c>
      <c r="F1104">
        <v>0</v>
      </c>
      <c r="G1104">
        <v>0</v>
      </c>
      <c r="H1104">
        <v>0</v>
      </c>
      <c r="I1104" s="29">
        <v>0</v>
      </c>
      <c r="J1104" s="29">
        <v>0</v>
      </c>
      <c r="K1104" s="9">
        <v>45319</v>
      </c>
      <c r="L1104">
        <f xml:space="preserve"> (交易處理資料__3[[#This Row],[售出工時]] * 60) / 5</f>
        <v>0</v>
      </c>
      <c r="M1104" t="str">
        <f>VLOOKUP(交易處理資料__3[[#This Row],[人員代號]],團隊分組!$B$1:$C$52,2,FALSE)</f>
        <v>查修團隊A</v>
      </c>
      <c r="N1104" t="str">
        <f>IF(交易處理資料__3[[#This Row],[上班時間]]=0,"否","是")</f>
        <v>否</v>
      </c>
      <c r="O1104" t="s">
        <v>76</v>
      </c>
      <c r="P1104" s="37">
        <v>0</v>
      </c>
      <c r="Q1104" s="37">
        <v>0</v>
      </c>
      <c r="R1104" s="37">
        <v>0</v>
      </c>
    </row>
    <row r="1105" spans="1:18" hidden="1">
      <c r="A1105" s="10" t="s">
        <v>74</v>
      </c>
      <c r="B1105" t="s">
        <v>1</v>
      </c>
      <c r="C1105">
        <v>0</v>
      </c>
      <c r="D1105">
        <v>0</v>
      </c>
      <c r="E1105" s="29">
        <v>0</v>
      </c>
      <c r="F1105">
        <v>7</v>
      </c>
      <c r="G1105">
        <v>0.99</v>
      </c>
      <c r="H1105">
        <v>7.99</v>
      </c>
      <c r="I1105" s="29">
        <v>0.87609999999999999</v>
      </c>
      <c r="J1105" s="29">
        <v>0</v>
      </c>
      <c r="K1105" s="9">
        <v>45320</v>
      </c>
      <c r="L1105">
        <f xml:space="preserve"> (交易處理資料__3[[#This Row],[售出工時]] * 60) / 5</f>
        <v>0</v>
      </c>
      <c r="M1105" t="str">
        <f>VLOOKUP(交易處理資料__3[[#This Row],[人員代號]],團隊分組!$B$1:$C$52,2,FALSE)</f>
        <v>噴漆維修組</v>
      </c>
      <c r="N1105" t="str">
        <f>IF(交易處理資料__3[[#This Row],[上班時間]]=0,"否","是")</f>
        <v>是</v>
      </c>
      <c r="O1105" s="10" t="s">
        <v>74</v>
      </c>
      <c r="P1105" s="38">
        <v>0</v>
      </c>
      <c r="Q1105" s="38">
        <v>0</v>
      </c>
      <c r="R1105" s="38">
        <v>0.87609999999999999</v>
      </c>
    </row>
    <row r="1106" spans="1:18" hidden="1">
      <c r="A1106" s="10" t="s">
        <v>74</v>
      </c>
      <c r="B1106" t="s">
        <v>4</v>
      </c>
      <c r="C1106">
        <v>1.25</v>
      </c>
      <c r="D1106">
        <v>3.57</v>
      </c>
      <c r="E1106" s="29">
        <v>0.35014005599999998</v>
      </c>
      <c r="F1106">
        <v>6.98</v>
      </c>
      <c r="G1106">
        <v>1</v>
      </c>
      <c r="H1106">
        <v>7.98</v>
      </c>
      <c r="I1106" s="29">
        <v>0.87470000000000003</v>
      </c>
      <c r="J1106" s="29">
        <v>0.15659999999999999</v>
      </c>
      <c r="K1106" s="9">
        <v>45320</v>
      </c>
      <c r="L1106">
        <f xml:space="preserve"> (交易處理資料__3[[#This Row],[售出工時]] * 60) / 5</f>
        <v>15</v>
      </c>
      <c r="M1106" t="str">
        <f>VLOOKUP(交易處理資料__3[[#This Row],[人員代號]],團隊分組!$B$1:$C$52,2,FALSE)</f>
        <v>噴漆維修組</v>
      </c>
      <c r="N1106" t="str">
        <f>IF(交易處理資料__3[[#This Row],[上班時間]]=0,"否","是")</f>
        <v>是</v>
      </c>
      <c r="O1106" s="10" t="s">
        <v>74</v>
      </c>
      <c r="P1106" s="37">
        <v>0.35014005599999998</v>
      </c>
      <c r="Q1106" s="37">
        <v>0.15659999999999999</v>
      </c>
      <c r="R1106" s="37">
        <v>0.87470000000000003</v>
      </c>
    </row>
    <row r="1107" spans="1:18" hidden="1">
      <c r="A1107" s="10" t="s">
        <v>74</v>
      </c>
      <c r="B1107" t="s">
        <v>5</v>
      </c>
      <c r="C1107">
        <v>4.22</v>
      </c>
      <c r="D1107">
        <v>4.47</v>
      </c>
      <c r="E1107" s="29">
        <v>0.94407158839999994</v>
      </c>
      <c r="F1107">
        <v>6.99</v>
      </c>
      <c r="G1107">
        <v>0.99</v>
      </c>
      <c r="H1107">
        <v>7.98</v>
      </c>
      <c r="I1107" s="29">
        <v>0.87590000000000001</v>
      </c>
      <c r="J1107" s="29">
        <v>0.52880000000000005</v>
      </c>
      <c r="K1107" s="9">
        <v>45320</v>
      </c>
      <c r="L1107">
        <f xml:space="preserve"> (交易處理資料__3[[#This Row],[售出工時]] * 60) / 5</f>
        <v>50.64</v>
      </c>
      <c r="M1107" t="str">
        <f>VLOOKUP(交易處理資料__3[[#This Row],[人員代號]],團隊分組!$B$1:$C$52,2,FALSE)</f>
        <v>噴漆維修組</v>
      </c>
      <c r="N1107" t="str">
        <f>IF(交易處理資料__3[[#This Row],[上班時間]]=0,"否","是")</f>
        <v>是</v>
      </c>
      <c r="O1107" s="10" t="s">
        <v>74</v>
      </c>
      <c r="P1107" s="38">
        <v>0.94407158839999994</v>
      </c>
      <c r="Q1107" s="38">
        <v>0.52880000000000005</v>
      </c>
      <c r="R1107" s="38">
        <v>0.87590000000000001</v>
      </c>
    </row>
    <row r="1108" spans="1:18" hidden="1">
      <c r="A1108" s="10" t="s">
        <v>74</v>
      </c>
      <c r="B1108" t="s">
        <v>6</v>
      </c>
      <c r="C1108">
        <v>0</v>
      </c>
      <c r="D1108">
        <v>0</v>
      </c>
      <c r="E1108" s="29">
        <v>0</v>
      </c>
      <c r="F1108">
        <v>0</v>
      </c>
      <c r="G1108">
        <v>0</v>
      </c>
      <c r="H1108">
        <v>0</v>
      </c>
      <c r="I1108" s="29">
        <v>0</v>
      </c>
      <c r="J1108" s="29">
        <v>0</v>
      </c>
      <c r="K1108" s="9">
        <v>45320</v>
      </c>
      <c r="L1108">
        <f xml:space="preserve"> (交易處理資料__3[[#This Row],[售出工時]] * 60) / 5</f>
        <v>0</v>
      </c>
      <c r="M1108" t="str">
        <f>VLOOKUP(交易處理資料__3[[#This Row],[人員代號]],團隊分組!$B$1:$C$52,2,FALSE)</f>
        <v>噴漆維修組</v>
      </c>
      <c r="N1108" t="str">
        <f>IF(交易處理資料__3[[#This Row],[上班時間]]=0,"否","是")</f>
        <v>否</v>
      </c>
      <c r="O1108" s="10" t="s">
        <v>74</v>
      </c>
      <c r="P1108" s="37">
        <v>0</v>
      </c>
      <c r="Q1108" s="37">
        <v>0</v>
      </c>
      <c r="R1108" s="37">
        <v>0</v>
      </c>
    </row>
    <row r="1109" spans="1:18">
      <c r="A1109" s="10" t="s">
        <v>74</v>
      </c>
      <c r="B1109" t="s">
        <v>7</v>
      </c>
      <c r="C1109">
        <v>2.61</v>
      </c>
      <c r="D1109">
        <v>2.77</v>
      </c>
      <c r="E1109" s="29">
        <v>0.94223826710000003</v>
      </c>
      <c r="F1109">
        <v>6.97</v>
      </c>
      <c r="G1109">
        <v>1.01</v>
      </c>
      <c r="H1109">
        <v>7.98</v>
      </c>
      <c r="I1109" s="29">
        <v>0.87340000000000007</v>
      </c>
      <c r="J1109" s="29">
        <v>0.3271</v>
      </c>
      <c r="K1109" s="9">
        <v>45320</v>
      </c>
      <c r="L1109">
        <f xml:space="preserve"> (交易處理資料__3[[#This Row],[售出工時]] * 60) / 5</f>
        <v>31.32</v>
      </c>
      <c r="M1109" t="str">
        <f>VLOOKUP(交易處理資料__3[[#This Row],[人員代號]],團隊分組!$B$1:$C$52,2,FALSE)</f>
        <v>噴漆維修組</v>
      </c>
      <c r="N1109" t="str">
        <f>IF(交易處理資料__3[[#This Row],[上班時間]]=0,"否","是")</f>
        <v>是</v>
      </c>
      <c r="O1109" s="10" t="s">
        <v>74</v>
      </c>
      <c r="P1109" s="38">
        <v>0.94223826710000003</v>
      </c>
      <c r="Q1109" s="38">
        <v>0.3271</v>
      </c>
      <c r="R1109" s="38">
        <v>0.87340000000000007</v>
      </c>
    </row>
    <row r="1110" spans="1:18" hidden="1">
      <c r="A1110" s="10" t="s">
        <v>74</v>
      </c>
      <c r="B1110" t="s">
        <v>8</v>
      </c>
      <c r="C1110">
        <v>1.25</v>
      </c>
      <c r="D1110">
        <v>3.57</v>
      </c>
      <c r="E1110" s="29">
        <v>0.35014005599999998</v>
      </c>
      <c r="F1110">
        <v>6.99</v>
      </c>
      <c r="G1110">
        <v>0.98</v>
      </c>
      <c r="H1110">
        <v>7.97</v>
      </c>
      <c r="I1110" s="29">
        <v>0.877</v>
      </c>
      <c r="J1110" s="29">
        <v>0.15679999999999999</v>
      </c>
      <c r="K1110" s="9">
        <v>45320</v>
      </c>
      <c r="L1110">
        <f xml:space="preserve"> (交易處理資料__3[[#This Row],[售出工時]] * 60) / 5</f>
        <v>15</v>
      </c>
      <c r="M1110" t="str">
        <f>VLOOKUP(交易處理資料__3[[#This Row],[人員代號]],團隊分組!$B$1:$C$52,2,FALSE)</f>
        <v>噴漆維修組</v>
      </c>
      <c r="N1110" t="str">
        <f>IF(交易處理資料__3[[#This Row],[上班時間]]=0,"否","是")</f>
        <v>是</v>
      </c>
      <c r="O1110" s="10" t="s">
        <v>74</v>
      </c>
      <c r="P1110" s="37">
        <v>0.35014005599999998</v>
      </c>
      <c r="Q1110" s="37">
        <v>0.15679999999999999</v>
      </c>
      <c r="R1110" s="37">
        <v>0.877</v>
      </c>
    </row>
    <row r="1111" spans="1:18" hidden="1">
      <c r="A1111" s="10" t="s">
        <v>74</v>
      </c>
      <c r="B1111" t="s">
        <v>9</v>
      </c>
      <c r="C1111">
        <v>0</v>
      </c>
      <c r="D1111">
        <v>0</v>
      </c>
      <c r="E1111" s="29">
        <v>0</v>
      </c>
      <c r="F1111">
        <v>7.03</v>
      </c>
      <c r="G1111">
        <v>0.99</v>
      </c>
      <c r="H1111">
        <v>8.02</v>
      </c>
      <c r="I1111" s="29">
        <v>0.87659999999999993</v>
      </c>
      <c r="J1111" s="29">
        <v>0</v>
      </c>
      <c r="K1111" s="9">
        <v>45320</v>
      </c>
      <c r="L1111">
        <f xml:space="preserve"> (交易處理資料__3[[#This Row],[售出工時]] * 60) / 5</f>
        <v>0</v>
      </c>
      <c r="M1111" t="str">
        <f>VLOOKUP(交易處理資料__3[[#This Row],[人員代號]],團隊分組!$B$1:$C$52,2,FALSE)</f>
        <v>噴漆維修組</v>
      </c>
      <c r="N1111" t="str">
        <f>IF(交易處理資料__3[[#This Row],[上班時間]]=0,"否","是")</f>
        <v>是</v>
      </c>
      <c r="O1111" s="10" t="s">
        <v>74</v>
      </c>
      <c r="P1111" s="38">
        <v>0</v>
      </c>
      <c r="Q1111" s="38">
        <v>0</v>
      </c>
      <c r="R1111" s="38">
        <v>0.87659999999999993</v>
      </c>
    </row>
    <row r="1112" spans="1:18" hidden="1">
      <c r="A1112" t="s">
        <v>75</v>
      </c>
      <c r="B1112" t="s">
        <v>12</v>
      </c>
      <c r="C1112">
        <v>2.5833333330000001</v>
      </c>
      <c r="D1112">
        <v>2.77</v>
      </c>
      <c r="E1112" s="29">
        <v>0.9326113117</v>
      </c>
      <c r="F1112">
        <v>6.11</v>
      </c>
      <c r="G1112">
        <v>1.97</v>
      </c>
      <c r="H1112">
        <v>8.08</v>
      </c>
      <c r="I1112" s="29">
        <v>0.75620000000000009</v>
      </c>
      <c r="J1112" s="29">
        <v>0.31969999999999998</v>
      </c>
      <c r="K1112" s="9">
        <v>45320</v>
      </c>
      <c r="L1112">
        <f xml:space="preserve"> (交易處理資料__3[[#This Row],[售出工時]] * 60) / 5</f>
        <v>30.999999996000003</v>
      </c>
      <c r="M1112" t="str">
        <f>VLOOKUP(交易處理資料__3[[#This Row],[人員代號]],團隊分組!$B$1:$C$52,2,FALSE)</f>
        <v>鈑金維修組</v>
      </c>
      <c r="N1112" t="str">
        <f>IF(交易處理資料__3[[#This Row],[上班時間]]=0,"否","是")</f>
        <v>是</v>
      </c>
      <c r="O1112" t="s">
        <v>75</v>
      </c>
      <c r="P1112" s="37">
        <v>0.9326113117</v>
      </c>
      <c r="Q1112" s="37">
        <v>0.31969999999999998</v>
      </c>
      <c r="R1112" s="37">
        <v>0.75620000000000009</v>
      </c>
    </row>
    <row r="1113" spans="1:18" hidden="1">
      <c r="A1113" t="s">
        <v>75</v>
      </c>
      <c r="B1113" t="s">
        <v>13</v>
      </c>
      <c r="C1113">
        <v>1</v>
      </c>
      <c r="D1113">
        <v>1.03</v>
      </c>
      <c r="E1113" s="29">
        <v>0.97087378639999999</v>
      </c>
      <c r="F1113">
        <v>3.74</v>
      </c>
      <c r="G1113">
        <v>4.34</v>
      </c>
      <c r="H1113">
        <v>8.08</v>
      </c>
      <c r="I1113" s="29">
        <v>0.46289999999999998</v>
      </c>
      <c r="J1113" s="29">
        <v>0.12380000000000001</v>
      </c>
      <c r="K1113" s="9">
        <v>45320</v>
      </c>
      <c r="L1113">
        <f xml:space="preserve"> (交易處理資料__3[[#This Row],[售出工時]] * 60) / 5</f>
        <v>12</v>
      </c>
      <c r="M1113" t="str">
        <f>VLOOKUP(交易處理資料__3[[#This Row],[人員代號]],團隊分組!$B$1:$C$52,2,FALSE)</f>
        <v>鈑金維修組</v>
      </c>
      <c r="N1113" t="str">
        <f>IF(交易處理資料__3[[#This Row],[上班時間]]=0,"否","是")</f>
        <v>是</v>
      </c>
      <c r="O1113" t="s">
        <v>75</v>
      </c>
      <c r="P1113" s="38">
        <v>0.97087378639999999</v>
      </c>
      <c r="Q1113" s="38">
        <v>0.12380000000000001</v>
      </c>
      <c r="R1113" s="38">
        <v>0.46289999999999998</v>
      </c>
    </row>
    <row r="1114" spans="1:18" hidden="1">
      <c r="A1114" t="s">
        <v>75</v>
      </c>
      <c r="B1114" t="s">
        <v>14</v>
      </c>
      <c r="C1114">
        <v>2.34</v>
      </c>
      <c r="D1114">
        <v>3.73</v>
      </c>
      <c r="E1114" s="29">
        <v>0.62734584449999997</v>
      </c>
      <c r="F1114">
        <v>5.71</v>
      </c>
      <c r="G1114">
        <v>2.36</v>
      </c>
      <c r="H1114">
        <v>8.07</v>
      </c>
      <c r="I1114" s="29">
        <v>0.70760000000000001</v>
      </c>
      <c r="J1114" s="29">
        <v>0.28999999999999998</v>
      </c>
      <c r="K1114" s="9">
        <v>45320</v>
      </c>
      <c r="L1114">
        <f xml:space="preserve"> (交易處理資料__3[[#This Row],[售出工時]] * 60) / 5</f>
        <v>28.079999999999995</v>
      </c>
      <c r="M1114" t="str">
        <f>VLOOKUP(交易處理資料__3[[#This Row],[人員代號]],團隊分組!$B$1:$C$52,2,FALSE)</f>
        <v>鈑金維修組</v>
      </c>
      <c r="N1114" t="str">
        <f>IF(交易處理資料__3[[#This Row],[上班時間]]=0,"否","是")</f>
        <v>是</v>
      </c>
      <c r="O1114" t="s">
        <v>75</v>
      </c>
      <c r="P1114" s="37">
        <v>0.62734584449999997</v>
      </c>
      <c r="Q1114" s="37">
        <v>0.28999999999999998</v>
      </c>
      <c r="R1114" s="37">
        <v>0.70760000000000001</v>
      </c>
    </row>
    <row r="1115" spans="1:18" hidden="1">
      <c r="A1115" t="s">
        <v>75</v>
      </c>
      <c r="B1115" t="s">
        <v>15</v>
      </c>
      <c r="C1115">
        <v>3.08</v>
      </c>
      <c r="D1115">
        <v>4.2699999999999996</v>
      </c>
      <c r="E1115" s="29">
        <v>0.72131147539999996</v>
      </c>
      <c r="F1115">
        <v>5.71</v>
      </c>
      <c r="G1115">
        <v>2.36</v>
      </c>
      <c r="H1115">
        <v>8.07</v>
      </c>
      <c r="I1115" s="29">
        <v>0.70760000000000001</v>
      </c>
      <c r="J1115" s="29">
        <v>0.38170000000000004</v>
      </c>
      <c r="K1115" s="9">
        <v>45320</v>
      </c>
      <c r="L1115">
        <f xml:space="preserve"> (交易處理資料__3[[#This Row],[售出工時]] * 60) / 5</f>
        <v>36.96</v>
      </c>
      <c r="M1115" t="str">
        <f>VLOOKUP(交易處理資料__3[[#This Row],[人員代號]],團隊分組!$B$1:$C$52,2,FALSE)</f>
        <v>鈑金維修組</v>
      </c>
      <c r="N1115" t="str">
        <f>IF(交易處理資料__3[[#This Row],[上班時間]]=0,"否","是")</f>
        <v>是</v>
      </c>
      <c r="O1115" t="s">
        <v>75</v>
      </c>
      <c r="P1115" s="38">
        <v>0.72131147539999996</v>
      </c>
      <c r="Q1115" s="38">
        <v>0.38170000000000004</v>
      </c>
      <c r="R1115" s="38">
        <v>0.70760000000000001</v>
      </c>
    </row>
    <row r="1116" spans="1:18" hidden="1">
      <c r="A1116" t="s">
        <v>76</v>
      </c>
      <c r="B1116" t="s">
        <v>17</v>
      </c>
      <c r="C1116">
        <v>5.0766666669999996</v>
      </c>
      <c r="D1116">
        <v>5.0599999999999996</v>
      </c>
      <c r="E1116" s="29">
        <v>1.003293808</v>
      </c>
      <c r="F1116">
        <v>6.36</v>
      </c>
      <c r="G1116">
        <v>1.53</v>
      </c>
      <c r="H1116">
        <v>7.89</v>
      </c>
      <c r="I1116" s="29">
        <v>0.80610000000000004</v>
      </c>
      <c r="J1116" s="29">
        <v>0.64340000000000008</v>
      </c>
      <c r="K1116" s="9">
        <v>45320</v>
      </c>
      <c r="L1116">
        <f xml:space="preserve"> (交易處理資料__3[[#This Row],[售出工時]] * 60) / 5</f>
        <v>60.920000003999995</v>
      </c>
      <c r="M1116" t="str">
        <f>VLOOKUP(交易處理資料__3[[#This Row],[人員代號]],團隊分組!$B$1:$C$52,2,FALSE)</f>
        <v>快速保養團隊A</v>
      </c>
      <c r="N1116" t="str">
        <f>IF(交易處理資料__3[[#This Row],[上班時間]]=0,"否","是")</f>
        <v>是</v>
      </c>
      <c r="O1116" t="s">
        <v>76</v>
      </c>
      <c r="P1116" s="37">
        <v>1.003293808</v>
      </c>
      <c r="Q1116" s="37">
        <v>0.64340000000000008</v>
      </c>
      <c r="R1116" s="37">
        <v>0.80610000000000004</v>
      </c>
    </row>
    <row r="1117" spans="1:18" hidden="1">
      <c r="A1117" t="s">
        <v>76</v>
      </c>
      <c r="B1117" t="s">
        <v>18</v>
      </c>
      <c r="C1117">
        <v>0.66666666699999999</v>
      </c>
      <c r="D1117">
        <v>2.3199999999999998</v>
      </c>
      <c r="E1117" s="29">
        <v>0.28735632179999998</v>
      </c>
      <c r="F1117">
        <v>7.77</v>
      </c>
      <c r="G1117">
        <v>0.48</v>
      </c>
      <c r="H1117">
        <v>8.25</v>
      </c>
      <c r="I1117" s="29">
        <v>0.94180000000000008</v>
      </c>
      <c r="J1117" s="29">
        <v>8.0799999999999997E-2</v>
      </c>
      <c r="K1117" s="9">
        <v>45320</v>
      </c>
      <c r="L1117">
        <f xml:space="preserve"> (交易處理資料__3[[#This Row],[售出工時]] * 60) / 5</f>
        <v>8.0000000040000003</v>
      </c>
      <c r="M1117" t="str">
        <f>VLOOKUP(交易處理資料__3[[#This Row],[人員代號]],團隊分組!$B$1:$C$52,2,FALSE)</f>
        <v>查修團隊B</v>
      </c>
      <c r="N1117" t="str">
        <f>IF(交易處理資料__3[[#This Row],[上班時間]]=0,"否","是")</f>
        <v>是</v>
      </c>
      <c r="O1117" t="s">
        <v>76</v>
      </c>
      <c r="P1117" s="38">
        <v>0.28735632179999998</v>
      </c>
      <c r="Q1117" s="38">
        <v>8.0799999999999997E-2</v>
      </c>
      <c r="R1117" s="38">
        <v>0.94180000000000008</v>
      </c>
    </row>
    <row r="1118" spans="1:18" hidden="1">
      <c r="A1118" t="s">
        <v>76</v>
      </c>
      <c r="B1118" t="s">
        <v>20</v>
      </c>
      <c r="C1118">
        <v>1.5833333329999999</v>
      </c>
      <c r="D1118">
        <v>3.04</v>
      </c>
      <c r="E1118" s="29">
        <v>0.52083333330000003</v>
      </c>
      <c r="F1118">
        <v>7.73</v>
      </c>
      <c r="G1118">
        <v>2.0299999999999998</v>
      </c>
      <c r="H1118">
        <v>9.76</v>
      </c>
      <c r="I1118" s="29">
        <v>0.79200000000000004</v>
      </c>
      <c r="J1118" s="29">
        <v>0.16219999999999998</v>
      </c>
      <c r="K1118" s="9">
        <v>45320</v>
      </c>
      <c r="L1118">
        <f xml:space="preserve"> (交易處理資料__3[[#This Row],[售出工時]] * 60) / 5</f>
        <v>18.999999996</v>
      </c>
      <c r="M1118" t="str">
        <f>VLOOKUP(交易處理資料__3[[#This Row],[人員代號]],團隊分組!$B$1:$C$52,2,FALSE)</f>
        <v>查修團隊B</v>
      </c>
      <c r="N1118" t="str">
        <f>IF(交易處理資料__3[[#This Row],[上班時間]]=0,"否","是")</f>
        <v>是</v>
      </c>
      <c r="O1118" t="s">
        <v>76</v>
      </c>
      <c r="P1118" s="37">
        <v>0.52083333330000003</v>
      </c>
      <c r="Q1118" s="37">
        <v>0.16219999999999998</v>
      </c>
      <c r="R1118" s="37">
        <v>0.79200000000000004</v>
      </c>
    </row>
    <row r="1119" spans="1:18" hidden="1">
      <c r="A1119" t="s">
        <v>76</v>
      </c>
      <c r="B1119" t="s">
        <v>21</v>
      </c>
      <c r="C1119">
        <v>0</v>
      </c>
      <c r="D1119">
        <v>0</v>
      </c>
      <c r="E1119" s="29">
        <v>0</v>
      </c>
      <c r="F1119">
        <v>5.83</v>
      </c>
      <c r="G1119">
        <v>2.25</v>
      </c>
      <c r="H1119">
        <v>8.08</v>
      </c>
      <c r="I1119" s="29">
        <v>0.72150000000000003</v>
      </c>
      <c r="J1119" s="29">
        <v>0</v>
      </c>
      <c r="K1119" s="9">
        <v>45320</v>
      </c>
      <c r="L1119">
        <f xml:space="preserve"> (交易處理資料__3[[#This Row],[售出工時]] * 60) / 5</f>
        <v>0</v>
      </c>
      <c r="M1119" t="str">
        <f>VLOOKUP(交易處理資料__3[[#This Row],[人員代號]],團隊分組!$B$1:$C$52,2,FALSE)</f>
        <v>查修團隊B</v>
      </c>
      <c r="N1119" t="str">
        <f>IF(交易處理資料__3[[#This Row],[上班時間]]=0,"否","是")</f>
        <v>是</v>
      </c>
      <c r="O1119" t="s">
        <v>76</v>
      </c>
      <c r="P1119" s="38">
        <v>0</v>
      </c>
      <c r="Q1119" s="38">
        <v>0</v>
      </c>
      <c r="R1119" s="38">
        <v>0.72150000000000003</v>
      </c>
    </row>
    <row r="1120" spans="1:18" hidden="1">
      <c r="A1120" t="s">
        <v>76</v>
      </c>
      <c r="B1120" t="s">
        <v>22</v>
      </c>
      <c r="C1120">
        <v>0</v>
      </c>
      <c r="D1120">
        <v>0</v>
      </c>
      <c r="E1120" s="29">
        <v>0</v>
      </c>
      <c r="F1120">
        <v>0</v>
      </c>
      <c r="G1120">
        <v>0</v>
      </c>
      <c r="H1120">
        <v>0</v>
      </c>
      <c r="I1120" s="29">
        <v>0</v>
      </c>
      <c r="J1120" s="29">
        <v>0</v>
      </c>
      <c r="K1120" s="9">
        <v>45320</v>
      </c>
      <c r="L1120">
        <f xml:space="preserve"> (交易處理資料__3[[#This Row],[售出工時]] * 60) / 5</f>
        <v>0</v>
      </c>
      <c r="M1120" t="str">
        <f>VLOOKUP(交易處理資料__3[[#This Row],[人員代號]],團隊分組!$B$1:$C$52,2,FALSE)</f>
        <v>快速保養團隊A</v>
      </c>
      <c r="N1120" t="str">
        <f>IF(交易處理資料__3[[#This Row],[上班時間]]=0,"否","是")</f>
        <v>否</v>
      </c>
      <c r="O1120" t="s">
        <v>76</v>
      </c>
      <c r="P1120" s="37">
        <v>0</v>
      </c>
      <c r="Q1120" s="37">
        <v>0</v>
      </c>
      <c r="R1120" s="37">
        <v>0</v>
      </c>
    </row>
    <row r="1121" spans="1:18" hidden="1">
      <c r="A1121" t="s">
        <v>76</v>
      </c>
      <c r="B1121" t="s">
        <v>23</v>
      </c>
      <c r="C1121">
        <v>14.71666667</v>
      </c>
      <c r="D1121">
        <v>7.65</v>
      </c>
      <c r="E1121" s="29">
        <v>1.9237472769999999</v>
      </c>
      <c r="F1121">
        <v>7.18</v>
      </c>
      <c r="G1121">
        <v>1.59</v>
      </c>
      <c r="H1121">
        <v>8.77</v>
      </c>
      <c r="I1121" s="29">
        <v>0.81870000000000009</v>
      </c>
      <c r="J1121" s="29">
        <v>1.6780999999999999</v>
      </c>
      <c r="K1121" s="9">
        <v>45320</v>
      </c>
      <c r="L1121">
        <f xml:space="preserve"> (交易處理資料__3[[#This Row],[售出工時]] * 60) / 5</f>
        <v>176.60000004</v>
      </c>
      <c r="M1121" t="str">
        <f>VLOOKUP(交易處理資料__3[[#This Row],[人員代號]],團隊分組!$B$1:$C$52,2,FALSE)</f>
        <v>快速保養團隊B</v>
      </c>
      <c r="N1121" t="str">
        <f>IF(交易處理資料__3[[#This Row],[上班時間]]=0,"否","是")</f>
        <v>是</v>
      </c>
      <c r="O1121" t="s">
        <v>76</v>
      </c>
      <c r="P1121" s="38">
        <v>1.9237472769999999</v>
      </c>
      <c r="Q1121" s="38">
        <v>1.6780999999999999</v>
      </c>
      <c r="R1121" s="38">
        <v>0.81870000000000009</v>
      </c>
    </row>
    <row r="1122" spans="1:18" hidden="1">
      <c r="A1122" t="s">
        <v>76</v>
      </c>
      <c r="B1122" t="s">
        <v>24</v>
      </c>
      <c r="C1122">
        <v>10.16</v>
      </c>
      <c r="D1122">
        <v>6.84</v>
      </c>
      <c r="E1122" s="29">
        <v>1.4853801170000001</v>
      </c>
      <c r="F1122">
        <v>7.01</v>
      </c>
      <c r="G1122">
        <v>0.99</v>
      </c>
      <c r="H1122">
        <v>8</v>
      </c>
      <c r="I1122" s="29">
        <v>0.87629999999999997</v>
      </c>
      <c r="J1122" s="29">
        <v>1.27</v>
      </c>
      <c r="K1122" s="9">
        <v>45320</v>
      </c>
      <c r="L1122">
        <f xml:space="preserve"> (交易處理資料__3[[#This Row],[售出工時]] * 60) / 5</f>
        <v>121.92</v>
      </c>
      <c r="M1122" t="str">
        <f>VLOOKUP(交易處理資料__3[[#This Row],[人員代號]],團隊分組!$B$1:$C$52,2,FALSE)</f>
        <v>快速保養團隊A</v>
      </c>
      <c r="N1122" t="str">
        <f>IF(交易處理資料__3[[#This Row],[上班時間]]=0,"否","是")</f>
        <v>是</v>
      </c>
      <c r="O1122" t="s">
        <v>76</v>
      </c>
      <c r="P1122" s="37">
        <v>1.4853801170000001</v>
      </c>
      <c r="Q1122" s="37">
        <v>1.27</v>
      </c>
      <c r="R1122" s="37">
        <v>0.87629999999999997</v>
      </c>
    </row>
    <row r="1123" spans="1:18" hidden="1">
      <c r="A1123" t="s">
        <v>76</v>
      </c>
      <c r="B1123" t="s">
        <v>25</v>
      </c>
      <c r="C1123">
        <v>3.75</v>
      </c>
      <c r="D1123">
        <v>4.4400000000000004</v>
      </c>
      <c r="E1123" s="29">
        <v>0.84459459460000008</v>
      </c>
      <c r="F1123">
        <v>9.5500000000000007</v>
      </c>
      <c r="G1123">
        <v>1.49</v>
      </c>
      <c r="H1123">
        <v>11.04</v>
      </c>
      <c r="I1123" s="29">
        <v>0.86499999999999999</v>
      </c>
      <c r="J1123" s="29">
        <v>0.3397</v>
      </c>
      <c r="K1123" s="9">
        <v>45320</v>
      </c>
      <c r="L1123">
        <f xml:space="preserve"> (交易處理資料__3[[#This Row],[售出工時]] * 60) / 5</f>
        <v>45</v>
      </c>
      <c r="M1123" t="str">
        <f>VLOOKUP(交易處理資料__3[[#This Row],[人員代號]],團隊分組!$B$1:$C$52,2,FALSE)</f>
        <v>查修團隊A</v>
      </c>
      <c r="N1123" t="str">
        <f>IF(交易處理資料__3[[#This Row],[上班時間]]=0,"否","是")</f>
        <v>是</v>
      </c>
      <c r="O1123" t="s">
        <v>76</v>
      </c>
      <c r="P1123" s="38">
        <v>0.84459459460000008</v>
      </c>
      <c r="Q1123" s="38">
        <v>0.3397</v>
      </c>
      <c r="R1123" s="38">
        <v>0.86499999999999999</v>
      </c>
    </row>
    <row r="1124" spans="1:18" hidden="1">
      <c r="A1124" t="s">
        <v>76</v>
      </c>
      <c r="B1124" t="s">
        <v>26</v>
      </c>
      <c r="C1124">
        <v>0.66666666699999999</v>
      </c>
      <c r="D1124">
        <v>0.4</v>
      </c>
      <c r="E1124" s="29">
        <v>1.6666666670000001</v>
      </c>
      <c r="F1124">
        <v>0.2</v>
      </c>
      <c r="G1124">
        <v>9.09</v>
      </c>
      <c r="H1124">
        <v>9.2899999999999991</v>
      </c>
      <c r="I1124" s="29">
        <v>2.1499999999999998E-2</v>
      </c>
      <c r="J1124" s="29">
        <v>7.1800000000000003E-2</v>
      </c>
      <c r="K1124" s="9">
        <v>45320</v>
      </c>
      <c r="L1124">
        <f xml:space="preserve"> (交易處理資料__3[[#This Row],[售出工時]] * 60) / 5</f>
        <v>8.0000000040000003</v>
      </c>
      <c r="M1124" t="str">
        <f>VLOOKUP(交易處理資料__3[[#This Row],[人員代號]],團隊分組!$B$1:$C$52,2,FALSE)</f>
        <v>查修團隊B</v>
      </c>
      <c r="N1124" t="str">
        <f>IF(交易處理資料__3[[#This Row],[上班時間]]=0,"否","是")</f>
        <v>是</v>
      </c>
      <c r="O1124" t="s">
        <v>76</v>
      </c>
      <c r="P1124" s="37">
        <v>1.6666666670000001</v>
      </c>
      <c r="Q1124" s="37">
        <v>7.1800000000000003E-2</v>
      </c>
      <c r="R1124" s="37">
        <v>2.1499999999999998E-2</v>
      </c>
    </row>
    <row r="1125" spans="1:18" hidden="1">
      <c r="A1125" t="s">
        <v>76</v>
      </c>
      <c r="B1125" t="s">
        <v>28</v>
      </c>
      <c r="C1125">
        <v>8.5</v>
      </c>
      <c r="D1125">
        <v>6.11</v>
      </c>
      <c r="E1125" s="29">
        <v>1.391162029</v>
      </c>
      <c r="F1125">
        <v>5.96</v>
      </c>
      <c r="G1125">
        <v>1.96</v>
      </c>
      <c r="H1125">
        <v>7.92</v>
      </c>
      <c r="I1125" s="29">
        <v>0.75249999999999995</v>
      </c>
      <c r="J1125" s="29">
        <v>1.0731999999999999</v>
      </c>
      <c r="K1125" s="9">
        <v>45320</v>
      </c>
      <c r="L1125">
        <f xml:space="preserve"> (交易處理資料__3[[#This Row],[售出工時]] * 60) / 5</f>
        <v>102</v>
      </c>
      <c r="M1125" t="str">
        <f>VLOOKUP(交易處理資料__3[[#This Row],[人員代號]],團隊分組!$B$1:$C$52,2,FALSE)</f>
        <v>快速保養團隊A</v>
      </c>
      <c r="N1125" t="str">
        <f>IF(交易處理資料__3[[#This Row],[上班時間]]=0,"否","是")</f>
        <v>是</v>
      </c>
      <c r="O1125" t="s">
        <v>76</v>
      </c>
      <c r="P1125" s="38">
        <v>1.391162029</v>
      </c>
      <c r="Q1125" s="38">
        <v>1.0731999999999999</v>
      </c>
      <c r="R1125" s="38">
        <v>0.75249999999999995</v>
      </c>
    </row>
    <row r="1126" spans="1:18" hidden="1">
      <c r="A1126" t="s">
        <v>76</v>
      </c>
      <c r="B1126" t="s">
        <v>29</v>
      </c>
      <c r="C1126">
        <v>4.8333333329999997</v>
      </c>
      <c r="D1126">
        <v>6.81</v>
      </c>
      <c r="E1126" s="29">
        <v>0.70974057759999998</v>
      </c>
      <c r="F1126">
        <v>6.76</v>
      </c>
      <c r="G1126">
        <v>1.28</v>
      </c>
      <c r="H1126">
        <v>8.0399999999999991</v>
      </c>
      <c r="I1126" s="29">
        <v>0.84079999999999999</v>
      </c>
      <c r="J1126" s="29">
        <v>0.60119999999999996</v>
      </c>
      <c r="K1126" s="9">
        <v>45320</v>
      </c>
      <c r="L1126">
        <f xml:space="preserve"> (交易處理資料__3[[#This Row],[售出工時]] * 60) / 5</f>
        <v>57.999999996</v>
      </c>
      <c r="M1126" t="str">
        <f>VLOOKUP(交易處理資料__3[[#This Row],[人員代號]],團隊分組!$B$1:$C$52,2,FALSE)</f>
        <v>查修團隊B</v>
      </c>
      <c r="N1126" t="str">
        <f>IF(交易處理資料__3[[#This Row],[上班時間]]=0,"否","是")</f>
        <v>是</v>
      </c>
      <c r="O1126" t="s">
        <v>76</v>
      </c>
      <c r="P1126" s="37">
        <v>0.70974057759999998</v>
      </c>
      <c r="Q1126" s="37">
        <v>0.60119999999999996</v>
      </c>
      <c r="R1126" s="37">
        <v>0.84079999999999999</v>
      </c>
    </row>
    <row r="1127" spans="1:18" hidden="1">
      <c r="A1127" t="s">
        <v>76</v>
      </c>
      <c r="B1127" t="s">
        <v>30</v>
      </c>
      <c r="C1127">
        <v>8.06</v>
      </c>
      <c r="D1127">
        <v>5.7</v>
      </c>
      <c r="E1127" s="29">
        <v>1.4140350879999999</v>
      </c>
      <c r="F1127">
        <v>6.62</v>
      </c>
      <c r="G1127">
        <v>1.38</v>
      </c>
      <c r="H1127">
        <v>8</v>
      </c>
      <c r="I1127" s="29">
        <v>0.82750000000000001</v>
      </c>
      <c r="J1127" s="29">
        <v>1.0075000000000001</v>
      </c>
      <c r="K1127" s="9">
        <v>45320</v>
      </c>
      <c r="L1127">
        <f xml:space="preserve"> (交易處理資料__3[[#This Row],[售出工時]] * 60) / 5</f>
        <v>96.72</v>
      </c>
      <c r="M1127" t="str">
        <f>VLOOKUP(交易處理資料__3[[#This Row],[人員代號]],團隊分組!$B$1:$C$52,2,FALSE)</f>
        <v>快速保養團隊B</v>
      </c>
      <c r="N1127" t="str">
        <f>IF(交易處理資料__3[[#This Row],[上班時間]]=0,"否","是")</f>
        <v>是</v>
      </c>
      <c r="O1127" t="s">
        <v>76</v>
      </c>
      <c r="P1127" s="38">
        <v>1.4140350879999999</v>
      </c>
      <c r="Q1127" s="38">
        <v>1.0075000000000001</v>
      </c>
      <c r="R1127" s="38">
        <v>0.82750000000000001</v>
      </c>
    </row>
    <row r="1128" spans="1:18" hidden="1">
      <c r="A1128" t="s">
        <v>76</v>
      </c>
      <c r="B1128" t="s">
        <v>32</v>
      </c>
      <c r="C1128">
        <v>5.9333333330000002</v>
      </c>
      <c r="D1128">
        <v>7.28</v>
      </c>
      <c r="E1128" s="29">
        <v>0.81501831499999999</v>
      </c>
      <c r="F1128">
        <v>8.59</v>
      </c>
      <c r="G1128">
        <v>0.61</v>
      </c>
      <c r="H1128">
        <v>9.1999999999999993</v>
      </c>
      <c r="I1128" s="29">
        <v>0.93370000000000009</v>
      </c>
      <c r="J1128" s="29">
        <v>0.64489999999999992</v>
      </c>
      <c r="K1128" s="9">
        <v>45320</v>
      </c>
      <c r="L1128">
        <f xml:space="preserve"> (交易處理資料__3[[#This Row],[售出工時]] * 60) / 5</f>
        <v>71.199999996000003</v>
      </c>
      <c r="M1128" t="str">
        <f>VLOOKUP(交易處理資料__3[[#This Row],[人員代號]],團隊分組!$B$1:$C$52,2,FALSE)</f>
        <v>快速保養團隊B</v>
      </c>
      <c r="N1128" t="str">
        <f>IF(交易處理資料__3[[#This Row],[上班時間]]=0,"否","是")</f>
        <v>是</v>
      </c>
      <c r="O1128" t="s">
        <v>76</v>
      </c>
      <c r="P1128" s="37">
        <v>0.81501831499999999</v>
      </c>
      <c r="Q1128" s="37">
        <v>0.64489999999999992</v>
      </c>
      <c r="R1128" s="37">
        <v>0.93370000000000009</v>
      </c>
    </row>
    <row r="1129" spans="1:18" hidden="1">
      <c r="A1129" t="s">
        <v>76</v>
      </c>
      <c r="B1129" t="s">
        <v>33</v>
      </c>
      <c r="C1129">
        <v>0</v>
      </c>
      <c r="D1129">
        <v>0</v>
      </c>
      <c r="E1129" s="29">
        <v>0</v>
      </c>
      <c r="F1129">
        <v>0</v>
      </c>
      <c r="G1129">
        <v>0</v>
      </c>
      <c r="H1129">
        <v>0</v>
      </c>
      <c r="I1129" s="29">
        <v>0</v>
      </c>
      <c r="J1129" s="29">
        <v>0</v>
      </c>
      <c r="K1129" s="9">
        <v>45320</v>
      </c>
      <c r="L1129">
        <f xml:space="preserve"> (交易處理資料__3[[#This Row],[售出工時]] * 60) / 5</f>
        <v>0</v>
      </c>
      <c r="M1129" t="str">
        <f>VLOOKUP(交易處理資料__3[[#This Row],[人員代號]],團隊分組!$B$1:$C$52,2,FALSE)</f>
        <v>快速保養團隊B</v>
      </c>
      <c r="N1129" t="str">
        <f>IF(交易處理資料__3[[#This Row],[上班時間]]=0,"否","是")</f>
        <v>否</v>
      </c>
      <c r="O1129" t="s">
        <v>76</v>
      </c>
      <c r="P1129" s="38">
        <v>0</v>
      </c>
      <c r="Q1129" s="38">
        <v>0</v>
      </c>
      <c r="R1129" s="38">
        <v>0</v>
      </c>
    </row>
    <row r="1130" spans="1:18" hidden="1">
      <c r="A1130" t="s">
        <v>76</v>
      </c>
      <c r="B1130" t="s">
        <v>34</v>
      </c>
      <c r="C1130">
        <v>6.4166666670000003</v>
      </c>
      <c r="D1130">
        <v>4.18</v>
      </c>
      <c r="E1130" s="29">
        <v>1.5350877190000001</v>
      </c>
      <c r="F1130">
        <v>5.56</v>
      </c>
      <c r="G1130">
        <v>2.36</v>
      </c>
      <c r="H1130">
        <v>7.92</v>
      </c>
      <c r="I1130" s="29">
        <v>0.70200000000000007</v>
      </c>
      <c r="J1130" s="29">
        <v>0.81019999999999992</v>
      </c>
      <c r="K1130" s="9">
        <v>45320</v>
      </c>
      <c r="L1130">
        <f xml:space="preserve"> (交易處理資料__3[[#This Row],[售出工時]] * 60) / 5</f>
        <v>77.000000004</v>
      </c>
      <c r="M1130" t="str">
        <f>VLOOKUP(交易處理資料__3[[#This Row],[人員代號]],團隊分組!$B$1:$C$52,2,FALSE)</f>
        <v>快速保養團隊A</v>
      </c>
      <c r="N1130" t="str">
        <f>IF(交易處理資料__3[[#This Row],[上班時間]]=0,"否","是")</f>
        <v>是</v>
      </c>
      <c r="O1130" t="s">
        <v>76</v>
      </c>
      <c r="P1130" s="37">
        <v>1.5350877190000001</v>
      </c>
      <c r="Q1130" s="37">
        <v>0.81019999999999992</v>
      </c>
      <c r="R1130" s="37">
        <v>0.70200000000000007</v>
      </c>
    </row>
    <row r="1131" spans="1:18" hidden="1">
      <c r="A1131" t="s">
        <v>76</v>
      </c>
      <c r="B1131" t="s">
        <v>35</v>
      </c>
      <c r="C1131">
        <v>1</v>
      </c>
      <c r="D1131">
        <v>1.43</v>
      </c>
      <c r="E1131" s="29">
        <v>0.69930069930000005</v>
      </c>
      <c r="F1131">
        <v>8.34</v>
      </c>
      <c r="G1131">
        <v>1.44</v>
      </c>
      <c r="H1131">
        <v>9.7799999999999994</v>
      </c>
      <c r="I1131" s="29">
        <v>0.8528</v>
      </c>
      <c r="J1131" s="29">
        <v>0.10220000000000001</v>
      </c>
      <c r="K1131" s="9">
        <v>45320</v>
      </c>
      <c r="L1131">
        <f xml:space="preserve"> (交易處理資料__3[[#This Row],[售出工時]] * 60) / 5</f>
        <v>12</v>
      </c>
      <c r="M1131" t="str">
        <f>VLOOKUP(交易處理資料__3[[#This Row],[人員代號]],團隊分組!$B$1:$C$52,2,FALSE)</f>
        <v>查修團隊B</v>
      </c>
      <c r="N1131" t="str">
        <f>IF(交易處理資料__3[[#This Row],[上班時間]]=0,"否","是")</f>
        <v>是</v>
      </c>
      <c r="O1131" t="s">
        <v>76</v>
      </c>
      <c r="P1131" s="38">
        <v>0.69930069930000005</v>
      </c>
      <c r="Q1131" s="38">
        <v>0.10220000000000001</v>
      </c>
      <c r="R1131" s="38">
        <v>0.8528</v>
      </c>
    </row>
    <row r="1132" spans="1:18" hidden="1">
      <c r="A1132" t="s">
        <v>76</v>
      </c>
      <c r="B1132" t="s">
        <v>36</v>
      </c>
      <c r="C1132">
        <v>0</v>
      </c>
      <c r="D1132">
        <v>0</v>
      </c>
      <c r="E1132" s="29">
        <v>0</v>
      </c>
      <c r="F1132">
        <v>2.2799999999999998</v>
      </c>
      <c r="G1132">
        <v>5.89</v>
      </c>
      <c r="H1132">
        <v>8.17</v>
      </c>
      <c r="I1132" s="29">
        <v>0.27910000000000001</v>
      </c>
      <c r="J1132" s="29">
        <v>0</v>
      </c>
      <c r="K1132" s="9">
        <v>45320</v>
      </c>
      <c r="L1132">
        <f xml:space="preserve"> (交易處理資料__3[[#This Row],[售出工時]] * 60) / 5</f>
        <v>0</v>
      </c>
      <c r="M1132" t="str">
        <f>VLOOKUP(交易處理資料__3[[#This Row],[人員代號]],團隊分組!$B$1:$C$52,2,FALSE)</f>
        <v>查修團隊B</v>
      </c>
      <c r="N1132" t="str">
        <f>IF(交易處理資料__3[[#This Row],[上班時間]]=0,"否","是")</f>
        <v>是</v>
      </c>
      <c r="O1132" t="s">
        <v>76</v>
      </c>
      <c r="P1132" s="37">
        <v>0</v>
      </c>
      <c r="Q1132" s="37">
        <v>0</v>
      </c>
      <c r="R1132" s="37">
        <v>0.27910000000000001</v>
      </c>
    </row>
    <row r="1133" spans="1:18" hidden="1">
      <c r="A1133" t="s">
        <v>76</v>
      </c>
      <c r="B1133" t="s">
        <v>37</v>
      </c>
      <c r="C1133">
        <v>0</v>
      </c>
      <c r="D1133">
        <v>0</v>
      </c>
      <c r="E1133" s="29">
        <v>0</v>
      </c>
      <c r="F1133">
        <v>9.33</v>
      </c>
      <c r="G1133">
        <v>1.1200000000000001</v>
      </c>
      <c r="H1133">
        <v>10.45</v>
      </c>
      <c r="I1133" s="29">
        <v>0.89280000000000004</v>
      </c>
      <c r="J1133" s="29">
        <v>0</v>
      </c>
      <c r="K1133" s="9">
        <v>45320</v>
      </c>
      <c r="L1133">
        <f xml:space="preserve"> (交易處理資料__3[[#This Row],[售出工時]] * 60) / 5</f>
        <v>0</v>
      </c>
      <c r="M1133" t="str">
        <f>VLOOKUP(交易處理資料__3[[#This Row],[人員代號]],團隊分組!$B$1:$C$52,2,FALSE)</f>
        <v>查修團隊A</v>
      </c>
      <c r="N1133" t="str">
        <f>IF(交易處理資料__3[[#This Row],[上班時間]]=0,"否","是")</f>
        <v>是</v>
      </c>
      <c r="O1133" t="s">
        <v>76</v>
      </c>
      <c r="P1133" s="38">
        <v>0</v>
      </c>
      <c r="Q1133" s="38">
        <v>0</v>
      </c>
      <c r="R1133" s="38">
        <v>0.89280000000000004</v>
      </c>
    </row>
    <row r="1134" spans="1:18" hidden="1">
      <c r="A1134" t="s">
        <v>76</v>
      </c>
      <c r="B1134" t="s">
        <v>38</v>
      </c>
      <c r="C1134">
        <v>1.4766666669999999</v>
      </c>
      <c r="D1134">
        <v>2.44</v>
      </c>
      <c r="E1134" s="29">
        <v>0.60519125679999997</v>
      </c>
      <c r="F1134">
        <v>6.97</v>
      </c>
      <c r="G1134">
        <v>1.1200000000000001</v>
      </c>
      <c r="H1134">
        <v>8.09</v>
      </c>
      <c r="I1134" s="29">
        <v>0.86159999999999992</v>
      </c>
      <c r="J1134" s="29">
        <v>0.1825</v>
      </c>
      <c r="K1134" s="9">
        <v>45320</v>
      </c>
      <c r="L1134">
        <f xml:space="preserve"> (交易處理資料__3[[#This Row],[售出工時]] * 60) / 5</f>
        <v>17.720000003999999</v>
      </c>
      <c r="M1134" t="str">
        <f>VLOOKUP(交易處理資料__3[[#This Row],[人員代號]],團隊分組!$B$1:$C$52,2,FALSE)</f>
        <v>快速保養團隊A</v>
      </c>
      <c r="N1134" t="str">
        <f>IF(交易處理資料__3[[#This Row],[上班時間]]=0,"否","是")</f>
        <v>是</v>
      </c>
      <c r="O1134" t="s">
        <v>76</v>
      </c>
      <c r="P1134" s="37">
        <v>0.60519125679999997</v>
      </c>
      <c r="Q1134" s="37">
        <v>0.1825</v>
      </c>
      <c r="R1134" s="37">
        <v>0.86159999999999992</v>
      </c>
    </row>
    <row r="1135" spans="1:18" hidden="1">
      <c r="A1135" t="s">
        <v>76</v>
      </c>
      <c r="B1135" t="s">
        <v>39</v>
      </c>
      <c r="C1135">
        <v>0</v>
      </c>
      <c r="D1135">
        <v>0</v>
      </c>
      <c r="E1135" s="29">
        <v>0</v>
      </c>
      <c r="F1135">
        <v>8.5500000000000007</v>
      </c>
      <c r="G1135">
        <v>1.18</v>
      </c>
      <c r="H1135">
        <v>9.73</v>
      </c>
      <c r="I1135" s="29">
        <v>0.87870000000000004</v>
      </c>
      <c r="J1135" s="29">
        <v>0</v>
      </c>
      <c r="K1135" s="9">
        <v>45320</v>
      </c>
      <c r="L1135">
        <f xml:space="preserve"> (交易處理資料__3[[#This Row],[售出工時]] * 60) / 5</f>
        <v>0</v>
      </c>
      <c r="M1135" t="str">
        <f>VLOOKUP(交易處理資料__3[[#This Row],[人員代號]],團隊分組!$B$1:$C$52,2,FALSE)</f>
        <v>查修團隊A</v>
      </c>
      <c r="N1135" t="str">
        <f>IF(交易處理資料__3[[#This Row],[上班時間]]=0,"否","是")</f>
        <v>是</v>
      </c>
      <c r="O1135" t="s">
        <v>76</v>
      </c>
      <c r="P1135" s="38">
        <v>0</v>
      </c>
      <c r="Q1135" s="38">
        <v>0</v>
      </c>
      <c r="R1135" s="38">
        <v>0.87870000000000004</v>
      </c>
    </row>
    <row r="1136" spans="1:18" hidden="1">
      <c r="A1136" t="s">
        <v>76</v>
      </c>
      <c r="B1136" t="s">
        <v>40</v>
      </c>
      <c r="C1136">
        <v>4.1666666670000003</v>
      </c>
      <c r="D1136">
        <v>3.08</v>
      </c>
      <c r="E1136" s="29">
        <v>1.352813853</v>
      </c>
      <c r="F1136">
        <v>4.2699999999999996</v>
      </c>
      <c r="G1136">
        <v>1.58</v>
      </c>
      <c r="H1136">
        <v>5.85</v>
      </c>
      <c r="I1136" s="29">
        <v>0.72989999999999999</v>
      </c>
      <c r="J1136" s="29">
        <v>0.71230000000000004</v>
      </c>
      <c r="K1136" s="9">
        <v>45320</v>
      </c>
      <c r="L1136">
        <f xml:space="preserve"> (交易處理資料__3[[#This Row],[售出工時]] * 60) / 5</f>
        <v>50.000000004</v>
      </c>
      <c r="M1136" t="str">
        <f>VLOOKUP(交易處理資料__3[[#This Row],[人員代號]],團隊分組!$B$1:$C$52,2,FALSE)</f>
        <v>查修團隊A</v>
      </c>
      <c r="N1136" t="str">
        <f>IF(交易處理資料__3[[#This Row],[上班時間]]=0,"否","是")</f>
        <v>是</v>
      </c>
      <c r="O1136" t="s">
        <v>76</v>
      </c>
      <c r="P1136" s="37">
        <v>1.352813853</v>
      </c>
      <c r="Q1136" s="37">
        <v>0.71230000000000004</v>
      </c>
      <c r="R1136" s="37">
        <v>0.72989999999999999</v>
      </c>
    </row>
    <row r="1137" spans="1:18" hidden="1">
      <c r="A1137" t="s">
        <v>76</v>
      </c>
      <c r="B1137" t="s">
        <v>41</v>
      </c>
      <c r="C1137">
        <v>13.08333333</v>
      </c>
      <c r="D1137">
        <v>5.4</v>
      </c>
      <c r="E1137" s="29">
        <v>2.4228395059999999</v>
      </c>
      <c r="F1137">
        <v>8.5399999999999991</v>
      </c>
      <c r="G1137">
        <v>1.35</v>
      </c>
      <c r="H1137">
        <v>9.89</v>
      </c>
      <c r="I1137" s="29">
        <v>0.86349999999999993</v>
      </c>
      <c r="J1137" s="29">
        <v>1.3229</v>
      </c>
      <c r="K1137" s="9">
        <v>45320</v>
      </c>
      <c r="L1137">
        <f xml:space="preserve"> (交易處理資料__3[[#This Row],[售出工時]] * 60) / 5</f>
        <v>156.99999996000003</v>
      </c>
      <c r="M1137" t="str">
        <f>VLOOKUP(交易處理資料__3[[#This Row],[人員代號]],團隊分組!$B$1:$C$52,2,FALSE)</f>
        <v>快速保養團隊A</v>
      </c>
      <c r="N1137" t="str">
        <f>IF(交易處理資料__3[[#This Row],[上班時間]]=0,"否","是")</f>
        <v>是</v>
      </c>
      <c r="O1137" t="s">
        <v>76</v>
      </c>
      <c r="P1137" s="38">
        <v>2.4228395059999999</v>
      </c>
      <c r="Q1137" s="38">
        <v>1.3229</v>
      </c>
      <c r="R1137" s="38">
        <v>0.86349999999999993</v>
      </c>
    </row>
    <row r="1138" spans="1:18" hidden="1">
      <c r="A1138" t="s">
        <v>76</v>
      </c>
      <c r="B1138" t="s">
        <v>42</v>
      </c>
      <c r="C1138">
        <v>6.0833333329999997</v>
      </c>
      <c r="D1138">
        <v>4.45</v>
      </c>
      <c r="E1138" s="29">
        <v>1.367041199</v>
      </c>
      <c r="F1138">
        <v>6.85</v>
      </c>
      <c r="G1138">
        <v>2.94</v>
      </c>
      <c r="H1138">
        <v>9.7899999999999991</v>
      </c>
      <c r="I1138" s="29">
        <v>0.69969999999999999</v>
      </c>
      <c r="J1138" s="29">
        <v>0.62139999999999995</v>
      </c>
      <c r="K1138" s="9">
        <v>45320</v>
      </c>
      <c r="L1138">
        <f xml:space="preserve"> (交易處理資料__3[[#This Row],[售出工時]] * 60) / 5</f>
        <v>72.999999996</v>
      </c>
      <c r="M1138" t="str">
        <f>VLOOKUP(交易處理資料__3[[#This Row],[人員代號]],團隊分組!$B$1:$C$52,2,FALSE)</f>
        <v>快速保養團隊A</v>
      </c>
      <c r="N1138" t="str">
        <f>IF(交易處理資料__3[[#This Row],[上班時間]]=0,"否","是")</f>
        <v>是</v>
      </c>
      <c r="O1138" t="s">
        <v>76</v>
      </c>
      <c r="P1138" s="37">
        <v>1.367041199</v>
      </c>
      <c r="Q1138" s="37">
        <v>0.62139999999999995</v>
      </c>
      <c r="R1138" s="37">
        <v>0.69969999999999999</v>
      </c>
    </row>
    <row r="1139" spans="1:18" hidden="1">
      <c r="A1139" t="s">
        <v>76</v>
      </c>
      <c r="B1139" t="s">
        <v>43</v>
      </c>
      <c r="C1139">
        <v>0</v>
      </c>
      <c r="D1139">
        <v>0</v>
      </c>
      <c r="E1139" s="29">
        <v>0</v>
      </c>
      <c r="F1139">
        <v>2.2799999999999998</v>
      </c>
      <c r="G1139">
        <v>7.47</v>
      </c>
      <c r="H1139">
        <v>9.75</v>
      </c>
      <c r="I1139" s="29">
        <v>0.23379999999999998</v>
      </c>
      <c r="J1139" s="29">
        <v>0</v>
      </c>
      <c r="K1139" s="9">
        <v>45320</v>
      </c>
      <c r="L1139">
        <f xml:space="preserve"> (交易處理資料__3[[#This Row],[售出工時]] * 60) / 5</f>
        <v>0</v>
      </c>
      <c r="M1139" t="str">
        <f>VLOOKUP(交易處理資料__3[[#This Row],[人員代號]],團隊分組!$B$1:$C$52,2,FALSE)</f>
        <v>查修團隊B</v>
      </c>
      <c r="N1139" t="str">
        <f>IF(交易處理資料__3[[#This Row],[上班時間]]=0,"否","是")</f>
        <v>是</v>
      </c>
      <c r="O1139" t="s">
        <v>76</v>
      </c>
      <c r="P1139" s="38">
        <v>0</v>
      </c>
      <c r="Q1139" s="38">
        <v>0</v>
      </c>
      <c r="R1139" s="38">
        <v>0.23379999999999998</v>
      </c>
    </row>
    <row r="1140" spans="1:18" hidden="1">
      <c r="A1140" t="s">
        <v>76</v>
      </c>
      <c r="B1140" t="s">
        <v>44</v>
      </c>
      <c r="C1140">
        <v>3.38</v>
      </c>
      <c r="D1140">
        <v>4.76</v>
      </c>
      <c r="E1140" s="29">
        <v>0.71008403360000005</v>
      </c>
      <c r="F1140">
        <v>7.25</v>
      </c>
      <c r="G1140">
        <v>0.68</v>
      </c>
      <c r="H1140">
        <v>7.93</v>
      </c>
      <c r="I1140" s="29">
        <v>0.91420000000000001</v>
      </c>
      <c r="J1140" s="29">
        <v>0.42619999999999997</v>
      </c>
      <c r="K1140" s="9">
        <v>45320</v>
      </c>
      <c r="L1140">
        <f xml:space="preserve"> (交易處理資料__3[[#This Row],[售出工時]] * 60) / 5</f>
        <v>40.559999999999995</v>
      </c>
      <c r="M1140" t="str">
        <f>VLOOKUP(交易處理資料__3[[#This Row],[人員代號]],團隊分組!$B$1:$C$52,2,FALSE)</f>
        <v>快速保養團隊B</v>
      </c>
      <c r="N1140" t="str">
        <f>IF(交易處理資料__3[[#This Row],[上班時間]]=0,"否","是")</f>
        <v>是</v>
      </c>
      <c r="O1140" t="s">
        <v>76</v>
      </c>
      <c r="P1140" s="37">
        <v>0.71008403360000005</v>
      </c>
      <c r="Q1140" s="37">
        <v>0.42619999999999997</v>
      </c>
      <c r="R1140" s="37">
        <v>0.91420000000000001</v>
      </c>
    </row>
    <row r="1141" spans="1:18" hidden="1">
      <c r="A1141" t="s">
        <v>76</v>
      </c>
      <c r="B1141" t="s">
        <v>45</v>
      </c>
      <c r="C1141">
        <v>3.75</v>
      </c>
      <c r="D1141">
        <v>3.11</v>
      </c>
      <c r="E1141" s="29">
        <v>1.2057877809999999</v>
      </c>
      <c r="F1141">
        <v>7.26</v>
      </c>
      <c r="G1141">
        <v>0.74</v>
      </c>
      <c r="H1141">
        <v>8</v>
      </c>
      <c r="I1141" s="29">
        <v>0.90749999999999997</v>
      </c>
      <c r="J1141" s="29">
        <v>0.46880000000000005</v>
      </c>
      <c r="K1141" s="9">
        <v>45320</v>
      </c>
      <c r="L1141">
        <f xml:space="preserve"> (交易處理資料__3[[#This Row],[售出工時]] * 60) / 5</f>
        <v>45</v>
      </c>
      <c r="M1141" t="str">
        <f>VLOOKUP(交易處理資料__3[[#This Row],[人員代號]],團隊分組!$B$1:$C$52,2,FALSE)</f>
        <v>快速保養團隊A</v>
      </c>
      <c r="N1141" t="str">
        <f>IF(交易處理資料__3[[#This Row],[上班時間]]=0,"否","是")</f>
        <v>是</v>
      </c>
      <c r="O1141" t="s">
        <v>76</v>
      </c>
      <c r="P1141" s="38">
        <v>1.2057877809999999</v>
      </c>
      <c r="Q1141" s="38">
        <v>0.46880000000000005</v>
      </c>
      <c r="R1141" s="38">
        <v>0.90749999999999997</v>
      </c>
    </row>
    <row r="1142" spans="1:18" hidden="1">
      <c r="A1142" t="s">
        <v>76</v>
      </c>
      <c r="B1142" t="s">
        <v>47</v>
      </c>
      <c r="C1142">
        <v>0.91666666699999999</v>
      </c>
      <c r="D1142">
        <v>1.57</v>
      </c>
      <c r="E1142" s="29">
        <v>0.58386411890000001</v>
      </c>
      <c r="F1142">
        <v>4.4000000000000004</v>
      </c>
      <c r="G1142">
        <v>3.91</v>
      </c>
      <c r="H1142">
        <v>8.31</v>
      </c>
      <c r="I1142" s="29">
        <v>0.52950000000000008</v>
      </c>
      <c r="J1142" s="29">
        <v>0.1103</v>
      </c>
      <c r="K1142" s="9">
        <v>45320</v>
      </c>
      <c r="L1142">
        <f xml:space="preserve"> (交易處理資料__3[[#This Row],[售出工時]] * 60) / 5</f>
        <v>11.000000004</v>
      </c>
      <c r="M1142" t="str">
        <f>VLOOKUP(交易處理資料__3[[#This Row],[人員代號]],團隊分組!$B$1:$C$52,2,FALSE)</f>
        <v>查修團隊B</v>
      </c>
      <c r="N1142" t="str">
        <f>IF(交易處理資料__3[[#This Row],[上班時間]]=0,"否","是")</f>
        <v>是</v>
      </c>
      <c r="O1142" t="s">
        <v>76</v>
      </c>
      <c r="P1142" s="37">
        <v>0.58386411890000001</v>
      </c>
      <c r="Q1142" s="37">
        <v>0.1103</v>
      </c>
      <c r="R1142" s="37">
        <v>0.52950000000000008</v>
      </c>
    </row>
    <row r="1143" spans="1:18" hidden="1">
      <c r="A1143" t="s">
        <v>76</v>
      </c>
      <c r="B1143" t="s">
        <v>48</v>
      </c>
      <c r="C1143">
        <v>0</v>
      </c>
      <c r="D1143">
        <v>0</v>
      </c>
      <c r="E1143" s="29">
        <v>0</v>
      </c>
      <c r="F1143">
        <v>0</v>
      </c>
      <c r="G1143">
        <v>0</v>
      </c>
      <c r="H1143">
        <v>0</v>
      </c>
      <c r="I1143" s="29">
        <v>0</v>
      </c>
      <c r="J1143" s="29">
        <v>0</v>
      </c>
      <c r="K1143" s="9">
        <v>45320</v>
      </c>
      <c r="L1143">
        <f xml:space="preserve"> (交易處理資料__3[[#This Row],[售出工時]] * 60) / 5</f>
        <v>0</v>
      </c>
      <c r="M1143" t="str">
        <f>VLOOKUP(交易處理資料__3[[#This Row],[人員代號]],團隊分組!$B$1:$C$52,2,FALSE)</f>
        <v>查修團隊A</v>
      </c>
      <c r="N1143" t="str">
        <f>IF(交易處理資料__3[[#This Row],[上班時間]]=0,"否","是")</f>
        <v>否</v>
      </c>
      <c r="O1143" t="s">
        <v>76</v>
      </c>
      <c r="P1143" s="38">
        <v>0</v>
      </c>
      <c r="Q1143" s="38">
        <v>0</v>
      </c>
      <c r="R1143" s="38">
        <v>0</v>
      </c>
    </row>
    <row r="1144" spans="1:18" hidden="1">
      <c r="A1144" t="s">
        <v>76</v>
      </c>
      <c r="B1144" t="s">
        <v>50</v>
      </c>
      <c r="C1144">
        <v>3.03</v>
      </c>
      <c r="D1144">
        <v>4.34</v>
      </c>
      <c r="E1144" s="29">
        <v>0.69815668200000003</v>
      </c>
      <c r="F1144">
        <v>7.27</v>
      </c>
      <c r="G1144">
        <v>0.66</v>
      </c>
      <c r="H1144">
        <v>7.93</v>
      </c>
      <c r="I1144" s="29">
        <v>0.91680000000000006</v>
      </c>
      <c r="J1144" s="29">
        <v>0.3821</v>
      </c>
      <c r="K1144" s="9">
        <v>45320</v>
      </c>
      <c r="L1144">
        <f xml:space="preserve"> (交易處理資料__3[[#This Row],[售出工時]] * 60) / 5</f>
        <v>36.36</v>
      </c>
      <c r="M1144" t="str">
        <f>VLOOKUP(交易處理資料__3[[#This Row],[人員代號]],團隊分組!$B$1:$C$52,2,FALSE)</f>
        <v>快速保養團隊B</v>
      </c>
      <c r="N1144" t="str">
        <f>IF(交易處理資料__3[[#This Row],[上班時間]]=0,"否","是")</f>
        <v>是</v>
      </c>
      <c r="O1144" t="s">
        <v>76</v>
      </c>
      <c r="P1144" s="37">
        <v>0.69815668200000003</v>
      </c>
      <c r="Q1144" s="37">
        <v>0.3821</v>
      </c>
      <c r="R1144" s="37">
        <v>0.91680000000000006</v>
      </c>
    </row>
    <row r="1145" spans="1:18" hidden="1">
      <c r="A1145" t="s">
        <v>76</v>
      </c>
      <c r="B1145" t="s">
        <v>51</v>
      </c>
      <c r="C1145">
        <v>0</v>
      </c>
      <c r="D1145">
        <v>0</v>
      </c>
      <c r="E1145" s="29">
        <v>0</v>
      </c>
      <c r="F1145">
        <v>0</v>
      </c>
      <c r="G1145">
        <v>0</v>
      </c>
      <c r="H1145">
        <v>0</v>
      </c>
      <c r="I1145" s="29">
        <v>0</v>
      </c>
      <c r="J1145" s="29">
        <v>0</v>
      </c>
      <c r="K1145" s="9">
        <v>45320</v>
      </c>
      <c r="L1145">
        <f xml:space="preserve"> (交易處理資料__3[[#This Row],[售出工時]] * 60) / 5</f>
        <v>0</v>
      </c>
      <c r="M1145" t="str">
        <f>VLOOKUP(交易處理資料__3[[#This Row],[人員代號]],團隊分組!$B$1:$C$52,2,FALSE)</f>
        <v>無效數據</v>
      </c>
      <c r="N1145" t="str">
        <f>IF(交易處理資料__3[[#This Row],[上班時間]]=0,"否","是")</f>
        <v>否</v>
      </c>
      <c r="O1145" t="s">
        <v>76</v>
      </c>
      <c r="P1145" s="38">
        <v>0</v>
      </c>
      <c r="Q1145" s="38">
        <v>0</v>
      </c>
      <c r="R1145" s="38">
        <v>0</v>
      </c>
    </row>
    <row r="1146" spans="1:18" hidden="1">
      <c r="A1146" t="s">
        <v>76</v>
      </c>
      <c r="B1146" t="s">
        <v>52</v>
      </c>
      <c r="C1146">
        <v>2.4166666669999999</v>
      </c>
      <c r="D1146">
        <v>4.45</v>
      </c>
      <c r="E1146" s="29">
        <v>0.54307116099999997</v>
      </c>
      <c r="F1146">
        <v>7.71</v>
      </c>
      <c r="G1146">
        <v>0.36</v>
      </c>
      <c r="H1146">
        <v>8.07</v>
      </c>
      <c r="I1146" s="29">
        <v>0.95540000000000003</v>
      </c>
      <c r="J1146" s="29">
        <v>0.29949999999999999</v>
      </c>
      <c r="K1146" s="9">
        <v>45320</v>
      </c>
      <c r="L1146">
        <f xml:space="preserve"> (交易處理資料__3[[#This Row],[售出工時]] * 60) / 5</f>
        <v>29.000000003999997</v>
      </c>
      <c r="M1146" t="str">
        <f>VLOOKUP(交易處理資料__3[[#This Row],[人員代號]],團隊分組!$B$1:$C$52,2,FALSE)</f>
        <v>查修團隊B</v>
      </c>
      <c r="N1146" t="str">
        <f>IF(交易處理資料__3[[#This Row],[上班時間]]=0,"否","是")</f>
        <v>是</v>
      </c>
      <c r="O1146" t="s">
        <v>76</v>
      </c>
      <c r="P1146" s="37">
        <v>0.54307116099999997</v>
      </c>
      <c r="Q1146" s="37">
        <v>0.29949999999999999</v>
      </c>
      <c r="R1146" s="37">
        <v>0.95540000000000003</v>
      </c>
    </row>
    <row r="1147" spans="1:18" hidden="1">
      <c r="A1147" t="s">
        <v>76</v>
      </c>
      <c r="B1147" t="s">
        <v>53</v>
      </c>
      <c r="C1147">
        <v>4.1066666669999998</v>
      </c>
      <c r="D1147">
        <v>5.28</v>
      </c>
      <c r="E1147" s="29">
        <v>0.7777777777999999</v>
      </c>
      <c r="F1147">
        <v>7.37</v>
      </c>
      <c r="G1147">
        <v>0.57999999999999996</v>
      </c>
      <c r="H1147">
        <v>7.95</v>
      </c>
      <c r="I1147" s="29">
        <v>0.92700000000000005</v>
      </c>
      <c r="J1147" s="29">
        <v>0.51659999999999995</v>
      </c>
      <c r="K1147" s="9">
        <v>45320</v>
      </c>
      <c r="L1147">
        <f xml:space="preserve"> (交易處理資料__3[[#This Row],[售出工時]] * 60) / 5</f>
        <v>49.280000004000001</v>
      </c>
      <c r="M1147" t="str">
        <f>VLOOKUP(交易處理資料__3[[#This Row],[人員代號]],團隊分組!$B$1:$C$52,2,FALSE)</f>
        <v>查修團隊A</v>
      </c>
      <c r="N1147" t="str">
        <f>IF(交易處理資料__3[[#This Row],[上班時間]]=0,"否","是")</f>
        <v>是</v>
      </c>
      <c r="O1147" t="s">
        <v>76</v>
      </c>
      <c r="P1147" s="38">
        <v>0.7777777777999999</v>
      </c>
      <c r="Q1147" s="38">
        <v>0.51659999999999995</v>
      </c>
      <c r="R1147" s="38">
        <v>0.92700000000000005</v>
      </c>
    </row>
    <row r="1148" spans="1:18" hidden="1">
      <c r="A1148" s="10" t="s">
        <v>74</v>
      </c>
      <c r="B1148" t="s">
        <v>2</v>
      </c>
      <c r="C1148">
        <v>2.13</v>
      </c>
      <c r="D1148">
        <v>7.29</v>
      </c>
      <c r="E1148" s="29">
        <v>0.29218106999999999</v>
      </c>
      <c r="F1148">
        <v>10.84</v>
      </c>
      <c r="G1148">
        <v>0.24</v>
      </c>
      <c r="H1148">
        <v>11.08</v>
      </c>
      <c r="I1148" s="29">
        <v>0.97829999999999995</v>
      </c>
      <c r="J1148" s="29">
        <v>0.19219999999999998</v>
      </c>
      <c r="K1148" s="9">
        <v>45321</v>
      </c>
      <c r="L1148">
        <f xml:space="preserve"> (交易處理資料__3[[#This Row],[售出工時]] * 60) / 5</f>
        <v>25.56</v>
      </c>
      <c r="M1148" t="str">
        <f>VLOOKUP(交易處理資料__3[[#This Row],[人員代號]],團隊分組!$B$1:$C$52,2,FALSE)</f>
        <v>噴漆維修組</v>
      </c>
      <c r="N1148" t="str">
        <f>IF(交易處理資料__3[[#This Row],[上班時間]]=0,"否","是")</f>
        <v>是</v>
      </c>
      <c r="O1148" s="10" t="s">
        <v>74</v>
      </c>
      <c r="P1148" s="37">
        <v>0.29218106999999999</v>
      </c>
      <c r="Q1148" s="37">
        <v>0.19219999999999998</v>
      </c>
      <c r="R1148" s="37">
        <v>0.97829999999999995</v>
      </c>
    </row>
    <row r="1149" spans="1:18" hidden="1">
      <c r="A1149" s="10" t="s">
        <v>74</v>
      </c>
      <c r="B1149" t="s">
        <v>3</v>
      </c>
      <c r="C1149">
        <v>2.13</v>
      </c>
      <c r="D1149">
        <v>7.29</v>
      </c>
      <c r="E1149" s="29">
        <v>0.29218106999999999</v>
      </c>
      <c r="F1149">
        <v>10.84</v>
      </c>
      <c r="G1149">
        <v>0.26</v>
      </c>
      <c r="H1149">
        <v>11.1</v>
      </c>
      <c r="I1149" s="29">
        <v>0.97659999999999991</v>
      </c>
      <c r="J1149" s="29">
        <v>0.19190000000000002</v>
      </c>
      <c r="K1149" s="9">
        <v>45321</v>
      </c>
      <c r="L1149">
        <f xml:space="preserve"> (交易處理資料__3[[#This Row],[售出工時]] * 60) / 5</f>
        <v>25.56</v>
      </c>
      <c r="M1149" t="str">
        <f>VLOOKUP(交易處理資料__3[[#This Row],[人員代號]],團隊分組!$B$1:$C$52,2,FALSE)</f>
        <v>噴漆維修組</v>
      </c>
      <c r="N1149" t="str">
        <f>IF(交易處理資料__3[[#This Row],[上班時間]]=0,"否","是")</f>
        <v>是</v>
      </c>
      <c r="O1149" s="10" t="s">
        <v>74</v>
      </c>
      <c r="P1149" s="38">
        <v>0.29218106999999999</v>
      </c>
      <c r="Q1149" s="38">
        <v>0.19190000000000002</v>
      </c>
      <c r="R1149" s="38">
        <v>0.97659999999999991</v>
      </c>
    </row>
    <row r="1150" spans="1:18" hidden="1">
      <c r="A1150" s="10" t="s">
        <v>74</v>
      </c>
      <c r="B1150" t="s">
        <v>4</v>
      </c>
      <c r="C1150">
        <v>0</v>
      </c>
      <c r="D1150">
        <v>0</v>
      </c>
      <c r="E1150" s="29">
        <v>0</v>
      </c>
      <c r="F1150">
        <v>6.62</v>
      </c>
      <c r="G1150">
        <v>1.51</v>
      </c>
      <c r="H1150">
        <v>8.1300000000000008</v>
      </c>
      <c r="I1150" s="29">
        <v>0.81430000000000002</v>
      </c>
      <c r="J1150" s="29">
        <v>0</v>
      </c>
      <c r="K1150" s="9">
        <v>45321</v>
      </c>
      <c r="L1150">
        <f xml:space="preserve"> (交易處理資料__3[[#This Row],[售出工時]] * 60) / 5</f>
        <v>0</v>
      </c>
      <c r="M1150" t="str">
        <f>VLOOKUP(交易處理資料__3[[#This Row],[人員代號]],團隊分組!$B$1:$C$52,2,FALSE)</f>
        <v>噴漆維修組</v>
      </c>
      <c r="N1150" t="str">
        <f>IF(交易處理資料__3[[#This Row],[上班時間]]=0,"否","是")</f>
        <v>是</v>
      </c>
      <c r="O1150" s="10" t="s">
        <v>74</v>
      </c>
      <c r="P1150" s="37">
        <v>0</v>
      </c>
      <c r="Q1150" s="37">
        <v>0</v>
      </c>
      <c r="R1150" s="37">
        <v>0.81430000000000002</v>
      </c>
    </row>
    <row r="1151" spans="1:18" hidden="1">
      <c r="A1151" s="10" t="s">
        <v>74</v>
      </c>
      <c r="B1151" t="s">
        <v>6</v>
      </c>
      <c r="C1151">
        <v>0</v>
      </c>
      <c r="D1151">
        <v>0</v>
      </c>
      <c r="E1151" s="29">
        <v>0</v>
      </c>
      <c r="F1151">
        <v>10.84</v>
      </c>
      <c r="G1151">
        <v>0.24</v>
      </c>
      <c r="H1151">
        <v>11.08</v>
      </c>
      <c r="I1151" s="29">
        <v>0.97829999999999995</v>
      </c>
      <c r="J1151" s="29">
        <v>0</v>
      </c>
      <c r="K1151" s="9">
        <v>45321</v>
      </c>
      <c r="L1151">
        <f xml:space="preserve"> (交易處理資料__3[[#This Row],[售出工時]] * 60) / 5</f>
        <v>0</v>
      </c>
      <c r="M1151" t="str">
        <f>VLOOKUP(交易處理資料__3[[#This Row],[人員代號]],團隊分組!$B$1:$C$52,2,FALSE)</f>
        <v>噴漆維修組</v>
      </c>
      <c r="N1151" t="str">
        <f>IF(交易處理資料__3[[#This Row],[上班時間]]=0,"否","是")</f>
        <v>是</v>
      </c>
      <c r="O1151" s="10" t="s">
        <v>74</v>
      </c>
      <c r="P1151" s="38">
        <v>0</v>
      </c>
      <c r="Q1151" s="38">
        <v>0</v>
      </c>
      <c r="R1151" s="38">
        <v>0.97829999999999995</v>
      </c>
    </row>
    <row r="1152" spans="1:18" hidden="1">
      <c r="A1152" s="10" t="s">
        <v>74</v>
      </c>
      <c r="B1152" t="s">
        <v>8</v>
      </c>
      <c r="C1152">
        <v>0</v>
      </c>
      <c r="D1152">
        <v>0</v>
      </c>
      <c r="E1152" s="29">
        <v>0</v>
      </c>
      <c r="F1152">
        <v>6.62</v>
      </c>
      <c r="G1152">
        <v>1.38</v>
      </c>
      <c r="H1152">
        <v>8</v>
      </c>
      <c r="I1152" s="29">
        <v>0.82750000000000001</v>
      </c>
      <c r="J1152" s="29">
        <v>0</v>
      </c>
      <c r="K1152" s="9">
        <v>45321</v>
      </c>
      <c r="L1152">
        <f xml:space="preserve"> (交易處理資料__3[[#This Row],[售出工時]] * 60) / 5</f>
        <v>0</v>
      </c>
      <c r="M1152" t="str">
        <f>VLOOKUP(交易處理資料__3[[#This Row],[人員代號]],團隊分組!$B$1:$C$52,2,FALSE)</f>
        <v>噴漆維修組</v>
      </c>
      <c r="N1152" t="str">
        <f>IF(交易處理資料__3[[#This Row],[上班時間]]=0,"否","是")</f>
        <v>是</v>
      </c>
      <c r="O1152" s="10" t="s">
        <v>74</v>
      </c>
      <c r="P1152" s="37">
        <v>0</v>
      </c>
      <c r="Q1152" s="37">
        <v>0</v>
      </c>
      <c r="R1152" s="37">
        <v>0.82750000000000001</v>
      </c>
    </row>
    <row r="1153" spans="1:18" hidden="1">
      <c r="A1153" t="s">
        <v>75</v>
      </c>
      <c r="B1153" t="s">
        <v>11</v>
      </c>
      <c r="C1153">
        <v>9.1666666669999994</v>
      </c>
      <c r="D1153">
        <v>4.0999999999999996</v>
      </c>
      <c r="E1153" s="29">
        <v>2.2357723580000002</v>
      </c>
      <c r="F1153">
        <v>6.41</v>
      </c>
      <c r="G1153">
        <v>1.68</v>
      </c>
      <c r="H1153">
        <v>8.09</v>
      </c>
      <c r="I1153" s="29">
        <v>0.7923</v>
      </c>
      <c r="J1153" s="29">
        <v>1.1331</v>
      </c>
      <c r="K1153" s="9">
        <v>45321</v>
      </c>
      <c r="L1153">
        <f xml:space="preserve"> (交易處理資料__3[[#This Row],[售出工時]] * 60) / 5</f>
        <v>110.000000004</v>
      </c>
      <c r="M1153" t="str">
        <f>VLOOKUP(交易處理資料__3[[#This Row],[人員代號]],團隊分組!$B$1:$C$52,2,FALSE)</f>
        <v>鈑金維修組</v>
      </c>
      <c r="N1153" t="str">
        <f>IF(交易處理資料__3[[#This Row],[上班時間]]=0,"否","是")</f>
        <v>是</v>
      </c>
      <c r="O1153" t="s">
        <v>75</v>
      </c>
      <c r="P1153" s="38">
        <v>2.2357723580000002</v>
      </c>
      <c r="Q1153" s="38">
        <v>1.1331</v>
      </c>
      <c r="R1153" s="38">
        <v>0.7923</v>
      </c>
    </row>
    <row r="1154" spans="1:18" hidden="1">
      <c r="A1154" t="s">
        <v>75</v>
      </c>
      <c r="B1154" t="s">
        <v>14</v>
      </c>
      <c r="C1154">
        <v>2.23</v>
      </c>
      <c r="D1154">
        <v>3.24</v>
      </c>
      <c r="E1154" s="29">
        <v>0.68827160489999994</v>
      </c>
      <c r="F1154">
        <v>5.63</v>
      </c>
      <c r="G1154">
        <v>2.48</v>
      </c>
      <c r="H1154">
        <v>8.11</v>
      </c>
      <c r="I1154" s="29">
        <v>0.69420000000000004</v>
      </c>
      <c r="J1154" s="29">
        <v>0.27500000000000002</v>
      </c>
      <c r="K1154" s="9">
        <v>45321</v>
      </c>
      <c r="L1154">
        <f xml:space="preserve"> (交易處理資料__3[[#This Row],[售出工時]] * 60) / 5</f>
        <v>26.76</v>
      </c>
      <c r="M1154" t="str">
        <f>VLOOKUP(交易處理資料__3[[#This Row],[人員代號]],團隊分組!$B$1:$C$52,2,FALSE)</f>
        <v>鈑金維修組</v>
      </c>
      <c r="N1154" t="str">
        <f>IF(交易處理資料__3[[#This Row],[上班時間]]=0,"否","是")</f>
        <v>是</v>
      </c>
      <c r="O1154" t="s">
        <v>75</v>
      </c>
      <c r="P1154" s="37">
        <v>0.68827160489999994</v>
      </c>
      <c r="Q1154" s="37">
        <v>0.27500000000000002</v>
      </c>
      <c r="R1154" s="37">
        <v>0.69420000000000004</v>
      </c>
    </row>
    <row r="1155" spans="1:18" hidden="1">
      <c r="A1155" t="s">
        <v>75</v>
      </c>
      <c r="B1155" t="s">
        <v>15</v>
      </c>
      <c r="C1155">
        <v>1.3</v>
      </c>
      <c r="D1155">
        <v>2.2400000000000002</v>
      </c>
      <c r="E1155" s="29">
        <v>0.58035714290000007</v>
      </c>
      <c r="F1155">
        <v>5.61</v>
      </c>
      <c r="G1155">
        <v>2.5</v>
      </c>
      <c r="H1155">
        <v>8.11</v>
      </c>
      <c r="I1155" s="29">
        <v>0.69169999999999998</v>
      </c>
      <c r="J1155" s="29">
        <v>0.1603</v>
      </c>
      <c r="K1155" s="9">
        <v>45321</v>
      </c>
      <c r="L1155">
        <f xml:space="preserve"> (交易處理資料__3[[#This Row],[售出工時]] * 60) / 5</f>
        <v>15.6</v>
      </c>
      <c r="M1155" t="str">
        <f>VLOOKUP(交易處理資料__3[[#This Row],[人員代號]],團隊分組!$B$1:$C$52,2,FALSE)</f>
        <v>鈑金維修組</v>
      </c>
      <c r="N1155" t="str">
        <f>IF(交易處理資料__3[[#This Row],[上班時間]]=0,"否","是")</f>
        <v>是</v>
      </c>
      <c r="O1155" t="s">
        <v>75</v>
      </c>
      <c r="P1155" s="38">
        <v>0.58035714290000007</v>
      </c>
      <c r="Q1155" s="38">
        <v>0.1603</v>
      </c>
      <c r="R1155" s="38">
        <v>0.69169999999999998</v>
      </c>
    </row>
    <row r="1156" spans="1:18" hidden="1">
      <c r="A1156" t="s">
        <v>76</v>
      </c>
      <c r="B1156" t="s">
        <v>17</v>
      </c>
      <c r="C1156">
        <v>7.26</v>
      </c>
      <c r="D1156">
        <v>4.91</v>
      </c>
      <c r="E1156" s="29">
        <v>1.4786150710000001</v>
      </c>
      <c r="F1156">
        <v>0</v>
      </c>
      <c r="G1156">
        <v>7.63</v>
      </c>
      <c r="H1156">
        <v>7.63</v>
      </c>
      <c r="I1156" s="29">
        <v>0</v>
      </c>
      <c r="J1156" s="29">
        <v>0.95150000000000001</v>
      </c>
      <c r="K1156" s="9">
        <v>45321</v>
      </c>
      <c r="L1156">
        <f xml:space="preserve"> (交易處理資料__3[[#This Row],[售出工時]] * 60) / 5</f>
        <v>87.11999999999999</v>
      </c>
      <c r="M1156" t="str">
        <f>VLOOKUP(交易處理資料__3[[#This Row],[人員代號]],團隊分組!$B$1:$C$52,2,FALSE)</f>
        <v>快速保養團隊A</v>
      </c>
      <c r="N1156" t="str">
        <f>IF(交易處理資料__3[[#This Row],[上班時間]]=0,"否","是")</f>
        <v>是</v>
      </c>
      <c r="O1156" t="s">
        <v>76</v>
      </c>
      <c r="P1156" s="37">
        <v>1.4786150710000001</v>
      </c>
      <c r="Q1156" s="37">
        <v>0.95150000000000001</v>
      </c>
      <c r="R1156" s="37">
        <v>0</v>
      </c>
    </row>
    <row r="1157" spans="1:18" hidden="1">
      <c r="A1157" t="s">
        <v>76</v>
      </c>
      <c r="B1157" t="s">
        <v>19</v>
      </c>
      <c r="C1157">
        <v>2.8933333330000002</v>
      </c>
      <c r="D1157">
        <v>7.94</v>
      </c>
      <c r="E1157" s="29">
        <v>0.36439966409999996</v>
      </c>
      <c r="F1157">
        <v>10.4</v>
      </c>
      <c r="G1157">
        <v>0.52</v>
      </c>
      <c r="H1157">
        <v>10.92</v>
      </c>
      <c r="I1157" s="29">
        <v>0.95239999999999991</v>
      </c>
      <c r="J1157" s="29">
        <v>0.26500000000000001</v>
      </c>
      <c r="K1157" s="9">
        <v>45321</v>
      </c>
      <c r="L1157">
        <f xml:space="preserve"> (交易處理資料__3[[#This Row],[售出工時]] * 60) / 5</f>
        <v>34.719999995999999</v>
      </c>
      <c r="M1157" t="str">
        <f>VLOOKUP(交易處理資料__3[[#This Row],[人員代號]],團隊分組!$B$1:$C$52,2,FALSE)</f>
        <v>查修團隊A</v>
      </c>
      <c r="N1157" t="str">
        <f>IF(交易處理資料__3[[#This Row],[上班時間]]=0,"否","是")</f>
        <v>是</v>
      </c>
      <c r="O1157" t="s">
        <v>76</v>
      </c>
      <c r="P1157" s="38">
        <v>0.36439966409999996</v>
      </c>
      <c r="Q1157" s="38">
        <v>0.26500000000000001</v>
      </c>
      <c r="R1157" s="38">
        <v>0.95239999999999991</v>
      </c>
    </row>
    <row r="1158" spans="1:18" hidden="1">
      <c r="A1158" t="s">
        <v>76</v>
      </c>
      <c r="B1158" t="s">
        <v>20</v>
      </c>
      <c r="C1158">
        <v>0.96</v>
      </c>
      <c r="D1158">
        <v>5.43</v>
      </c>
      <c r="E1158" s="29">
        <v>0.17679558010000002</v>
      </c>
      <c r="F1158">
        <v>2.88</v>
      </c>
      <c r="G1158">
        <v>8.58</v>
      </c>
      <c r="H1158">
        <v>11.46</v>
      </c>
      <c r="I1158" s="29">
        <v>0.25129999999999997</v>
      </c>
      <c r="J1158" s="29">
        <v>8.3800000000000013E-2</v>
      </c>
      <c r="K1158" s="9">
        <v>45321</v>
      </c>
      <c r="L1158">
        <f xml:space="preserve"> (交易處理資料__3[[#This Row],[售出工時]] * 60) / 5</f>
        <v>11.52</v>
      </c>
      <c r="M1158" t="str">
        <f>VLOOKUP(交易處理資料__3[[#This Row],[人員代號]],團隊分組!$B$1:$C$52,2,FALSE)</f>
        <v>查修團隊B</v>
      </c>
      <c r="N1158" t="str">
        <f>IF(交易處理資料__3[[#This Row],[上班時間]]=0,"否","是")</f>
        <v>是</v>
      </c>
      <c r="O1158" t="s">
        <v>76</v>
      </c>
      <c r="P1158" s="37">
        <v>0.17679558010000002</v>
      </c>
      <c r="Q1158" s="37">
        <v>8.3800000000000013E-2</v>
      </c>
      <c r="R1158" s="37">
        <v>0.25129999999999997</v>
      </c>
    </row>
    <row r="1159" spans="1:18" hidden="1">
      <c r="A1159" t="s">
        <v>76</v>
      </c>
      <c r="B1159" t="s">
        <v>21</v>
      </c>
      <c r="C1159">
        <v>0.5</v>
      </c>
      <c r="D1159">
        <v>0.83</v>
      </c>
      <c r="E1159" s="29">
        <v>0.60240963859999996</v>
      </c>
      <c r="F1159">
        <v>8.41</v>
      </c>
      <c r="G1159">
        <v>0.65</v>
      </c>
      <c r="H1159">
        <v>9.06</v>
      </c>
      <c r="I1159" s="29">
        <v>0.92830000000000001</v>
      </c>
      <c r="J1159" s="29">
        <v>5.5199999999999999E-2</v>
      </c>
      <c r="K1159" s="9">
        <v>45321</v>
      </c>
      <c r="L1159">
        <f xml:space="preserve"> (交易處理資料__3[[#This Row],[售出工時]] * 60) / 5</f>
        <v>6</v>
      </c>
      <c r="M1159" t="str">
        <f>VLOOKUP(交易處理資料__3[[#This Row],[人員代號]],團隊分組!$B$1:$C$52,2,FALSE)</f>
        <v>查修團隊B</v>
      </c>
      <c r="N1159" t="str">
        <f>IF(交易處理資料__3[[#This Row],[上班時間]]=0,"否","是")</f>
        <v>是</v>
      </c>
      <c r="O1159" t="s">
        <v>76</v>
      </c>
      <c r="P1159" s="38">
        <v>0.60240963859999996</v>
      </c>
      <c r="Q1159" s="38">
        <v>5.5199999999999999E-2</v>
      </c>
      <c r="R1159" s="38">
        <v>0.92830000000000001</v>
      </c>
    </row>
    <row r="1160" spans="1:18" hidden="1">
      <c r="A1160" t="s">
        <v>76</v>
      </c>
      <c r="B1160" t="s">
        <v>22</v>
      </c>
      <c r="C1160">
        <v>0</v>
      </c>
      <c r="D1160">
        <v>0</v>
      </c>
      <c r="E1160" s="29">
        <v>0</v>
      </c>
      <c r="F1160">
        <v>0</v>
      </c>
      <c r="G1160">
        <v>0</v>
      </c>
      <c r="H1160">
        <v>0</v>
      </c>
      <c r="I1160" s="29">
        <v>0</v>
      </c>
      <c r="J1160" s="29">
        <v>0</v>
      </c>
      <c r="K1160" s="9">
        <v>45321</v>
      </c>
      <c r="L1160">
        <f xml:space="preserve"> (交易處理資料__3[[#This Row],[售出工時]] * 60) / 5</f>
        <v>0</v>
      </c>
      <c r="M1160" t="str">
        <f>VLOOKUP(交易處理資料__3[[#This Row],[人員代號]],團隊分組!$B$1:$C$52,2,FALSE)</f>
        <v>快速保養團隊A</v>
      </c>
      <c r="N1160" t="str">
        <f>IF(交易處理資料__3[[#This Row],[上班時間]]=0,"否","是")</f>
        <v>否</v>
      </c>
      <c r="O1160" t="s">
        <v>76</v>
      </c>
      <c r="P1160" s="37">
        <v>0</v>
      </c>
      <c r="Q1160" s="37">
        <v>0</v>
      </c>
      <c r="R1160" s="37">
        <v>0</v>
      </c>
    </row>
    <row r="1161" spans="1:18" hidden="1">
      <c r="A1161" t="s">
        <v>76</v>
      </c>
      <c r="B1161" t="s">
        <v>23</v>
      </c>
      <c r="C1161">
        <v>1.9866666669999999</v>
      </c>
      <c r="D1161">
        <v>3.49</v>
      </c>
      <c r="E1161" s="29">
        <v>0.56924546320000002</v>
      </c>
      <c r="F1161">
        <v>8.32</v>
      </c>
      <c r="G1161">
        <v>2</v>
      </c>
      <c r="H1161">
        <v>10.32</v>
      </c>
      <c r="I1161" s="29">
        <v>0.80620000000000003</v>
      </c>
      <c r="J1161" s="29">
        <v>0.1925</v>
      </c>
      <c r="K1161" s="9">
        <v>45321</v>
      </c>
      <c r="L1161">
        <f xml:space="preserve"> (交易處理資料__3[[#This Row],[售出工時]] * 60) / 5</f>
        <v>23.840000003999997</v>
      </c>
      <c r="M1161" t="str">
        <f>VLOOKUP(交易處理資料__3[[#This Row],[人員代號]],團隊分組!$B$1:$C$52,2,FALSE)</f>
        <v>快速保養團隊B</v>
      </c>
      <c r="N1161" t="str">
        <f>IF(交易處理資料__3[[#This Row],[上班時間]]=0,"否","是")</f>
        <v>是</v>
      </c>
      <c r="O1161" t="s">
        <v>76</v>
      </c>
      <c r="P1161" s="38">
        <v>0.56924546320000002</v>
      </c>
      <c r="Q1161" s="38">
        <v>0.1925</v>
      </c>
      <c r="R1161" s="38">
        <v>0.80620000000000003</v>
      </c>
    </row>
    <row r="1162" spans="1:18" hidden="1">
      <c r="A1162" t="s">
        <v>76</v>
      </c>
      <c r="B1162" t="s">
        <v>24</v>
      </c>
      <c r="C1162">
        <v>9.91</v>
      </c>
      <c r="D1162">
        <v>6.04</v>
      </c>
      <c r="E1162" s="29">
        <v>1.6407284770000001</v>
      </c>
      <c r="F1162">
        <v>10.16</v>
      </c>
      <c r="G1162">
        <v>1.02</v>
      </c>
      <c r="H1162">
        <v>11.18</v>
      </c>
      <c r="I1162" s="29">
        <v>0.90879999999999994</v>
      </c>
      <c r="J1162" s="29">
        <v>0.88639999999999997</v>
      </c>
      <c r="K1162" s="9">
        <v>45321</v>
      </c>
      <c r="L1162">
        <f xml:space="preserve"> (交易處理資料__3[[#This Row],[售出工時]] * 60) / 5</f>
        <v>118.92</v>
      </c>
      <c r="M1162" t="str">
        <f>VLOOKUP(交易處理資料__3[[#This Row],[人員代號]],團隊分組!$B$1:$C$52,2,FALSE)</f>
        <v>快速保養團隊A</v>
      </c>
      <c r="N1162" t="str">
        <f>IF(交易處理資料__3[[#This Row],[上班時間]]=0,"否","是")</f>
        <v>是</v>
      </c>
      <c r="O1162" t="s">
        <v>76</v>
      </c>
      <c r="P1162" s="37">
        <v>1.6407284770000001</v>
      </c>
      <c r="Q1162" s="37">
        <v>0.88639999999999997</v>
      </c>
      <c r="R1162" s="37">
        <v>0.90879999999999994</v>
      </c>
    </row>
    <row r="1163" spans="1:18" hidden="1">
      <c r="A1163" t="s">
        <v>76</v>
      </c>
      <c r="B1163" t="s">
        <v>25</v>
      </c>
      <c r="C1163">
        <v>6</v>
      </c>
      <c r="D1163">
        <v>8.91</v>
      </c>
      <c r="E1163" s="29">
        <v>0.67340067340000009</v>
      </c>
      <c r="F1163">
        <v>9.56</v>
      </c>
      <c r="G1163">
        <v>0.32</v>
      </c>
      <c r="H1163">
        <v>9.8800000000000008</v>
      </c>
      <c r="I1163" s="29">
        <v>0.96760000000000002</v>
      </c>
      <c r="J1163" s="29">
        <v>0.60729999999999995</v>
      </c>
      <c r="K1163" s="9">
        <v>45321</v>
      </c>
      <c r="L1163">
        <f xml:space="preserve"> (交易處理資料__3[[#This Row],[售出工時]] * 60) / 5</f>
        <v>72</v>
      </c>
      <c r="M1163" t="str">
        <f>VLOOKUP(交易處理資料__3[[#This Row],[人員代號]],團隊分組!$B$1:$C$52,2,FALSE)</f>
        <v>查修團隊A</v>
      </c>
      <c r="N1163" t="str">
        <f>IF(交易處理資料__3[[#This Row],[上班時間]]=0,"否","是")</f>
        <v>是</v>
      </c>
      <c r="O1163" t="s">
        <v>76</v>
      </c>
      <c r="P1163" s="38">
        <v>0.67340067340000009</v>
      </c>
      <c r="Q1163" s="38">
        <v>0.60729999999999995</v>
      </c>
      <c r="R1163" s="38">
        <v>0.96760000000000002</v>
      </c>
    </row>
    <row r="1164" spans="1:18" hidden="1">
      <c r="A1164" t="s">
        <v>76</v>
      </c>
      <c r="B1164" t="s">
        <v>27</v>
      </c>
      <c r="C1164">
        <v>4.8866666670000001</v>
      </c>
      <c r="D1164">
        <v>4.0999999999999996</v>
      </c>
      <c r="E1164" s="29">
        <v>1.1918699189999999</v>
      </c>
      <c r="F1164">
        <v>9.48</v>
      </c>
      <c r="G1164">
        <v>0.57999999999999996</v>
      </c>
      <c r="H1164">
        <v>10.06</v>
      </c>
      <c r="I1164" s="29">
        <v>0.94230000000000003</v>
      </c>
      <c r="J1164" s="29">
        <v>0.48580000000000001</v>
      </c>
      <c r="K1164" s="9">
        <v>45321</v>
      </c>
      <c r="L1164">
        <f xml:space="preserve"> (交易處理資料__3[[#This Row],[售出工時]] * 60) / 5</f>
        <v>58.640000004000001</v>
      </c>
      <c r="M1164" t="str">
        <f>VLOOKUP(交易處理資料__3[[#This Row],[人員代號]],團隊分組!$B$1:$C$52,2,FALSE)</f>
        <v>快速保養團隊B</v>
      </c>
      <c r="N1164" t="str">
        <f>IF(交易處理資料__3[[#This Row],[上班時間]]=0,"否","是")</f>
        <v>是</v>
      </c>
      <c r="O1164" t="s">
        <v>76</v>
      </c>
      <c r="P1164" s="37">
        <v>1.1918699189999999</v>
      </c>
      <c r="Q1164" s="37">
        <v>0.48580000000000001</v>
      </c>
      <c r="R1164" s="37">
        <v>0.94230000000000003</v>
      </c>
    </row>
    <row r="1165" spans="1:18" hidden="1">
      <c r="A1165" t="s">
        <v>76</v>
      </c>
      <c r="B1165" t="s">
        <v>28</v>
      </c>
      <c r="C1165">
        <v>14.02333333</v>
      </c>
      <c r="D1165">
        <v>8.34</v>
      </c>
      <c r="E1165" s="29">
        <v>1.6814548360000001</v>
      </c>
      <c r="F1165">
        <v>9.64</v>
      </c>
      <c r="G1165">
        <v>0.91</v>
      </c>
      <c r="H1165">
        <v>10.55</v>
      </c>
      <c r="I1165" s="29">
        <v>0.91370000000000007</v>
      </c>
      <c r="J1165" s="29">
        <v>1.3291999999999999</v>
      </c>
      <c r="K1165" s="9">
        <v>45321</v>
      </c>
      <c r="L1165">
        <f xml:space="preserve"> (交易處理資料__3[[#This Row],[售出工時]] * 60) / 5</f>
        <v>168.27999996</v>
      </c>
      <c r="M1165" t="str">
        <f>VLOOKUP(交易處理資料__3[[#This Row],[人員代號]],團隊分組!$B$1:$C$52,2,FALSE)</f>
        <v>快速保養團隊A</v>
      </c>
      <c r="N1165" t="str">
        <f>IF(交易處理資料__3[[#This Row],[上班時間]]=0,"否","是")</f>
        <v>是</v>
      </c>
      <c r="O1165" t="s">
        <v>76</v>
      </c>
      <c r="P1165" s="38">
        <v>1.6814548360000001</v>
      </c>
      <c r="Q1165" s="38">
        <v>1.3291999999999999</v>
      </c>
      <c r="R1165" s="38">
        <v>0.91370000000000007</v>
      </c>
    </row>
    <row r="1166" spans="1:18" hidden="1">
      <c r="A1166" t="s">
        <v>76</v>
      </c>
      <c r="B1166" t="s">
        <v>30</v>
      </c>
      <c r="C1166">
        <v>6.66</v>
      </c>
      <c r="D1166">
        <v>4.7300000000000004</v>
      </c>
      <c r="E1166" s="29">
        <v>1.4080338269999999</v>
      </c>
      <c r="F1166">
        <v>9.82</v>
      </c>
      <c r="G1166">
        <v>0.28999999999999998</v>
      </c>
      <c r="H1166">
        <v>10.11</v>
      </c>
      <c r="I1166" s="29">
        <v>0.97129999999999994</v>
      </c>
      <c r="J1166" s="29">
        <v>0.65879999999999994</v>
      </c>
      <c r="K1166" s="9">
        <v>45321</v>
      </c>
      <c r="L1166">
        <f xml:space="preserve"> (交易處理資料__3[[#This Row],[售出工時]] * 60) / 5</f>
        <v>79.92</v>
      </c>
      <c r="M1166" t="str">
        <f>VLOOKUP(交易處理資料__3[[#This Row],[人員代號]],團隊分組!$B$1:$C$52,2,FALSE)</f>
        <v>快速保養團隊B</v>
      </c>
      <c r="N1166" t="str">
        <f>IF(交易處理資料__3[[#This Row],[上班時間]]=0,"否","是")</f>
        <v>是</v>
      </c>
      <c r="O1166" t="s">
        <v>76</v>
      </c>
      <c r="P1166" s="37">
        <v>1.4080338269999999</v>
      </c>
      <c r="Q1166" s="37">
        <v>0.65879999999999994</v>
      </c>
      <c r="R1166" s="37">
        <v>0.97129999999999994</v>
      </c>
    </row>
    <row r="1167" spans="1:18" hidden="1">
      <c r="A1167" t="s">
        <v>76</v>
      </c>
      <c r="B1167" t="s">
        <v>33</v>
      </c>
      <c r="C1167">
        <v>0</v>
      </c>
      <c r="D1167">
        <v>0</v>
      </c>
      <c r="E1167" s="29">
        <v>0</v>
      </c>
      <c r="F1167">
        <v>0</v>
      </c>
      <c r="G1167">
        <v>0</v>
      </c>
      <c r="H1167">
        <v>0</v>
      </c>
      <c r="I1167" s="29">
        <v>0</v>
      </c>
      <c r="J1167" s="29">
        <v>0</v>
      </c>
      <c r="K1167" s="9">
        <v>45321</v>
      </c>
      <c r="L1167">
        <f xml:space="preserve"> (交易處理資料__3[[#This Row],[售出工時]] * 60) / 5</f>
        <v>0</v>
      </c>
      <c r="M1167" t="str">
        <f>VLOOKUP(交易處理資料__3[[#This Row],[人員代號]],團隊分組!$B$1:$C$52,2,FALSE)</f>
        <v>快速保養團隊B</v>
      </c>
      <c r="N1167" t="str">
        <f>IF(交易處理資料__3[[#This Row],[上班時間]]=0,"否","是")</f>
        <v>否</v>
      </c>
      <c r="O1167" t="s">
        <v>76</v>
      </c>
      <c r="P1167" s="38">
        <v>0</v>
      </c>
      <c r="Q1167" s="38">
        <v>0</v>
      </c>
      <c r="R1167" s="38">
        <v>0</v>
      </c>
    </row>
    <row r="1168" spans="1:18" hidden="1">
      <c r="A1168" t="s">
        <v>76</v>
      </c>
      <c r="B1168" t="s">
        <v>34</v>
      </c>
      <c r="C1168">
        <v>11.41666667</v>
      </c>
      <c r="D1168">
        <v>7.48</v>
      </c>
      <c r="E1168" s="29">
        <v>1.5262923349999999</v>
      </c>
      <c r="F1168">
        <v>10.58</v>
      </c>
      <c r="G1168">
        <v>0.69</v>
      </c>
      <c r="H1168">
        <v>11.27</v>
      </c>
      <c r="I1168" s="29">
        <v>0.93879999999999997</v>
      </c>
      <c r="J1168" s="29">
        <v>1.0129999999999999</v>
      </c>
      <c r="K1168" s="9">
        <v>45321</v>
      </c>
      <c r="L1168">
        <f xml:space="preserve"> (交易處理資料__3[[#This Row],[售出工時]] * 60) / 5</f>
        <v>137.00000003999997</v>
      </c>
      <c r="M1168" t="str">
        <f>VLOOKUP(交易處理資料__3[[#This Row],[人員代號]],團隊分組!$B$1:$C$52,2,FALSE)</f>
        <v>快速保養團隊A</v>
      </c>
      <c r="N1168" t="str">
        <f>IF(交易處理資料__3[[#This Row],[上班時間]]=0,"否","是")</f>
        <v>是</v>
      </c>
      <c r="O1168" t="s">
        <v>76</v>
      </c>
      <c r="P1168" s="37">
        <v>1.5262923349999999</v>
      </c>
      <c r="Q1168" s="37">
        <v>1.0129999999999999</v>
      </c>
      <c r="R1168" s="37">
        <v>0.93879999999999997</v>
      </c>
    </row>
    <row r="1169" spans="1:18" hidden="1">
      <c r="A1169" t="s">
        <v>76</v>
      </c>
      <c r="B1169" t="s">
        <v>35</v>
      </c>
      <c r="C1169">
        <v>2</v>
      </c>
      <c r="D1169">
        <v>4.8899999999999997</v>
      </c>
      <c r="E1169" s="29">
        <v>0.40899795500000002</v>
      </c>
      <c r="F1169">
        <v>9.7200000000000006</v>
      </c>
      <c r="G1169">
        <v>1.73</v>
      </c>
      <c r="H1169">
        <v>11.45</v>
      </c>
      <c r="I1169" s="29">
        <v>0.84889999999999999</v>
      </c>
      <c r="J1169" s="29">
        <v>0.17469999999999999</v>
      </c>
      <c r="K1169" s="9">
        <v>45321</v>
      </c>
      <c r="L1169">
        <f xml:space="preserve"> (交易處理資料__3[[#This Row],[售出工時]] * 60) / 5</f>
        <v>24</v>
      </c>
      <c r="M1169" t="str">
        <f>VLOOKUP(交易處理資料__3[[#This Row],[人員代號]],團隊分組!$B$1:$C$52,2,FALSE)</f>
        <v>查修團隊B</v>
      </c>
      <c r="N1169" t="str">
        <f>IF(交易處理資料__3[[#This Row],[上班時間]]=0,"否","是")</f>
        <v>是</v>
      </c>
      <c r="O1169" t="s">
        <v>76</v>
      </c>
      <c r="P1169" s="38">
        <v>0.40899795500000002</v>
      </c>
      <c r="Q1169" s="38">
        <v>0.17469999999999999</v>
      </c>
      <c r="R1169" s="38">
        <v>0.84889999999999999</v>
      </c>
    </row>
    <row r="1170" spans="1:18" hidden="1">
      <c r="A1170" t="s">
        <v>76</v>
      </c>
      <c r="B1170" t="s">
        <v>36</v>
      </c>
      <c r="C1170">
        <v>0</v>
      </c>
      <c r="D1170">
        <v>0</v>
      </c>
      <c r="E1170" s="29">
        <v>0</v>
      </c>
      <c r="F1170">
        <v>7.52</v>
      </c>
      <c r="G1170">
        <v>0.86</v>
      </c>
      <c r="H1170">
        <v>8.3800000000000008</v>
      </c>
      <c r="I1170" s="29">
        <v>0.89739999999999998</v>
      </c>
      <c r="J1170" s="29">
        <v>0</v>
      </c>
      <c r="K1170" s="9">
        <v>45321</v>
      </c>
      <c r="L1170">
        <f xml:space="preserve"> (交易處理資料__3[[#This Row],[售出工時]] * 60) / 5</f>
        <v>0</v>
      </c>
      <c r="M1170" t="str">
        <f>VLOOKUP(交易處理資料__3[[#This Row],[人員代號]],團隊分組!$B$1:$C$52,2,FALSE)</f>
        <v>查修團隊B</v>
      </c>
      <c r="N1170" t="str">
        <f>IF(交易處理資料__3[[#This Row],[上班時間]]=0,"否","是")</f>
        <v>是</v>
      </c>
      <c r="O1170" t="s">
        <v>76</v>
      </c>
      <c r="P1170" s="37">
        <v>0</v>
      </c>
      <c r="Q1170" s="37">
        <v>0</v>
      </c>
      <c r="R1170" s="37">
        <v>0.89739999999999998</v>
      </c>
    </row>
    <row r="1171" spans="1:18" hidden="1">
      <c r="A1171" t="s">
        <v>76</v>
      </c>
      <c r="B1171" t="s">
        <v>37</v>
      </c>
      <c r="C1171">
        <v>5.5</v>
      </c>
      <c r="D1171">
        <v>6.91</v>
      </c>
      <c r="E1171" s="29">
        <v>0.79594790160000006</v>
      </c>
      <c r="F1171">
        <v>9.17</v>
      </c>
      <c r="G1171">
        <v>1.72</v>
      </c>
      <c r="H1171">
        <v>10.89</v>
      </c>
      <c r="I1171" s="29">
        <v>0.84209999999999996</v>
      </c>
      <c r="J1171" s="29">
        <v>0.50509999999999999</v>
      </c>
      <c r="K1171" s="9">
        <v>45321</v>
      </c>
      <c r="L1171">
        <f xml:space="preserve"> (交易處理資料__3[[#This Row],[售出工時]] * 60) / 5</f>
        <v>66</v>
      </c>
      <c r="M1171" t="str">
        <f>VLOOKUP(交易處理資料__3[[#This Row],[人員代號]],團隊分組!$B$1:$C$52,2,FALSE)</f>
        <v>查修團隊A</v>
      </c>
      <c r="N1171" t="str">
        <f>IF(交易處理資料__3[[#This Row],[上班時間]]=0,"否","是")</f>
        <v>是</v>
      </c>
      <c r="O1171" t="s">
        <v>76</v>
      </c>
      <c r="P1171" s="38">
        <v>0.79594790160000006</v>
      </c>
      <c r="Q1171" s="38">
        <v>0.50509999999999999</v>
      </c>
      <c r="R1171" s="38">
        <v>0.84209999999999996</v>
      </c>
    </row>
    <row r="1172" spans="1:18" hidden="1">
      <c r="A1172" t="s">
        <v>76</v>
      </c>
      <c r="B1172" t="s">
        <v>41</v>
      </c>
      <c r="C1172">
        <v>20</v>
      </c>
      <c r="D1172">
        <v>9.7200000000000006</v>
      </c>
      <c r="E1172" s="29">
        <v>2.0576131690000001</v>
      </c>
      <c r="F1172">
        <v>9.33</v>
      </c>
      <c r="G1172">
        <v>0.95</v>
      </c>
      <c r="H1172">
        <v>10.28</v>
      </c>
      <c r="I1172" s="29">
        <v>0.90760000000000007</v>
      </c>
      <c r="J1172" s="29">
        <v>1.9455</v>
      </c>
      <c r="K1172" s="9">
        <v>45321</v>
      </c>
      <c r="L1172">
        <f xml:space="preserve"> (交易處理資料__3[[#This Row],[售出工時]] * 60) / 5</f>
        <v>240</v>
      </c>
      <c r="M1172" t="str">
        <f>VLOOKUP(交易處理資料__3[[#This Row],[人員代號]],團隊分組!$B$1:$C$52,2,FALSE)</f>
        <v>快速保養團隊A</v>
      </c>
      <c r="N1172" t="str">
        <f>IF(交易處理資料__3[[#This Row],[上班時間]]=0,"否","是")</f>
        <v>是</v>
      </c>
      <c r="O1172" t="s">
        <v>76</v>
      </c>
      <c r="P1172" s="37">
        <v>2.0576131690000001</v>
      </c>
      <c r="Q1172" s="37">
        <v>1.9455</v>
      </c>
      <c r="R1172" s="37">
        <v>0.90760000000000007</v>
      </c>
    </row>
    <row r="1173" spans="1:18" hidden="1">
      <c r="A1173" t="s">
        <v>76</v>
      </c>
      <c r="B1173" t="s">
        <v>42</v>
      </c>
      <c r="C1173">
        <v>9.1666666669999994</v>
      </c>
      <c r="D1173">
        <v>6.39</v>
      </c>
      <c r="E1173" s="29">
        <v>1.4345331250000002</v>
      </c>
      <c r="F1173">
        <v>8.7899999999999991</v>
      </c>
      <c r="G1173">
        <v>0.03</v>
      </c>
      <c r="H1173">
        <v>8.82</v>
      </c>
      <c r="I1173" s="29">
        <v>0.99659999999999993</v>
      </c>
      <c r="J1173" s="29">
        <v>1.0393000000000001</v>
      </c>
      <c r="K1173" s="9">
        <v>45321</v>
      </c>
      <c r="L1173">
        <f xml:space="preserve"> (交易處理資料__3[[#This Row],[售出工時]] * 60) / 5</f>
        <v>110.000000004</v>
      </c>
      <c r="M1173" t="str">
        <f>VLOOKUP(交易處理資料__3[[#This Row],[人員代號]],團隊分組!$B$1:$C$52,2,FALSE)</f>
        <v>快速保養團隊A</v>
      </c>
      <c r="N1173" t="str">
        <f>IF(交易處理資料__3[[#This Row],[上班時間]]=0,"否","是")</f>
        <v>是</v>
      </c>
      <c r="O1173" t="s">
        <v>76</v>
      </c>
      <c r="P1173" s="38">
        <v>1.4345331250000002</v>
      </c>
      <c r="Q1173" s="38">
        <v>1.0393000000000001</v>
      </c>
      <c r="R1173" s="38">
        <v>0.99659999999999993</v>
      </c>
    </row>
    <row r="1174" spans="1:18" hidden="1">
      <c r="A1174" t="s">
        <v>76</v>
      </c>
      <c r="B1174" t="s">
        <v>43</v>
      </c>
      <c r="C1174">
        <v>0</v>
      </c>
      <c r="D1174">
        <v>0</v>
      </c>
      <c r="E1174" s="29">
        <v>0</v>
      </c>
      <c r="F1174">
        <v>8.01</v>
      </c>
      <c r="G1174">
        <v>0.3</v>
      </c>
      <c r="H1174">
        <v>8.31</v>
      </c>
      <c r="I1174" s="29">
        <v>0.96389999999999998</v>
      </c>
      <c r="J1174" s="29">
        <v>0</v>
      </c>
      <c r="K1174" s="9">
        <v>45321</v>
      </c>
      <c r="L1174">
        <f xml:space="preserve"> (交易處理資料__3[[#This Row],[售出工時]] * 60) / 5</f>
        <v>0</v>
      </c>
      <c r="M1174" t="str">
        <f>VLOOKUP(交易處理資料__3[[#This Row],[人員代號]],團隊分組!$B$1:$C$52,2,FALSE)</f>
        <v>查修團隊B</v>
      </c>
      <c r="N1174" t="str">
        <f>IF(交易處理資料__3[[#This Row],[上班時間]]=0,"否","是")</f>
        <v>是</v>
      </c>
      <c r="O1174" t="s">
        <v>76</v>
      </c>
      <c r="P1174" s="37">
        <v>0</v>
      </c>
      <c r="Q1174" s="37">
        <v>0</v>
      </c>
      <c r="R1174" s="37">
        <v>0.96389999999999998</v>
      </c>
    </row>
    <row r="1175" spans="1:18" hidden="1">
      <c r="A1175" t="s">
        <v>76</v>
      </c>
      <c r="B1175" t="s">
        <v>44</v>
      </c>
      <c r="C1175">
        <v>0.33</v>
      </c>
      <c r="D1175">
        <v>0.4</v>
      </c>
      <c r="E1175" s="29">
        <v>0.82499999999999996</v>
      </c>
      <c r="F1175">
        <v>7.26</v>
      </c>
      <c r="G1175">
        <v>0.88</v>
      </c>
      <c r="H1175">
        <v>8.14</v>
      </c>
      <c r="I1175" s="29">
        <v>0.89190000000000003</v>
      </c>
      <c r="J1175" s="29">
        <v>4.0500000000000001E-2</v>
      </c>
      <c r="K1175" s="9">
        <v>45321</v>
      </c>
      <c r="L1175">
        <f xml:space="preserve"> (交易處理資料__3[[#This Row],[售出工時]] * 60) / 5</f>
        <v>3.96</v>
      </c>
      <c r="M1175" t="str">
        <f>VLOOKUP(交易處理資料__3[[#This Row],[人員代號]],團隊分組!$B$1:$C$52,2,FALSE)</f>
        <v>快速保養團隊B</v>
      </c>
      <c r="N1175" t="str">
        <f>IF(交易處理資料__3[[#This Row],[上班時間]]=0,"否","是")</f>
        <v>是</v>
      </c>
      <c r="O1175" t="s">
        <v>76</v>
      </c>
      <c r="P1175" s="38">
        <v>0.82499999999999996</v>
      </c>
      <c r="Q1175" s="38">
        <v>4.0500000000000001E-2</v>
      </c>
      <c r="R1175" s="38">
        <v>0.89190000000000003</v>
      </c>
    </row>
    <row r="1176" spans="1:18" hidden="1">
      <c r="A1176" t="s">
        <v>76</v>
      </c>
      <c r="B1176" t="s">
        <v>45</v>
      </c>
      <c r="C1176">
        <v>14.33333333</v>
      </c>
      <c r="D1176">
        <v>9.5500000000000007</v>
      </c>
      <c r="E1176" s="29">
        <v>1.5008725999999999</v>
      </c>
      <c r="F1176">
        <v>10.91</v>
      </c>
      <c r="G1176">
        <v>0.34</v>
      </c>
      <c r="H1176">
        <v>11.25</v>
      </c>
      <c r="I1176" s="29">
        <v>0.9698</v>
      </c>
      <c r="J1176" s="29">
        <v>1.2741</v>
      </c>
      <c r="K1176" s="9">
        <v>45321</v>
      </c>
      <c r="L1176">
        <f xml:space="preserve"> (交易處理資料__3[[#This Row],[售出工時]] * 60) / 5</f>
        <v>171.99999996000003</v>
      </c>
      <c r="M1176" t="str">
        <f>VLOOKUP(交易處理資料__3[[#This Row],[人員代號]],團隊分組!$B$1:$C$52,2,FALSE)</f>
        <v>快速保養團隊A</v>
      </c>
      <c r="N1176" t="str">
        <f>IF(交易處理資料__3[[#This Row],[上班時間]]=0,"否","是")</f>
        <v>是</v>
      </c>
      <c r="O1176" t="s">
        <v>76</v>
      </c>
      <c r="P1176" s="37">
        <v>1.5008725999999999</v>
      </c>
      <c r="Q1176" s="37">
        <v>1.2741</v>
      </c>
      <c r="R1176" s="37">
        <v>0.9698</v>
      </c>
    </row>
    <row r="1177" spans="1:18" hidden="1">
      <c r="A1177" t="s">
        <v>76</v>
      </c>
      <c r="B1177" t="s">
        <v>47</v>
      </c>
      <c r="C1177">
        <v>0</v>
      </c>
      <c r="D1177">
        <v>0</v>
      </c>
      <c r="E1177" s="29">
        <v>0</v>
      </c>
      <c r="F1177">
        <v>4.5</v>
      </c>
      <c r="G1177">
        <v>4.07</v>
      </c>
      <c r="H1177">
        <v>8.57</v>
      </c>
      <c r="I1177" s="29">
        <v>0.52510000000000001</v>
      </c>
      <c r="J1177" s="29">
        <v>0</v>
      </c>
      <c r="K1177" s="9">
        <v>45321</v>
      </c>
      <c r="L1177">
        <f xml:space="preserve"> (交易處理資料__3[[#This Row],[售出工時]] * 60) / 5</f>
        <v>0</v>
      </c>
      <c r="M1177" t="str">
        <f>VLOOKUP(交易處理資料__3[[#This Row],[人員代號]],團隊分組!$B$1:$C$52,2,FALSE)</f>
        <v>查修團隊B</v>
      </c>
      <c r="N1177" t="str">
        <f>IF(交易處理資料__3[[#This Row],[上班時間]]=0,"否","是")</f>
        <v>是</v>
      </c>
      <c r="O1177" t="s">
        <v>76</v>
      </c>
      <c r="P1177" s="38">
        <v>0</v>
      </c>
      <c r="Q1177" s="38">
        <v>0</v>
      </c>
      <c r="R1177" s="38">
        <v>0.52510000000000001</v>
      </c>
    </row>
    <row r="1178" spans="1:18" hidden="1">
      <c r="A1178" t="s">
        <v>76</v>
      </c>
      <c r="B1178" t="s">
        <v>48</v>
      </c>
      <c r="C1178">
        <v>1.75</v>
      </c>
      <c r="D1178">
        <v>1.83</v>
      </c>
      <c r="E1178" s="29">
        <v>0.95628415300000003</v>
      </c>
      <c r="F1178">
        <v>6.43</v>
      </c>
      <c r="G1178">
        <v>1.71</v>
      </c>
      <c r="H1178">
        <v>8.14</v>
      </c>
      <c r="I1178" s="29">
        <v>0.78989999999999994</v>
      </c>
      <c r="J1178" s="29">
        <v>0.215</v>
      </c>
      <c r="K1178" s="9">
        <v>45321</v>
      </c>
      <c r="L1178">
        <f xml:space="preserve"> (交易處理資料__3[[#This Row],[售出工時]] * 60) / 5</f>
        <v>21</v>
      </c>
      <c r="M1178" t="str">
        <f>VLOOKUP(交易處理資料__3[[#This Row],[人員代號]],團隊分組!$B$1:$C$52,2,FALSE)</f>
        <v>查修團隊A</v>
      </c>
      <c r="N1178" t="str">
        <f>IF(交易處理資料__3[[#This Row],[上班時間]]=0,"否","是")</f>
        <v>是</v>
      </c>
      <c r="O1178" t="s">
        <v>76</v>
      </c>
      <c r="P1178" s="37">
        <v>0.95628415300000003</v>
      </c>
      <c r="Q1178" s="37">
        <v>0.215</v>
      </c>
      <c r="R1178" s="37">
        <v>0.78989999999999994</v>
      </c>
    </row>
    <row r="1179" spans="1:18" hidden="1">
      <c r="A1179" t="s">
        <v>76</v>
      </c>
      <c r="B1179" t="s">
        <v>49</v>
      </c>
      <c r="C1179">
        <v>1.1100000000000001</v>
      </c>
      <c r="D1179">
        <v>3.27</v>
      </c>
      <c r="E1179" s="29">
        <v>0.33944954129999999</v>
      </c>
      <c r="F1179">
        <v>8.0500000000000007</v>
      </c>
      <c r="G1179">
        <v>0.56999999999999995</v>
      </c>
      <c r="H1179">
        <v>8.6199999999999992</v>
      </c>
      <c r="I1179" s="29">
        <v>0.93389999999999995</v>
      </c>
      <c r="J1179" s="29">
        <v>0.1288</v>
      </c>
      <c r="K1179" s="9">
        <v>45321</v>
      </c>
      <c r="L1179">
        <f xml:space="preserve"> (交易處理資料__3[[#This Row],[售出工時]] * 60) / 5</f>
        <v>13.320000000000002</v>
      </c>
      <c r="M1179" t="str">
        <f>VLOOKUP(交易處理資料__3[[#This Row],[人員代號]],團隊分組!$B$1:$C$52,2,FALSE)</f>
        <v>查修團隊A</v>
      </c>
      <c r="N1179" t="str">
        <f>IF(交易處理資料__3[[#This Row],[上班時間]]=0,"否","是")</f>
        <v>是</v>
      </c>
      <c r="O1179" t="s">
        <v>76</v>
      </c>
      <c r="P1179" s="38">
        <v>0.33944954129999999</v>
      </c>
      <c r="Q1179" s="38">
        <v>0.1288</v>
      </c>
      <c r="R1179" s="38">
        <v>0.93389999999999995</v>
      </c>
    </row>
    <row r="1180" spans="1:18" hidden="1">
      <c r="A1180" t="s">
        <v>76</v>
      </c>
      <c r="B1180" t="s">
        <v>50</v>
      </c>
      <c r="C1180">
        <v>6.1633333329999997</v>
      </c>
      <c r="D1180">
        <v>4.12</v>
      </c>
      <c r="E1180" s="29">
        <v>1.4959546929999998</v>
      </c>
      <c r="F1180">
        <v>7.8</v>
      </c>
      <c r="G1180">
        <v>0.26</v>
      </c>
      <c r="H1180">
        <v>8.06</v>
      </c>
      <c r="I1180" s="29">
        <v>0.9677</v>
      </c>
      <c r="J1180" s="29">
        <v>0.76469999999999994</v>
      </c>
      <c r="K1180" s="9">
        <v>45321</v>
      </c>
      <c r="L1180">
        <f xml:space="preserve"> (交易處理資料__3[[#This Row],[售出工時]] * 60) / 5</f>
        <v>73.959999995999993</v>
      </c>
      <c r="M1180" t="str">
        <f>VLOOKUP(交易處理資料__3[[#This Row],[人員代號]],團隊分組!$B$1:$C$52,2,FALSE)</f>
        <v>快速保養團隊B</v>
      </c>
      <c r="N1180" t="str">
        <f>IF(交易處理資料__3[[#This Row],[上班時間]]=0,"否","是")</f>
        <v>是</v>
      </c>
      <c r="O1180" t="s">
        <v>76</v>
      </c>
      <c r="P1180" s="37">
        <v>1.4959546929999998</v>
      </c>
      <c r="Q1180" s="37">
        <v>0.76469999999999994</v>
      </c>
      <c r="R1180" s="37">
        <v>0.9677</v>
      </c>
    </row>
    <row r="1181" spans="1:18" hidden="1">
      <c r="A1181" t="s">
        <v>76</v>
      </c>
      <c r="B1181" t="s">
        <v>51</v>
      </c>
      <c r="C1181">
        <v>0</v>
      </c>
      <c r="D1181">
        <v>0</v>
      </c>
      <c r="E1181" s="29">
        <v>0</v>
      </c>
      <c r="F1181">
        <v>0</v>
      </c>
      <c r="G1181">
        <v>0</v>
      </c>
      <c r="H1181">
        <v>0</v>
      </c>
      <c r="I1181" s="29">
        <v>0</v>
      </c>
      <c r="J1181" s="29">
        <v>0</v>
      </c>
      <c r="K1181" s="9">
        <v>45321</v>
      </c>
      <c r="L1181">
        <f xml:space="preserve"> (交易處理資料__3[[#This Row],[售出工時]] * 60) / 5</f>
        <v>0</v>
      </c>
      <c r="M1181" t="str">
        <f>VLOOKUP(交易處理資料__3[[#This Row],[人員代號]],團隊分組!$B$1:$C$52,2,FALSE)</f>
        <v>無效數據</v>
      </c>
      <c r="N1181" t="str">
        <f>IF(交易處理資料__3[[#This Row],[上班時間]]=0,"否","是")</f>
        <v>否</v>
      </c>
      <c r="O1181" t="s">
        <v>76</v>
      </c>
      <c r="P1181" s="38">
        <v>0</v>
      </c>
      <c r="Q1181" s="38">
        <v>0</v>
      </c>
      <c r="R1181" s="38">
        <v>0</v>
      </c>
    </row>
    <row r="1182" spans="1:18" hidden="1">
      <c r="A1182" t="s">
        <v>76</v>
      </c>
      <c r="B1182" t="s">
        <v>52</v>
      </c>
      <c r="C1182">
        <v>2.5</v>
      </c>
      <c r="D1182">
        <v>3.58</v>
      </c>
      <c r="E1182" s="29">
        <v>0.69832402230000001</v>
      </c>
      <c r="F1182">
        <v>7.66</v>
      </c>
      <c r="G1182">
        <v>0.41</v>
      </c>
      <c r="H1182">
        <v>8.07</v>
      </c>
      <c r="I1182" s="29">
        <v>0.94920000000000004</v>
      </c>
      <c r="J1182" s="29">
        <v>0.30980000000000002</v>
      </c>
      <c r="K1182" s="9">
        <v>45321</v>
      </c>
      <c r="L1182">
        <f xml:space="preserve"> (交易處理資料__3[[#This Row],[售出工時]] * 60) / 5</f>
        <v>30</v>
      </c>
      <c r="M1182" t="str">
        <f>VLOOKUP(交易處理資料__3[[#This Row],[人員代號]],團隊分組!$B$1:$C$52,2,FALSE)</f>
        <v>查修團隊B</v>
      </c>
      <c r="N1182" t="str">
        <f>IF(交易處理資料__3[[#This Row],[上班時間]]=0,"否","是")</f>
        <v>是</v>
      </c>
      <c r="O1182" t="s">
        <v>76</v>
      </c>
      <c r="P1182" s="37">
        <v>0.69832402230000001</v>
      </c>
      <c r="Q1182" s="37">
        <v>0.30980000000000002</v>
      </c>
      <c r="R1182" s="37">
        <v>0.94920000000000004</v>
      </c>
    </row>
    <row r="1183" spans="1:18" hidden="1">
      <c r="A1183" t="s">
        <v>76</v>
      </c>
      <c r="B1183" t="s">
        <v>53</v>
      </c>
      <c r="C1183">
        <v>0</v>
      </c>
      <c r="D1183">
        <v>0</v>
      </c>
      <c r="E1183" s="29">
        <v>0</v>
      </c>
      <c r="F1183">
        <v>9.5299999999999994</v>
      </c>
      <c r="G1183">
        <v>0.35</v>
      </c>
      <c r="H1183">
        <v>9.8800000000000008</v>
      </c>
      <c r="I1183" s="29">
        <v>0.9645999999999999</v>
      </c>
      <c r="J1183" s="29">
        <v>0</v>
      </c>
      <c r="K1183" s="9">
        <v>45321</v>
      </c>
      <c r="L1183">
        <f xml:space="preserve"> (交易處理資料__3[[#This Row],[售出工時]] * 60) / 5</f>
        <v>0</v>
      </c>
      <c r="M1183" t="str">
        <f>VLOOKUP(交易處理資料__3[[#This Row],[人員代號]],團隊分組!$B$1:$C$52,2,FALSE)</f>
        <v>查修團隊A</v>
      </c>
      <c r="N1183" t="str">
        <f>IF(交易處理資料__3[[#This Row],[上班時間]]=0,"否","是")</f>
        <v>是</v>
      </c>
      <c r="O1183" t="s">
        <v>76</v>
      </c>
      <c r="P1183" s="38">
        <v>0</v>
      </c>
      <c r="Q1183" s="38">
        <v>0</v>
      </c>
      <c r="R1183" s="38">
        <v>0.9645999999999999</v>
      </c>
    </row>
    <row r="1184" spans="1:18" hidden="1">
      <c r="A1184" s="10" t="s">
        <v>74</v>
      </c>
      <c r="B1184" t="s">
        <v>1</v>
      </c>
      <c r="C1184">
        <v>5.85</v>
      </c>
      <c r="D1184">
        <v>9.4700000000000006</v>
      </c>
      <c r="E1184" s="29">
        <v>0.61774023229999997</v>
      </c>
      <c r="F1184">
        <v>9.19</v>
      </c>
      <c r="G1184">
        <v>0.83</v>
      </c>
      <c r="H1184">
        <v>10.02</v>
      </c>
      <c r="I1184" s="29">
        <v>0.91720000000000002</v>
      </c>
      <c r="J1184" s="29">
        <v>0.58379999999999999</v>
      </c>
      <c r="K1184" s="9">
        <v>45322</v>
      </c>
      <c r="L1184">
        <f xml:space="preserve"> (交易處理資料__3[[#This Row],[售出工時]] * 60) / 5</f>
        <v>70.2</v>
      </c>
      <c r="M1184" t="str">
        <f>VLOOKUP(交易處理資料__3[[#This Row],[人員代號]],團隊分組!$B$1:$C$52,2,FALSE)</f>
        <v>噴漆維修組</v>
      </c>
      <c r="N1184" t="str">
        <f>IF(交易處理資料__3[[#This Row],[上班時間]]=0,"否","是")</f>
        <v>是</v>
      </c>
      <c r="O1184" s="10" t="s">
        <v>74</v>
      </c>
      <c r="P1184" s="37">
        <v>0.61774023229999997</v>
      </c>
      <c r="Q1184" s="37">
        <v>0.58379999999999999</v>
      </c>
      <c r="R1184" s="37">
        <v>0.91720000000000002</v>
      </c>
    </row>
    <row r="1185" spans="1:18" hidden="1">
      <c r="A1185" s="10" t="s">
        <v>74</v>
      </c>
      <c r="B1185" t="s">
        <v>4</v>
      </c>
      <c r="C1185">
        <v>0</v>
      </c>
      <c r="D1185">
        <v>0</v>
      </c>
      <c r="E1185" s="29">
        <v>0</v>
      </c>
      <c r="F1185">
        <v>5.58</v>
      </c>
      <c r="G1185">
        <v>0.4</v>
      </c>
      <c r="H1185">
        <v>5.98</v>
      </c>
      <c r="I1185" s="29">
        <v>0.93310000000000004</v>
      </c>
      <c r="J1185" s="29">
        <v>0</v>
      </c>
      <c r="K1185" s="9">
        <v>45322</v>
      </c>
      <c r="L1185">
        <f xml:space="preserve"> (交易處理資料__3[[#This Row],[售出工時]] * 60) / 5</f>
        <v>0</v>
      </c>
      <c r="M1185" t="str">
        <f>VLOOKUP(交易處理資料__3[[#This Row],[人員代號]],團隊分組!$B$1:$C$52,2,FALSE)</f>
        <v>噴漆維修組</v>
      </c>
      <c r="N1185" t="str">
        <f>IF(交易處理資料__3[[#This Row],[上班時間]]=0,"否","是")</f>
        <v>是</v>
      </c>
      <c r="O1185" s="10" t="s">
        <v>74</v>
      </c>
      <c r="P1185" s="38">
        <v>0</v>
      </c>
      <c r="Q1185" s="38">
        <v>0</v>
      </c>
      <c r="R1185" s="38">
        <v>0.93310000000000004</v>
      </c>
    </row>
    <row r="1186" spans="1:18" hidden="1">
      <c r="A1186" s="10" t="s">
        <v>74</v>
      </c>
      <c r="B1186" t="s">
        <v>8</v>
      </c>
      <c r="C1186">
        <v>0</v>
      </c>
      <c r="D1186">
        <v>0</v>
      </c>
      <c r="E1186" s="29">
        <v>0</v>
      </c>
      <c r="F1186">
        <v>9.19</v>
      </c>
      <c r="G1186">
        <v>0.84</v>
      </c>
      <c r="H1186">
        <v>10.029999999999999</v>
      </c>
      <c r="I1186" s="29">
        <v>0.9163</v>
      </c>
      <c r="J1186" s="29">
        <v>0</v>
      </c>
      <c r="K1186" s="9">
        <v>45322</v>
      </c>
      <c r="L1186">
        <f xml:space="preserve"> (交易處理資料__3[[#This Row],[售出工時]] * 60) / 5</f>
        <v>0</v>
      </c>
      <c r="M1186" t="str">
        <f>VLOOKUP(交易處理資料__3[[#This Row],[人員代號]],團隊分組!$B$1:$C$52,2,FALSE)</f>
        <v>噴漆維修組</v>
      </c>
      <c r="N1186" t="str">
        <f>IF(交易處理資料__3[[#This Row],[上班時間]]=0,"否","是")</f>
        <v>是</v>
      </c>
      <c r="O1186" s="10" t="s">
        <v>74</v>
      </c>
      <c r="P1186" s="37">
        <v>0</v>
      </c>
      <c r="Q1186" s="37">
        <v>0</v>
      </c>
      <c r="R1186" s="37">
        <v>0.9163</v>
      </c>
    </row>
    <row r="1187" spans="1:18" hidden="1">
      <c r="A1187" t="s">
        <v>75</v>
      </c>
      <c r="B1187" t="s">
        <v>12</v>
      </c>
      <c r="C1187">
        <v>12.16666667</v>
      </c>
      <c r="D1187">
        <v>7.76</v>
      </c>
      <c r="E1187" s="29">
        <v>1.567869416</v>
      </c>
      <c r="F1187">
        <v>8.76</v>
      </c>
      <c r="G1187">
        <v>2.33</v>
      </c>
      <c r="H1187">
        <v>11.09</v>
      </c>
      <c r="I1187" s="29">
        <v>0.78989999999999994</v>
      </c>
      <c r="J1187" s="29">
        <v>1.0971</v>
      </c>
      <c r="K1187" s="9">
        <v>45322</v>
      </c>
      <c r="L1187">
        <f xml:space="preserve"> (交易處理資料__3[[#This Row],[售出工時]] * 60) / 5</f>
        <v>146.00000003999997</v>
      </c>
      <c r="M1187" t="str">
        <f>VLOOKUP(交易處理資料__3[[#This Row],[人員代號]],團隊分組!$B$1:$C$52,2,FALSE)</f>
        <v>鈑金維修組</v>
      </c>
      <c r="N1187" t="str">
        <f>IF(交易處理資料__3[[#This Row],[上班時間]]=0,"否","是")</f>
        <v>是</v>
      </c>
      <c r="O1187" t="s">
        <v>75</v>
      </c>
      <c r="P1187" s="38">
        <v>1.567869416</v>
      </c>
      <c r="Q1187" s="38">
        <v>1.0971</v>
      </c>
      <c r="R1187" s="38">
        <v>0.78989999999999994</v>
      </c>
    </row>
    <row r="1188" spans="1:18" hidden="1">
      <c r="A1188" t="s">
        <v>76</v>
      </c>
      <c r="B1188" t="s">
        <v>17</v>
      </c>
      <c r="C1188">
        <v>5.25</v>
      </c>
      <c r="D1188">
        <v>4.8899999999999997</v>
      </c>
      <c r="E1188" s="29">
        <v>1.073619632</v>
      </c>
      <c r="F1188">
        <v>6.67</v>
      </c>
      <c r="G1188">
        <v>3.04</v>
      </c>
      <c r="H1188">
        <v>9.7100000000000009</v>
      </c>
      <c r="I1188" s="29">
        <v>0.68689999999999996</v>
      </c>
      <c r="J1188" s="29">
        <v>0.54069999999999996</v>
      </c>
      <c r="K1188" s="9">
        <v>45322</v>
      </c>
      <c r="L1188">
        <f xml:space="preserve"> (交易處理資料__3[[#This Row],[售出工時]] * 60) / 5</f>
        <v>63</v>
      </c>
      <c r="M1188" t="str">
        <f>VLOOKUP(交易處理資料__3[[#This Row],[人員代號]],團隊分組!$B$1:$C$52,2,FALSE)</f>
        <v>快速保養團隊A</v>
      </c>
      <c r="N1188" t="str">
        <f>IF(交易處理資料__3[[#This Row],[上班時間]]=0,"否","是")</f>
        <v>是</v>
      </c>
      <c r="O1188" t="s">
        <v>76</v>
      </c>
      <c r="P1188" s="37">
        <v>1.073619632</v>
      </c>
      <c r="Q1188" s="37">
        <v>0.54069999999999996</v>
      </c>
      <c r="R1188" s="37">
        <v>0.68689999999999996</v>
      </c>
    </row>
    <row r="1189" spans="1:18" hidden="1">
      <c r="A1189" t="s">
        <v>76</v>
      </c>
      <c r="B1189" t="s">
        <v>20</v>
      </c>
      <c r="C1189">
        <v>0.83333333300000001</v>
      </c>
      <c r="D1189">
        <v>1.5</v>
      </c>
      <c r="E1189" s="29">
        <v>0.55555555560000003</v>
      </c>
      <c r="F1189">
        <v>1.31</v>
      </c>
      <c r="G1189">
        <v>4.3600000000000003</v>
      </c>
      <c r="H1189">
        <v>5.67</v>
      </c>
      <c r="I1189" s="29">
        <v>0.23100000000000001</v>
      </c>
      <c r="J1189" s="29">
        <v>0.14699999999999999</v>
      </c>
      <c r="K1189" s="9">
        <v>45322</v>
      </c>
      <c r="L1189">
        <f xml:space="preserve"> (交易處理資料__3[[#This Row],[售出工時]] * 60) / 5</f>
        <v>9.9999999959999997</v>
      </c>
      <c r="M1189" t="str">
        <f>VLOOKUP(交易處理資料__3[[#This Row],[人員代號]],團隊分組!$B$1:$C$52,2,FALSE)</f>
        <v>查修團隊B</v>
      </c>
      <c r="N1189" t="str">
        <f>IF(交易處理資料__3[[#This Row],[上班時間]]=0,"否","是")</f>
        <v>是</v>
      </c>
      <c r="O1189" t="s">
        <v>76</v>
      </c>
      <c r="P1189" s="38">
        <v>0.55555555560000003</v>
      </c>
      <c r="Q1189" s="38">
        <v>0.14699999999999999</v>
      </c>
      <c r="R1189" s="38">
        <v>0.23100000000000001</v>
      </c>
    </row>
    <row r="1190" spans="1:18" hidden="1">
      <c r="A1190" t="s">
        <v>76</v>
      </c>
      <c r="B1190" t="s">
        <v>21</v>
      </c>
      <c r="C1190">
        <v>3.9166666669999999</v>
      </c>
      <c r="D1190">
        <v>2.39</v>
      </c>
      <c r="E1190" s="29">
        <v>1.638772664</v>
      </c>
      <c r="F1190">
        <v>7.7</v>
      </c>
      <c r="G1190">
        <v>0.94</v>
      </c>
      <c r="H1190">
        <v>8.64</v>
      </c>
      <c r="I1190" s="29">
        <v>0.89119999999999999</v>
      </c>
      <c r="J1190" s="29">
        <v>0.45329999999999998</v>
      </c>
      <c r="K1190" s="9">
        <v>45322</v>
      </c>
      <c r="L1190">
        <f xml:space="preserve"> (交易處理資料__3[[#This Row],[售出工時]] * 60) / 5</f>
        <v>47.000000004</v>
      </c>
      <c r="M1190" t="str">
        <f>VLOOKUP(交易處理資料__3[[#This Row],[人員代號]],團隊分組!$B$1:$C$52,2,FALSE)</f>
        <v>查修團隊B</v>
      </c>
      <c r="N1190" t="str">
        <f>IF(交易處理資料__3[[#This Row],[上班時間]]=0,"否","是")</f>
        <v>是</v>
      </c>
      <c r="O1190" t="s">
        <v>76</v>
      </c>
      <c r="P1190" s="37">
        <v>1.638772664</v>
      </c>
      <c r="Q1190" s="37">
        <v>0.45329999999999998</v>
      </c>
      <c r="R1190" s="37">
        <v>0.89119999999999999</v>
      </c>
    </row>
    <row r="1191" spans="1:18" hidden="1">
      <c r="A1191" t="s">
        <v>76</v>
      </c>
      <c r="B1191" t="s">
        <v>22</v>
      </c>
      <c r="C1191">
        <v>0</v>
      </c>
      <c r="D1191">
        <v>0</v>
      </c>
      <c r="E1191" s="29">
        <v>0</v>
      </c>
      <c r="F1191">
        <v>0</v>
      </c>
      <c r="G1191">
        <v>0</v>
      </c>
      <c r="H1191">
        <v>0</v>
      </c>
      <c r="I1191" s="29">
        <v>0</v>
      </c>
      <c r="J1191" s="29">
        <v>0</v>
      </c>
      <c r="K1191" s="9">
        <v>45322</v>
      </c>
      <c r="L1191">
        <f xml:space="preserve"> (交易處理資料__3[[#This Row],[售出工時]] * 60) / 5</f>
        <v>0</v>
      </c>
      <c r="M1191" t="str">
        <f>VLOOKUP(交易處理資料__3[[#This Row],[人員代號]],團隊分組!$B$1:$C$52,2,FALSE)</f>
        <v>快速保養團隊A</v>
      </c>
      <c r="N1191" t="str">
        <f>IF(交易處理資料__3[[#This Row],[上班時間]]=0,"否","是")</f>
        <v>否</v>
      </c>
      <c r="O1191" t="s">
        <v>76</v>
      </c>
      <c r="P1191" s="38">
        <v>0</v>
      </c>
      <c r="Q1191" s="38">
        <v>0</v>
      </c>
      <c r="R1191" s="38">
        <v>0</v>
      </c>
    </row>
    <row r="1192" spans="1:18" hidden="1">
      <c r="A1192" t="s">
        <v>76</v>
      </c>
      <c r="B1192" t="s">
        <v>23</v>
      </c>
      <c r="C1192">
        <v>10.37</v>
      </c>
      <c r="D1192">
        <v>5.49</v>
      </c>
      <c r="E1192" s="29">
        <v>1.8888888890000002</v>
      </c>
      <c r="F1192">
        <v>9.32</v>
      </c>
      <c r="G1192">
        <v>2.06</v>
      </c>
      <c r="H1192">
        <v>11.38</v>
      </c>
      <c r="I1192" s="29">
        <v>0.81900000000000006</v>
      </c>
      <c r="J1192" s="29">
        <v>0.91120000000000001</v>
      </c>
      <c r="K1192" s="9">
        <v>45322</v>
      </c>
      <c r="L1192">
        <f xml:space="preserve"> (交易處理資料__3[[#This Row],[售出工時]] * 60) / 5</f>
        <v>124.43999999999998</v>
      </c>
      <c r="M1192" t="str">
        <f>VLOOKUP(交易處理資料__3[[#This Row],[人員代號]],團隊分組!$B$1:$C$52,2,FALSE)</f>
        <v>快速保養團隊B</v>
      </c>
      <c r="N1192" t="str">
        <f>IF(交易處理資料__3[[#This Row],[上班時間]]=0,"否","是")</f>
        <v>是</v>
      </c>
      <c r="O1192" t="s">
        <v>76</v>
      </c>
      <c r="P1192" s="37">
        <v>1.8888888890000002</v>
      </c>
      <c r="Q1192" s="37">
        <v>0.91120000000000001</v>
      </c>
      <c r="R1192" s="37">
        <v>0.81900000000000006</v>
      </c>
    </row>
    <row r="1193" spans="1:18" hidden="1">
      <c r="A1193" t="s">
        <v>76</v>
      </c>
      <c r="B1193" t="s">
        <v>24</v>
      </c>
      <c r="C1193">
        <v>14.16666667</v>
      </c>
      <c r="D1193">
        <v>8.41</v>
      </c>
      <c r="E1193" s="29">
        <v>1.6845025759999999</v>
      </c>
      <c r="F1193">
        <v>8.25</v>
      </c>
      <c r="G1193">
        <v>1.24</v>
      </c>
      <c r="H1193">
        <v>9.49</v>
      </c>
      <c r="I1193" s="29">
        <v>0.86930000000000007</v>
      </c>
      <c r="J1193" s="29">
        <v>1.4927999999999999</v>
      </c>
      <c r="K1193" s="9">
        <v>45322</v>
      </c>
      <c r="L1193">
        <f xml:space="preserve"> (交易處理資料__3[[#This Row],[售出工時]] * 60) / 5</f>
        <v>170.00000003999997</v>
      </c>
      <c r="M1193" t="str">
        <f>VLOOKUP(交易處理資料__3[[#This Row],[人員代號]],團隊分組!$B$1:$C$52,2,FALSE)</f>
        <v>快速保養團隊A</v>
      </c>
      <c r="N1193" t="str">
        <f>IF(交易處理資料__3[[#This Row],[上班時間]]=0,"否","是")</f>
        <v>是</v>
      </c>
      <c r="O1193" t="s">
        <v>76</v>
      </c>
      <c r="P1193" s="38">
        <v>1.6845025759999999</v>
      </c>
      <c r="Q1193" s="38">
        <v>1.4927999999999999</v>
      </c>
      <c r="R1193" s="38">
        <v>0.86930000000000007</v>
      </c>
    </row>
    <row r="1194" spans="1:18" hidden="1">
      <c r="A1194" t="s">
        <v>76</v>
      </c>
      <c r="B1194" t="s">
        <v>25</v>
      </c>
      <c r="C1194">
        <v>1.1666666670000001</v>
      </c>
      <c r="D1194">
        <v>2.2000000000000002</v>
      </c>
      <c r="E1194" s="29">
        <v>0.53030303030000003</v>
      </c>
      <c r="F1194">
        <v>9.17</v>
      </c>
      <c r="G1194">
        <v>0.82</v>
      </c>
      <c r="H1194">
        <v>9.99</v>
      </c>
      <c r="I1194" s="29">
        <v>0.91790000000000005</v>
      </c>
      <c r="J1194" s="29">
        <v>0.1168</v>
      </c>
      <c r="K1194" s="9">
        <v>45322</v>
      </c>
      <c r="L1194">
        <f xml:space="preserve"> (交易處理資料__3[[#This Row],[售出工時]] * 60) / 5</f>
        <v>14.000000004</v>
      </c>
      <c r="M1194" t="str">
        <f>VLOOKUP(交易處理資料__3[[#This Row],[人員代號]],團隊分組!$B$1:$C$52,2,FALSE)</f>
        <v>查修團隊A</v>
      </c>
      <c r="N1194" t="str">
        <f>IF(交易處理資料__3[[#This Row],[上班時間]]=0,"否","是")</f>
        <v>是</v>
      </c>
      <c r="O1194" t="s">
        <v>76</v>
      </c>
      <c r="P1194" s="37">
        <v>0.53030303030000003</v>
      </c>
      <c r="Q1194" s="37">
        <v>0.1168</v>
      </c>
      <c r="R1194" s="37">
        <v>0.91790000000000005</v>
      </c>
    </row>
    <row r="1195" spans="1:18" hidden="1">
      <c r="A1195" t="s">
        <v>76</v>
      </c>
      <c r="B1195" t="s">
        <v>26</v>
      </c>
      <c r="C1195">
        <v>0.8</v>
      </c>
      <c r="D1195">
        <v>6.88</v>
      </c>
      <c r="E1195" s="29">
        <v>0.11627906980000001</v>
      </c>
      <c r="F1195">
        <v>3.41</v>
      </c>
      <c r="G1195">
        <v>5.73</v>
      </c>
      <c r="H1195">
        <v>9.14</v>
      </c>
      <c r="I1195" s="29">
        <v>0.37310000000000004</v>
      </c>
      <c r="J1195" s="29">
        <v>8.7499999999999994E-2</v>
      </c>
      <c r="K1195" s="9">
        <v>45322</v>
      </c>
      <c r="L1195">
        <f xml:space="preserve"> (交易處理資料__3[[#This Row],[售出工時]] * 60) / 5</f>
        <v>9.6</v>
      </c>
      <c r="M1195" t="str">
        <f>VLOOKUP(交易處理資料__3[[#This Row],[人員代號]],團隊分組!$B$1:$C$52,2,FALSE)</f>
        <v>查修團隊B</v>
      </c>
      <c r="N1195" t="str">
        <f>IF(交易處理資料__3[[#This Row],[上班時間]]=0,"否","是")</f>
        <v>是</v>
      </c>
      <c r="O1195" t="s">
        <v>76</v>
      </c>
      <c r="P1195" s="38">
        <v>0.11627906980000001</v>
      </c>
      <c r="Q1195" s="38">
        <v>8.7499999999999994E-2</v>
      </c>
      <c r="R1195" s="38">
        <v>0.37310000000000004</v>
      </c>
    </row>
    <row r="1196" spans="1:18" hidden="1">
      <c r="A1196" t="s">
        <v>76</v>
      </c>
      <c r="B1196" t="s">
        <v>27</v>
      </c>
      <c r="C1196">
        <v>7.7233333330000002</v>
      </c>
      <c r="D1196">
        <v>6.9</v>
      </c>
      <c r="E1196" s="29">
        <v>1.1193236709999999</v>
      </c>
      <c r="F1196">
        <v>8.67</v>
      </c>
      <c r="G1196">
        <v>1.01</v>
      </c>
      <c r="H1196">
        <v>9.68</v>
      </c>
      <c r="I1196" s="29">
        <v>0.89569999999999994</v>
      </c>
      <c r="J1196" s="29">
        <v>0.79790000000000005</v>
      </c>
      <c r="K1196" s="9">
        <v>45322</v>
      </c>
      <c r="L1196">
        <f xml:space="preserve"> (交易處理資料__3[[#This Row],[售出工時]] * 60) / 5</f>
        <v>92.679999996000006</v>
      </c>
      <c r="M1196" t="str">
        <f>VLOOKUP(交易處理資料__3[[#This Row],[人員代號]],團隊分組!$B$1:$C$52,2,FALSE)</f>
        <v>快速保養團隊B</v>
      </c>
      <c r="N1196" t="str">
        <f>IF(交易處理資料__3[[#This Row],[上班時間]]=0,"否","是")</f>
        <v>是</v>
      </c>
      <c r="O1196" t="s">
        <v>76</v>
      </c>
      <c r="P1196" s="37">
        <v>1.1193236709999999</v>
      </c>
      <c r="Q1196" s="37">
        <v>0.79790000000000005</v>
      </c>
      <c r="R1196" s="37">
        <v>0.89569999999999994</v>
      </c>
    </row>
    <row r="1197" spans="1:18" hidden="1">
      <c r="A1197" t="s">
        <v>76</v>
      </c>
      <c r="B1197" t="s">
        <v>29</v>
      </c>
      <c r="C1197">
        <v>1.5833333329999999</v>
      </c>
      <c r="D1197">
        <v>1.07</v>
      </c>
      <c r="E1197" s="29">
        <v>1.479750779</v>
      </c>
      <c r="F1197">
        <v>7.47</v>
      </c>
      <c r="G1197">
        <v>0.61</v>
      </c>
      <c r="H1197">
        <v>8.08</v>
      </c>
      <c r="I1197" s="29">
        <v>0.92449999999999999</v>
      </c>
      <c r="J1197" s="29">
        <v>0.19600000000000001</v>
      </c>
      <c r="K1197" s="9">
        <v>45322</v>
      </c>
      <c r="L1197">
        <f xml:space="preserve"> (交易處理資料__3[[#This Row],[售出工時]] * 60) / 5</f>
        <v>18.999999996</v>
      </c>
      <c r="M1197" t="str">
        <f>VLOOKUP(交易處理資料__3[[#This Row],[人員代號]],團隊分組!$B$1:$C$52,2,FALSE)</f>
        <v>查修團隊B</v>
      </c>
      <c r="N1197" t="str">
        <f>IF(交易處理資料__3[[#This Row],[上班時間]]=0,"否","是")</f>
        <v>是</v>
      </c>
      <c r="O1197" t="s">
        <v>76</v>
      </c>
      <c r="P1197" s="38">
        <v>1.479750779</v>
      </c>
      <c r="Q1197" s="38">
        <v>0.19600000000000001</v>
      </c>
      <c r="R1197" s="38">
        <v>0.92449999999999999</v>
      </c>
    </row>
    <row r="1198" spans="1:18" hidden="1">
      <c r="A1198" t="s">
        <v>76</v>
      </c>
      <c r="B1198" t="s">
        <v>32</v>
      </c>
      <c r="C1198">
        <v>12.48666667</v>
      </c>
      <c r="D1198">
        <v>7.99</v>
      </c>
      <c r="E1198" s="29">
        <v>1.5627868169999999</v>
      </c>
      <c r="F1198">
        <v>6.83</v>
      </c>
      <c r="G1198">
        <v>2.4</v>
      </c>
      <c r="H1198">
        <v>9.23</v>
      </c>
      <c r="I1198" s="29">
        <v>0.74</v>
      </c>
      <c r="J1198" s="29">
        <v>1.3528</v>
      </c>
      <c r="K1198" s="9">
        <v>45322</v>
      </c>
      <c r="L1198">
        <f xml:space="preserve"> (交易處理資料__3[[#This Row],[售出工時]] * 60) / 5</f>
        <v>149.84000004000001</v>
      </c>
      <c r="M1198" t="str">
        <f>VLOOKUP(交易處理資料__3[[#This Row],[人員代號]],團隊分組!$B$1:$C$52,2,FALSE)</f>
        <v>快速保養團隊B</v>
      </c>
      <c r="N1198" t="str">
        <f>IF(交易處理資料__3[[#This Row],[上班時間]]=0,"否","是")</f>
        <v>是</v>
      </c>
      <c r="O1198" t="s">
        <v>76</v>
      </c>
      <c r="P1198" s="37">
        <v>1.5627868169999999</v>
      </c>
      <c r="Q1198" s="37">
        <v>1.3528</v>
      </c>
      <c r="R1198" s="37">
        <v>0.74</v>
      </c>
    </row>
    <row r="1199" spans="1:18" hidden="1">
      <c r="A1199" t="s">
        <v>76</v>
      </c>
      <c r="B1199" t="s">
        <v>33</v>
      </c>
      <c r="C1199">
        <v>0</v>
      </c>
      <c r="D1199">
        <v>0</v>
      </c>
      <c r="E1199" s="29">
        <v>0</v>
      </c>
      <c r="F1199">
        <v>0</v>
      </c>
      <c r="G1199">
        <v>0</v>
      </c>
      <c r="H1199">
        <v>0</v>
      </c>
      <c r="I1199" s="29">
        <v>0</v>
      </c>
      <c r="J1199" s="29">
        <v>0</v>
      </c>
      <c r="K1199" s="9">
        <v>45322</v>
      </c>
      <c r="L1199">
        <f xml:space="preserve"> (交易處理資料__3[[#This Row],[售出工時]] * 60) / 5</f>
        <v>0</v>
      </c>
      <c r="M1199" t="str">
        <f>VLOOKUP(交易處理資料__3[[#This Row],[人員代號]],團隊分組!$B$1:$C$52,2,FALSE)</f>
        <v>快速保養團隊B</v>
      </c>
      <c r="N1199" t="str">
        <f>IF(交易處理資料__3[[#This Row],[上班時間]]=0,"否","是")</f>
        <v>否</v>
      </c>
      <c r="O1199" t="s">
        <v>76</v>
      </c>
      <c r="P1199" s="38">
        <v>0</v>
      </c>
      <c r="Q1199" s="38">
        <v>0</v>
      </c>
      <c r="R1199" s="38">
        <v>0</v>
      </c>
    </row>
    <row r="1200" spans="1:18" hidden="1">
      <c r="A1200" t="s">
        <v>76</v>
      </c>
      <c r="B1200" t="s">
        <v>35</v>
      </c>
      <c r="C1200">
        <v>0.33333333300000001</v>
      </c>
      <c r="D1200">
        <v>4.97</v>
      </c>
      <c r="E1200" s="29">
        <v>6.7069081150000001E-2</v>
      </c>
      <c r="F1200">
        <v>5.23</v>
      </c>
      <c r="G1200">
        <v>3.94</v>
      </c>
      <c r="H1200">
        <v>9.17</v>
      </c>
      <c r="I1200" s="29">
        <v>0.57030000000000003</v>
      </c>
      <c r="J1200" s="29">
        <v>3.6400000000000002E-2</v>
      </c>
      <c r="K1200" s="9">
        <v>45322</v>
      </c>
      <c r="L1200">
        <f xml:space="preserve"> (交易處理資料__3[[#This Row],[售出工時]] * 60) / 5</f>
        <v>3.9999999960000006</v>
      </c>
      <c r="M1200" t="str">
        <f>VLOOKUP(交易處理資料__3[[#This Row],[人員代號]],團隊分組!$B$1:$C$52,2,FALSE)</f>
        <v>查修團隊B</v>
      </c>
      <c r="N1200" t="str">
        <f>IF(交易處理資料__3[[#This Row],[上班時間]]=0,"否","是")</f>
        <v>是</v>
      </c>
      <c r="O1200" t="s">
        <v>76</v>
      </c>
      <c r="P1200" s="37">
        <v>6.7069081150000001E-2</v>
      </c>
      <c r="Q1200" s="37">
        <v>3.6400000000000002E-2</v>
      </c>
      <c r="R1200" s="37">
        <v>0.57030000000000003</v>
      </c>
    </row>
    <row r="1201" spans="1:18" hidden="1">
      <c r="A1201" t="s">
        <v>76</v>
      </c>
      <c r="B1201" t="s">
        <v>40</v>
      </c>
      <c r="C1201">
        <v>2.9166666669999999</v>
      </c>
      <c r="D1201">
        <v>7.94</v>
      </c>
      <c r="E1201" s="29">
        <v>0.36733837110000001</v>
      </c>
      <c r="F1201">
        <v>7.2</v>
      </c>
      <c r="G1201">
        <v>0.78</v>
      </c>
      <c r="H1201">
        <v>7.98</v>
      </c>
      <c r="I1201" s="29">
        <v>0.90229999999999999</v>
      </c>
      <c r="J1201" s="29">
        <v>0.36549999999999999</v>
      </c>
      <c r="K1201" s="9">
        <v>45322</v>
      </c>
      <c r="L1201">
        <f xml:space="preserve"> (交易處理資料__3[[#This Row],[售出工時]] * 60) / 5</f>
        <v>35.000000004</v>
      </c>
      <c r="M1201" t="str">
        <f>VLOOKUP(交易處理資料__3[[#This Row],[人員代號]],團隊分組!$B$1:$C$52,2,FALSE)</f>
        <v>查修團隊A</v>
      </c>
      <c r="N1201" t="str">
        <f>IF(交易處理資料__3[[#This Row],[上班時間]]=0,"否","是")</f>
        <v>是</v>
      </c>
      <c r="O1201" t="s">
        <v>76</v>
      </c>
      <c r="P1201" s="38">
        <v>0.36733837110000001</v>
      </c>
      <c r="Q1201" s="38">
        <v>0.36549999999999999</v>
      </c>
      <c r="R1201" s="38">
        <v>0.90229999999999999</v>
      </c>
    </row>
    <row r="1202" spans="1:18" hidden="1">
      <c r="A1202" t="s">
        <v>76</v>
      </c>
      <c r="B1202" t="s">
        <v>44</v>
      </c>
      <c r="C1202">
        <v>9.64</v>
      </c>
      <c r="D1202">
        <v>7.08</v>
      </c>
      <c r="E1202" s="29">
        <v>1.361581921</v>
      </c>
      <c r="F1202">
        <v>7.69</v>
      </c>
      <c r="G1202">
        <v>0.78</v>
      </c>
      <c r="H1202">
        <v>8.4700000000000006</v>
      </c>
      <c r="I1202" s="29">
        <v>0.90790000000000004</v>
      </c>
      <c r="J1202" s="29">
        <v>1.1381000000000001</v>
      </c>
      <c r="K1202" s="9">
        <v>45322</v>
      </c>
      <c r="L1202">
        <f xml:space="preserve"> (交易處理資料__3[[#This Row],[售出工時]] * 60) / 5</f>
        <v>115.68000000000002</v>
      </c>
      <c r="M1202" t="str">
        <f>VLOOKUP(交易處理資料__3[[#This Row],[人員代號]],團隊分組!$B$1:$C$52,2,FALSE)</f>
        <v>快速保養團隊B</v>
      </c>
      <c r="N1202" t="str">
        <f>IF(交易處理資料__3[[#This Row],[上班時間]]=0,"否","是")</f>
        <v>是</v>
      </c>
      <c r="O1202" t="s">
        <v>76</v>
      </c>
      <c r="P1202" s="37">
        <v>1.361581921</v>
      </c>
      <c r="Q1202" s="37">
        <v>1.1381000000000001</v>
      </c>
      <c r="R1202" s="37">
        <v>0.90790000000000004</v>
      </c>
    </row>
    <row r="1203" spans="1:18" hidden="1">
      <c r="A1203" t="s">
        <v>76</v>
      </c>
      <c r="B1203" t="s">
        <v>46</v>
      </c>
      <c r="C1203">
        <v>2.1666666669999999</v>
      </c>
      <c r="D1203">
        <v>6.19</v>
      </c>
      <c r="E1203" s="29">
        <v>0.35002692510000005</v>
      </c>
      <c r="F1203">
        <v>6.6</v>
      </c>
      <c r="G1203">
        <v>1.51</v>
      </c>
      <c r="H1203">
        <v>8.11</v>
      </c>
      <c r="I1203" s="29">
        <v>0.81379999999999997</v>
      </c>
      <c r="J1203" s="29">
        <v>0.26719999999999999</v>
      </c>
      <c r="K1203" s="9">
        <v>45322</v>
      </c>
      <c r="L1203">
        <f xml:space="preserve"> (交易處理資料__3[[#This Row],[售出工時]] * 60) / 5</f>
        <v>26.000000003999997</v>
      </c>
      <c r="M1203" t="str">
        <f>VLOOKUP(交易處理資料__3[[#This Row],[人員代號]],團隊分組!$B$1:$C$52,2,FALSE)</f>
        <v>查修團隊B</v>
      </c>
      <c r="N1203" t="str">
        <f>IF(交易處理資料__3[[#This Row],[上班時間]]=0,"否","是")</f>
        <v>是</v>
      </c>
      <c r="O1203" t="s">
        <v>76</v>
      </c>
      <c r="P1203" s="38">
        <v>0.35002692510000005</v>
      </c>
      <c r="Q1203" s="38">
        <v>0.26719999999999999</v>
      </c>
      <c r="R1203" s="38">
        <v>0.81379999999999997</v>
      </c>
    </row>
    <row r="1204" spans="1:18" hidden="1">
      <c r="A1204" t="s">
        <v>76</v>
      </c>
      <c r="B1204" t="s">
        <v>47</v>
      </c>
      <c r="C1204">
        <v>0</v>
      </c>
      <c r="D1204">
        <v>0</v>
      </c>
      <c r="E1204" s="29">
        <v>0</v>
      </c>
      <c r="F1204">
        <v>5.75</v>
      </c>
      <c r="G1204">
        <v>2.14</v>
      </c>
      <c r="H1204">
        <v>7.89</v>
      </c>
      <c r="I1204" s="29">
        <v>0.7288</v>
      </c>
      <c r="J1204" s="29">
        <v>0</v>
      </c>
      <c r="K1204" s="9">
        <v>45322</v>
      </c>
      <c r="L1204">
        <f xml:space="preserve"> (交易處理資料__3[[#This Row],[售出工時]] * 60) / 5</f>
        <v>0</v>
      </c>
      <c r="M1204" t="str">
        <f>VLOOKUP(交易處理資料__3[[#This Row],[人員代號]],團隊分組!$B$1:$C$52,2,FALSE)</f>
        <v>查修團隊B</v>
      </c>
      <c r="N1204" t="str">
        <f>IF(交易處理資料__3[[#This Row],[上班時間]]=0,"否","是")</f>
        <v>是</v>
      </c>
      <c r="O1204" t="s">
        <v>76</v>
      </c>
      <c r="P1204" s="37">
        <v>0</v>
      </c>
      <c r="Q1204" s="37">
        <v>0</v>
      </c>
      <c r="R1204" s="37">
        <v>0.7288</v>
      </c>
    </row>
    <row r="1205" spans="1:18" hidden="1">
      <c r="A1205" t="s">
        <v>76</v>
      </c>
      <c r="B1205" t="s">
        <v>51</v>
      </c>
      <c r="C1205">
        <v>0</v>
      </c>
      <c r="D1205">
        <v>0</v>
      </c>
      <c r="E1205" s="29">
        <v>0</v>
      </c>
      <c r="F1205">
        <v>0</v>
      </c>
      <c r="G1205">
        <v>0</v>
      </c>
      <c r="H1205">
        <v>0</v>
      </c>
      <c r="I1205" s="29">
        <v>0</v>
      </c>
      <c r="J1205" s="29">
        <v>0</v>
      </c>
      <c r="K1205" s="9">
        <v>45322</v>
      </c>
      <c r="L1205">
        <f xml:space="preserve"> (交易處理資料__3[[#This Row],[售出工時]] * 60) / 5</f>
        <v>0</v>
      </c>
      <c r="M1205" t="str">
        <f>VLOOKUP(交易處理資料__3[[#This Row],[人員代號]],團隊分組!$B$1:$C$52,2,FALSE)</f>
        <v>無效數據</v>
      </c>
      <c r="N1205" t="str">
        <f>IF(交易處理資料__3[[#This Row],[上班時間]]=0,"否","是")</f>
        <v>否</v>
      </c>
      <c r="O1205" t="s">
        <v>76</v>
      </c>
      <c r="P1205" s="38">
        <v>0</v>
      </c>
      <c r="Q1205" s="38">
        <v>0</v>
      </c>
      <c r="R1205" s="38">
        <v>0</v>
      </c>
    </row>
    <row r="1206" spans="1:18" hidden="1">
      <c r="A1206" t="s">
        <v>76</v>
      </c>
      <c r="B1206" t="s">
        <v>52</v>
      </c>
      <c r="C1206">
        <v>0</v>
      </c>
      <c r="D1206">
        <v>0</v>
      </c>
      <c r="E1206" s="29">
        <v>0</v>
      </c>
      <c r="F1206">
        <v>6.92</v>
      </c>
      <c r="G1206">
        <v>1.18</v>
      </c>
      <c r="H1206">
        <v>8.1</v>
      </c>
      <c r="I1206" s="29">
        <v>0.85430000000000006</v>
      </c>
      <c r="J1206" s="29">
        <v>0</v>
      </c>
      <c r="K1206" s="9">
        <v>45322</v>
      </c>
      <c r="L1206">
        <f xml:space="preserve"> (交易處理資料__3[[#This Row],[售出工時]] * 60) / 5</f>
        <v>0</v>
      </c>
      <c r="M1206" t="str">
        <f>VLOOKUP(交易處理資料__3[[#This Row],[人員代號]],團隊分組!$B$1:$C$52,2,FALSE)</f>
        <v>查修團隊B</v>
      </c>
      <c r="N1206" t="str">
        <f>IF(交易處理資料__3[[#This Row],[上班時間]]=0,"否","是")</f>
        <v>是</v>
      </c>
      <c r="O1206" t="s">
        <v>76</v>
      </c>
      <c r="P1206" s="37">
        <v>0</v>
      </c>
      <c r="Q1206" s="37">
        <v>0</v>
      </c>
      <c r="R1206" s="37">
        <v>0.85430000000000006</v>
      </c>
    </row>
    <row r="1207" spans="1:18" hidden="1">
      <c r="A1207" t="s">
        <v>76</v>
      </c>
      <c r="B1207" t="s">
        <v>53</v>
      </c>
      <c r="C1207">
        <v>3.3333333330000001</v>
      </c>
      <c r="D1207">
        <v>3</v>
      </c>
      <c r="E1207" s="29">
        <v>1.111111111</v>
      </c>
      <c r="F1207">
        <v>9.19</v>
      </c>
      <c r="G1207">
        <v>0.28000000000000003</v>
      </c>
      <c r="H1207">
        <v>9.4700000000000006</v>
      </c>
      <c r="I1207" s="29">
        <v>0.97040000000000004</v>
      </c>
      <c r="J1207" s="29">
        <v>0.35200000000000004</v>
      </c>
      <c r="K1207" s="9">
        <v>45322</v>
      </c>
      <c r="L1207">
        <f xml:space="preserve"> (交易處理資料__3[[#This Row],[售出工時]] * 60) / 5</f>
        <v>39.999999996</v>
      </c>
      <c r="M1207" t="str">
        <f>VLOOKUP(交易處理資料__3[[#This Row],[人員代號]],團隊分組!$B$1:$C$52,2,FALSE)</f>
        <v>查修團隊A</v>
      </c>
      <c r="N1207" t="str">
        <f>IF(交易處理資料__3[[#This Row],[上班時間]]=0,"否","是")</f>
        <v>是</v>
      </c>
      <c r="O1207" t="s">
        <v>76</v>
      </c>
      <c r="P1207" s="38">
        <v>1.111111111</v>
      </c>
      <c r="Q1207" s="38">
        <v>0.35200000000000004</v>
      </c>
      <c r="R1207" s="38">
        <v>0.97040000000000004</v>
      </c>
    </row>
    <row r="1208" spans="1:18" hidden="1">
      <c r="A1208" s="10" t="s">
        <v>74</v>
      </c>
      <c r="B1208" t="s">
        <v>1</v>
      </c>
      <c r="C1208">
        <v>0</v>
      </c>
      <c r="D1208">
        <v>0</v>
      </c>
      <c r="E1208" s="29">
        <v>0</v>
      </c>
      <c r="F1208">
        <v>8.9</v>
      </c>
      <c r="G1208">
        <v>1.1000000000000001</v>
      </c>
      <c r="H1208">
        <v>10</v>
      </c>
      <c r="I1208" s="29">
        <v>0.89</v>
      </c>
      <c r="J1208" s="29">
        <v>0</v>
      </c>
      <c r="K1208" s="9">
        <v>45323</v>
      </c>
      <c r="L1208">
        <f xml:space="preserve"> (交易處理資料__3[[#This Row],[售出工時]] * 60) / 5</f>
        <v>0</v>
      </c>
      <c r="M1208" t="str">
        <f>VLOOKUP(交易處理資料__3[[#This Row],[人員代號]],團隊分組!$B$1:$C$52,2,FALSE)</f>
        <v>噴漆維修組</v>
      </c>
      <c r="N1208" t="str">
        <f>IF(交易處理資料__3[[#This Row],[上班時間]]=0,"否","是")</f>
        <v>是</v>
      </c>
      <c r="O1208" s="10" t="s">
        <v>74</v>
      </c>
      <c r="P1208" s="37">
        <v>0</v>
      </c>
      <c r="Q1208" s="37">
        <v>0</v>
      </c>
      <c r="R1208" s="37">
        <v>0.89</v>
      </c>
    </row>
    <row r="1209" spans="1:18" hidden="1">
      <c r="A1209" s="10" t="s">
        <v>74</v>
      </c>
      <c r="B1209" t="s">
        <v>2</v>
      </c>
      <c r="C1209">
        <v>0</v>
      </c>
      <c r="D1209">
        <v>0</v>
      </c>
      <c r="E1209" s="29">
        <v>0</v>
      </c>
      <c r="F1209">
        <v>10.75</v>
      </c>
      <c r="G1209">
        <v>0.2</v>
      </c>
      <c r="H1209">
        <v>10.95</v>
      </c>
      <c r="I1209" s="29">
        <v>0.98170000000000002</v>
      </c>
      <c r="J1209" s="29">
        <v>0</v>
      </c>
      <c r="K1209" s="9">
        <v>45323</v>
      </c>
      <c r="L1209">
        <f xml:space="preserve"> (交易處理資料__3[[#This Row],[售出工時]] * 60) / 5</f>
        <v>0</v>
      </c>
      <c r="M1209" t="str">
        <f>VLOOKUP(交易處理資料__3[[#This Row],[人員代號]],團隊分組!$B$1:$C$52,2,FALSE)</f>
        <v>噴漆維修組</v>
      </c>
      <c r="N1209" t="str">
        <f>IF(交易處理資料__3[[#This Row],[上班時間]]=0,"否","是")</f>
        <v>是</v>
      </c>
      <c r="O1209" s="10" t="s">
        <v>74</v>
      </c>
      <c r="P1209" s="38">
        <v>0</v>
      </c>
      <c r="Q1209" s="38">
        <v>0</v>
      </c>
      <c r="R1209" s="38">
        <v>0.98170000000000002</v>
      </c>
    </row>
    <row r="1210" spans="1:18" hidden="1">
      <c r="A1210" s="10" t="s">
        <v>74</v>
      </c>
      <c r="B1210" t="s">
        <v>3</v>
      </c>
      <c r="C1210">
        <v>0</v>
      </c>
      <c r="D1210">
        <v>0</v>
      </c>
      <c r="E1210" s="29">
        <v>0</v>
      </c>
      <c r="F1210">
        <v>10.77</v>
      </c>
      <c r="G1210">
        <v>0.2</v>
      </c>
      <c r="H1210">
        <v>10.97</v>
      </c>
      <c r="I1210" s="29">
        <v>0.98180000000000012</v>
      </c>
      <c r="J1210" s="29">
        <v>0</v>
      </c>
      <c r="K1210" s="9">
        <v>45323</v>
      </c>
      <c r="L1210">
        <f xml:space="preserve"> (交易處理資料__3[[#This Row],[售出工時]] * 60) / 5</f>
        <v>0</v>
      </c>
      <c r="M1210" t="str">
        <f>VLOOKUP(交易處理資料__3[[#This Row],[人員代號]],團隊分組!$B$1:$C$52,2,FALSE)</f>
        <v>噴漆維修組</v>
      </c>
      <c r="N1210" t="str">
        <f>IF(交易處理資料__3[[#This Row],[上班時間]]=0,"否","是")</f>
        <v>是</v>
      </c>
      <c r="O1210" s="10" t="s">
        <v>74</v>
      </c>
      <c r="P1210" s="37">
        <v>0</v>
      </c>
      <c r="Q1210" s="37">
        <v>0</v>
      </c>
      <c r="R1210" s="37">
        <v>0.98180000000000012</v>
      </c>
    </row>
    <row r="1211" spans="1:18" hidden="1">
      <c r="A1211" s="10" t="s">
        <v>74</v>
      </c>
      <c r="B1211" t="s">
        <v>4</v>
      </c>
      <c r="C1211">
        <v>2.67</v>
      </c>
      <c r="D1211">
        <v>6.86</v>
      </c>
      <c r="E1211" s="29">
        <v>0.38921282800000001</v>
      </c>
      <c r="F1211">
        <v>8.8800000000000008</v>
      </c>
      <c r="G1211">
        <v>1.1000000000000001</v>
      </c>
      <c r="H1211">
        <v>9.98</v>
      </c>
      <c r="I1211" s="29">
        <v>0.88980000000000004</v>
      </c>
      <c r="J1211" s="29">
        <v>0.26750000000000002</v>
      </c>
      <c r="K1211" s="9">
        <v>45323</v>
      </c>
      <c r="L1211">
        <f xml:space="preserve"> (交易處理資料__3[[#This Row],[售出工時]] * 60) / 5</f>
        <v>32.04</v>
      </c>
      <c r="M1211" t="str">
        <f>VLOOKUP(交易處理資料__3[[#This Row],[人員代號]],團隊分組!$B$1:$C$52,2,FALSE)</f>
        <v>噴漆維修組</v>
      </c>
      <c r="N1211" t="str">
        <f>IF(交易處理資料__3[[#This Row],[上班時間]]=0,"否","是")</f>
        <v>是</v>
      </c>
      <c r="O1211" s="10" t="s">
        <v>74</v>
      </c>
      <c r="P1211" s="38">
        <v>0.38921282800000001</v>
      </c>
      <c r="Q1211" s="38">
        <v>0.26750000000000002</v>
      </c>
      <c r="R1211" s="38">
        <v>0.88980000000000004</v>
      </c>
    </row>
    <row r="1212" spans="1:18" hidden="1">
      <c r="A1212" s="10" t="s">
        <v>74</v>
      </c>
      <c r="B1212" t="s">
        <v>6</v>
      </c>
      <c r="C1212">
        <v>0</v>
      </c>
      <c r="D1212">
        <v>0</v>
      </c>
      <c r="E1212" s="29">
        <v>0</v>
      </c>
      <c r="F1212">
        <v>9.48</v>
      </c>
      <c r="G1212">
        <v>0.2</v>
      </c>
      <c r="H1212">
        <v>9.68</v>
      </c>
      <c r="I1212" s="29">
        <v>0.97930000000000006</v>
      </c>
      <c r="J1212" s="29">
        <v>0</v>
      </c>
      <c r="K1212" s="9">
        <v>45323</v>
      </c>
      <c r="L1212">
        <f xml:space="preserve"> (交易處理資料__3[[#This Row],[售出工時]] * 60) / 5</f>
        <v>0</v>
      </c>
      <c r="M1212" t="str">
        <f>VLOOKUP(交易處理資料__3[[#This Row],[人員代號]],團隊分組!$B$1:$C$52,2,FALSE)</f>
        <v>噴漆維修組</v>
      </c>
      <c r="N1212" t="str">
        <f>IF(交易處理資料__3[[#This Row],[上班時間]]=0,"否","是")</f>
        <v>是</v>
      </c>
      <c r="O1212" s="10" t="s">
        <v>74</v>
      </c>
      <c r="P1212" s="37">
        <v>0</v>
      </c>
      <c r="Q1212" s="37">
        <v>0</v>
      </c>
      <c r="R1212" s="37">
        <v>0.97930000000000006</v>
      </c>
    </row>
    <row r="1213" spans="1:18" hidden="1">
      <c r="A1213" s="10" t="s">
        <v>74</v>
      </c>
      <c r="B1213" t="s">
        <v>8</v>
      </c>
      <c r="C1213">
        <v>2.67</v>
      </c>
      <c r="D1213">
        <v>6.86</v>
      </c>
      <c r="E1213" s="29">
        <v>0.38921282800000001</v>
      </c>
      <c r="F1213">
        <v>6.98</v>
      </c>
      <c r="G1213">
        <v>1</v>
      </c>
      <c r="H1213">
        <v>7.98</v>
      </c>
      <c r="I1213" s="29">
        <v>0.87470000000000003</v>
      </c>
      <c r="J1213" s="29">
        <v>0.33460000000000001</v>
      </c>
      <c r="K1213" s="9">
        <v>45323</v>
      </c>
      <c r="L1213">
        <f xml:space="preserve"> (交易處理資料__3[[#This Row],[售出工時]] * 60) / 5</f>
        <v>32.04</v>
      </c>
      <c r="M1213" t="str">
        <f>VLOOKUP(交易處理資料__3[[#This Row],[人員代號]],團隊分組!$B$1:$C$52,2,FALSE)</f>
        <v>噴漆維修組</v>
      </c>
      <c r="N1213" t="str">
        <f>IF(交易處理資料__3[[#This Row],[上班時間]]=0,"否","是")</f>
        <v>是</v>
      </c>
      <c r="O1213" s="10" t="s">
        <v>74</v>
      </c>
      <c r="P1213" s="38">
        <v>0.38921282800000001</v>
      </c>
      <c r="Q1213" s="38">
        <v>0.33460000000000001</v>
      </c>
      <c r="R1213" s="38">
        <v>0.87470000000000003</v>
      </c>
    </row>
    <row r="1214" spans="1:18" hidden="1">
      <c r="A1214" s="10" t="s">
        <v>74</v>
      </c>
      <c r="B1214" t="s">
        <v>9</v>
      </c>
      <c r="C1214">
        <v>4.0833333329999997</v>
      </c>
      <c r="D1214">
        <v>4.82</v>
      </c>
      <c r="E1214" s="29">
        <v>0.84716459200000005</v>
      </c>
      <c r="F1214">
        <v>8.9499999999999993</v>
      </c>
      <c r="G1214">
        <v>1.1000000000000001</v>
      </c>
      <c r="H1214">
        <v>10.050000000000001</v>
      </c>
      <c r="I1214" s="29">
        <v>0.89049999999999996</v>
      </c>
      <c r="J1214" s="29">
        <v>0.40630000000000005</v>
      </c>
      <c r="K1214" s="9">
        <v>45323</v>
      </c>
      <c r="L1214">
        <f xml:space="preserve"> (交易處理資料__3[[#This Row],[售出工時]] * 60) / 5</f>
        <v>48.999999996</v>
      </c>
      <c r="M1214" t="str">
        <f>VLOOKUP(交易處理資料__3[[#This Row],[人員代號]],團隊分組!$B$1:$C$52,2,FALSE)</f>
        <v>噴漆維修組</v>
      </c>
      <c r="N1214" t="str">
        <f>IF(交易處理資料__3[[#This Row],[上班時間]]=0,"否","是")</f>
        <v>是</v>
      </c>
      <c r="O1214" s="10" t="s">
        <v>74</v>
      </c>
      <c r="P1214" s="37">
        <v>0.84716459200000005</v>
      </c>
      <c r="Q1214" s="37">
        <v>0.40630000000000005</v>
      </c>
      <c r="R1214" s="37">
        <v>0.89049999999999996</v>
      </c>
    </row>
    <row r="1215" spans="1:18" hidden="1">
      <c r="A1215" t="s">
        <v>75</v>
      </c>
      <c r="B1215" t="s">
        <v>12</v>
      </c>
      <c r="C1215">
        <v>2.9166666669999999</v>
      </c>
      <c r="D1215">
        <v>1.63</v>
      </c>
      <c r="E1215" s="29">
        <v>1.789366053</v>
      </c>
      <c r="F1215">
        <v>8.1999999999999993</v>
      </c>
      <c r="G1215">
        <v>2.84</v>
      </c>
      <c r="H1215">
        <v>11.04</v>
      </c>
      <c r="I1215" s="29">
        <v>0.74280000000000002</v>
      </c>
      <c r="J1215" s="29">
        <v>0.26419999999999999</v>
      </c>
      <c r="K1215" s="9">
        <v>45323</v>
      </c>
      <c r="L1215">
        <f xml:space="preserve"> (交易處理資料__3[[#This Row],[售出工時]] * 60) / 5</f>
        <v>35.000000004</v>
      </c>
      <c r="M1215" t="str">
        <f>VLOOKUP(交易處理資料__3[[#This Row],[人員代號]],團隊分組!$B$1:$C$52,2,FALSE)</f>
        <v>鈑金維修組</v>
      </c>
      <c r="N1215" t="str">
        <f>IF(交易處理資料__3[[#This Row],[上班時間]]=0,"否","是")</f>
        <v>是</v>
      </c>
      <c r="O1215" t="s">
        <v>75</v>
      </c>
      <c r="P1215" s="38">
        <v>1.789366053</v>
      </c>
      <c r="Q1215" s="38">
        <v>0.26419999999999999</v>
      </c>
      <c r="R1215" s="38">
        <v>0.74280000000000002</v>
      </c>
    </row>
    <row r="1216" spans="1:18" hidden="1">
      <c r="A1216" t="s">
        <v>75</v>
      </c>
      <c r="B1216" t="s">
        <v>13</v>
      </c>
      <c r="C1216">
        <v>0</v>
      </c>
      <c r="D1216">
        <v>0</v>
      </c>
      <c r="E1216" s="29">
        <v>0</v>
      </c>
      <c r="F1216">
        <v>3.63</v>
      </c>
      <c r="G1216">
        <v>4.58</v>
      </c>
      <c r="H1216">
        <v>8.2100000000000009</v>
      </c>
      <c r="I1216" s="29">
        <v>0.44209999999999999</v>
      </c>
      <c r="J1216" s="29">
        <v>0</v>
      </c>
      <c r="K1216" s="9">
        <v>45323</v>
      </c>
      <c r="L1216">
        <f xml:space="preserve"> (交易處理資料__3[[#This Row],[售出工時]] * 60) / 5</f>
        <v>0</v>
      </c>
      <c r="M1216" t="str">
        <f>VLOOKUP(交易處理資料__3[[#This Row],[人員代號]],團隊分組!$B$1:$C$52,2,FALSE)</f>
        <v>鈑金維修組</v>
      </c>
      <c r="N1216" t="str">
        <f>IF(交易處理資料__3[[#This Row],[上班時間]]=0,"否","是")</f>
        <v>是</v>
      </c>
      <c r="O1216" t="s">
        <v>75</v>
      </c>
      <c r="P1216" s="37">
        <v>0</v>
      </c>
      <c r="Q1216" s="37">
        <v>0</v>
      </c>
      <c r="R1216" s="37">
        <v>0.44209999999999999</v>
      </c>
    </row>
    <row r="1217" spans="1:18" hidden="1">
      <c r="A1217" t="s">
        <v>75</v>
      </c>
      <c r="B1217" t="s">
        <v>14</v>
      </c>
      <c r="C1217">
        <v>0</v>
      </c>
      <c r="D1217">
        <v>0</v>
      </c>
      <c r="E1217" s="29">
        <v>0</v>
      </c>
      <c r="F1217">
        <v>5.03</v>
      </c>
      <c r="G1217">
        <v>3.18</v>
      </c>
      <c r="H1217">
        <v>8.2100000000000009</v>
      </c>
      <c r="I1217" s="29">
        <v>0.61270000000000002</v>
      </c>
      <c r="J1217" s="29">
        <v>0</v>
      </c>
      <c r="K1217" s="9">
        <v>45323</v>
      </c>
      <c r="L1217">
        <f xml:space="preserve"> (交易處理資料__3[[#This Row],[售出工時]] * 60) / 5</f>
        <v>0</v>
      </c>
      <c r="M1217" t="str">
        <f>VLOOKUP(交易處理資料__3[[#This Row],[人員代號]],團隊分組!$B$1:$C$52,2,FALSE)</f>
        <v>鈑金維修組</v>
      </c>
      <c r="N1217" t="str">
        <f>IF(交易處理資料__3[[#This Row],[上班時間]]=0,"否","是")</f>
        <v>是</v>
      </c>
      <c r="O1217" t="s">
        <v>75</v>
      </c>
      <c r="P1217" s="38">
        <v>0</v>
      </c>
      <c r="Q1217" s="38">
        <v>0</v>
      </c>
      <c r="R1217" s="38">
        <v>0.61270000000000002</v>
      </c>
    </row>
    <row r="1218" spans="1:18" hidden="1">
      <c r="A1218" t="s">
        <v>75</v>
      </c>
      <c r="B1218" t="s">
        <v>15</v>
      </c>
      <c r="C1218">
        <v>0</v>
      </c>
      <c r="D1218">
        <v>0</v>
      </c>
      <c r="E1218" s="29">
        <v>0</v>
      </c>
      <c r="F1218">
        <v>5.01</v>
      </c>
      <c r="G1218">
        <v>3.19</v>
      </c>
      <c r="H1218">
        <v>8.1999999999999993</v>
      </c>
      <c r="I1218" s="29">
        <v>0.61099999999999999</v>
      </c>
      <c r="J1218" s="29">
        <v>0</v>
      </c>
      <c r="K1218" s="9">
        <v>45323</v>
      </c>
      <c r="L1218">
        <f xml:space="preserve"> (交易處理資料__3[[#This Row],[售出工時]] * 60) / 5</f>
        <v>0</v>
      </c>
      <c r="M1218" t="str">
        <f>VLOOKUP(交易處理資料__3[[#This Row],[人員代號]],團隊分組!$B$1:$C$52,2,FALSE)</f>
        <v>鈑金維修組</v>
      </c>
      <c r="N1218" t="str">
        <f>IF(交易處理資料__3[[#This Row],[上班時間]]=0,"否","是")</f>
        <v>是</v>
      </c>
      <c r="O1218" t="s">
        <v>75</v>
      </c>
      <c r="P1218" s="37">
        <v>0</v>
      </c>
      <c r="Q1218" s="37">
        <v>0</v>
      </c>
      <c r="R1218" s="37">
        <v>0.61099999999999999</v>
      </c>
    </row>
    <row r="1219" spans="1:18" hidden="1">
      <c r="A1219" t="s">
        <v>76</v>
      </c>
      <c r="B1219" t="s">
        <v>17</v>
      </c>
      <c r="C1219">
        <v>10.33333333</v>
      </c>
      <c r="D1219">
        <v>6.38</v>
      </c>
      <c r="E1219" s="29">
        <v>1.6196447230000002</v>
      </c>
      <c r="F1219">
        <v>5.26</v>
      </c>
      <c r="G1219">
        <v>2.83</v>
      </c>
      <c r="H1219">
        <v>8.09</v>
      </c>
      <c r="I1219" s="29">
        <v>0.6502</v>
      </c>
      <c r="J1219" s="29">
        <v>1.2773000000000001</v>
      </c>
      <c r="K1219" s="9">
        <v>45323</v>
      </c>
      <c r="L1219">
        <f xml:space="preserve"> (交易處理資料__3[[#This Row],[售出工時]] * 60) / 5</f>
        <v>123.99999996000001</v>
      </c>
      <c r="M1219" t="str">
        <f>VLOOKUP(交易處理資料__3[[#This Row],[人員代號]],團隊分組!$B$1:$C$52,2,FALSE)</f>
        <v>快速保養團隊A</v>
      </c>
      <c r="N1219" t="str">
        <f>IF(交易處理資料__3[[#This Row],[上班時間]]=0,"否","是")</f>
        <v>是</v>
      </c>
      <c r="O1219" t="s">
        <v>76</v>
      </c>
      <c r="P1219" s="38">
        <v>1.6196447230000002</v>
      </c>
      <c r="Q1219" s="38">
        <v>1.2773000000000001</v>
      </c>
      <c r="R1219" s="38">
        <v>0.6502</v>
      </c>
    </row>
    <row r="1220" spans="1:18" hidden="1">
      <c r="A1220" t="s">
        <v>76</v>
      </c>
      <c r="B1220" t="s">
        <v>19</v>
      </c>
      <c r="C1220">
        <v>1.17</v>
      </c>
      <c r="D1220">
        <v>1.62</v>
      </c>
      <c r="E1220" s="29">
        <v>0.7222222222000001</v>
      </c>
      <c r="F1220">
        <v>6.74</v>
      </c>
      <c r="G1220">
        <v>1.66</v>
      </c>
      <c r="H1220">
        <v>8.4</v>
      </c>
      <c r="I1220" s="29">
        <v>0.8024</v>
      </c>
      <c r="J1220" s="29">
        <v>0.13930000000000001</v>
      </c>
      <c r="K1220" s="9">
        <v>45323</v>
      </c>
      <c r="L1220">
        <f xml:space="preserve"> (交易處理資料__3[[#This Row],[售出工時]] * 60) / 5</f>
        <v>14.039999999999997</v>
      </c>
      <c r="M1220" t="str">
        <f>VLOOKUP(交易處理資料__3[[#This Row],[人員代號]],團隊分組!$B$1:$C$52,2,FALSE)</f>
        <v>查修團隊A</v>
      </c>
      <c r="N1220" t="str">
        <f>IF(交易處理資料__3[[#This Row],[上班時間]]=0,"否","是")</f>
        <v>是</v>
      </c>
      <c r="O1220" t="s">
        <v>76</v>
      </c>
      <c r="P1220" s="37">
        <v>0.7222222222000001</v>
      </c>
      <c r="Q1220" s="37">
        <v>0.13930000000000001</v>
      </c>
      <c r="R1220" s="37">
        <v>0.8024</v>
      </c>
    </row>
    <row r="1221" spans="1:18" hidden="1">
      <c r="A1221" t="s">
        <v>76</v>
      </c>
      <c r="B1221" t="s">
        <v>21</v>
      </c>
      <c r="C1221">
        <v>0.5</v>
      </c>
      <c r="D1221">
        <v>5.7</v>
      </c>
      <c r="E1221" s="29">
        <v>8.7719298250000008E-2</v>
      </c>
      <c r="F1221">
        <v>7.88</v>
      </c>
      <c r="G1221">
        <v>2.25</v>
      </c>
      <c r="H1221">
        <v>10.130000000000001</v>
      </c>
      <c r="I1221" s="29">
        <v>0.77790000000000004</v>
      </c>
      <c r="J1221" s="29">
        <v>4.9400000000000006E-2</v>
      </c>
      <c r="K1221" s="9">
        <v>45323</v>
      </c>
      <c r="L1221">
        <f xml:space="preserve"> (交易處理資料__3[[#This Row],[售出工時]] * 60) / 5</f>
        <v>6</v>
      </c>
      <c r="M1221" t="str">
        <f>VLOOKUP(交易處理資料__3[[#This Row],[人員代號]],團隊分組!$B$1:$C$52,2,FALSE)</f>
        <v>查修團隊B</v>
      </c>
      <c r="N1221" t="str">
        <f>IF(交易處理資料__3[[#This Row],[上班時間]]=0,"否","是")</f>
        <v>是</v>
      </c>
      <c r="O1221" t="s">
        <v>76</v>
      </c>
      <c r="P1221" s="38">
        <v>8.7719298250000008E-2</v>
      </c>
      <c r="Q1221" s="38">
        <v>4.9400000000000006E-2</v>
      </c>
      <c r="R1221" s="38">
        <v>0.77790000000000004</v>
      </c>
    </row>
    <row r="1222" spans="1:18" hidden="1">
      <c r="A1222" t="s">
        <v>76</v>
      </c>
      <c r="B1222" t="s">
        <v>22</v>
      </c>
      <c r="C1222">
        <v>7.6266666670000003</v>
      </c>
      <c r="D1222">
        <v>7.21</v>
      </c>
      <c r="E1222" s="29">
        <v>1.0577901060000001</v>
      </c>
      <c r="F1222">
        <v>7.21</v>
      </c>
      <c r="G1222">
        <v>0.74</v>
      </c>
      <c r="H1222">
        <v>7.95</v>
      </c>
      <c r="I1222" s="29">
        <v>0.90689999999999993</v>
      </c>
      <c r="J1222" s="29">
        <v>0.95930000000000004</v>
      </c>
      <c r="K1222" s="9">
        <v>45323</v>
      </c>
      <c r="L1222">
        <f xml:space="preserve"> (交易處理資料__3[[#This Row],[售出工時]] * 60) / 5</f>
        <v>91.520000004000011</v>
      </c>
      <c r="M1222" t="str">
        <f>VLOOKUP(交易處理資料__3[[#This Row],[人員代號]],團隊分組!$B$1:$C$52,2,FALSE)</f>
        <v>快速保養團隊A</v>
      </c>
      <c r="N1222" t="str">
        <f>IF(交易處理資料__3[[#This Row],[上班時間]]=0,"否","是")</f>
        <v>是</v>
      </c>
      <c r="O1222" t="s">
        <v>76</v>
      </c>
      <c r="P1222" s="37">
        <v>1.0577901060000001</v>
      </c>
      <c r="Q1222" s="37">
        <v>0.95930000000000004</v>
      </c>
      <c r="R1222" s="37">
        <v>0.90689999999999993</v>
      </c>
    </row>
    <row r="1223" spans="1:18" hidden="1">
      <c r="A1223" t="s">
        <v>76</v>
      </c>
      <c r="B1223" t="s">
        <v>26</v>
      </c>
      <c r="C1223">
        <v>2</v>
      </c>
      <c r="D1223">
        <v>2.25</v>
      </c>
      <c r="E1223" s="29">
        <v>0.88888888890000006</v>
      </c>
      <c r="F1223">
        <v>3.56</v>
      </c>
      <c r="G1223">
        <v>7.12</v>
      </c>
      <c r="H1223">
        <v>10.68</v>
      </c>
      <c r="I1223" s="29">
        <v>0.33329999999999999</v>
      </c>
      <c r="J1223" s="29">
        <v>0.18729999999999999</v>
      </c>
      <c r="K1223" s="9">
        <v>45323</v>
      </c>
      <c r="L1223">
        <f xml:space="preserve"> (交易處理資料__3[[#This Row],[售出工時]] * 60) / 5</f>
        <v>24</v>
      </c>
      <c r="M1223" t="str">
        <f>VLOOKUP(交易處理資料__3[[#This Row],[人員代號]],團隊分組!$B$1:$C$52,2,FALSE)</f>
        <v>查修團隊B</v>
      </c>
      <c r="N1223" t="str">
        <f>IF(交易處理資料__3[[#This Row],[上班時間]]=0,"否","是")</f>
        <v>是</v>
      </c>
      <c r="O1223" t="s">
        <v>76</v>
      </c>
      <c r="P1223" s="38">
        <v>0.88888888890000006</v>
      </c>
      <c r="Q1223" s="38">
        <v>0.18729999999999999</v>
      </c>
      <c r="R1223" s="38">
        <v>0.33329999999999999</v>
      </c>
    </row>
    <row r="1224" spans="1:18" hidden="1">
      <c r="A1224" t="s">
        <v>76</v>
      </c>
      <c r="B1224" t="s">
        <v>28</v>
      </c>
      <c r="C1224">
        <v>5.75</v>
      </c>
      <c r="D1224">
        <v>4.37</v>
      </c>
      <c r="E1224" s="29">
        <v>1.315789474</v>
      </c>
      <c r="F1224">
        <v>6.4</v>
      </c>
      <c r="G1224">
        <v>1.65</v>
      </c>
      <c r="H1224">
        <v>8.0500000000000007</v>
      </c>
      <c r="I1224" s="29">
        <v>0.79500000000000004</v>
      </c>
      <c r="J1224" s="29">
        <v>0.71430000000000005</v>
      </c>
      <c r="K1224" s="9">
        <v>45323</v>
      </c>
      <c r="L1224">
        <f xml:space="preserve"> (交易處理資料__3[[#This Row],[售出工時]] * 60) / 5</f>
        <v>69</v>
      </c>
      <c r="M1224" t="str">
        <f>VLOOKUP(交易處理資料__3[[#This Row],[人員代號]],團隊分組!$B$1:$C$52,2,FALSE)</f>
        <v>快速保養團隊A</v>
      </c>
      <c r="N1224" t="str">
        <f>IF(交易處理資料__3[[#This Row],[上班時間]]=0,"否","是")</f>
        <v>是</v>
      </c>
      <c r="O1224" t="s">
        <v>76</v>
      </c>
      <c r="P1224" s="37">
        <v>1.315789474</v>
      </c>
      <c r="Q1224" s="37">
        <v>0.71430000000000005</v>
      </c>
      <c r="R1224" s="37">
        <v>0.79500000000000004</v>
      </c>
    </row>
    <row r="1225" spans="1:18" hidden="1">
      <c r="A1225" t="s">
        <v>76</v>
      </c>
      <c r="B1225" t="s">
        <v>29</v>
      </c>
      <c r="C1225">
        <v>3.1666666669999999</v>
      </c>
      <c r="D1225">
        <v>3.28</v>
      </c>
      <c r="E1225" s="29">
        <v>0.96544715449999996</v>
      </c>
      <c r="F1225">
        <v>7.01</v>
      </c>
      <c r="G1225">
        <v>1.0900000000000001</v>
      </c>
      <c r="H1225">
        <v>8.1</v>
      </c>
      <c r="I1225" s="29">
        <v>0.86540000000000006</v>
      </c>
      <c r="J1225" s="29">
        <v>0.39090000000000003</v>
      </c>
      <c r="K1225" s="9">
        <v>45323</v>
      </c>
      <c r="L1225">
        <f xml:space="preserve"> (交易處理資料__3[[#This Row],[售出工時]] * 60) / 5</f>
        <v>38.000000004</v>
      </c>
      <c r="M1225" t="str">
        <f>VLOOKUP(交易處理資料__3[[#This Row],[人員代號]],團隊分組!$B$1:$C$52,2,FALSE)</f>
        <v>查修團隊B</v>
      </c>
      <c r="N1225" t="str">
        <f>IF(交易處理資料__3[[#This Row],[上班時間]]=0,"否","是")</f>
        <v>是</v>
      </c>
      <c r="O1225" t="s">
        <v>76</v>
      </c>
      <c r="P1225" s="38">
        <v>0.96544715449999996</v>
      </c>
      <c r="Q1225" s="38">
        <v>0.39090000000000003</v>
      </c>
      <c r="R1225" s="38">
        <v>0.86540000000000006</v>
      </c>
    </row>
    <row r="1226" spans="1:18" hidden="1">
      <c r="A1226" t="s">
        <v>76</v>
      </c>
      <c r="B1226" t="s">
        <v>33</v>
      </c>
      <c r="C1226">
        <v>0</v>
      </c>
      <c r="D1226">
        <v>0</v>
      </c>
      <c r="E1226" s="29">
        <v>0</v>
      </c>
      <c r="F1226">
        <v>0</v>
      </c>
      <c r="G1226">
        <v>0</v>
      </c>
      <c r="H1226">
        <v>0</v>
      </c>
      <c r="I1226" s="29">
        <v>0</v>
      </c>
      <c r="J1226" s="29">
        <v>0</v>
      </c>
      <c r="K1226" s="9">
        <v>45323</v>
      </c>
      <c r="L1226">
        <f xml:space="preserve"> (交易處理資料__3[[#This Row],[售出工時]] * 60) / 5</f>
        <v>0</v>
      </c>
      <c r="M1226" t="str">
        <f>VLOOKUP(交易處理資料__3[[#This Row],[人員代號]],團隊分組!$B$1:$C$52,2,FALSE)</f>
        <v>快速保養團隊B</v>
      </c>
      <c r="N1226" t="str">
        <f>IF(交易處理資料__3[[#This Row],[上班時間]]=0,"否","是")</f>
        <v>否</v>
      </c>
      <c r="O1226" t="s">
        <v>76</v>
      </c>
      <c r="P1226" s="37">
        <v>0</v>
      </c>
      <c r="Q1226" s="37">
        <v>0</v>
      </c>
      <c r="R1226" s="37">
        <v>0</v>
      </c>
    </row>
    <row r="1227" spans="1:18" hidden="1">
      <c r="A1227" t="s">
        <v>76</v>
      </c>
      <c r="B1227" t="s">
        <v>36</v>
      </c>
      <c r="C1227">
        <v>1.0833333329999999</v>
      </c>
      <c r="D1227">
        <v>4.72</v>
      </c>
      <c r="E1227" s="29">
        <v>0.22951977400000001</v>
      </c>
      <c r="F1227">
        <v>7.38</v>
      </c>
      <c r="G1227">
        <v>3.05</v>
      </c>
      <c r="H1227">
        <v>10.43</v>
      </c>
      <c r="I1227" s="29">
        <v>0.70760000000000001</v>
      </c>
      <c r="J1227" s="29">
        <v>0.10390000000000001</v>
      </c>
      <c r="K1227" s="9">
        <v>45323</v>
      </c>
      <c r="L1227">
        <f xml:space="preserve"> (交易處理資料__3[[#This Row],[售出工時]] * 60) / 5</f>
        <v>12.999999996</v>
      </c>
      <c r="M1227" t="str">
        <f>VLOOKUP(交易處理資料__3[[#This Row],[人員代號]],團隊分組!$B$1:$C$52,2,FALSE)</f>
        <v>查修團隊B</v>
      </c>
      <c r="N1227" t="str">
        <f>IF(交易處理資料__3[[#This Row],[上班時間]]=0,"否","是")</f>
        <v>是</v>
      </c>
      <c r="O1227" t="s">
        <v>76</v>
      </c>
      <c r="P1227" s="38">
        <v>0.22951977400000001</v>
      </c>
      <c r="Q1227" s="38">
        <v>0.10390000000000001</v>
      </c>
      <c r="R1227" s="38">
        <v>0.70760000000000001</v>
      </c>
    </row>
    <row r="1228" spans="1:18" hidden="1">
      <c r="A1228" t="s">
        <v>76</v>
      </c>
      <c r="B1228" t="s">
        <v>37</v>
      </c>
      <c r="C1228">
        <v>6</v>
      </c>
      <c r="D1228">
        <v>9.83</v>
      </c>
      <c r="E1228" s="29">
        <v>0.61037639880000005</v>
      </c>
      <c r="F1228">
        <v>8.16</v>
      </c>
      <c r="G1228">
        <v>2.1800000000000002</v>
      </c>
      <c r="H1228">
        <v>10.34</v>
      </c>
      <c r="I1228" s="29">
        <v>0.78920000000000001</v>
      </c>
      <c r="J1228" s="29">
        <v>0.58030000000000004</v>
      </c>
      <c r="K1228" s="9">
        <v>45323</v>
      </c>
      <c r="L1228">
        <f xml:space="preserve"> (交易處理資料__3[[#This Row],[售出工時]] * 60) / 5</f>
        <v>72</v>
      </c>
      <c r="M1228" t="str">
        <f>VLOOKUP(交易處理資料__3[[#This Row],[人員代號]],團隊分組!$B$1:$C$52,2,FALSE)</f>
        <v>查修團隊A</v>
      </c>
      <c r="N1228" t="str">
        <f>IF(交易處理資料__3[[#This Row],[上班時間]]=0,"否","是")</f>
        <v>是</v>
      </c>
      <c r="O1228" t="s">
        <v>76</v>
      </c>
      <c r="P1228" s="37">
        <v>0.61037639880000005</v>
      </c>
      <c r="Q1228" s="37">
        <v>0.58030000000000004</v>
      </c>
      <c r="R1228" s="37">
        <v>0.78920000000000001</v>
      </c>
    </row>
    <row r="1229" spans="1:18" hidden="1">
      <c r="A1229" t="s">
        <v>76</v>
      </c>
      <c r="B1229" t="s">
        <v>38</v>
      </c>
      <c r="C1229">
        <v>15.91666667</v>
      </c>
      <c r="D1229">
        <v>5.48</v>
      </c>
      <c r="E1229" s="29">
        <v>2.904501217</v>
      </c>
      <c r="F1229">
        <v>6.63</v>
      </c>
      <c r="G1229">
        <v>1.44</v>
      </c>
      <c r="H1229">
        <v>8.07</v>
      </c>
      <c r="I1229" s="29">
        <v>0.8216</v>
      </c>
      <c r="J1229" s="29">
        <v>1.9722999999999999</v>
      </c>
      <c r="K1229" s="9">
        <v>45323</v>
      </c>
      <c r="L1229">
        <f xml:space="preserve"> (交易處理資料__3[[#This Row],[售出工時]] * 60) / 5</f>
        <v>191.00000003999997</v>
      </c>
      <c r="M1229" t="str">
        <f>VLOOKUP(交易處理資料__3[[#This Row],[人員代號]],團隊分組!$B$1:$C$52,2,FALSE)</f>
        <v>快速保養團隊A</v>
      </c>
      <c r="N1229" t="str">
        <f>IF(交易處理資料__3[[#This Row],[上班時間]]=0,"否","是")</f>
        <v>是</v>
      </c>
      <c r="O1229" t="s">
        <v>76</v>
      </c>
      <c r="P1229" s="38">
        <v>2.904501217</v>
      </c>
      <c r="Q1229" s="38">
        <v>1.9722999999999999</v>
      </c>
      <c r="R1229" s="38">
        <v>0.8216</v>
      </c>
    </row>
    <row r="1230" spans="1:18" hidden="1">
      <c r="A1230" t="s">
        <v>76</v>
      </c>
      <c r="B1230" t="s">
        <v>39</v>
      </c>
      <c r="C1230">
        <v>1.5</v>
      </c>
      <c r="D1230">
        <v>2.35</v>
      </c>
      <c r="E1230" s="29">
        <v>0.63829787230000001</v>
      </c>
      <c r="F1230">
        <v>7.25</v>
      </c>
      <c r="G1230">
        <v>3.19</v>
      </c>
      <c r="H1230">
        <v>10.44</v>
      </c>
      <c r="I1230" s="29">
        <v>0.69440000000000002</v>
      </c>
      <c r="J1230" s="29">
        <v>0.14369999999999999</v>
      </c>
      <c r="K1230" s="9">
        <v>45323</v>
      </c>
      <c r="L1230">
        <f xml:space="preserve"> (交易處理資料__3[[#This Row],[售出工時]] * 60) / 5</f>
        <v>18</v>
      </c>
      <c r="M1230" t="str">
        <f>VLOOKUP(交易處理資料__3[[#This Row],[人員代號]],團隊分組!$B$1:$C$52,2,FALSE)</f>
        <v>查修團隊A</v>
      </c>
      <c r="N1230" t="str">
        <f>IF(交易處理資料__3[[#This Row],[上班時間]]=0,"否","是")</f>
        <v>是</v>
      </c>
      <c r="O1230" t="s">
        <v>76</v>
      </c>
      <c r="P1230" s="37">
        <v>0.63829787230000001</v>
      </c>
      <c r="Q1230" s="37">
        <v>0.14369999999999999</v>
      </c>
      <c r="R1230" s="37">
        <v>0.69440000000000002</v>
      </c>
    </row>
    <row r="1231" spans="1:18" hidden="1">
      <c r="A1231" t="s">
        <v>76</v>
      </c>
      <c r="B1231" t="s">
        <v>40</v>
      </c>
      <c r="C1231">
        <v>2</v>
      </c>
      <c r="D1231">
        <v>2.04</v>
      </c>
      <c r="E1231" s="29">
        <v>0.98039215690000003</v>
      </c>
      <c r="F1231">
        <v>9.35</v>
      </c>
      <c r="G1231">
        <v>1.0900000000000001</v>
      </c>
      <c r="H1231">
        <v>10.44</v>
      </c>
      <c r="I1231" s="29">
        <v>0.89560000000000006</v>
      </c>
      <c r="J1231" s="29">
        <v>0.19159999999999999</v>
      </c>
      <c r="K1231" s="9">
        <v>45323</v>
      </c>
      <c r="L1231">
        <f xml:space="preserve"> (交易處理資料__3[[#This Row],[售出工時]] * 60) / 5</f>
        <v>24</v>
      </c>
      <c r="M1231" t="str">
        <f>VLOOKUP(交易處理資料__3[[#This Row],[人員代號]],團隊分組!$B$1:$C$52,2,FALSE)</f>
        <v>查修團隊A</v>
      </c>
      <c r="N1231" t="str">
        <f>IF(交易處理資料__3[[#This Row],[上班時間]]=0,"否","是")</f>
        <v>是</v>
      </c>
      <c r="O1231" t="s">
        <v>76</v>
      </c>
      <c r="P1231" s="38">
        <v>0.98039215690000003</v>
      </c>
      <c r="Q1231" s="38">
        <v>0.19159999999999999</v>
      </c>
      <c r="R1231" s="38">
        <v>0.89560000000000006</v>
      </c>
    </row>
    <row r="1232" spans="1:18" hidden="1">
      <c r="A1232" t="s">
        <v>76</v>
      </c>
      <c r="B1232" t="s">
        <v>41</v>
      </c>
      <c r="C1232">
        <v>13.08333333</v>
      </c>
      <c r="D1232">
        <v>7.32</v>
      </c>
      <c r="E1232" s="29">
        <v>1.7873406190000001</v>
      </c>
      <c r="F1232">
        <v>7.84</v>
      </c>
      <c r="G1232">
        <v>2.35</v>
      </c>
      <c r="H1232">
        <v>10.19</v>
      </c>
      <c r="I1232" s="29">
        <v>0.76939999999999997</v>
      </c>
      <c r="J1232" s="29">
        <v>1.2838999999999998</v>
      </c>
      <c r="K1232" s="9">
        <v>45323</v>
      </c>
      <c r="L1232">
        <f xml:space="preserve"> (交易處理資料__3[[#This Row],[售出工時]] * 60) / 5</f>
        <v>156.99999996000003</v>
      </c>
      <c r="M1232" t="str">
        <f>VLOOKUP(交易處理資料__3[[#This Row],[人員代號]],團隊分組!$B$1:$C$52,2,FALSE)</f>
        <v>快速保養團隊A</v>
      </c>
      <c r="N1232" t="str">
        <f>IF(交易處理資料__3[[#This Row],[上班時間]]=0,"否","是")</f>
        <v>是</v>
      </c>
      <c r="O1232" t="s">
        <v>76</v>
      </c>
      <c r="P1232" s="37">
        <v>1.7873406190000001</v>
      </c>
      <c r="Q1232" s="37">
        <v>1.2838999999999998</v>
      </c>
      <c r="R1232" s="37">
        <v>0.76939999999999997</v>
      </c>
    </row>
    <row r="1233" spans="1:18" hidden="1">
      <c r="A1233" t="s">
        <v>76</v>
      </c>
      <c r="B1233" t="s">
        <v>43</v>
      </c>
      <c r="C1233">
        <v>3.26</v>
      </c>
      <c r="D1233">
        <v>3.12</v>
      </c>
      <c r="E1233" s="29">
        <v>1.0448717949999999</v>
      </c>
      <c r="F1233">
        <v>7.18</v>
      </c>
      <c r="G1233">
        <v>0.95</v>
      </c>
      <c r="H1233">
        <v>8.1300000000000008</v>
      </c>
      <c r="I1233" s="29">
        <v>0.8831</v>
      </c>
      <c r="J1233" s="29">
        <v>0.40100000000000002</v>
      </c>
      <c r="K1233" s="9">
        <v>45323</v>
      </c>
      <c r="L1233">
        <f xml:space="preserve"> (交易處理資料__3[[#This Row],[售出工時]] * 60) / 5</f>
        <v>39.119999999999997</v>
      </c>
      <c r="M1233" t="str">
        <f>VLOOKUP(交易處理資料__3[[#This Row],[人員代號]],團隊分組!$B$1:$C$52,2,FALSE)</f>
        <v>查修團隊B</v>
      </c>
      <c r="N1233" t="str">
        <f>IF(交易處理資料__3[[#This Row],[上班時間]]=0,"否","是")</f>
        <v>是</v>
      </c>
      <c r="O1233" t="s">
        <v>76</v>
      </c>
      <c r="P1233" s="38">
        <v>1.0448717949999999</v>
      </c>
      <c r="Q1233" s="38">
        <v>0.40100000000000002</v>
      </c>
      <c r="R1233" s="38">
        <v>0.8831</v>
      </c>
    </row>
    <row r="1234" spans="1:18" hidden="1">
      <c r="A1234" t="s">
        <v>76</v>
      </c>
      <c r="B1234" t="s">
        <v>47</v>
      </c>
      <c r="C1234">
        <v>1</v>
      </c>
      <c r="D1234">
        <v>1.23</v>
      </c>
      <c r="E1234" s="29">
        <v>0.81300813009999995</v>
      </c>
      <c r="F1234">
        <v>6.78</v>
      </c>
      <c r="G1234">
        <v>1.32</v>
      </c>
      <c r="H1234">
        <v>8.1</v>
      </c>
      <c r="I1234" s="29">
        <v>0.83700000000000008</v>
      </c>
      <c r="J1234" s="29">
        <v>0.1235</v>
      </c>
      <c r="K1234" s="9">
        <v>45323</v>
      </c>
      <c r="L1234">
        <f xml:space="preserve"> (交易處理資料__3[[#This Row],[售出工時]] * 60) / 5</f>
        <v>12</v>
      </c>
      <c r="M1234" t="str">
        <f>VLOOKUP(交易處理資料__3[[#This Row],[人員代號]],團隊分組!$B$1:$C$52,2,FALSE)</f>
        <v>查修團隊B</v>
      </c>
      <c r="N1234" t="str">
        <f>IF(交易處理資料__3[[#This Row],[上班時間]]=0,"否","是")</f>
        <v>是</v>
      </c>
      <c r="O1234" t="s">
        <v>76</v>
      </c>
      <c r="P1234" s="37">
        <v>0.81300813009999995</v>
      </c>
      <c r="Q1234" s="37">
        <v>0.1235</v>
      </c>
      <c r="R1234" s="37">
        <v>0.83700000000000008</v>
      </c>
    </row>
    <row r="1235" spans="1:18" hidden="1">
      <c r="A1235" t="s">
        <v>76</v>
      </c>
      <c r="B1235" t="s">
        <v>48</v>
      </c>
      <c r="C1235">
        <v>0</v>
      </c>
      <c r="D1235">
        <v>0</v>
      </c>
      <c r="E1235" s="29">
        <v>0</v>
      </c>
      <c r="F1235">
        <v>6.38</v>
      </c>
      <c r="G1235">
        <v>1.95</v>
      </c>
      <c r="H1235">
        <v>8.33</v>
      </c>
      <c r="I1235" s="29">
        <v>0.76590000000000003</v>
      </c>
      <c r="J1235" s="29">
        <v>0</v>
      </c>
      <c r="K1235" s="9">
        <v>45323</v>
      </c>
      <c r="L1235">
        <f xml:space="preserve"> (交易處理資料__3[[#This Row],[售出工時]] * 60) / 5</f>
        <v>0</v>
      </c>
      <c r="M1235" t="str">
        <f>VLOOKUP(交易處理資料__3[[#This Row],[人員代號]],團隊分組!$B$1:$C$52,2,FALSE)</f>
        <v>查修團隊A</v>
      </c>
      <c r="N1235" t="str">
        <f>IF(交易處理資料__3[[#This Row],[上班時間]]=0,"否","是")</f>
        <v>是</v>
      </c>
      <c r="O1235" t="s">
        <v>76</v>
      </c>
      <c r="P1235" s="38">
        <v>0</v>
      </c>
      <c r="Q1235" s="38">
        <v>0</v>
      </c>
      <c r="R1235" s="38">
        <v>0.76590000000000003</v>
      </c>
    </row>
    <row r="1236" spans="1:18" hidden="1">
      <c r="A1236" t="s">
        <v>76</v>
      </c>
      <c r="B1236" t="s">
        <v>49</v>
      </c>
      <c r="C1236">
        <v>1.26</v>
      </c>
      <c r="D1236">
        <v>1.73</v>
      </c>
      <c r="E1236" s="29">
        <v>0.72832369940000008</v>
      </c>
      <c r="F1236">
        <v>6.16</v>
      </c>
      <c r="G1236">
        <v>2.21</v>
      </c>
      <c r="H1236">
        <v>8.3699999999999992</v>
      </c>
      <c r="I1236" s="29">
        <v>0.73599999999999999</v>
      </c>
      <c r="J1236" s="29">
        <v>0.15049999999999999</v>
      </c>
      <c r="K1236" s="9">
        <v>45323</v>
      </c>
      <c r="L1236">
        <f xml:space="preserve"> (交易處理資料__3[[#This Row],[售出工時]] * 60) / 5</f>
        <v>15.12</v>
      </c>
      <c r="M1236" t="str">
        <f>VLOOKUP(交易處理資料__3[[#This Row],[人員代號]],團隊分組!$B$1:$C$52,2,FALSE)</f>
        <v>查修團隊A</v>
      </c>
      <c r="N1236" t="str">
        <f>IF(交易處理資料__3[[#This Row],[上班時間]]=0,"否","是")</f>
        <v>是</v>
      </c>
      <c r="O1236" t="s">
        <v>76</v>
      </c>
      <c r="P1236" s="37">
        <v>0.72832369940000008</v>
      </c>
      <c r="Q1236" s="37">
        <v>0.15049999999999999</v>
      </c>
      <c r="R1236" s="37">
        <v>0.73599999999999999</v>
      </c>
    </row>
    <row r="1237" spans="1:18" hidden="1">
      <c r="A1237" t="s">
        <v>76</v>
      </c>
      <c r="B1237" t="s">
        <v>50</v>
      </c>
      <c r="C1237">
        <v>12.926666669999999</v>
      </c>
      <c r="D1237">
        <v>7.85</v>
      </c>
      <c r="E1237" s="29">
        <v>1.6467091300000001</v>
      </c>
      <c r="F1237">
        <v>7.88</v>
      </c>
      <c r="G1237">
        <v>0.14000000000000001</v>
      </c>
      <c r="H1237">
        <v>8.02</v>
      </c>
      <c r="I1237" s="29">
        <v>0.98250000000000004</v>
      </c>
      <c r="J1237" s="29">
        <v>1.6118000000000001</v>
      </c>
      <c r="K1237" s="9">
        <v>45323</v>
      </c>
      <c r="L1237">
        <f xml:space="preserve"> (交易處理資料__3[[#This Row],[售出工時]] * 60) / 5</f>
        <v>155.12000003999998</v>
      </c>
      <c r="M1237" t="str">
        <f>VLOOKUP(交易處理資料__3[[#This Row],[人員代號]],團隊分組!$B$1:$C$52,2,FALSE)</f>
        <v>快速保養團隊B</v>
      </c>
      <c r="N1237" t="str">
        <f>IF(交易處理資料__3[[#This Row],[上班時間]]=0,"否","是")</f>
        <v>是</v>
      </c>
      <c r="O1237" t="s">
        <v>76</v>
      </c>
      <c r="P1237" s="38">
        <v>1.6467091300000001</v>
      </c>
      <c r="Q1237" s="38">
        <v>1.6118000000000001</v>
      </c>
      <c r="R1237" s="38">
        <v>0.98250000000000004</v>
      </c>
    </row>
    <row r="1238" spans="1:18" hidden="1">
      <c r="A1238" t="s">
        <v>76</v>
      </c>
      <c r="B1238" t="s">
        <v>51</v>
      </c>
      <c r="C1238">
        <v>0</v>
      </c>
      <c r="D1238">
        <v>0</v>
      </c>
      <c r="E1238" s="29">
        <v>0</v>
      </c>
      <c r="F1238">
        <v>0</v>
      </c>
      <c r="G1238">
        <v>0</v>
      </c>
      <c r="H1238">
        <v>0</v>
      </c>
      <c r="I1238" s="29">
        <v>0</v>
      </c>
      <c r="J1238" s="29">
        <v>0</v>
      </c>
      <c r="K1238" s="9">
        <v>45323</v>
      </c>
      <c r="L1238">
        <f xml:space="preserve"> (交易處理資料__3[[#This Row],[售出工時]] * 60) / 5</f>
        <v>0</v>
      </c>
      <c r="M1238" t="str">
        <f>VLOOKUP(交易處理資料__3[[#This Row],[人員代號]],團隊分組!$B$1:$C$52,2,FALSE)</f>
        <v>無效數據</v>
      </c>
      <c r="N1238" t="str">
        <f>IF(交易處理資料__3[[#This Row],[上班時間]]=0,"否","是")</f>
        <v>否</v>
      </c>
      <c r="O1238" t="s">
        <v>76</v>
      </c>
      <c r="P1238" s="37">
        <v>0</v>
      </c>
      <c r="Q1238" s="37">
        <v>0</v>
      </c>
      <c r="R1238" s="37">
        <v>0</v>
      </c>
    </row>
    <row r="1239" spans="1:18" hidden="1">
      <c r="A1239" t="s">
        <v>76</v>
      </c>
      <c r="B1239" t="s">
        <v>52</v>
      </c>
      <c r="C1239">
        <v>0</v>
      </c>
      <c r="D1239">
        <v>0</v>
      </c>
      <c r="E1239" s="29">
        <v>0</v>
      </c>
      <c r="F1239">
        <v>7.24</v>
      </c>
      <c r="G1239">
        <v>0.84</v>
      </c>
      <c r="H1239">
        <v>8.08</v>
      </c>
      <c r="I1239" s="29">
        <v>0.89599999999999991</v>
      </c>
      <c r="J1239" s="29">
        <v>0</v>
      </c>
      <c r="K1239" s="9">
        <v>45323</v>
      </c>
      <c r="L1239">
        <f xml:space="preserve"> (交易處理資料__3[[#This Row],[售出工時]] * 60) / 5</f>
        <v>0</v>
      </c>
      <c r="M1239" t="str">
        <f>VLOOKUP(交易處理資料__3[[#This Row],[人員代號]],團隊分組!$B$1:$C$52,2,FALSE)</f>
        <v>查修團隊B</v>
      </c>
      <c r="N1239" t="str">
        <f>IF(交易處理資料__3[[#This Row],[上班時間]]=0,"否","是")</f>
        <v>是</v>
      </c>
      <c r="O1239" t="s">
        <v>76</v>
      </c>
      <c r="P1239" s="38">
        <v>0</v>
      </c>
      <c r="Q1239" s="38">
        <v>0</v>
      </c>
      <c r="R1239" s="38">
        <v>0.89599999999999991</v>
      </c>
    </row>
    <row r="1240" spans="1:18" hidden="1">
      <c r="A1240" t="s">
        <v>76</v>
      </c>
      <c r="B1240" t="s">
        <v>53</v>
      </c>
      <c r="C1240">
        <v>5.6666666670000003</v>
      </c>
      <c r="D1240">
        <v>7.37</v>
      </c>
      <c r="E1240" s="29">
        <v>0.76888285839999992</v>
      </c>
      <c r="F1240">
        <v>8.18</v>
      </c>
      <c r="G1240">
        <v>1.18</v>
      </c>
      <c r="H1240">
        <v>9.36</v>
      </c>
      <c r="I1240" s="29">
        <v>0.87390000000000001</v>
      </c>
      <c r="J1240" s="29">
        <v>0.60539999999999994</v>
      </c>
      <c r="K1240" s="9">
        <v>45323</v>
      </c>
      <c r="L1240">
        <f xml:space="preserve"> (交易處理資料__3[[#This Row],[售出工時]] * 60) / 5</f>
        <v>68.000000004</v>
      </c>
      <c r="M1240" t="str">
        <f>VLOOKUP(交易處理資料__3[[#This Row],[人員代號]],團隊分組!$B$1:$C$52,2,FALSE)</f>
        <v>查修團隊A</v>
      </c>
      <c r="N1240" t="str">
        <f>IF(交易處理資料__3[[#This Row],[上班時間]]=0,"否","是")</f>
        <v>是</v>
      </c>
      <c r="O1240" t="s">
        <v>76</v>
      </c>
      <c r="P1240" s="37">
        <v>0.76888285839999992</v>
      </c>
      <c r="Q1240" s="37">
        <v>0.60539999999999994</v>
      </c>
      <c r="R1240" s="37">
        <v>0.87390000000000001</v>
      </c>
    </row>
    <row r="1241" spans="1:18" hidden="1">
      <c r="A1241" s="10" t="s">
        <v>74</v>
      </c>
      <c r="B1241" t="s">
        <v>1</v>
      </c>
      <c r="C1241">
        <v>3.11</v>
      </c>
      <c r="D1241">
        <v>3.57</v>
      </c>
      <c r="E1241" s="29">
        <v>0.87114845939999996</v>
      </c>
      <c r="F1241">
        <v>7.12</v>
      </c>
      <c r="G1241">
        <v>0.92</v>
      </c>
      <c r="H1241">
        <v>8.0399999999999991</v>
      </c>
      <c r="I1241" s="29">
        <v>0.88560000000000005</v>
      </c>
      <c r="J1241" s="29">
        <v>0.38679999999999998</v>
      </c>
      <c r="K1241" s="9">
        <v>45324</v>
      </c>
      <c r="L1241">
        <f xml:space="preserve"> (交易處理資料__3[[#This Row],[售出工時]] * 60) / 5</f>
        <v>37.32</v>
      </c>
      <c r="M1241" t="str">
        <f>VLOOKUP(交易處理資料__3[[#This Row],[人員代號]],團隊分組!$B$1:$C$52,2,FALSE)</f>
        <v>噴漆維修組</v>
      </c>
      <c r="N1241" t="str">
        <f>IF(交易處理資料__3[[#This Row],[上班時間]]=0,"否","是")</f>
        <v>是</v>
      </c>
      <c r="O1241" s="10" t="s">
        <v>74</v>
      </c>
      <c r="P1241" s="38">
        <v>0.87114845939999996</v>
      </c>
      <c r="Q1241" s="38">
        <v>0.38679999999999998</v>
      </c>
      <c r="R1241" s="38">
        <v>0.88560000000000005</v>
      </c>
    </row>
    <row r="1242" spans="1:18" hidden="1">
      <c r="A1242" s="10" t="s">
        <v>74</v>
      </c>
      <c r="B1242" t="s">
        <v>2</v>
      </c>
      <c r="C1242">
        <v>0.67</v>
      </c>
      <c r="D1242">
        <v>4.83</v>
      </c>
      <c r="E1242" s="29">
        <v>0.13871635609999999</v>
      </c>
      <c r="F1242">
        <v>7.95</v>
      </c>
      <c r="G1242">
        <v>0.11</v>
      </c>
      <c r="H1242">
        <v>8.06</v>
      </c>
      <c r="I1242" s="29">
        <v>0.98640000000000005</v>
      </c>
      <c r="J1242" s="29">
        <v>8.3100000000000007E-2</v>
      </c>
      <c r="K1242" s="9">
        <v>45324</v>
      </c>
      <c r="L1242">
        <f xml:space="preserve"> (交易處理資料__3[[#This Row],[售出工時]] * 60) / 5</f>
        <v>8.0400000000000009</v>
      </c>
      <c r="M1242" t="str">
        <f>VLOOKUP(交易處理資料__3[[#This Row],[人員代號]],團隊分組!$B$1:$C$52,2,FALSE)</f>
        <v>噴漆維修組</v>
      </c>
      <c r="N1242" t="str">
        <f>IF(交易處理資料__3[[#This Row],[上班時間]]=0,"否","是")</f>
        <v>是</v>
      </c>
      <c r="O1242" s="10" t="s">
        <v>74</v>
      </c>
      <c r="P1242" s="37">
        <v>0.13871635609999999</v>
      </c>
      <c r="Q1242" s="37">
        <v>8.3100000000000007E-2</v>
      </c>
      <c r="R1242" s="37">
        <v>0.98640000000000005</v>
      </c>
    </row>
    <row r="1243" spans="1:18" hidden="1">
      <c r="A1243" s="10" t="s">
        <v>74</v>
      </c>
      <c r="B1243" t="s">
        <v>3</v>
      </c>
      <c r="C1243">
        <v>0.67</v>
      </c>
      <c r="D1243">
        <v>4.83</v>
      </c>
      <c r="E1243" s="29">
        <v>0.13871635609999999</v>
      </c>
      <c r="F1243">
        <v>7.95</v>
      </c>
      <c r="G1243">
        <v>0.11</v>
      </c>
      <c r="H1243">
        <v>8.06</v>
      </c>
      <c r="I1243" s="29">
        <v>0.98640000000000005</v>
      </c>
      <c r="J1243" s="29">
        <v>8.3100000000000007E-2</v>
      </c>
      <c r="K1243" s="9">
        <v>45324</v>
      </c>
      <c r="L1243">
        <f xml:space="preserve"> (交易處理資料__3[[#This Row],[售出工時]] * 60) / 5</f>
        <v>8.0400000000000009</v>
      </c>
      <c r="M1243" t="str">
        <f>VLOOKUP(交易處理資料__3[[#This Row],[人員代號]],團隊分組!$B$1:$C$52,2,FALSE)</f>
        <v>噴漆維修組</v>
      </c>
      <c r="N1243" t="str">
        <f>IF(交易處理資料__3[[#This Row],[上班時間]]=0,"否","是")</f>
        <v>是</v>
      </c>
      <c r="O1243" s="10" t="s">
        <v>74</v>
      </c>
      <c r="P1243" s="38">
        <v>0.13871635609999999</v>
      </c>
      <c r="Q1243" s="38">
        <v>8.3100000000000007E-2</v>
      </c>
      <c r="R1243" s="38">
        <v>0.98640000000000005</v>
      </c>
    </row>
    <row r="1244" spans="1:18" hidden="1">
      <c r="A1244" s="10" t="s">
        <v>74</v>
      </c>
      <c r="B1244" t="s">
        <v>4</v>
      </c>
      <c r="C1244">
        <v>2.99</v>
      </c>
      <c r="D1244">
        <v>6.22</v>
      </c>
      <c r="E1244" s="29">
        <v>0.48070739549999997</v>
      </c>
      <c r="F1244">
        <v>7.1</v>
      </c>
      <c r="G1244">
        <v>0.91</v>
      </c>
      <c r="H1244">
        <v>8.01</v>
      </c>
      <c r="I1244" s="29">
        <v>0.88639999999999997</v>
      </c>
      <c r="J1244" s="29">
        <v>0.37329999999999997</v>
      </c>
      <c r="K1244" s="9">
        <v>45324</v>
      </c>
      <c r="L1244">
        <f xml:space="preserve"> (交易處理資料__3[[#This Row],[售出工時]] * 60) / 5</f>
        <v>35.880000000000003</v>
      </c>
      <c r="M1244" t="str">
        <f>VLOOKUP(交易處理資料__3[[#This Row],[人員代號]],團隊分組!$B$1:$C$52,2,FALSE)</f>
        <v>噴漆維修組</v>
      </c>
      <c r="N1244" t="str">
        <f>IF(交易處理資料__3[[#This Row],[上班時間]]=0,"否","是")</f>
        <v>是</v>
      </c>
      <c r="O1244" s="10" t="s">
        <v>74</v>
      </c>
      <c r="P1244" s="37">
        <v>0.48070739549999997</v>
      </c>
      <c r="Q1244" s="37">
        <v>0.37329999999999997</v>
      </c>
      <c r="R1244" s="37">
        <v>0.88639999999999997</v>
      </c>
    </row>
    <row r="1245" spans="1:18" hidden="1">
      <c r="A1245" s="10" t="s">
        <v>74</v>
      </c>
      <c r="B1245" t="s">
        <v>6</v>
      </c>
      <c r="C1245">
        <v>0.67</v>
      </c>
      <c r="D1245">
        <v>4.83</v>
      </c>
      <c r="E1245" s="29">
        <v>0.13871635609999999</v>
      </c>
      <c r="F1245">
        <v>7.95</v>
      </c>
      <c r="G1245">
        <v>0.1</v>
      </c>
      <c r="H1245">
        <v>8.0500000000000007</v>
      </c>
      <c r="I1245" s="29">
        <v>0.98760000000000003</v>
      </c>
      <c r="J1245" s="29">
        <v>8.3199999999999996E-2</v>
      </c>
      <c r="K1245" s="9">
        <v>45324</v>
      </c>
      <c r="L1245">
        <f xml:space="preserve"> (交易處理資料__3[[#This Row],[售出工時]] * 60) / 5</f>
        <v>8.0400000000000009</v>
      </c>
      <c r="M1245" t="str">
        <f>VLOOKUP(交易處理資料__3[[#This Row],[人員代號]],團隊分組!$B$1:$C$52,2,FALSE)</f>
        <v>噴漆維修組</v>
      </c>
      <c r="N1245" t="str">
        <f>IF(交易處理資料__3[[#This Row],[上班時間]]=0,"否","是")</f>
        <v>是</v>
      </c>
      <c r="O1245" s="10" t="s">
        <v>74</v>
      </c>
      <c r="P1245" s="38">
        <v>0.13871635609999999</v>
      </c>
      <c r="Q1245" s="38">
        <v>8.3199999999999996E-2</v>
      </c>
      <c r="R1245" s="38">
        <v>0.98760000000000003</v>
      </c>
    </row>
    <row r="1246" spans="1:18">
      <c r="A1246" s="10" t="s">
        <v>74</v>
      </c>
      <c r="B1246" t="s">
        <v>7</v>
      </c>
      <c r="C1246">
        <v>3.96</v>
      </c>
      <c r="D1246">
        <v>4.63</v>
      </c>
      <c r="E1246" s="29">
        <v>0.8552915767</v>
      </c>
      <c r="F1246">
        <v>7.8</v>
      </c>
      <c r="G1246">
        <v>0.22</v>
      </c>
      <c r="H1246">
        <v>8.02</v>
      </c>
      <c r="I1246" s="29">
        <v>0.97260000000000002</v>
      </c>
      <c r="J1246" s="29">
        <v>0.49380000000000002</v>
      </c>
      <c r="K1246" s="9">
        <v>45324</v>
      </c>
      <c r="L1246">
        <f xml:space="preserve"> (交易處理資料__3[[#This Row],[售出工時]] * 60) / 5</f>
        <v>47.519999999999996</v>
      </c>
      <c r="M1246" t="str">
        <f>VLOOKUP(交易處理資料__3[[#This Row],[人員代號]],團隊分組!$B$1:$C$52,2,FALSE)</f>
        <v>噴漆維修組</v>
      </c>
      <c r="N1246" t="str">
        <f>IF(交易處理資料__3[[#This Row],[上班時間]]=0,"否","是")</f>
        <v>是</v>
      </c>
      <c r="O1246" s="10" t="s">
        <v>74</v>
      </c>
      <c r="P1246" s="37">
        <v>0.8552915767</v>
      </c>
      <c r="Q1246" s="37">
        <v>0.49380000000000002</v>
      </c>
      <c r="R1246" s="37">
        <v>0.97260000000000002</v>
      </c>
    </row>
    <row r="1247" spans="1:18" hidden="1">
      <c r="A1247" s="10" t="s">
        <v>74</v>
      </c>
      <c r="B1247" t="s">
        <v>8</v>
      </c>
      <c r="C1247">
        <v>0</v>
      </c>
      <c r="D1247">
        <v>0</v>
      </c>
      <c r="E1247" s="29">
        <v>0</v>
      </c>
      <c r="F1247">
        <v>7.08</v>
      </c>
      <c r="G1247">
        <v>0.92</v>
      </c>
      <c r="H1247">
        <v>8</v>
      </c>
      <c r="I1247" s="29">
        <v>0.88500000000000001</v>
      </c>
      <c r="J1247" s="29">
        <v>0</v>
      </c>
      <c r="K1247" s="9">
        <v>45324</v>
      </c>
      <c r="L1247">
        <f xml:space="preserve"> (交易處理資料__3[[#This Row],[售出工時]] * 60) / 5</f>
        <v>0</v>
      </c>
      <c r="M1247" t="str">
        <f>VLOOKUP(交易處理資料__3[[#This Row],[人員代號]],團隊分組!$B$1:$C$52,2,FALSE)</f>
        <v>噴漆維修組</v>
      </c>
      <c r="N1247" t="str">
        <f>IF(交易處理資料__3[[#This Row],[上班時間]]=0,"否","是")</f>
        <v>是</v>
      </c>
      <c r="O1247" s="10" t="s">
        <v>74</v>
      </c>
      <c r="P1247" s="38">
        <v>0</v>
      </c>
      <c r="Q1247" s="38">
        <v>0</v>
      </c>
      <c r="R1247" s="38">
        <v>0.88500000000000001</v>
      </c>
    </row>
    <row r="1248" spans="1:18" hidden="1">
      <c r="A1248" s="10" t="s">
        <v>74</v>
      </c>
      <c r="B1248" t="s">
        <v>9</v>
      </c>
      <c r="C1248">
        <v>3.01</v>
      </c>
      <c r="D1248">
        <v>6.27</v>
      </c>
      <c r="E1248" s="29">
        <v>0.48006379590000003</v>
      </c>
      <c r="F1248">
        <v>7.28</v>
      </c>
      <c r="G1248">
        <v>0.91</v>
      </c>
      <c r="H1248">
        <v>8.19</v>
      </c>
      <c r="I1248" s="29">
        <v>0.88890000000000002</v>
      </c>
      <c r="J1248" s="29">
        <v>0.36749999999999999</v>
      </c>
      <c r="K1248" s="9">
        <v>45324</v>
      </c>
      <c r="L1248">
        <f xml:space="preserve"> (交易處理資料__3[[#This Row],[售出工時]] * 60) / 5</f>
        <v>36.119999999999997</v>
      </c>
      <c r="M1248" t="str">
        <f>VLOOKUP(交易處理資料__3[[#This Row],[人員代號]],團隊分組!$B$1:$C$52,2,FALSE)</f>
        <v>噴漆維修組</v>
      </c>
      <c r="N1248" t="str">
        <f>IF(交易處理資料__3[[#This Row],[上班時間]]=0,"否","是")</f>
        <v>是</v>
      </c>
      <c r="O1248" s="10" t="s">
        <v>74</v>
      </c>
      <c r="P1248" s="37">
        <v>0.48006379590000003</v>
      </c>
      <c r="Q1248" s="37">
        <v>0.36749999999999999</v>
      </c>
      <c r="R1248" s="37">
        <v>0.88890000000000002</v>
      </c>
    </row>
    <row r="1249" spans="1:18" hidden="1">
      <c r="A1249" t="s">
        <v>75</v>
      </c>
      <c r="B1249" t="s">
        <v>12</v>
      </c>
      <c r="C1249">
        <v>0</v>
      </c>
      <c r="D1249">
        <v>0</v>
      </c>
      <c r="E1249" s="29">
        <v>0</v>
      </c>
      <c r="F1249">
        <v>6.26</v>
      </c>
      <c r="G1249">
        <v>1.8</v>
      </c>
      <c r="H1249">
        <v>8.06</v>
      </c>
      <c r="I1249" s="29">
        <v>0.77670000000000006</v>
      </c>
      <c r="J1249" s="29">
        <v>0</v>
      </c>
      <c r="K1249" s="9">
        <v>45324</v>
      </c>
      <c r="L1249">
        <f xml:space="preserve"> (交易處理資料__3[[#This Row],[售出工時]] * 60) / 5</f>
        <v>0</v>
      </c>
      <c r="M1249" t="str">
        <f>VLOOKUP(交易處理資料__3[[#This Row],[人員代號]],團隊分組!$B$1:$C$52,2,FALSE)</f>
        <v>鈑金維修組</v>
      </c>
      <c r="N1249" t="str">
        <f>IF(交易處理資料__3[[#This Row],[上班時間]]=0,"否","是")</f>
        <v>是</v>
      </c>
      <c r="O1249" t="s">
        <v>75</v>
      </c>
      <c r="P1249" s="38">
        <v>0</v>
      </c>
      <c r="Q1249" s="38">
        <v>0</v>
      </c>
      <c r="R1249" s="38">
        <v>0.77670000000000006</v>
      </c>
    </row>
    <row r="1250" spans="1:18" hidden="1">
      <c r="A1250" t="s">
        <v>75</v>
      </c>
      <c r="B1250" t="s">
        <v>13</v>
      </c>
      <c r="C1250">
        <v>0</v>
      </c>
      <c r="D1250">
        <v>0</v>
      </c>
      <c r="E1250" s="29">
        <v>0</v>
      </c>
      <c r="F1250">
        <v>7.14</v>
      </c>
      <c r="G1250">
        <v>0.92</v>
      </c>
      <c r="H1250">
        <v>8.06</v>
      </c>
      <c r="I1250" s="29">
        <v>0.88590000000000002</v>
      </c>
      <c r="J1250" s="29">
        <v>0</v>
      </c>
      <c r="K1250" s="9">
        <v>45324</v>
      </c>
      <c r="L1250">
        <f xml:space="preserve"> (交易處理資料__3[[#This Row],[售出工時]] * 60) / 5</f>
        <v>0</v>
      </c>
      <c r="M1250" t="str">
        <f>VLOOKUP(交易處理資料__3[[#This Row],[人員代號]],團隊分組!$B$1:$C$52,2,FALSE)</f>
        <v>鈑金維修組</v>
      </c>
      <c r="N1250" t="str">
        <f>IF(交易處理資料__3[[#This Row],[上班時間]]=0,"否","是")</f>
        <v>是</v>
      </c>
      <c r="O1250" t="s">
        <v>75</v>
      </c>
      <c r="P1250" s="37">
        <v>0</v>
      </c>
      <c r="Q1250" s="37">
        <v>0</v>
      </c>
      <c r="R1250" s="37">
        <v>0.88590000000000002</v>
      </c>
    </row>
    <row r="1251" spans="1:18" hidden="1">
      <c r="A1251" t="s">
        <v>75</v>
      </c>
      <c r="B1251" t="s">
        <v>14</v>
      </c>
      <c r="C1251">
        <v>1.5</v>
      </c>
      <c r="D1251">
        <v>2.1</v>
      </c>
      <c r="E1251" s="29">
        <v>0.7142857143000001</v>
      </c>
      <c r="F1251">
        <v>5.25</v>
      </c>
      <c r="G1251">
        <v>2.8</v>
      </c>
      <c r="H1251">
        <v>8.0500000000000007</v>
      </c>
      <c r="I1251" s="29">
        <v>0.6522</v>
      </c>
      <c r="J1251" s="29">
        <v>0.18629999999999999</v>
      </c>
      <c r="K1251" s="9">
        <v>45324</v>
      </c>
      <c r="L1251">
        <f xml:space="preserve"> (交易處理資料__3[[#This Row],[售出工時]] * 60) / 5</f>
        <v>18</v>
      </c>
      <c r="M1251" t="str">
        <f>VLOOKUP(交易處理資料__3[[#This Row],[人員代號]],團隊分組!$B$1:$C$52,2,FALSE)</f>
        <v>鈑金維修組</v>
      </c>
      <c r="N1251" t="str">
        <f>IF(交易處理資料__3[[#This Row],[上班時間]]=0,"否","是")</f>
        <v>是</v>
      </c>
      <c r="O1251" t="s">
        <v>75</v>
      </c>
      <c r="P1251" s="38">
        <v>0.7142857143000001</v>
      </c>
      <c r="Q1251" s="38">
        <v>0.18629999999999999</v>
      </c>
      <c r="R1251" s="38">
        <v>0.6522</v>
      </c>
    </row>
    <row r="1252" spans="1:18" hidden="1">
      <c r="A1252" t="s">
        <v>75</v>
      </c>
      <c r="B1252" t="s">
        <v>15</v>
      </c>
      <c r="C1252">
        <v>2</v>
      </c>
      <c r="D1252">
        <v>2.8</v>
      </c>
      <c r="E1252" s="29">
        <v>0.7142857143000001</v>
      </c>
      <c r="F1252">
        <v>6.32</v>
      </c>
      <c r="G1252">
        <v>1.73</v>
      </c>
      <c r="H1252">
        <v>8.0500000000000007</v>
      </c>
      <c r="I1252" s="29">
        <v>0.78510000000000002</v>
      </c>
      <c r="J1252" s="29">
        <v>0.24840000000000001</v>
      </c>
      <c r="K1252" s="9">
        <v>45324</v>
      </c>
      <c r="L1252">
        <f xml:space="preserve"> (交易處理資料__3[[#This Row],[售出工時]] * 60) / 5</f>
        <v>24</v>
      </c>
      <c r="M1252" t="str">
        <f>VLOOKUP(交易處理資料__3[[#This Row],[人員代號]],團隊分組!$B$1:$C$52,2,FALSE)</f>
        <v>鈑金維修組</v>
      </c>
      <c r="N1252" t="str">
        <f>IF(交易處理資料__3[[#This Row],[上班時間]]=0,"否","是")</f>
        <v>是</v>
      </c>
      <c r="O1252" t="s">
        <v>75</v>
      </c>
      <c r="P1252" s="37">
        <v>0.7142857143000001</v>
      </c>
      <c r="Q1252" s="37">
        <v>0.24840000000000001</v>
      </c>
      <c r="R1252" s="37">
        <v>0.78510000000000002</v>
      </c>
    </row>
    <row r="1253" spans="1:18" hidden="1">
      <c r="A1253" t="s">
        <v>76</v>
      </c>
      <c r="B1253" t="s">
        <v>17</v>
      </c>
      <c r="C1253">
        <v>14.66666667</v>
      </c>
      <c r="D1253">
        <v>8.07</v>
      </c>
      <c r="E1253" s="29">
        <v>1.817430814</v>
      </c>
      <c r="F1253">
        <v>6.7</v>
      </c>
      <c r="G1253">
        <v>2.2599999999999998</v>
      </c>
      <c r="H1253">
        <v>8.9600000000000009</v>
      </c>
      <c r="I1253" s="29">
        <v>0.74780000000000002</v>
      </c>
      <c r="J1253" s="29">
        <v>1.6369</v>
      </c>
      <c r="K1253" s="9">
        <v>45324</v>
      </c>
      <c r="L1253">
        <f xml:space="preserve"> (交易處理資料__3[[#This Row],[售出工時]] * 60) / 5</f>
        <v>176.00000003999997</v>
      </c>
      <c r="M1253" t="str">
        <f>VLOOKUP(交易處理資料__3[[#This Row],[人員代號]],團隊分組!$B$1:$C$52,2,FALSE)</f>
        <v>快速保養團隊A</v>
      </c>
      <c r="N1253" t="str">
        <f>IF(交易處理資料__3[[#This Row],[上班時間]]=0,"否","是")</f>
        <v>是</v>
      </c>
      <c r="O1253" t="s">
        <v>76</v>
      </c>
      <c r="P1253" s="38">
        <v>1.817430814</v>
      </c>
      <c r="Q1253" s="38">
        <v>1.6369</v>
      </c>
      <c r="R1253" s="38">
        <v>0.74780000000000002</v>
      </c>
    </row>
    <row r="1254" spans="1:18" hidden="1">
      <c r="A1254" t="s">
        <v>76</v>
      </c>
      <c r="B1254" t="s">
        <v>18</v>
      </c>
      <c r="C1254">
        <v>1.9166666670000001</v>
      </c>
      <c r="D1254">
        <v>5.86</v>
      </c>
      <c r="E1254" s="29">
        <v>0.32707622299999994</v>
      </c>
      <c r="F1254">
        <v>7.79</v>
      </c>
      <c r="G1254">
        <v>0.19</v>
      </c>
      <c r="H1254">
        <v>7.98</v>
      </c>
      <c r="I1254" s="29">
        <v>0.97620000000000007</v>
      </c>
      <c r="J1254" s="29">
        <v>0.2402</v>
      </c>
      <c r="K1254" s="9">
        <v>45324</v>
      </c>
      <c r="L1254">
        <f xml:space="preserve"> (交易處理資料__3[[#This Row],[售出工時]] * 60) / 5</f>
        <v>23.000000004</v>
      </c>
      <c r="M1254" t="str">
        <f>VLOOKUP(交易處理資料__3[[#This Row],[人員代號]],團隊分組!$B$1:$C$52,2,FALSE)</f>
        <v>查修團隊B</v>
      </c>
      <c r="N1254" t="str">
        <f>IF(交易處理資料__3[[#This Row],[上班時間]]=0,"否","是")</f>
        <v>是</v>
      </c>
      <c r="O1254" t="s">
        <v>76</v>
      </c>
      <c r="P1254" s="37">
        <v>0.32707622299999994</v>
      </c>
      <c r="Q1254" s="37">
        <v>0.2402</v>
      </c>
      <c r="R1254" s="37">
        <v>0.97620000000000007</v>
      </c>
    </row>
    <row r="1255" spans="1:18" hidden="1">
      <c r="A1255" t="s">
        <v>76</v>
      </c>
      <c r="B1255" t="s">
        <v>19</v>
      </c>
      <c r="C1255">
        <v>6.1766666670000001</v>
      </c>
      <c r="D1255">
        <v>7.58</v>
      </c>
      <c r="E1255" s="29">
        <v>0.81486367630000001</v>
      </c>
      <c r="F1255">
        <v>6.81</v>
      </c>
      <c r="G1255">
        <v>0.99</v>
      </c>
      <c r="H1255">
        <v>7.8</v>
      </c>
      <c r="I1255" s="29">
        <v>0.87309999999999999</v>
      </c>
      <c r="J1255" s="29">
        <v>0.79189999999999994</v>
      </c>
      <c r="K1255" s="9">
        <v>45324</v>
      </c>
      <c r="L1255">
        <f xml:space="preserve"> (交易處理資料__3[[#This Row],[售出工時]] * 60) / 5</f>
        <v>74.120000003999991</v>
      </c>
      <c r="M1255" t="str">
        <f>VLOOKUP(交易處理資料__3[[#This Row],[人員代號]],團隊分組!$B$1:$C$52,2,FALSE)</f>
        <v>查修團隊A</v>
      </c>
      <c r="N1255" t="str">
        <f>IF(交易處理資料__3[[#This Row],[上班時間]]=0,"否","是")</f>
        <v>是</v>
      </c>
      <c r="O1255" t="s">
        <v>76</v>
      </c>
      <c r="P1255" s="38">
        <v>0.81486367630000001</v>
      </c>
      <c r="Q1255" s="38">
        <v>0.79189999999999994</v>
      </c>
      <c r="R1255" s="38">
        <v>0.87309999999999999</v>
      </c>
    </row>
    <row r="1256" spans="1:18" hidden="1">
      <c r="A1256" t="s">
        <v>76</v>
      </c>
      <c r="B1256" t="s">
        <v>21</v>
      </c>
      <c r="C1256">
        <v>3.5</v>
      </c>
      <c r="D1256">
        <v>3.91</v>
      </c>
      <c r="E1256" s="29">
        <v>0.895140665</v>
      </c>
      <c r="F1256">
        <v>6.33</v>
      </c>
      <c r="G1256">
        <v>1.65</v>
      </c>
      <c r="H1256">
        <v>7.98</v>
      </c>
      <c r="I1256" s="29">
        <v>0.79319999999999991</v>
      </c>
      <c r="J1256" s="29">
        <v>0.43859999999999999</v>
      </c>
      <c r="K1256" s="9">
        <v>45324</v>
      </c>
      <c r="L1256">
        <f xml:space="preserve"> (交易處理資料__3[[#This Row],[售出工時]] * 60) / 5</f>
        <v>42</v>
      </c>
      <c r="M1256" t="str">
        <f>VLOOKUP(交易處理資料__3[[#This Row],[人員代號]],團隊分組!$B$1:$C$52,2,FALSE)</f>
        <v>查修團隊B</v>
      </c>
      <c r="N1256" t="str">
        <f>IF(交易處理資料__3[[#This Row],[上班時間]]=0,"否","是")</f>
        <v>是</v>
      </c>
      <c r="O1256" t="s">
        <v>76</v>
      </c>
      <c r="P1256" s="37">
        <v>0.895140665</v>
      </c>
      <c r="Q1256" s="37">
        <v>0.43859999999999999</v>
      </c>
      <c r="R1256" s="37">
        <v>0.79319999999999991</v>
      </c>
    </row>
    <row r="1257" spans="1:18" hidden="1">
      <c r="A1257" t="s">
        <v>76</v>
      </c>
      <c r="B1257" t="s">
        <v>22</v>
      </c>
      <c r="C1257">
        <v>10.01</v>
      </c>
      <c r="D1257">
        <v>6.02</v>
      </c>
      <c r="E1257" s="29">
        <v>1.662790698</v>
      </c>
      <c r="F1257">
        <v>6.02</v>
      </c>
      <c r="G1257">
        <v>2.0299999999999998</v>
      </c>
      <c r="H1257">
        <v>8.0500000000000007</v>
      </c>
      <c r="I1257" s="29">
        <v>0.74780000000000002</v>
      </c>
      <c r="J1257" s="29">
        <v>1.2435</v>
      </c>
      <c r="K1257" s="9">
        <v>45324</v>
      </c>
      <c r="L1257">
        <f xml:space="preserve"> (交易處理資料__3[[#This Row],[售出工時]] * 60) / 5</f>
        <v>120.12</v>
      </c>
      <c r="M1257" t="str">
        <f>VLOOKUP(交易處理資料__3[[#This Row],[人員代號]],團隊分組!$B$1:$C$52,2,FALSE)</f>
        <v>快速保養團隊A</v>
      </c>
      <c r="N1257" t="str">
        <f>IF(交易處理資料__3[[#This Row],[上班時間]]=0,"否","是")</f>
        <v>是</v>
      </c>
      <c r="O1257" t="s">
        <v>76</v>
      </c>
      <c r="P1257" s="38">
        <v>1.662790698</v>
      </c>
      <c r="Q1257" s="38">
        <v>1.2435</v>
      </c>
      <c r="R1257" s="38">
        <v>0.74780000000000002</v>
      </c>
    </row>
    <row r="1258" spans="1:18" hidden="1">
      <c r="A1258" t="s">
        <v>76</v>
      </c>
      <c r="B1258" t="s">
        <v>24</v>
      </c>
      <c r="C1258">
        <v>7.62</v>
      </c>
      <c r="D1258">
        <v>6.68</v>
      </c>
      <c r="E1258" s="29">
        <v>1.1407185629999999</v>
      </c>
      <c r="F1258">
        <v>6.68</v>
      </c>
      <c r="G1258">
        <v>1.17</v>
      </c>
      <c r="H1258">
        <v>7.85</v>
      </c>
      <c r="I1258" s="29">
        <v>0.85099999999999998</v>
      </c>
      <c r="J1258" s="29">
        <v>0.9706999999999999</v>
      </c>
      <c r="K1258" s="9">
        <v>45324</v>
      </c>
      <c r="L1258">
        <f xml:space="preserve"> (交易處理資料__3[[#This Row],[售出工時]] * 60) / 5</f>
        <v>91.44</v>
      </c>
      <c r="M1258" t="str">
        <f>VLOOKUP(交易處理資料__3[[#This Row],[人員代號]],團隊分組!$B$1:$C$52,2,FALSE)</f>
        <v>快速保養團隊A</v>
      </c>
      <c r="N1258" t="str">
        <f>IF(交易處理資料__3[[#This Row],[上班時間]]=0,"否","是")</f>
        <v>是</v>
      </c>
      <c r="O1258" t="s">
        <v>76</v>
      </c>
      <c r="P1258" s="37">
        <v>1.1407185629999999</v>
      </c>
      <c r="Q1258" s="37">
        <v>0.9706999999999999</v>
      </c>
      <c r="R1258" s="37">
        <v>0.85099999999999998</v>
      </c>
    </row>
    <row r="1259" spans="1:18" hidden="1">
      <c r="A1259" t="s">
        <v>76</v>
      </c>
      <c r="B1259" t="s">
        <v>25</v>
      </c>
      <c r="C1259">
        <v>1.9166666670000001</v>
      </c>
      <c r="D1259">
        <v>4.41</v>
      </c>
      <c r="E1259" s="29">
        <v>0.4346182918</v>
      </c>
      <c r="F1259">
        <v>7.21</v>
      </c>
      <c r="G1259">
        <v>0.57999999999999996</v>
      </c>
      <c r="H1259">
        <v>7.79</v>
      </c>
      <c r="I1259" s="29">
        <v>0.92549999999999999</v>
      </c>
      <c r="J1259" s="29">
        <v>0.24600000000000002</v>
      </c>
      <c r="K1259" s="9">
        <v>45324</v>
      </c>
      <c r="L1259">
        <f xml:space="preserve"> (交易處理資料__3[[#This Row],[售出工時]] * 60) / 5</f>
        <v>23.000000004</v>
      </c>
      <c r="M1259" t="str">
        <f>VLOOKUP(交易處理資料__3[[#This Row],[人員代號]],團隊分組!$B$1:$C$52,2,FALSE)</f>
        <v>查修團隊A</v>
      </c>
      <c r="N1259" t="str">
        <f>IF(交易處理資料__3[[#This Row],[上班時間]]=0,"否","是")</f>
        <v>是</v>
      </c>
      <c r="O1259" t="s">
        <v>76</v>
      </c>
      <c r="P1259" s="38">
        <v>0.4346182918</v>
      </c>
      <c r="Q1259" s="38">
        <v>0.24600000000000002</v>
      </c>
      <c r="R1259" s="38">
        <v>0.92549999999999999</v>
      </c>
    </row>
    <row r="1260" spans="1:18" hidden="1">
      <c r="A1260" t="s">
        <v>76</v>
      </c>
      <c r="B1260" t="s">
        <v>26</v>
      </c>
      <c r="C1260">
        <v>8.3333332999999996E-2</v>
      </c>
      <c r="D1260">
        <v>0.01</v>
      </c>
      <c r="E1260" s="29">
        <v>8.3333333330000006</v>
      </c>
      <c r="F1260">
        <v>2.62</v>
      </c>
      <c r="G1260">
        <v>5.35</v>
      </c>
      <c r="H1260">
        <v>7.97</v>
      </c>
      <c r="I1260" s="29">
        <v>0.32869999999999999</v>
      </c>
      <c r="J1260" s="29">
        <v>1.0500000000000001E-2</v>
      </c>
      <c r="K1260" s="9">
        <v>45324</v>
      </c>
      <c r="L1260">
        <f xml:space="preserve"> (交易處理資料__3[[#This Row],[售出工時]] * 60) / 5</f>
        <v>0.999999996</v>
      </c>
      <c r="M1260" t="str">
        <f>VLOOKUP(交易處理資料__3[[#This Row],[人員代號]],團隊分組!$B$1:$C$52,2,FALSE)</f>
        <v>查修團隊B</v>
      </c>
      <c r="N1260" t="str">
        <f>IF(交易處理資料__3[[#This Row],[上班時間]]=0,"否","是")</f>
        <v>是</v>
      </c>
      <c r="O1260" t="s">
        <v>76</v>
      </c>
      <c r="P1260" s="37">
        <v>8.3333333330000006</v>
      </c>
      <c r="Q1260" s="37">
        <v>1.0500000000000001E-2</v>
      </c>
      <c r="R1260" s="37">
        <v>0.32869999999999999</v>
      </c>
    </row>
    <row r="1261" spans="1:18" hidden="1">
      <c r="A1261" t="s">
        <v>76</v>
      </c>
      <c r="B1261" t="s">
        <v>29</v>
      </c>
      <c r="C1261">
        <v>0</v>
      </c>
      <c r="D1261">
        <v>0</v>
      </c>
      <c r="E1261" s="29">
        <v>0</v>
      </c>
      <c r="F1261">
        <v>7</v>
      </c>
      <c r="G1261">
        <v>0.94</v>
      </c>
      <c r="H1261">
        <v>7.94</v>
      </c>
      <c r="I1261" s="29">
        <v>0.88159999999999994</v>
      </c>
      <c r="J1261" s="29">
        <v>0</v>
      </c>
      <c r="K1261" s="9">
        <v>45324</v>
      </c>
      <c r="L1261">
        <f xml:space="preserve"> (交易處理資料__3[[#This Row],[售出工時]] * 60) / 5</f>
        <v>0</v>
      </c>
      <c r="M1261" t="str">
        <f>VLOOKUP(交易處理資料__3[[#This Row],[人員代號]],團隊分組!$B$1:$C$52,2,FALSE)</f>
        <v>查修團隊B</v>
      </c>
      <c r="N1261" t="str">
        <f>IF(交易處理資料__3[[#This Row],[上班時間]]=0,"否","是")</f>
        <v>是</v>
      </c>
      <c r="O1261" t="s">
        <v>76</v>
      </c>
      <c r="P1261" s="38">
        <v>0</v>
      </c>
      <c r="Q1261" s="38">
        <v>0</v>
      </c>
      <c r="R1261" s="38">
        <v>0.88159999999999994</v>
      </c>
    </row>
    <row r="1262" spans="1:18" hidden="1">
      <c r="A1262" t="s">
        <v>76</v>
      </c>
      <c r="B1262" t="s">
        <v>33</v>
      </c>
      <c r="C1262">
        <v>0</v>
      </c>
      <c r="D1262">
        <v>0</v>
      </c>
      <c r="E1262" s="29">
        <v>0</v>
      </c>
      <c r="F1262">
        <v>0</v>
      </c>
      <c r="G1262">
        <v>0</v>
      </c>
      <c r="H1262">
        <v>0</v>
      </c>
      <c r="I1262" s="29">
        <v>0</v>
      </c>
      <c r="J1262" s="29">
        <v>0</v>
      </c>
      <c r="K1262" s="9">
        <v>45324</v>
      </c>
      <c r="L1262">
        <f xml:space="preserve"> (交易處理資料__3[[#This Row],[售出工時]] * 60) / 5</f>
        <v>0</v>
      </c>
      <c r="M1262" t="str">
        <f>VLOOKUP(交易處理資料__3[[#This Row],[人員代號]],團隊分組!$B$1:$C$52,2,FALSE)</f>
        <v>快速保養團隊B</v>
      </c>
      <c r="N1262" t="str">
        <f>IF(交易處理資料__3[[#This Row],[上班時間]]=0,"否","是")</f>
        <v>否</v>
      </c>
      <c r="O1262" t="s">
        <v>76</v>
      </c>
      <c r="P1262" s="37">
        <v>0</v>
      </c>
      <c r="Q1262" s="37">
        <v>0</v>
      </c>
      <c r="R1262" s="37">
        <v>0</v>
      </c>
    </row>
    <row r="1263" spans="1:18" hidden="1">
      <c r="A1263" t="s">
        <v>76</v>
      </c>
      <c r="B1263" t="s">
        <v>34</v>
      </c>
      <c r="C1263">
        <v>7.67</v>
      </c>
      <c r="D1263">
        <v>8.11</v>
      </c>
      <c r="E1263" s="29">
        <v>0.94574599260000003</v>
      </c>
      <c r="F1263">
        <v>6.89</v>
      </c>
      <c r="G1263">
        <v>1.27</v>
      </c>
      <c r="H1263">
        <v>8.16</v>
      </c>
      <c r="I1263" s="29">
        <v>0.84439999999999993</v>
      </c>
      <c r="J1263" s="29">
        <v>0.94</v>
      </c>
      <c r="K1263" s="9">
        <v>45324</v>
      </c>
      <c r="L1263">
        <f xml:space="preserve"> (交易處理資料__3[[#This Row],[售出工時]] * 60) / 5</f>
        <v>92.039999999999992</v>
      </c>
      <c r="M1263" t="str">
        <f>VLOOKUP(交易處理資料__3[[#This Row],[人員代號]],團隊分組!$B$1:$C$52,2,FALSE)</f>
        <v>快速保養團隊A</v>
      </c>
      <c r="N1263" t="str">
        <f>IF(交易處理資料__3[[#This Row],[上班時間]]=0,"否","是")</f>
        <v>是</v>
      </c>
      <c r="O1263" t="s">
        <v>76</v>
      </c>
      <c r="P1263" s="38">
        <v>0.94574599260000003</v>
      </c>
      <c r="Q1263" s="38">
        <v>0.94</v>
      </c>
      <c r="R1263" s="38">
        <v>0.84439999999999993</v>
      </c>
    </row>
    <row r="1264" spans="1:18" hidden="1">
      <c r="A1264" t="s">
        <v>76</v>
      </c>
      <c r="B1264" t="s">
        <v>35</v>
      </c>
      <c r="C1264">
        <v>2.7266666669999999</v>
      </c>
      <c r="D1264">
        <v>2.36</v>
      </c>
      <c r="E1264" s="29">
        <v>1.1553672319999999</v>
      </c>
      <c r="F1264">
        <v>7.4</v>
      </c>
      <c r="G1264">
        <v>2.59</v>
      </c>
      <c r="H1264">
        <v>9.99</v>
      </c>
      <c r="I1264" s="29">
        <v>0.74069999999999991</v>
      </c>
      <c r="J1264" s="29">
        <v>0.27289999999999998</v>
      </c>
      <c r="K1264" s="9">
        <v>45324</v>
      </c>
      <c r="L1264">
        <f xml:space="preserve"> (交易處理資料__3[[#This Row],[售出工時]] * 60) / 5</f>
        <v>32.720000003999999</v>
      </c>
      <c r="M1264" t="str">
        <f>VLOOKUP(交易處理資料__3[[#This Row],[人員代號]],團隊分組!$B$1:$C$52,2,FALSE)</f>
        <v>查修團隊B</v>
      </c>
      <c r="N1264" t="str">
        <f>IF(交易處理資料__3[[#This Row],[上班時間]]=0,"否","是")</f>
        <v>是</v>
      </c>
      <c r="O1264" t="s">
        <v>76</v>
      </c>
      <c r="P1264" s="37">
        <v>1.1553672319999999</v>
      </c>
      <c r="Q1264" s="37">
        <v>0.27289999999999998</v>
      </c>
      <c r="R1264" s="37">
        <v>0.74069999999999991</v>
      </c>
    </row>
    <row r="1265" spans="1:18" hidden="1">
      <c r="A1265" t="s">
        <v>76</v>
      </c>
      <c r="B1265" t="s">
        <v>36</v>
      </c>
      <c r="C1265">
        <v>3.47</v>
      </c>
      <c r="D1265">
        <v>4.16</v>
      </c>
      <c r="E1265" s="29">
        <v>0.8341346154</v>
      </c>
      <c r="F1265">
        <v>6.05</v>
      </c>
      <c r="G1265">
        <v>4.16</v>
      </c>
      <c r="H1265">
        <v>10.210000000000001</v>
      </c>
      <c r="I1265" s="29">
        <v>0.59260000000000002</v>
      </c>
      <c r="J1265" s="29">
        <v>0.33990000000000004</v>
      </c>
      <c r="K1265" s="9">
        <v>45324</v>
      </c>
      <c r="L1265">
        <f xml:space="preserve"> (交易處理資料__3[[#This Row],[售出工時]] * 60) / 5</f>
        <v>41.64</v>
      </c>
      <c r="M1265" t="str">
        <f>VLOOKUP(交易處理資料__3[[#This Row],[人員代號]],團隊分組!$B$1:$C$52,2,FALSE)</f>
        <v>查修團隊B</v>
      </c>
      <c r="N1265" t="str">
        <f>IF(交易處理資料__3[[#This Row],[上班時間]]=0,"否","是")</f>
        <v>是</v>
      </c>
      <c r="O1265" t="s">
        <v>76</v>
      </c>
      <c r="P1265" s="38">
        <v>0.8341346154</v>
      </c>
      <c r="Q1265" s="38">
        <v>0.33990000000000004</v>
      </c>
      <c r="R1265" s="38">
        <v>0.59260000000000002</v>
      </c>
    </row>
    <row r="1266" spans="1:18" hidden="1">
      <c r="A1266" t="s">
        <v>76</v>
      </c>
      <c r="B1266" t="s">
        <v>38</v>
      </c>
      <c r="C1266">
        <v>14.08333333</v>
      </c>
      <c r="D1266">
        <v>7.98</v>
      </c>
      <c r="E1266" s="29">
        <v>1.7648287389999999</v>
      </c>
      <c r="F1266">
        <v>6.83</v>
      </c>
      <c r="G1266">
        <v>1.37</v>
      </c>
      <c r="H1266">
        <v>8.1999999999999993</v>
      </c>
      <c r="I1266" s="29">
        <v>0.83290000000000008</v>
      </c>
      <c r="J1266" s="29">
        <v>1.7175</v>
      </c>
      <c r="K1266" s="9">
        <v>45324</v>
      </c>
      <c r="L1266">
        <f xml:space="preserve"> (交易處理資料__3[[#This Row],[售出工時]] * 60) / 5</f>
        <v>168.99999996000003</v>
      </c>
      <c r="M1266" t="str">
        <f>VLOOKUP(交易處理資料__3[[#This Row],[人員代號]],團隊分組!$B$1:$C$52,2,FALSE)</f>
        <v>快速保養團隊A</v>
      </c>
      <c r="N1266" t="str">
        <f>IF(交易處理資料__3[[#This Row],[上班時間]]=0,"否","是")</f>
        <v>是</v>
      </c>
      <c r="O1266" t="s">
        <v>76</v>
      </c>
      <c r="P1266" s="37">
        <v>1.7648287389999999</v>
      </c>
      <c r="Q1266" s="37">
        <v>1.7175</v>
      </c>
      <c r="R1266" s="37">
        <v>0.83290000000000008</v>
      </c>
    </row>
    <row r="1267" spans="1:18" hidden="1">
      <c r="A1267" t="s">
        <v>76</v>
      </c>
      <c r="B1267" t="s">
        <v>39</v>
      </c>
      <c r="C1267">
        <v>1.9166666670000001</v>
      </c>
      <c r="D1267">
        <v>2.69</v>
      </c>
      <c r="E1267" s="29">
        <v>0.71251548949999999</v>
      </c>
      <c r="F1267">
        <v>4.54</v>
      </c>
      <c r="G1267">
        <v>3.29</v>
      </c>
      <c r="H1267">
        <v>7.83</v>
      </c>
      <c r="I1267" s="29">
        <v>0.57979999999999998</v>
      </c>
      <c r="J1267" s="29">
        <v>0.24480000000000002</v>
      </c>
      <c r="K1267" s="9">
        <v>45324</v>
      </c>
      <c r="L1267">
        <f xml:space="preserve"> (交易處理資料__3[[#This Row],[售出工時]] * 60) / 5</f>
        <v>23.000000004</v>
      </c>
      <c r="M1267" t="str">
        <f>VLOOKUP(交易處理資料__3[[#This Row],[人員代號]],團隊分組!$B$1:$C$52,2,FALSE)</f>
        <v>查修團隊A</v>
      </c>
      <c r="N1267" t="str">
        <f>IF(交易處理資料__3[[#This Row],[上班時間]]=0,"否","是")</f>
        <v>是</v>
      </c>
      <c r="O1267" t="s">
        <v>76</v>
      </c>
      <c r="P1267" s="38">
        <v>0.71251548949999999</v>
      </c>
      <c r="Q1267" s="38">
        <v>0.24480000000000002</v>
      </c>
      <c r="R1267" s="38">
        <v>0.57979999999999998</v>
      </c>
    </row>
    <row r="1268" spans="1:18" hidden="1">
      <c r="A1268" t="s">
        <v>76</v>
      </c>
      <c r="B1268" t="s">
        <v>42</v>
      </c>
      <c r="C1268">
        <v>7.8333333329999997</v>
      </c>
      <c r="D1268">
        <v>7.52</v>
      </c>
      <c r="E1268" s="29">
        <v>1.0416666669999999</v>
      </c>
      <c r="F1268">
        <v>4.4400000000000004</v>
      </c>
      <c r="G1268">
        <v>3.73</v>
      </c>
      <c r="H1268">
        <v>8.17</v>
      </c>
      <c r="I1268" s="29">
        <v>0.54349999999999998</v>
      </c>
      <c r="J1268" s="29">
        <v>0.95879999999999999</v>
      </c>
      <c r="K1268" s="9">
        <v>45324</v>
      </c>
      <c r="L1268">
        <f xml:space="preserve"> (交易處理資料__3[[#This Row],[售出工時]] * 60) / 5</f>
        <v>93.999999996</v>
      </c>
      <c r="M1268" t="str">
        <f>VLOOKUP(交易處理資料__3[[#This Row],[人員代號]],團隊分組!$B$1:$C$52,2,FALSE)</f>
        <v>快速保養團隊A</v>
      </c>
      <c r="N1268" t="str">
        <f>IF(交易處理資料__3[[#This Row],[上班時間]]=0,"否","是")</f>
        <v>是</v>
      </c>
      <c r="O1268" t="s">
        <v>76</v>
      </c>
      <c r="P1268" s="37">
        <v>1.0416666669999999</v>
      </c>
      <c r="Q1268" s="37">
        <v>0.95879999999999999</v>
      </c>
      <c r="R1268" s="37">
        <v>0.54349999999999998</v>
      </c>
    </row>
    <row r="1269" spans="1:18" hidden="1">
      <c r="A1269" t="s">
        <v>76</v>
      </c>
      <c r="B1269" t="s">
        <v>43</v>
      </c>
      <c r="C1269">
        <v>3.6966666670000001</v>
      </c>
      <c r="D1269">
        <v>5.97</v>
      </c>
      <c r="E1269" s="29">
        <v>0.6192071468</v>
      </c>
      <c r="F1269">
        <v>4.63</v>
      </c>
      <c r="G1269">
        <v>3.37</v>
      </c>
      <c r="H1269">
        <v>8</v>
      </c>
      <c r="I1269" s="29">
        <v>0.57879999999999998</v>
      </c>
      <c r="J1269" s="29">
        <v>0.46210000000000001</v>
      </c>
      <c r="K1269" s="9">
        <v>45324</v>
      </c>
      <c r="L1269">
        <f xml:space="preserve"> (交易處理資料__3[[#This Row],[售出工時]] * 60) / 5</f>
        <v>44.360000004</v>
      </c>
      <c r="M1269" t="str">
        <f>VLOOKUP(交易處理資料__3[[#This Row],[人員代號]],團隊分組!$B$1:$C$52,2,FALSE)</f>
        <v>查修團隊B</v>
      </c>
      <c r="N1269" t="str">
        <f>IF(交易處理資料__3[[#This Row],[上班時間]]=0,"否","是")</f>
        <v>是</v>
      </c>
      <c r="O1269" t="s">
        <v>76</v>
      </c>
      <c r="P1269" s="38">
        <v>0.6192071468</v>
      </c>
      <c r="Q1269" s="38">
        <v>0.46210000000000001</v>
      </c>
      <c r="R1269" s="38">
        <v>0.57879999999999998</v>
      </c>
    </row>
    <row r="1270" spans="1:18" hidden="1">
      <c r="A1270" t="s">
        <v>76</v>
      </c>
      <c r="B1270" t="s">
        <v>45</v>
      </c>
      <c r="C1270">
        <v>10.92333333</v>
      </c>
      <c r="D1270">
        <v>6.05</v>
      </c>
      <c r="E1270" s="29">
        <v>1.8055096420000001</v>
      </c>
      <c r="F1270">
        <v>6.88</v>
      </c>
      <c r="G1270">
        <v>1.29</v>
      </c>
      <c r="H1270">
        <v>8.17</v>
      </c>
      <c r="I1270" s="29">
        <v>0.84209999999999996</v>
      </c>
      <c r="J1270" s="29">
        <v>1.337</v>
      </c>
      <c r="K1270" s="9">
        <v>45324</v>
      </c>
      <c r="L1270">
        <f xml:space="preserve"> (交易處理資料__3[[#This Row],[售出工時]] * 60) / 5</f>
        <v>131.07999996000001</v>
      </c>
      <c r="M1270" t="str">
        <f>VLOOKUP(交易處理資料__3[[#This Row],[人員代號]],團隊分組!$B$1:$C$52,2,FALSE)</f>
        <v>快速保養團隊A</v>
      </c>
      <c r="N1270" t="str">
        <f>IF(交易處理資料__3[[#This Row],[上班時間]]=0,"否","是")</f>
        <v>是</v>
      </c>
      <c r="O1270" t="s">
        <v>76</v>
      </c>
      <c r="P1270" s="37">
        <v>1.8055096420000001</v>
      </c>
      <c r="Q1270" s="37">
        <v>1.337</v>
      </c>
      <c r="R1270" s="37">
        <v>0.84209999999999996</v>
      </c>
    </row>
    <row r="1271" spans="1:18" hidden="1">
      <c r="A1271" t="s">
        <v>76</v>
      </c>
      <c r="B1271" t="s">
        <v>46</v>
      </c>
      <c r="C1271">
        <v>5</v>
      </c>
      <c r="D1271">
        <v>5.54</v>
      </c>
      <c r="E1271" s="29">
        <v>0.90252707580000002</v>
      </c>
      <c r="F1271">
        <v>5.82</v>
      </c>
      <c r="G1271">
        <v>2.15</v>
      </c>
      <c r="H1271">
        <v>7.97</v>
      </c>
      <c r="I1271" s="29">
        <v>0.73019999999999996</v>
      </c>
      <c r="J1271" s="29">
        <v>0.62740000000000007</v>
      </c>
      <c r="K1271" s="9">
        <v>45324</v>
      </c>
      <c r="L1271">
        <f xml:space="preserve"> (交易處理資料__3[[#This Row],[售出工時]] * 60) / 5</f>
        <v>60</v>
      </c>
      <c r="M1271" t="str">
        <f>VLOOKUP(交易處理資料__3[[#This Row],[人員代號]],團隊分組!$B$1:$C$52,2,FALSE)</f>
        <v>查修團隊B</v>
      </c>
      <c r="N1271" t="str">
        <f>IF(交易處理資料__3[[#This Row],[上班時間]]=0,"否","是")</f>
        <v>是</v>
      </c>
      <c r="O1271" t="s">
        <v>76</v>
      </c>
      <c r="P1271" s="38">
        <v>0.90252707580000002</v>
      </c>
      <c r="Q1271" s="38">
        <v>0.62740000000000007</v>
      </c>
      <c r="R1271" s="38">
        <v>0.73019999999999996</v>
      </c>
    </row>
    <row r="1272" spans="1:18" hidden="1">
      <c r="A1272" t="s">
        <v>76</v>
      </c>
      <c r="B1272" t="s">
        <v>48</v>
      </c>
      <c r="C1272">
        <v>0</v>
      </c>
      <c r="D1272">
        <v>0</v>
      </c>
      <c r="E1272" s="29">
        <v>0</v>
      </c>
      <c r="F1272">
        <v>0</v>
      </c>
      <c r="G1272">
        <v>0</v>
      </c>
      <c r="H1272">
        <v>0</v>
      </c>
      <c r="I1272" s="29">
        <v>0</v>
      </c>
      <c r="J1272" s="29">
        <v>0</v>
      </c>
      <c r="K1272" s="9">
        <v>45324</v>
      </c>
      <c r="L1272">
        <f xml:space="preserve"> (交易處理資料__3[[#This Row],[售出工時]] * 60) / 5</f>
        <v>0</v>
      </c>
      <c r="M1272" t="str">
        <f>VLOOKUP(交易處理資料__3[[#This Row],[人員代號]],團隊分組!$B$1:$C$52,2,FALSE)</f>
        <v>查修團隊A</v>
      </c>
      <c r="N1272" t="str">
        <f>IF(交易處理資料__3[[#This Row],[上班時間]]=0,"否","是")</f>
        <v>否</v>
      </c>
      <c r="O1272" t="s">
        <v>76</v>
      </c>
      <c r="P1272" s="37">
        <v>0</v>
      </c>
      <c r="Q1272" s="37">
        <v>0</v>
      </c>
      <c r="R1272" s="37">
        <v>0</v>
      </c>
    </row>
    <row r="1273" spans="1:18" hidden="1">
      <c r="A1273" t="s">
        <v>76</v>
      </c>
      <c r="B1273" t="s">
        <v>49</v>
      </c>
      <c r="C1273">
        <v>4.3</v>
      </c>
      <c r="D1273">
        <v>7</v>
      </c>
      <c r="E1273" s="29">
        <v>0.61428571430000001</v>
      </c>
      <c r="F1273">
        <v>7.27</v>
      </c>
      <c r="G1273">
        <v>0.53</v>
      </c>
      <c r="H1273">
        <v>7.8</v>
      </c>
      <c r="I1273" s="29">
        <v>0.93209999999999993</v>
      </c>
      <c r="J1273" s="29">
        <v>0.55130000000000001</v>
      </c>
      <c r="K1273" s="9">
        <v>45324</v>
      </c>
      <c r="L1273">
        <f xml:space="preserve"> (交易處理資料__3[[#This Row],[售出工時]] * 60) / 5</f>
        <v>51.6</v>
      </c>
      <c r="M1273" t="str">
        <f>VLOOKUP(交易處理資料__3[[#This Row],[人員代號]],團隊分組!$B$1:$C$52,2,FALSE)</f>
        <v>查修團隊A</v>
      </c>
      <c r="N1273" t="str">
        <f>IF(交易處理資料__3[[#This Row],[上班時間]]=0,"否","是")</f>
        <v>是</v>
      </c>
      <c r="O1273" t="s">
        <v>76</v>
      </c>
      <c r="P1273" s="38">
        <v>0.61428571430000001</v>
      </c>
      <c r="Q1273" s="38">
        <v>0.55130000000000001</v>
      </c>
      <c r="R1273" s="38">
        <v>0.93209999999999993</v>
      </c>
    </row>
    <row r="1274" spans="1:18" hidden="1">
      <c r="A1274" t="s">
        <v>76</v>
      </c>
      <c r="B1274" t="s">
        <v>51</v>
      </c>
      <c r="C1274">
        <v>0</v>
      </c>
      <c r="D1274">
        <v>0</v>
      </c>
      <c r="E1274" s="29">
        <v>0</v>
      </c>
      <c r="F1274">
        <v>0</v>
      </c>
      <c r="G1274">
        <v>0</v>
      </c>
      <c r="H1274">
        <v>0</v>
      </c>
      <c r="I1274" s="29">
        <v>0</v>
      </c>
      <c r="J1274" s="29">
        <v>0</v>
      </c>
      <c r="K1274" s="9">
        <v>45324</v>
      </c>
      <c r="L1274">
        <f xml:space="preserve"> (交易處理資料__3[[#This Row],[售出工時]] * 60) / 5</f>
        <v>0</v>
      </c>
      <c r="M1274" t="str">
        <f>VLOOKUP(交易處理資料__3[[#This Row],[人員代號]],團隊分組!$B$1:$C$52,2,FALSE)</f>
        <v>無效數據</v>
      </c>
      <c r="N1274" t="str">
        <f>IF(交易處理資料__3[[#This Row],[上班時間]]=0,"否","是")</f>
        <v>否</v>
      </c>
      <c r="O1274" t="s">
        <v>76</v>
      </c>
      <c r="P1274" s="37">
        <v>0</v>
      </c>
      <c r="Q1274" s="37">
        <v>0</v>
      </c>
      <c r="R1274" s="37">
        <v>0</v>
      </c>
    </row>
    <row r="1275" spans="1:18" hidden="1">
      <c r="A1275" t="s">
        <v>76</v>
      </c>
      <c r="B1275" t="s">
        <v>52</v>
      </c>
      <c r="C1275">
        <v>4.3333333329999997</v>
      </c>
      <c r="D1275">
        <v>7.92</v>
      </c>
      <c r="E1275" s="29">
        <v>0.54713804710000002</v>
      </c>
      <c r="F1275">
        <v>7.9</v>
      </c>
      <c r="G1275">
        <v>0.4</v>
      </c>
      <c r="H1275">
        <v>8.3000000000000007</v>
      </c>
      <c r="I1275" s="29">
        <v>0.95180000000000009</v>
      </c>
      <c r="J1275" s="29">
        <v>0.52210000000000001</v>
      </c>
      <c r="K1275" s="9">
        <v>45324</v>
      </c>
      <c r="L1275">
        <f xml:space="preserve"> (交易處理資料__3[[#This Row],[售出工時]] * 60) / 5</f>
        <v>51.999999996</v>
      </c>
      <c r="M1275" t="str">
        <f>VLOOKUP(交易處理資料__3[[#This Row],[人員代號]],團隊分組!$B$1:$C$52,2,FALSE)</f>
        <v>查修團隊B</v>
      </c>
      <c r="N1275" t="str">
        <f>IF(交易處理資料__3[[#This Row],[上班時間]]=0,"否","是")</f>
        <v>是</v>
      </c>
      <c r="O1275" t="s">
        <v>76</v>
      </c>
      <c r="P1275" s="38">
        <v>0.54713804710000002</v>
      </c>
      <c r="Q1275" s="38">
        <v>0.52210000000000001</v>
      </c>
      <c r="R1275" s="38">
        <v>0.95180000000000009</v>
      </c>
    </row>
    <row r="1276" spans="1:18" hidden="1">
      <c r="A1276" s="10" t="s">
        <v>74</v>
      </c>
      <c r="B1276" t="s">
        <v>1</v>
      </c>
      <c r="C1276">
        <v>0</v>
      </c>
      <c r="D1276">
        <v>0</v>
      </c>
      <c r="E1276" s="29">
        <v>0</v>
      </c>
      <c r="F1276">
        <v>5.85</v>
      </c>
      <c r="G1276">
        <v>2.15</v>
      </c>
      <c r="H1276">
        <v>8</v>
      </c>
      <c r="I1276" s="29">
        <v>0.73129999999999995</v>
      </c>
      <c r="J1276" s="29">
        <v>0</v>
      </c>
      <c r="K1276" s="9">
        <v>45325</v>
      </c>
      <c r="L1276">
        <f xml:space="preserve"> (交易處理資料__3[[#This Row],[售出工時]] * 60) / 5</f>
        <v>0</v>
      </c>
      <c r="M1276" t="str">
        <f>VLOOKUP(交易處理資料__3[[#This Row],[人員代號]],團隊分組!$B$1:$C$52,2,FALSE)</f>
        <v>噴漆維修組</v>
      </c>
      <c r="N1276" t="str">
        <f>IF(交易處理資料__3[[#This Row],[上班時間]]=0,"否","是")</f>
        <v>是</v>
      </c>
      <c r="O1276" s="10" t="s">
        <v>74</v>
      </c>
      <c r="P1276" s="37">
        <v>0</v>
      </c>
      <c r="Q1276" s="37">
        <v>0</v>
      </c>
      <c r="R1276" s="37">
        <v>0.73129999999999995</v>
      </c>
    </row>
    <row r="1277" spans="1:18" hidden="1">
      <c r="A1277" s="10" t="s">
        <v>74</v>
      </c>
      <c r="B1277" t="s">
        <v>2</v>
      </c>
      <c r="C1277">
        <v>0</v>
      </c>
      <c r="D1277">
        <v>0</v>
      </c>
      <c r="E1277" s="29">
        <v>0</v>
      </c>
      <c r="F1277">
        <v>0</v>
      </c>
      <c r="G1277">
        <v>0</v>
      </c>
      <c r="H1277">
        <v>0</v>
      </c>
      <c r="I1277" s="29">
        <v>0</v>
      </c>
      <c r="J1277" s="29">
        <v>0</v>
      </c>
      <c r="K1277" s="9">
        <v>45325</v>
      </c>
      <c r="L1277">
        <f xml:space="preserve"> (交易處理資料__3[[#This Row],[售出工時]] * 60) / 5</f>
        <v>0</v>
      </c>
      <c r="M1277" t="str">
        <f>VLOOKUP(交易處理資料__3[[#This Row],[人員代號]],團隊分組!$B$1:$C$52,2,FALSE)</f>
        <v>噴漆維修組</v>
      </c>
      <c r="N1277" t="str">
        <f>IF(交易處理資料__3[[#This Row],[上班時間]]=0,"否","是")</f>
        <v>否</v>
      </c>
      <c r="O1277" s="10" t="s">
        <v>74</v>
      </c>
      <c r="P1277" s="38">
        <v>0</v>
      </c>
      <c r="Q1277" s="38">
        <v>0</v>
      </c>
      <c r="R1277" s="38">
        <v>0</v>
      </c>
    </row>
    <row r="1278" spans="1:18" hidden="1">
      <c r="A1278" s="10" t="s">
        <v>74</v>
      </c>
      <c r="B1278" t="s">
        <v>3</v>
      </c>
      <c r="C1278">
        <v>0</v>
      </c>
      <c r="D1278">
        <v>0</v>
      </c>
      <c r="E1278" s="29">
        <v>0</v>
      </c>
      <c r="F1278">
        <v>7.52</v>
      </c>
      <c r="G1278">
        <v>0.47</v>
      </c>
      <c r="H1278">
        <v>7.99</v>
      </c>
      <c r="I1278" s="29">
        <v>0.94120000000000004</v>
      </c>
      <c r="J1278" s="29">
        <v>0</v>
      </c>
      <c r="K1278" s="9">
        <v>45325</v>
      </c>
      <c r="L1278">
        <f xml:space="preserve"> (交易處理資料__3[[#This Row],[售出工時]] * 60) / 5</f>
        <v>0</v>
      </c>
      <c r="M1278" t="str">
        <f>VLOOKUP(交易處理資料__3[[#This Row],[人員代號]],團隊分組!$B$1:$C$52,2,FALSE)</f>
        <v>噴漆維修組</v>
      </c>
      <c r="N1278" t="str">
        <f>IF(交易處理資料__3[[#This Row],[上班時間]]=0,"否","是")</f>
        <v>是</v>
      </c>
      <c r="O1278" s="10" t="s">
        <v>74</v>
      </c>
      <c r="P1278" s="37">
        <v>0</v>
      </c>
      <c r="Q1278" s="37">
        <v>0</v>
      </c>
      <c r="R1278" s="37">
        <v>0.94120000000000004</v>
      </c>
    </row>
    <row r="1279" spans="1:18" hidden="1">
      <c r="A1279" s="10" t="s">
        <v>74</v>
      </c>
      <c r="B1279" t="s">
        <v>4</v>
      </c>
      <c r="C1279">
        <v>0</v>
      </c>
      <c r="D1279">
        <v>0</v>
      </c>
      <c r="E1279" s="29">
        <v>0</v>
      </c>
      <c r="F1279">
        <v>0</v>
      </c>
      <c r="G1279">
        <v>0</v>
      </c>
      <c r="H1279">
        <v>0</v>
      </c>
      <c r="I1279" s="29">
        <v>0</v>
      </c>
      <c r="J1279" s="29">
        <v>0</v>
      </c>
      <c r="K1279" s="9">
        <v>45325</v>
      </c>
      <c r="L1279">
        <f xml:space="preserve"> (交易處理資料__3[[#This Row],[售出工時]] * 60) / 5</f>
        <v>0</v>
      </c>
      <c r="M1279" t="str">
        <f>VLOOKUP(交易處理資料__3[[#This Row],[人員代號]],團隊分組!$B$1:$C$52,2,FALSE)</f>
        <v>噴漆維修組</v>
      </c>
      <c r="N1279" t="str">
        <f>IF(交易處理資料__3[[#This Row],[上班時間]]=0,"否","是")</f>
        <v>否</v>
      </c>
      <c r="O1279" s="10" t="s">
        <v>74</v>
      </c>
      <c r="P1279" s="38">
        <v>0</v>
      </c>
      <c r="Q1279" s="38">
        <v>0</v>
      </c>
      <c r="R1279" s="38">
        <v>0</v>
      </c>
    </row>
    <row r="1280" spans="1:18" hidden="1">
      <c r="A1280" s="10" t="s">
        <v>74</v>
      </c>
      <c r="B1280" t="s">
        <v>5</v>
      </c>
      <c r="C1280">
        <v>0</v>
      </c>
      <c r="D1280">
        <v>0</v>
      </c>
      <c r="E1280" s="29">
        <v>0</v>
      </c>
      <c r="F1280">
        <v>0</v>
      </c>
      <c r="G1280">
        <v>0</v>
      </c>
      <c r="H1280">
        <v>0</v>
      </c>
      <c r="I1280" s="29">
        <v>0</v>
      </c>
      <c r="J1280" s="29">
        <v>0</v>
      </c>
      <c r="K1280" s="9">
        <v>45325</v>
      </c>
      <c r="L1280">
        <f xml:space="preserve"> (交易處理資料__3[[#This Row],[售出工時]] * 60) / 5</f>
        <v>0</v>
      </c>
      <c r="M1280" t="str">
        <f>VLOOKUP(交易處理資料__3[[#This Row],[人員代號]],團隊分組!$B$1:$C$52,2,FALSE)</f>
        <v>噴漆維修組</v>
      </c>
      <c r="N1280" t="str">
        <f>IF(交易處理資料__3[[#This Row],[上班時間]]=0,"否","是")</f>
        <v>否</v>
      </c>
      <c r="O1280" s="10" t="s">
        <v>74</v>
      </c>
      <c r="P1280" s="37">
        <v>0</v>
      </c>
      <c r="Q1280" s="37">
        <v>0</v>
      </c>
      <c r="R1280" s="37">
        <v>0</v>
      </c>
    </row>
    <row r="1281" spans="1:18" hidden="1">
      <c r="A1281" s="10" t="s">
        <v>74</v>
      </c>
      <c r="B1281" t="s">
        <v>6</v>
      </c>
      <c r="C1281">
        <v>0</v>
      </c>
      <c r="D1281">
        <v>0</v>
      </c>
      <c r="E1281" s="29">
        <v>0</v>
      </c>
      <c r="F1281">
        <v>0</v>
      </c>
      <c r="G1281">
        <v>0</v>
      </c>
      <c r="H1281">
        <v>0</v>
      </c>
      <c r="I1281" s="29">
        <v>0</v>
      </c>
      <c r="J1281" s="29">
        <v>0</v>
      </c>
      <c r="K1281" s="9">
        <v>45325</v>
      </c>
      <c r="L1281">
        <f xml:space="preserve"> (交易處理資料__3[[#This Row],[售出工時]] * 60) / 5</f>
        <v>0</v>
      </c>
      <c r="M1281" t="str">
        <f>VLOOKUP(交易處理資料__3[[#This Row],[人員代號]],團隊分組!$B$1:$C$52,2,FALSE)</f>
        <v>噴漆維修組</v>
      </c>
      <c r="N1281" t="str">
        <f>IF(交易處理資料__3[[#This Row],[上班時間]]=0,"否","是")</f>
        <v>否</v>
      </c>
      <c r="O1281" s="10" t="s">
        <v>74</v>
      </c>
      <c r="P1281" s="38">
        <v>0</v>
      </c>
      <c r="Q1281" s="38">
        <v>0</v>
      </c>
      <c r="R1281" s="38">
        <v>0</v>
      </c>
    </row>
    <row r="1282" spans="1:18">
      <c r="A1282" s="10" t="s">
        <v>74</v>
      </c>
      <c r="B1282" t="s">
        <v>7</v>
      </c>
      <c r="C1282">
        <v>0</v>
      </c>
      <c r="D1282">
        <v>0</v>
      </c>
      <c r="E1282" s="29">
        <v>0</v>
      </c>
      <c r="F1282">
        <v>7.53</v>
      </c>
      <c r="G1282">
        <v>0.45</v>
      </c>
      <c r="H1282">
        <v>7.98</v>
      </c>
      <c r="I1282" s="29">
        <v>0.94359999999999999</v>
      </c>
      <c r="J1282" s="29">
        <v>0</v>
      </c>
      <c r="K1282" s="9">
        <v>45325</v>
      </c>
      <c r="L1282">
        <f xml:space="preserve"> (交易處理資料__3[[#This Row],[售出工時]] * 60) / 5</f>
        <v>0</v>
      </c>
      <c r="M1282" t="str">
        <f>VLOOKUP(交易處理資料__3[[#This Row],[人員代號]],團隊分組!$B$1:$C$52,2,FALSE)</f>
        <v>噴漆維修組</v>
      </c>
      <c r="N1282" t="str">
        <f>IF(交易處理資料__3[[#This Row],[上班時間]]=0,"否","是")</f>
        <v>是</v>
      </c>
      <c r="O1282" s="10" t="s">
        <v>74</v>
      </c>
      <c r="P1282" s="37">
        <v>0</v>
      </c>
      <c r="Q1282" s="37">
        <v>0</v>
      </c>
      <c r="R1282" s="37">
        <v>0.94359999999999999</v>
      </c>
    </row>
    <row r="1283" spans="1:18" hidden="1">
      <c r="A1283" s="10" t="s">
        <v>74</v>
      </c>
      <c r="B1283" t="s">
        <v>8</v>
      </c>
      <c r="C1283">
        <v>0</v>
      </c>
      <c r="D1283">
        <v>0</v>
      </c>
      <c r="E1283" s="29">
        <v>0</v>
      </c>
      <c r="F1283">
        <v>0</v>
      </c>
      <c r="G1283">
        <v>0</v>
      </c>
      <c r="H1283">
        <v>0</v>
      </c>
      <c r="I1283" s="29">
        <v>0</v>
      </c>
      <c r="J1283" s="29">
        <v>0</v>
      </c>
      <c r="K1283" s="9">
        <v>45325</v>
      </c>
      <c r="L1283">
        <f xml:space="preserve"> (交易處理資料__3[[#This Row],[售出工時]] * 60) / 5</f>
        <v>0</v>
      </c>
      <c r="M1283" t="str">
        <f>VLOOKUP(交易處理資料__3[[#This Row],[人員代號]],團隊分組!$B$1:$C$52,2,FALSE)</f>
        <v>噴漆維修組</v>
      </c>
      <c r="N1283" t="str">
        <f>IF(交易處理資料__3[[#This Row],[上班時間]]=0,"否","是")</f>
        <v>否</v>
      </c>
      <c r="O1283" s="10" t="s">
        <v>74</v>
      </c>
      <c r="P1283" s="38">
        <v>0</v>
      </c>
      <c r="Q1283" s="38">
        <v>0</v>
      </c>
      <c r="R1283" s="38">
        <v>0</v>
      </c>
    </row>
    <row r="1284" spans="1:18" hidden="1">
      <c r="A1284" s="10" t="s">
        <v>74</v>
      </c>
      <c r="B1284" t="s">
        <v>9</v>
      </c>
      <c r="C1284">
        <v>0</v>
      </c>
      <c r="D1284">
        <v>0</v>
      </c>
      <c r="E1284" s="29">
        <v>0</v>
      </c>
      <c r="F1284">
        <v>5.89</v>
      </c>
      <c r="G1284">
        <v>2.15</v>
      </c>
      <c r="H1284">
        <v>8.0399999999999991</v>
      </c>
      <c r="I1284" s="29">
        <v>0.73260000000000003</v>
      </c>
      <c r="J1284" s="29">
        <v>0</v>
      </c>
      <c r="K1284" s="9">
        <v>45325</v>
      </c>
      <c r="L1284">
        <f xml:space="preserve"> (交易處理資料__3[[#This Row],[售出工時]] * 60) / 5</f>
        <v>0</v>
      </c>
      <c r="M1284" t="str">
        <f>VLOOKUP(交易處理資料__3[[#This Row],[人員代號]],團隊分組!$B$1:$C$52,2,FALSE)</f>
        <v>噴漆維修組</v>
      </c>
      <c r="N1284" t="str">
        <f>IF(交易處理資料__3[[#This Row],[上班時間]]=0,"否","是")</f>
        <v>是</v>
      </c>
      <c r="O1284" s="10" t="s">
        <v>74</v>
      </c>
      <c r="P1284" s="37">
        <v>0</v>
      </c>
      <c r="Q1284" s="37">
        <v>0</v>
      </c>
      <c r="R1284" s="37">
        <v>0.73260000000000003</v>
      </c>
    </row>
    <row r="1285" spans="1:18" hidden="1">
      <c r="A1285" t="s">
        <v>75</v>
      </c>
      <c r="B1285" t="s">
        <v>11</v>
      </c>
      <c r="C1285">
        <v>0</v>
      </c>
      <c r="D1285">
        <v>0</v>
      </c>
      <c r="E1285" s="29">
        <v>0</v>
      </c>
      <c r="F1285">
        <v>0</v>
      </c>
      <c r="G1285">
        <v>0</v>
      </c>
      <c r="H1285">
        <v>0</v>
      </c>
      <c r="I1285" s="29">
        <v>0</v>
      </c>
      <c r="J1285" s="29">
        <v>0</v>
      </c>
      <c r="K1285" s="9">
        <v>45325</v>
      </c>
      <c r="L1285">
        <f xml:space="preserve"> (交易處理資料__3[[#This Row],[售出工時]] * 60) / 5</f>
        <v>0</v>
      </c>
      <c r="M1285" t="str">
        <f>VLOOKUP(交易處理資料__3[[#This Row],[人員代號]],團隊分組!$B$1:$C$52,2,FALSE)</f>
        <v>鈑金維修組</v>
      </c>
      <c r="N1285" t="str">
        <f>IF(交易處理資料__3[[#This Row],[上班時間]]=0,"否","是")</f>
        <v>否</v>
      </c>
      <c r="O1285" t="s">
        <v>75</v>
      </c>
      <c r="P1285" s="38">
        <v>0</v>
      </c>
      <c r="Q1285" s="38">
        <v>0</v>
      </c>
      <c r="R1285" s="38">
        <v>0</v>
      </c>
    </row>
    <row r="1286" spans="1:18" hidden="1">
      <c r="A1286" t="s">
        <v>75</v>
      </c>
      <c r="B1286" t="s">
        <v>12</v>
      </c>
      <c r="C1286">
        <v>0</v>
      </c>
      <c r="D1286">
        <v>0</v>
      </c>
      <c r="E1286" s="29">
        <v>0</v>
      </c>
      <c r="F1286">
        <v>3.99</v>
      </c>
      <c r="G1286">
        <v>4.09</v>
      </c>
      <c r="H1286">
        <v>8.08</v>
      </c>
      <c r="I1286" s="29">
        <v>0.49380000000000002</v>
      </c>
      <c r="J1286" s="29">
        <v>0</v>
      </c>
      <c r="K1286" s="9">
        <v>45325</v>
      </c>
      <c r="L1286">
        <f xml:space="preserve"> (交易處理資料__3[[#This Row],[售出工時]] * 60) / 5</f>
        <v>0</v>
      </c>
      <c r="M1286" t="str">
        <f>VLOOKUP(交易處理資料__3[[#This Row],[人員代號]],團隊分組!$B$1:$C$52,2,FALSE)</f>
        <v>鈑金維修組</v>
      </c>
      <c r="N1286" t="str">
        <f>IF(交易處理資料__3[[#This Row],[上班時間]]=0,"否","是")</f>
        <v>是</v>
      </c>
      <c r="O1286" t="s">
        <v>75</v>
      </c>
      <c r="P1286" s="37">
        <v>0</v>
      </c>
      <c r="Q1286" s="37">
        <v>0</v>
      </c>
      <c r="R1286" s="37">
        <v>0.49380000000000002</v>
      </c>
    </row>
    <row r="1287" spans="1:18" hidden="1">
      <c r="A1287" t="s">
        <v>75</v>
      </c>
      <c r="B1287" t="s">
        <v>13</v>
      </c>
      <c r="C1287">
        <v>0</v>
      </c>
      <c r="D1287">
        <v>0</v>
      </c>
      <c r="E1287" s="29">
        <v>0</v>
      </c>
      <c r="F1287">
        <v>0</v>
      </c>
      <c r="G1287">
        <v>0</v>
      </c>
      <c r="H1287">
        <v>0</v>
      </c>
      <c r="I1287" s="29">
        <v>0</v>
      </c>
      <c r="J1287" s="29">
        <v>0</v>
      </c>
      <c r="K1287" s="9">
        <v>45325</v>
      </c>
      <c r="L1287">
        <f xml:space="preserve"> (交易處理資料__3[[#This Row],[售出工時]] * 60) / 5</f>
        <v>0</v>
      </c>
      <c r="M1287" t="str">
        <f>VLOOKUP(交易處理資料__3[[#This Row],[人員代號]],團隊分組!$B$1:$C$52,2,FALSE)</f>
        <v>鈑金維修組</v>
      </c>
      <c r="N1287" t="str">
        <f>IF(交易處理資料__3[[#This Row],[上班時間]]=0,"否","是")</f>
        <v>否</v>
      </c>
      <c r="O1287" t="s">
        <v>75</v>
      </c>
      <c r="P1287" s="38">
        <v>0</v>
      </c>
      <c r="Q1287" s="38">
        <v>0</v>
      </c>
      <c r="R1287" s="38">
        <v>0</v>
      </c>
    </row>
    <row r="1288" spans="1:18" hidden="1">
      <c r="A1288" t="s">
        <v>75</v>
      </c>
      <c r="B1288" t="s">
        <v>14</v>
      </c>
      <c r="C1288">
        <v>0</v>
      </c>
      <c r="D1288">
        <v>0</v>
      </c>
      <c r="E1288" s="29">
        <v>0</v>
      </c>
      <c r="F1288">
        <v>6.63</v>
      </c>
      <c r="G1288">
        <v>1.47</v>
      </c>
      <c r="H1288">
        <v>8.1</v>
      </c>
      <c r="I1288" s="29">
        <v>0.81849999999999989</v>
      </c>
      <c r="J1288" s="29">
        <v>0</v>
      </c>
      <c r="K1288" s="9">
        <v>45325</v>
      </c>
      <c r="L1288">
        <f xml:space="preserve"> (交易處理資料__3[[#This Row],[售出工時]] * 60) / 5</f>
        <v>0</v>
      </c>
      <c r="M1288" t="str">
        <f>VLOOKUP(交易處理資料__3[[#This Row],[人員代號]],團隊分組!$B$1:$C$52,2,FALSE)</f>
        <v>鈑金維修組</v>
      </c>
      <c r="N1288" t="str">
        <f>IF(交易處理資料__3[[#This Row],[上班時間]]=0,"否","是")</f>
        <v>是</v>
      </c>
      <c r="O1288" t="s">
        <v>75</v>
      </c>
      <c r="P1288" s="37">
        <v>0</v>
      </c>
      <c r="Q1288" s="37">
        <v>0</v>
      </c>
      <c r="R1288" s="37">
        <v>0.81849999999999989</v>
      </c>
    </row>
    <row r="1289" spans="1:18" hidden="1">
      <c r="A1289" t="s">
        <v>75</v>
      </c>
      <c r="B1289" t="s">
        <v>15</v>
      </c>
      <c r="C1289">
        <v>0</v>
      </c>
      <c r="D1289">
        <v>0</v>
      </c>
      <c r="E1289" s="29">
        <v>0</v>
      </c>
      <c r="F1289">
        <v>0</v>
      </c>
      <c r="G1289">
        <v>0</v>
      </c>
      <c r="H1289">
        <v>0</v>
      </c>
      <c r="I1289" s="29">
        <v>0</v>
      </c>
      <c r="J1289" s="29">
        <v>0</v>
      </c>
      <c r="K1289" s="9">
        <v>45325</v>
      </c>
      <c r="L1289">
        <f xml:space="preserve"> (交易處理資料__3[[#This Row],[售出工時]] * 60) / 5</f>
        <v>0</v>
      </c>
      <c r="M1289" t="str">
        <f>VLOOKUP(交易處理資料__3[[#This Row],[人員代號]],團隊分組!$B$1:$C$52,2,FALSE)</f>
        <v>鈑金維修組</v>
      </c>
      <c r="N1289" t="str">
        <f>IF(交易處理資料__3[[#This Row],[上班時間]]=0,"否","是")</f>
        <v>否</v>
      </c>
      <c r="O1289" t="s">
        <v>75</v>
      </c>
      <c r="P1289" s="38">
        <v>0</v>
      </c>
      <c r="Q1289" s="38">
        <v>0</v>
      </c>
      <c r="R1289" s="38">
        <v>0</v>
      </c>
    </row>
    <row r="1290" spans="1:18" hidden="1">
      <c r="A1290" t="s">
        <v>76</v>
      </c>
      <c r="B1290" t="s">
        <v>18</v>
      </c>
      <c r="C1290">
        <v>0</v>
      </c>
      <c r="D1290">
        <v>0</v>
      </c>
      <c r="E1290" s="29">
        <v>0</v>
      </c>
      <c r="F1290">
        <v>0</v>
      </c>
      <c r="G1290">
        <v>0</v>
      </c>
      <c r="H1290">
        <v>0</v>
      </c>
      <c r="I1290" s="29">
        <v>0</v>
      </c>
      <c r="J1290" s="29">
        <v>0</v>
      </c>
      <c r="K1290" s="9">
        <v>45325</v>
      </c>
      <c r="L1290">
        <f xml:space="preserve"> (交易處理資料__3[[#This Row],[售出工時]] * 60) / 5</f>
        <v>0</v>
      </c>
      <c r="M1290" t="str">
        <f>VLOOKUP(交易處理資料__3[[#This Row],[人員代號]],團隊分組!$B$1:$C$52,2,FALSE)</f>
        <v>查修團隊B</v>
      </c>
      <c r="N1290" t="str">
        <f>IF(交易處理資料__3[[#This Row],[上班時間]]=0,"否","是")</f>
        <v>否</v>
      </c>
      <c r="O1290" t="s">
        <v>76</v>
      </c>
      <c r="P1290" s="37">
        <v>0</v>
      </c>
      <c r="Q1290" s="37">
        <v>0</v>
      </c>
      <c r="R1290" s="37">
        <v>0</v>
      </c>
    </row>
    <row r="1291" spans="1:18" hidden="1">
      <c r="A1291" t="s">
        <v>76</v>
      </c>
      <c r="B1291" t="s">
        <v>19</v>
      </c>
      <c r="C1291">
        <v>0</v>
      </c>
      <c r="D1291">
        <v>0</v>
      </c>
      <c r="E1291" s="29">
        <v>0</v>
      </c>
      <c r="F1291">
        <v>0</v>
      </c>
      <c r="G1291">
        <v>0</v>
      </c>
      <c r="H1291">
        <v>0</v>
      </c>
      <c r="I1291" s="29">
        <v>0</v>
      </c>
      <c r="J1291" s="29">
        <v>0</v>
      </c>
      <c r="K1291" s="9">
        <v>45325</v>
      </c>
      <c r="L1291">
        <f xml:space="preserve"> (交易處理資料__3[[#This Row],[售出工時]] * 60) / 5</f>
        <v>0</v>
      </c>
      <c r="M1291" t="str">
        <f>VLOOKUP(交易處理資料__3[[#This Row],[人員代號]],團隊分組!$B$1:$C$52,2,FALSE)</f>
        <v>查修團隊A</v>
      </c>
      <c r="N1291" t="str">
        <f>IF(交易處理資料__3[[#This Row],[上班時間]]=0,"否","是")</f>
        <v>否</v>
      </c>
      <c r="O1291" t="s">
        <v>76</v>
      </c>
      <c r="P1291" s="38">
        <v>0</v>
      </c>
      <c r="Q1291" s="38">
        <v>0</v>
      </c>
      <c r="R1291" s="38">
        <v>0</v>
      </c>
    </row>
    <row r="1292" spans="1:18" hidden="1">
      <c r="A1292" t="s">
        <v>76</v>
      </c>
      <c r="B1292" t="s">
        <v>20</v>
      </c>
      <c r="C1292">
        <v>0</v>
      </c>
      <c r="D1292">
        <v>0</v>
      </c>
      <c r="E1292" s="29">
        <v>0</v>
      </c>
      <c r="F1292">
        <v>0</v>
      </c>
      <c r="G1292">
        <v>0</v>
      </c>
      <c r="H1292">
        <v>0</v>
      </c>
      <c r="I1292" s="29">
        <v>0</v>
      </c>
      <c r="J1292" s="29">
        <v>0</v>
      </c>
      <c r="K1292" s="9">
        <v>45325</v>
      </c>
      <c r="L1292">
        <f xml:space="preserve"> (交易處理資料__3[[#This Row],[售出工時]] * 60) / 5</f>
        <v>0</v>
      </c>
      <c r="M1292" t="str">
        <f>VLOOKUP(交易處理資料__3[[#This Row],[人員代號]],團隊分組!$B$1:$C$52,2,FALSE)</f>
        <v>查修團隊B</v>
      </c>
      <c r="N1292" t="str">
        <f>IF(交易處理資料__3[[#This Row],[上班時間]]=0,"否","是")</f>
        <v>否</v>
      </c>
      <c r="O1292" t="s">
        <v>76</v>
      </c>
      <c r="P1292" s="37">
        <v>0</v>
      </c>
      <c r="Q1292" s="37">
        <v>0</v>
      </c>
      <c r="R1292" s="37">
        <v>0</v>
      </c>
    </row>
    <row r="1293" spans="1:18" hidden="1">
      <c r="A1293" t="s">
        <v>76</v>
      </c>
      <c r="B1293" t="s">
        <v>21</v>
      </c>
      <c r="C1293">
        <v>3.21</v>
      </c>
      <c r="D1293">
        <v>2.41</v>
      </c>
      <c r="E1293" s="29">
        <v>1.3319502069999998</v>
      </c>
      <c r="F1293">
        <v>5.59</v>
      </c>
      <c r="G1293">
        <v>2.4900000000000002</v>
      </c>
      <c r="H1293">
        <v>8.08</v>
      </c>
      <c r="I1293" s="29">
        <v>0.69180000000000008</v>
      </c>
      <c r="J1293" s="29">
        <v>0.39729999999999999</v>
      </c>
      <c r="K1293" s="9">
        <v>45325</v>
      </c>
      <c r="L1293">
        <f xml:space="preserve"> (交易處理資料__3[[#This Row],[售出工時]] * 60) / 5</f>
        <v>38.519999999999996</v>
      </c>
      <c r="M1293" t="str">
        <f>VLOOKUP(交易處理資料__3[[#This Row],[人員代號]],團隊分組!$B$1:$C$52,2,FALSE)</f>
        <v>查修團隊B</v>
      </c>
      <c r="N1293" t="str">
        <f>IF(交易處理資料__3[[#This Row],[上班時間]]=0,"否","是")</f>
        <v>是</v>
      </c>
      <c r="O1293" t="s">
        <v>76</v>
      </c>
      <c r="P1293" s="38">
        <v>1.3319502069999998</v>
      </c>
      <c r="Q1293" s="38">
        <v>0.39729999999999999</v>
      </c>
      <c r="R1293" s="38">
        <v>0.69180000000000008</v>
      </c>
    </row>
    <row r="1294" spans="1:18" hidden="1">
      <c r="A1294" t="s">
        <v>76</v>
      </c>
      <c r="B1294" t="s">
        <v>22</v>
      </c>
      <c r="C1294">
        <v>0</v>
      </c>
      <c r="D1294">
        <v>0</v>
      </c>
      <c r="E1294" s="29">
        <v>0</v>
      </c>
      <c r="F1294">
        <v>0</v>
      </c>
      <c r="G1294">
        <v>0</v>
      </c>
      <c r="H1294">
        <v>0</v>
      </c>
      <c r="I1294" s="29">
        <v>0</v>
      </c>
      <c r="J1294" s="29">
        <v>0</v>
      </c>
      <c r="K1294" s="9">
        <v>45325</v>
      </c>
      <c r="L1294">
        <f xml:space="preserve"> (交易處理資料__3[[#This Row],[售出工時]] * 60) / 5</f>
        <v>0</v>
      </c>
      <c r="M1294" t="str">
        <f>VLOOKUP(交易處理資料__3[[#This Row],[人員代號]],團隊分組!$B$1:$C$52,2,FALSE)</f>
        <v>快速保養團隊A</v>
      </c>
      <c r="N1294" t="str">
        <f>IF(交易處理資料__3[[#This Row],[上班時間]]=0,"否","是")</f>
        <v>否</v>
      </c>
      <c r="O1294" t="s">
        <v>76</v>
      </c>
      <c r="P1294" s="37">
        <v>0</v>
      </c>
      <c r="Q1294" s="37">
        <v>0</v>
      </c>
      <c r="R1294" s="37">
        <v>0</v>
      </c>
    </row>
    <row r="1295" spans="1:18" hidden="1">
      <c r="A1295" t="s">
        <v>76</v>
      </c>
      <c r="B1295" t="s">
        <v>24</v>
      </c>
      <c r="C1295">
        <v>6.8333333329999997</v>
      </c>
      <c r="D1295">
        <v>2.91</v>
      </c>
      <c r="E1295" s="29">
        <v>2.3482245129999999</v>
      </c>
      <c r="F1295">
        <v>6.28</v>
      </c>
      <c r="G1295">
        <v>1.49</v>
      </c>
      <c r="H1295">
        <v>7.77</v>
      </c>
      <c r="I1295" s="29">
        <v>0.80819999999999992</v>
      </c>
      <c r="J1295" s="29">
        <v>0.87950000000000006</v>
      </c>
      <c r="K1295" s="9">
        <v>45325</v>
      </c>
      <c r="L1295">
        <f xml:space="preserve"> (交易處理資料__3[[#This Row],[售出工時]] * 60) / 5</f>
        <v>81.999999996</v>
      </c>
      <c r="M1295" t="str">
        <f>VLOOKUP(交易處理資料__3[[#This Row],[人員代號]],團隊分組!$B$1:$C$52,2,FALSE)</f>
        <v>快速保養團隊A</v>
      </c>
      <c r="N1295" t="str">
        <f>IF(交易處理資料__3[[#This Row],[上班時間]]=0,"否","是")</f>
        <v>是</v>
      </c>
      <c r="O1295" t="s">
        <v>76</v>
      </c>
      <c r="P1295" s="38">
        <v>2.3482245129999999</v>
      </c>
      <c r="Q1295" s="38">
        <v>0.87950000000000006</v>
      </c>
      <c r="R1295" s="38">
        <v>0.80819999999999992</v>
      </c>
    </row>
    <row r="1296" spans="1:18" hidden="1">
      <c r="A1296" t="s">
        <v>76</v>
      </c>
      <c r="B1296" t="s">
        <v>25</v>
      </c>
      <c r="C1296">
        <v>0</v>
      </c>
      <c r="D1296">
        <v>0</v>
      </c>
      <c r="E1296" s="29">
        <v>0</v>
      </c>
      <c r="F1296">
        <v>0</v>
      </c>
      <c r="G1296">
        <v>0</v>
      </c>
      <c r="H1296">
        <v>0</v>
      </c>
      <c r="I1296" s="29">
        <v>0</v>
      </c>
      <c r="J1296" s="29">
        <v>0</v>
      </c>
      <c r="K1296" s="9">
        <v>45325</v>
      </c>
      <c r="L1296">
        <f xml:space="preserve"> (交易處理資料__3[[#This Row],[售出工時]] * 60) / 5</f>
        <v>0</v>
      </c>
      <c r="M1296" t="str">
        <f>VLOOKUP(交易處理資料__3[[#This Row],[人員代號]],團隊分組!$B$1:$C$52,2,FALSE)</f>
        <v>查修團隊A</v>
      </c>
      <c r="N1296" t="str">
        <f>IF(交易處理資料__3[[#This Row],[上班時間]]=0,"否","是")</f>
        <v>否</v>
      </c>
      <c r="O1296" t="s">
        <v>76</v>
      </c>
      <c r="P1296" s="37">
        <v>0</v>
      </c>
      <c r="Q1296" s="37">
        <v>0</v>
      </c>
      <c r="R1296" s="37">
        <v>0</v>
      </c>
    </row>
    <row r="1297" spans="1:18" hidden="1">
      <c r="A1297" t="s">
        <v>76</v>
      </c>
      <c r="B1297" t="s">
        <v>26</v>
      </c>
      <c r="C1297">
        <v>4.2966666670000002</v>
      </c>
      <c r="D1297">
        <v>3.5</v>
      </c>
      <c r="E1297" s="29">
        <v>1.227619048</v>
      </c>
      <c r="F1297">
        <v>5.65</v>
      </c>
      <c r="G1297">
        <v>2.41</v>
      </c>
      <c r="H1297">
        <v>8.06</v>
      </c>
      <c r="I1297" s="29">
        <v>0.70099999999999996</v>
      </c>
      <c r="J1297" s="29">
        <v>0.53310000000000002</v>
      </c>
      <c r="K1297" s="9">
        <v>45325</v>
      </c>
      <c r="L1297">
        <f xml:space="preserve"> (交易處理資料__3[[#This Row],[售出工時]] * 60) / 5</f>
        <v>51.560000004000003</v>
      </c>
      <c r="M1297" t="str">
        <f>VLOOKUP(交易處理資料__3[[#This Row],[人員代號]],團隊分組!$B$1:$C$52,2,FALSE)</f>
        <v>查修團隊B</v>
      </c>
      <c r="N1297" t="str">
        <f>IF(交易處理資料__3[[#This Row],[上班時間]]=0,"否","是")</f>
        <v>是</v>
      </c>
      <c r="O1297" t="s">
        <v>76</v>
      </c>
      <c r="P1297" s="38">
        <v>1.227619048</v>
      </c>
      <c r="Q1297" s="38">
        <v>0.53310000000000002</v>
      </c>
      <c r="R1297" s="38">
        <v>0.70099999999999996</v>
      </c>
    </row>
    <row r="1298" spans="1:18" hidden="1">
      <c r="A1298" t="s">
        <v>76</v>
      </c>
      <c r="B1298" t="s">
        <v>27</v>
      </c>
      <c r="C1298">
        <v>6.11</v>
      </c>
      <c r="D1298">
        <v>4.32</v>
      </c>
      <c r="E1298" s="29">
        <v>1.414351852</v>
      </c>
      <c r="F1298">
        <v>5.23</v>
      </c>
      <c r="G1298">
        <v>2.83</v>
      </c>
      <c r="H1298">
        <v>8.06</v>
      </c>
      <c r="I1298" s="29">
        <v>0.64890000000000003</v>
      </c>
      <c r="J1298" s="29">
        <v>0.7581</v>
      </c>
      <c r="K1298" s="9">
        <v>45325</v>
      </c>
      <c r="L1298">
        <f xml:space="preserve"> (交易處理資料__3[[#This Row],[售出工時]] * 60) / 5</f>
        <v>73.320000000000007</v>
      </c>
      <c r="M1298" t="str">
        <f>VLOOKUP(交易處理資料__3[[#This Row],[人員代號]],團隊分組!$B$1:$C$52,2,FALSE)</f>
        <v>快速保養團隊B</v>
      </c>
      <c r="N1298" t="str">
        <f>IF(交易處理資料__3[[#This Row],[上班時間]]=0,"否","是")</f>
        <v>是</v>
      </c>
      <c r="O1298" t="s">
        <v>76</v>
      </c>
      <c r="P1298" s="37">
        <v>1.414351852</v>
      </c>
      <c r="Q1298" s="37">
        <v>0.7581</v>
      </c>
      <c r="R1298" s="37">
        <v>0.64890000000000003</v>
      </c>
    </row>
    <row r="1299" spans="1:18" hidden="1">
      <c r="A1299" t="s">
        <v>76</v>
      </c>
      <c r="B1299" t="s">
        <v>28</v>
      </c>
      <c r="C1299">
        <v>8.5833333330000006</v>
      </c>
      <c r="D1299">
        <v>4.91</v>
      </c>
      <c r="E1299" s="29">
        <v>1.748133062</v>
      </c>
      <c r="F1299">
        <v>5.96</v>
      </c>
      <c r="G1299">
        <v>2.11</v>
      </c>
      <c r="H1299">
        <v>8.07</v>
      </c>
      <c r="I1299" s="29">
        <v>0.73849999999999993</v>
      </c>
      <c r="J1299" s="29">
        <v>1.0636000000000001</v>
      </c>
      <c r="K1299" s="9">
        <v>45325</v>
      </c>
      <c r="L1299">
        <f xml:space="preserve"> (交易處理資料__3[[#This Row],[售出工時]] * 60) / 5</f>
        <v>102.999999996</v>
      </c>
      <c r="M1299" t="str">
        <f>VLOOKUP(交易處理資料__3[[#This Row],[人員代號]],團隊分組!$B$1:$C$52,2,FALSE)</f>
        <v>快速保養團隊A</v>
      </c>
      <c r="N1299" t="str">
        <f>IF(交易處理資料__3[[#This Row],[上班時間]]=0,"否","是")</f>
        <v>是</v>
      </c>
      <c r="O1299" t="s">
        <v>76</v>
      </c>
      <c r="P1299" s="38">
        <v>1.748133062</v>
      </c>
      <c r="Q1299" s="38">
        <v>1.0636000000000001</v>
      </c>
      <c r="R1299" s="38">
        <v>0.73849999999999993</v>
      </c>
    </row>
    <row r="1300" spans="1:18" hidden="1">
      <c r="A1300" t="s">
        <v>76</v>
      </c>
      <c r="B1300" t="s">
        <v>29</v>
      </c>
      <c r="C1300">
        <v>2.5</v>
      </c>
      <c r="D1300">
        <v>3.4</v>
      </c>
      <c r="E1300" s="29">
        <v>0.73529411760000007</v>
      </c>
      <c r="F1300">
        <v>8.92</v>
      </c>
      <c r="G1300">
        <v>0.13</v>
      </c>
      <c r="H1300">
        <v>9.0500000000000007</v>
      </c>
      <c r="I1300" s="29">
        <v>0.98560000000000003</v>
      </c>
      <c r="J1300" s="29">
        <v>0.2762</v>
      </c>
      <c r="K1300" s="9">
        <v>45325</v>
      </c>
      <c r="L1300">
        <f xml:space="preserve"> (交易處理資料__3[[#This Row],[售出工時]] * 60) / 5</f>
        <v>30</v>
      </c>
      <c r="M1300" t="str">
        <f>VLOOKUP(交易處理資料__3[[#This Row],[人員代號]],團隊分組!$B$1:$C$52,2,FALSE)</f>
        <v>查修團隊B</v>
      </c>
      <c r="N1300" t="str">
        <f>IF(交易處理資料__3[[#This Row],[上班時間]]=0,"否","是")</f>
        <v>是</v>
      </c>
      <c r="O1300" t="s">
        <v>76</v>
      </c>
      <c r="P1300" s="37">
        <v>0.73529411760000007</v>
      </c>
      <c r="Q1300" s="37">
        <v>0.2762</v>
      </c>
      <c r="R1300" s="37">
        <v>0.98560000000000003</v>
      </c>
    </row>
    <row r="1301" spans="1:18" hidden="1">
      <c r="A1301" t="s">
        <v>76</v>
      </c>
      <c r="B1301" t="s">
        <v>30</v>
      </c>
      <c r="C1301">
        <v>6.54</v>
      </c>
      <c r="D1301">
        <v>4.13</v>
      </c>
      <c r="E1301" s="29">
        <v>1.5835351090000001</v>
      </c>
      <c r="F1301">
        <v>5.67</v>
      </c>
      <c r="G1301">
        <v>2.4</v>
      </c>
      <c r="H1301">
        <v>8.07</v>
      </c>
      <c r="I1301" s="29">
        <v>0.7026</v>
      </c>
      <c r="J1301" s="29">
        <v>0.81040000000000001</v>
      </c>
      <c r="K1301" s="9">
        <v>45325</v>
      </c>
      <c r="L1301">
        <f xml:space="preserve"> (交易處理資料__3[[#This Row],[售出工時]] * 60) / 5</f>
        <v>78.47999999999999</v>
      </c>
      <c r="M1301" t="str">
        <f>VLOOKUP(交易處理資料__3[[#This Row],[人員代號]],團隊分組!$B$1:$C$52,2,FALSE)</f>
        <v>快速保養團隊B</v>
      </c>
      <c r="N1301" t="str">
        <f>IF(交易處理資料__3[[#This Row],[上班時間]]=0,"否","是")</f>
        <v>是</v>
      </c>
      <c r="O1301" t="s">
        <v>76</v>
      </c>
      <c r="P1301" s="38">
        <v>1.5835351090000001</v>
      </c>
      <c r="Q1301" s="38">
        <v>0.81040000000000001</v>
      </c>
      <c r="R1301" s="38">
        <v>0.7026</v>
      </c>
    </row>
    <row r="1302" spans="1:18" hidden="1">
      <c r="A1302" t="s">
        <v>76</v>
      </c>
      <c r="B1302" t="s">
        <v>33</v>
      </c>
      <c r="C1302">
        <v>0</v>
      </c>
      <c r="D1302">
        <v>0</v>
      </c>
      <c r="E1302" s="29">
        <v>0</v>
      </c>
      <c r="F1302">
        <v>0</v>
      </c>
      <c r="G1302">
        <v>0</v>
      </c>
      <c r="H1302">
        <v>0</v>
      </c>
      <c r="I1302" s="29">
        <v>0</v>
      </c>
      <c r="J1302" s="29">
        <v>0</v>
      </c>
      <c r="K1302" s="9">
        <v>45325</v>
      </c>
      <c r="L1302">
        <f xml:space="preserve"> (交易處理資料__3[[#This Row],[售出工時]] * 60) / 5</f>
        <v>0</v>
      </c>
      <c r="M1302" t="str">
        <f>VLOOKUP(交易處理資料__3[[#This Row],[人員代號]],團隊分組!$B$1:$C$52,2,FALSE)</f>
        <v>快速保養團隊B</v>
      </c>
      <c r="N1302" t="str">
        <f>IF(交易處理資料__3[[#This Row],[上班時間]]=0,"否","是")</f>
        <v>否</v>
      </c>
      <c r="O1302" t="s">
        <v>76</v>
      </c>
      <c r="P1302" s="37">
        <v>0</v>
      </c>
      <c r="Q1302" s="37">
        <v>0</v>
      </c>
      <c r="R1302" s="37">
        <v>0</v>
      </c>
    </row>
    <row r="1303" spans="1:18" hidden="1">
      <c r="A1303" t="s">
        <v>76</v>
      </c>
      <c r="B1303" t="s">
        <v>34</v>
      </c>
      <c r="C1303">
        <v>8.7200000000000006</v>
      </c>
      <c r="D1303">
        <v>6.16</v>
      </c>
      <c r="E1303" s="29">
        <v>1.4155844160000002</v>
      </c>
      <c r="F1303">
        <v>6.23</v>
      </c>
      <c r="G1303">
        <v>1.84</v>
      </c>
      <c r="H1303">
        <v>8.07</v>
      </c>
      <c r="I1303" s="29">
        <v>0.77200000000000002</v>
      </c>
      <c r="J1303" s="29">
        <v>1.0805</v>
      </c>
      <c r="K1303" s="9">
        <v>45325</v>
      </c>
      <c r="L1303">
        <f xml:space="preserve"> (交易處理資料__3[[#This Row],[售出工時]] * 60) / 5</f>
        <v>104.64000000000001</v>
      </c>
      <c r="M1303" t="str">
        <f>VLOOKUP(交易處理資料__3[[#This Row],[人員代號]],團隊分組!$B$1:$C$52,2,FALSE)</f>
        <v>快速保養團隊A</v>
      </c>
      <c r="N1303" t="str">
        <f>IF(交易處理資料__3[[#This Row],[上班時間]]=0,"否","是")</f>
        <v>是</v>
      </c>
      <c r="O1303" t="s">
        <v>76</v>
      </c>
      <c r="P1303" s="38">
        <v>1.4155844160000002</v>
      </c>
      <c r="Q1303" s="38">
        <v>1.0805</v>
      </c>
      <c r="R1303" s="38">
        <v>0.77200000000000002</v>
      </c>
    </row>
    <row r="1304" spans="1:18" hidden="1">
      <c r="A1304" t="s">
        <v>76</v>
      </c>
      <c r="B1304" t="s">
        <v>35</v>
      </c>
      <c r="C1304">
        <v>0</v>
      </c>
      <c r="D1304">
        <v>0</v>
      </c>
      <c r="E1304" s="29">
        <v>0</v>
      </c>
      <c r="F1304">
        <v>0</v>
      </c>
      <c r="G1304">
        <v>0</v>
      </c>
      <c r="H1304">
        <v>0</v>
      </c>
      <c r="I1304" s="29">
        <v>0</v>
      </c>
      <c r="J1304" s="29">
        <v>0</v>
      </c>
      <c r="K1304" s="9">
        <v>45325</v>
      </c>
      <c r="L1304">
        <f xml:space="preserve"> (交易處理資料__3[[#This Row],[售出工時]] * 60) / 5</f>
        <v>0</v>
      </c>
      <c r="M1304" t="str">
        <f>VLOOKUP(交易處理資料__3[[#This Row],[人員代號]],團隊分組!$B$1:$C$52,2,FALSE)</f>
        <v>查修團隊B</v>
      </c>
      <c r="N1304" t="str">
        <f>IF(交易處理資料__3[[#This Row],[上班時間]]=0,"否","是")</f>
        <v>否</v>
      </c>
      <c r="O1304" t="s">
        <v>76</v>
      </c>
      <c r="P1304" s="37">
        <v>0</v>
      </c>
      <c r="Q1304" s="37">
        <v>0</v>
      </c>
      <c r="R1304" s="37">
        <v>0</v>
      </c>
    </row>
    <row r="1305" spans="1:18" hidden="1">
      <c r="A1305" t="s">
        <v>76</v>
      </c>
      <c r="B1305" t="s">
        <v>37</v>
      </c>
      <c r="C1305">
        <v>0</v>
      </c>
      <c r="D1305">
        <v>0</v>
      </c>
      <c r="E1305" s="29">
        <v>0</v>
      </c>
      <c r="F1305">
        <v>0</v>
      </c>
      <c r="G1305">
        <v>0</v>
      </c>
      <c r="H1305">
        <v>0</v>
      </c>
      <c r="I1305" s="29">
        <v>0</v>
      </c>
      <c r="J1305" s="29">
        <v>0</v>
      </c>
      <c r="K1305" s="9">
        <v>45325</v>
      </c>
      <c r="L1305">
        <f xml:space="preserve"> (交易處理資料__3[[#This Row],[售出工時]] * 60) / 5</f>
        <v>0</v>
      </c>
      <c r="M1305" t="str">
        <f>VLOOKUP(交易處理資料__3[[#This Row],[人員代號]],團隊分組!$B$1:$C$52,2,FALSE)</f>
        <v>查修團隊A</v>
      </c>
      <c r="N1305" t="str">
        <f>IF(交易處理資料__3[[#This Row],[上班時間]]=0,"否","是")</f>
        <v>否</v>
      </c>
      <c r="O1305" t="s">
        <v>76</v>
      </c>
      <c r="P1305" s="38">
        <v>0</v>
      </c>
      <c r="Q1305" s="38">
        <v>0</v>
      </c>
      <c r="R1305" s="38">
        <v>0</v>
      </c>
    </row>
    <row r="1306" spans="1:18" hidden="1">
      <c r="A1306" t="s">
        <v>76</v>
      </c>
      <c r="B1306" t="s">
        <v>38</v>
      </c>
      <c r="C1306">
        <v>0</v>
      </c>
      <c r="D1306">
        <v>0</v>
      </c>
      <c r="E1306" s="29">
        <v>0</v>
      </c>
      <c r="F1306">
        <v>0</v>
      </c>
      <c r="G1306">
        <v>0</v>
      </c>
      <c r="H1306">
        <v>0</v>
      </c>
      <c r="I1306" s="29">
        <v>0</v>
      </c>
      <c r="J1306" s="29">
        <v>0</v>
      </c>
      <c r="K1306" s="9">
        <v>45325</v>
      </c>
      <c r="L1306">
        <f xml:space="preserve"> (交易處理資料__3[[#This Row],[售出工時]] * 60) / 5</f>
        <v>0</v>
      </c>
      <c r="M1306" t="str">
        <f>VLOOKUP(交易處理資料__3[[#This Row],[人員代號]],團隊分組!$B$1:$C$52,2,FALSE)</f>
        <v>快速保養團隊A</v>
      </c>
      <c r="N1306" t="str">
        <f>IF(交易處理資料__3[[#This Row],[上班時間]]=0,"否","是")</f>
        <v>否</v>
      </c>
      <c r="O1306" t="s">
        <v>76</v>
      </c>
      <c r="P1306" s="37">
        <v>0</v>
      </c>
      <c r="Q1306" s="37">
        <v>0</v>
      </c>
      <c r="R1306" s="37">
        <v>0</v>
      </c>
    </row>
    <row r="1307" spans="1:18" hidden="1">
      <c r="A1307" t="s">
        <v>76</v>
      </c>
      <c r="B1307" t="s">
        <v>39</v>
      </c>
      <c r="C1307">
        <v>0</v>
      </c>
      <c r="D1307">
        <v>0</v>
      </c>
      <c r="E1307" s="29">
        <v>0</v>
      </c>
      <c r="F1307">
        <v>7.06</v>
      </c>
      <c r="G1307">
        <v>1.03</v>
      </c>
      <c r="H1307">
        <v>8.09</v>
      </c>
      <c r="I1307" s="29">
        <v>0.87269999999999992</v>
      </c>
      <c r="J1307" s="29">
        <v>0</v>
      </c>
      <c r="K1307" s="9">
        <v>45325</v>
      </c>
      <c r="L1307">
        <f xml:space="preserve"> (交易處理資料__3[[#This Row],[售出工時]] * 60) / 5</f>
        <v>0</v>
      </c>
      <c r="M1307" t="str">
        <f>VLOOKUP(交易處理資料__3[[#This Row],[人員代號]],團隊分組!$B$1:$C$52,2,FALSE)</f>
        <v>查修團隊A</v>
      </c>
      <c r="N1307" t="str">
        <f>IF(交易處理資料__3[[#This Row],[上班時間]]=0,"否","是")</f>
        <v>是</v>
      </c>
      <c r="O1307" t="s">
        <v>76</v>
      </c>
      <c r="P1307" s="38">
        <v>0</v>
      </c>
      <c r="Q1307" s="38">
        <v>0</v>
      </c>
      <c r="R1307" s="38">
        <v>0.87269999999999992</v>
      </c>
    </row>
    <row r="1308" spans="1:18" hidden="1">
      <c r="A1308" t="s">
        <v>76</v>
      </c>
      <c r="B1308" t="s">
        <v>40</v>
      </c>
      <c r="C1308">
        <v>0</v>
      </c>
      <c r="D1308">
        <v>0</v>
      </c>
      <c r="E1308" s="29">
        <v>0</v>
      </c>
      <c r="F1308">
        <v>0</v>
      </c>
      <c r="G1308">
        <v>0</v>
      </c>
      <c r="H1308">
        <v>0</v>
      </c>
      <c r="I1308" s="29">
        <v>0</v>
      </c>
      <c r="J1308" s="29">
        <v>0</v>
      </c>
      <c r="K1308" s="9">
        <v>45325</v>
      </c>
      <c r="L1308">
        <f xml:space="preserve"> (交易處理資料__3[[#This Row],[售出工時]] * 60) / 5</f>
        <v>0</v>
      </c>
      <c r="M1308" t="str">
        <f>VLOOKUP(交易處理資料__3[[#This Row],[人員代號]],團隊分組!$B$1:$C$52,2,FALSE)</f>
        <v>查修團隊A</v>
      </c>
      <c r="N1308" t="str">
        <f>IF(交易處理資料__3[[#This Row],[上班時間]]=0,"否","是")</f>
        <v>否</v>
      </c>
      <c r="O1308" t="s">
        <v>76</v>
      </c>
      <c r="P1308" s="37">
        <v>0</v>
      </c>
      <c r="Q1308" s="37">
        <v>0</v>
      </c>
      <c r="R1308" s="37">
        <v>0</v>
      </c>
    </row>
    <row r="1309" spans="1:18" hidden="1">
      <c r="A1309" t="s">
        <v>76</v>
      </c>
      <c r="B1309" t="s">
        <v>44</v>
      </c>
      <c r="C1309">
        <v>0</v>
      </c>
      <c r="D1309">
        <v>0</v>
      </c>
      <c r="E1309" s="29">
        <v>0</v>
      </c>
      <c r="F1309">
        <v>0</v>
      </c>
      <c r="G1309">
        <v>0</v>
      </c>
      <c r="H1309">
        <v>0</v>
      </c>
      <c r="I1309" s="29">
        <v>0</v>
      </c>
      <c r="J1309" s="29">
        <v>0</v>
      </c>
      <c r="K1309" s="9">
        <v>45325</v>
      </c>
      <c r="L1309">
        <f xml:space="preserve"> (交易處理資料__3[[#This Row],[售出工時]] * 60) / 5</f>
        <v>0</v>
      </c>
      <c r="M1309" t="str">
        <f>VLOOKUP(交易處理資料__3[[#This Row],[人員代號]],團隊分組!$B$1:$C$52,2,FALSE)</f>
        <v>快速保養團隊B</v>
      </c>
      <c r="N1309" t="str">
        <f>IF(交易處理資料__3[[#This Row],[上班時間]]=0,"否","是")</f>
        <v>否</v>
      </c>
      <c r="O1309" t="s">
        <v>76</v>
      </c>
      <c r="P1309" s="38">
        <v>0</v>
      </c>
      <c r="Q1309" s="38">
        <v>0</v>
      </c>
      <c r="R1309" s="38">
        <v>0</v>
      </c>
    </row>
    <row r="1310" spans="1:18" hidden="1">
      <c r="A1310" t="s">
        <v>76</v>
      </c>
      <c r="B1310" t="s">
        <v>46</v>
      </c>
      <c r="C1310">
        <v>5.9166666670000003</v>
      </c>
      <c r="D1310">
        <v>3</v>
      </c>
      <c r="E1310" s="29">
        <v>1.9722222220000001</v>
      </c>
      <c r="F1310">
        <v>5.2</v>
      </c>
      <c r="G1310">
        <v>2.87</v>
      </c>
      <c r="H1310">
        <v>8.07</v>
      </c>
      <c r="I1310" s="29">
        <v>0.64439999999999997</v>
      </c>
      <c r="J1310" s="29">
        <v>0.73319999999999996</v>
      </c>
      <c r="K1310" s="9">
        <v>45325</v>
      </c>
      <c r="L1310">
        <f xml:space="preserve"> (交易處理資料__3[[#This Row],[售出工時]] * 60) / 5</f>
        <v>71.000000004</v>
      </c>
      <c r="M1310" t="str">
        <f>VLOOKUP(交易處理資料__3[[#This Row],[人員代號]],團隊分組!$B$1:$C$52,2,FALSE)</f>
        <v>查修團隊B</v>
      </c>
      <c r="N1310" t="str">
        <f>IF(交易處理資料__3[[#This Row],[上班時間]]=0,"否","是")</f>
        <v>是</v>
      </c>
      <c r="O1310" t="s">
        <v>76</v>
      </c>
      <c r="P1310" s="37">
        <v>1.9722222220000001</v>
      </c>
      <c r="Q1310" s="37">
        <v>0.73319999999999996</v>
      </c>
      <c r="R1310" s="37">
        <v>0.64439999999999997</v>
      </c>
    </row>
    <row r="1311" spans="1:18" hidden="1">
      <c r="A1311" t="s">
        <v>76</v>
      </c>
      <c r="B1311" t="s">
        <v>47</v>
      </c>
      <c r="C1311">
        <v>0</v>
      </c>
      <c r="D1311">
        <v>0</v>
      </c>
      <c r="E1311" s="29">
        <v>0</v>
      </c>
      <c r="F1311">
        <v>0</v>
      </c>
      <c r="G1311">
        <v>0</v>
      </c>
      <c r="H1311">
        <v>0</v>
      </c>
      <c r="I1311" s="29">
        <v>0</v>
      </c>
      <c r="J1311" s="29">
        <v>0</v>
      </c>
      <c r="K1311" s="9">
        <v>45325</v>
      </c>
      <c r="L1311">
        <f xml:space="preserve"> (交易處理資料__3[[#This Row],[售出工時]] * 60) / 5</f>
        <v>0</v>
      </c>
      <c r="M1311" t="str">
        <f>VLOOKUP(交易處理資料__3[[#This Row],[人員代號]],團隊分組!$B$1:$C$52,2,FALSE)</f>
        <v>查修團隊B</v>
      </c>
      <c r="N1311" t="str">
        <f>IF(交易處理資料__3[[#This Row],[上班時間]]=0,"否","是")</f>
        <v>否</v>
      </c>
      <c r="O1311" t="s">
        <v>76</v>
      </c>
      <c r="P1311" s="38">
        <v>0</v>
      </c>
      <c r="Q1311" s="38">
        <v>0</v>
      </c>
      <c r="R1311" s="38">
        <v>0</v>
      </c>
    </row>
    <row r="1312" spans="1:18" hidden="1">
      <c r="A1312" t="s">
        <v>76</v>
      </c>
      <c r="B1312" t="s">
        <v>48</v>
      </c>
      <c r="C1312">
        <v>2.8333333330000001</v>
      </c>
      <c r="D1312">
        <v>3.33</v>
      </c>
      <c r="E1312" s="29">
        <v>0.85085085090000012</v>
      </c>
      <c r="F1312">
        <v>3.33</v>
      </c>
      <c r="G1312">
        <v>4.74</v>
      </c>
      <c r="H1312">
        <v>8.07</v>
      </c>
      <c r="I1312" s="29">
        <v>0.41259999999999997</v>
      </c>
      <c r="J1312" s="29">
        <v>0.35109999999999997</v>
      </c>
      <c r="K1312" s="9">
        <v>45325</v>
      </c>
      <c r="L1312">
        <f xml:space="preserve"> (交易處理資料__3[[#This Row],[售出工時]] * 60) / 5</f>
        <v>33.999999996</v>
      </c>
      <c r="M1312" t="str">
        <f>VLOOKUP(交易處理資料__3[[#This Row],[人員代號]],團隊分組!$B$1:$C$52,2,FALSE)</f>
        <v>查修團隊A</v>
      </c>
      <c r="N1312" t="str">
        <f>IF(交易處理資料__3[[#This Row],[上班時間]]=0,"否","是")</f>
        <v>是</v>
      </c>
      <c r="O1312" t="s">
        <v>76</v>
      </c>
      <c r="P1312" s="37">
        <v>0.85085085090000012</v>
      </c>
      <c r="Q1312" s="37">
        <v>0.35109999999999997</v>
      </c>
      <c r="R1312" s="37">
        <v>0.41259999999999997</v>
      </c>
    </row>
    <row r="1313" spans="1:18" hidden="1">
      <c r="A1313" t="s">
        <v>76</v>
      </c>
      <c r="B1313" t="s">
        <v>49</v>
      </c>
      <c r="C1313">
        <v>0</v>
      </c>
      <c r="D1313">
        <v>0</v>
      </c>
      <c r="E1313" s="29">
        <v>0</v>
      </c>
      <c r="F1313">
        <v>0</v>
      </c>
      <c r="G1313">
        <v>0</v>
      </c>
      <c r="H1313">
        <v>0</v>
      </c>
      <c r="I1313" s="29">
        <v>0</v>
      </c>
      <c r="J1313" s="29">
        <v>0</v>
      </c>
      <c r="K1313" s="9">
        <v>45325</v>
      </c>
      <c r="L1313">
        <f xml:space="preserve"> (交易處理資料__3[[#This Row],[售出工時]] * 60) / 5</f>
        <v>0</v>
      </c>
      <c r="M1313" t="str">
        <f>VLOOKUP(交易處理資料__3[[#This Row],[人員代號]],團隊分組!$B$1:$C$52,2,FALSE)</f>
        <v>查修團隊A</v>
      </c>
      <c r="N1313" t="str">
        <f>IF(交易處理資料__3[[#This Row],[上班時間]]=0,"否","是")</f>
        <v>否</v>
      </c>
      <c r="O1313" t="s">
        <v>76</v>
      </c>
      <c r="P1313" s="38">
        <v>0</v>
      </c>
      <c r="Q1313" s="38">
        <v>0</v>
      </c>
      <c r="R1313" s="38">
        <v>0</v>
      </c>
    </row>
    <row r="1314" spans="1:18" hidden="1">
      <c r="A1314" t="s">
        <v>76</v>
      </c>
      <c r="B1314" t="s">
        <v>50</v>
      </c>
      <c r="C1314">
        <v>13.41666667</v>
      </c>
      <c r="D1314">
        <v>6.1</v>
      </c>
      <c r="E1314" s="29">
        <v>2.199453552</v>
      </c>
      <c r="F1314">
        <v>6.1</v>
      </c>
      <c r="G1314">
        <v>1.98</v>
      </c>
      <c r="H1314">
        <v>8.08</v>
      </c>
      <c r="I1314" s="29">
        <v>0.755</v>
      </c>
      <c r="J1314" s="29">
        <v>1.6605000000000001</v>
      </c>
      <c r="K1314" s="9">
        <v>45325</v>
      </c>
      <c r="L1314">
        <f xml:space="preserve"> (交易處理資料__3[[#This Row],[售出工時]] * 60) / 5</f>
        <v>161.00000003999997</v>
      </c>
      <c r="M1314" t="str">
        <f>VLOOKUP(交易處理資料__3[[#This Row],[人員代號]],團隊分組!$B$1:$C$52,2,FALSE)</f>
        <v>快速保養團隊B</v>
      </c>
      <c r="N1314" t="str">
        <f>IF(交易處理資料__3[[#This Row],[上班時間]]=0,"否","是")</f>
        <v>是</v>
      </c>
      <c r="O1314" t="s">
        <v>76</v>
      </c>
      <c r="P1314" s="37">
        <v>2.199453552</v>
      </c>
      <c r="Q1314" s="37">
        <v>1.6605000000000001</v>
      </c>
      <c r="R1314" s="37">
        <v>0.755</v>
      </c>
    </row>
    <row r="1315" spans="1:18" hidden="1">
      <c r="A1315" t="s">
        <v>76</v>
      </c>
      <c r="B1315" t="s">
        <v>51</v>
      </c>
      <c r="C1315">
        <v>0</v>
      </c>
      <c r="D1315">
        <v>0</v>
      </c>
      <c r="E1315" s="29">
        <v>0</v>
      </c>
      <c r="F1315">
        <v>0</v>
      </c>
      <c r="G1315">
        <v>0</v>
      </c>
      <c r="H1315">
        <v>0</v>
      </c>
      <c r="I1315" s="29">
        <v>0</v>
      </c>
      <c r="J1315" s="29">
        <v>0</v>
      </c>
      <c r="K1315" s="9">
        <v>45325</v>
      </c>
      <c r="L1315">
        <f xml:space="preserve"> (交易處理資料__3[[#This Row],[售出工時]] * 60) / 5</f>
        <v>0</v>
      </c>
      <c r="M1315" t="str">
        <f>VLOOKUP(交易處理資料__3[[#This Row],[人員代號]],團隊分組!$B$1:$C$52,2,FALSE)</f>
        <v>無效數據</v>
      </c>
      <c r="N1315" t="str">
        <f>IF(交易處理資料__3[[#This Row],[上班時間]]=0,"否","是")</f>
        <v>否</v>
      </c>
      <c r="O1315" t="s">
        <v>76</v>
      </c>
      <c r="P1315" s="38">
        <v>0</v>
      </c>
      <c r="Q1315" s="38">
        <v>0</v>
      </c>
      <c r="R1315" s="38">
        <v>0</v>
      </c>
    </row>
    <row r="1316" spans="1:18" hidden="1">
      <c r="A1316" t="s">
        <v>76</v>
      </c>
      <c r="B1316" t="s">
        <v>52</v>
      </c>
      <c r="C1316">
        <v>3.2966666670000002</v>
      </c>
      <c r="D1316">
        <v>2.5</v>
      </c>
      <c r="E1316" s="29">
        <v>1.318666667</v>
      </c>
      <c r="F1316">
        <v>5.71</v>
      </c>
      <c r="G1316">
        <v>2.36</v>
      </c>
      <c r="H1316">
        <v>8.07</v>
      </c>
      <c r="I1316" s="29">
        <v>0.70760000000000001</v>
      </c>
      <c r="J1316" s="29">
        <v>0.40850000000000003</v>
      </c>
      <c r="K1316" s="9">
        <v>45325</v>
      </c>
      <c r="L1316">
        <f xml:space="preserve"> (交易處理資料__3[[#This Row],[售出工時]] * 60) / 5</f>
        <v>39.560000004000003</v>
      </c>
      <c r="M1316" t="str">
        <f>VLOOKUP(交易處理資料__3[[#This Row],[人員代號]],團隊分組!$B$1:$C$52,2,FALSE)</f>
        <v>查修團隊B</v>
      </c>
      <c r="N1316" t="str">
        <f>IF(交易處理資料__3[[#This Row],[上班時間]]=0,"否","是")</f>
        <v>是</v>
      </c>
      <c r="O1316" t="s">
        <v>76</v>
      </c>
      <c r="P1316" s="37">
        <v>1.318666667</v>
      </c>
      <c r="Q1316" s="37">
        <v>0.40850000000000003</v>
      </c>
      <c r="R1316" s="37">
        <v>0.70760000000000001</v>
      </c>
    </row>
    <row r="1317" spans="1:18" hidden="1">
      <c r="A1317" t="s">
        <v>76</v>
      </c>
      <c r="B1317" t="s">
        <v>53</v>
      </c>
      <c r="C1317">
        <v>0</v>
      </c>
      <c r="D1317">
        <v>0</v>
      </c>
      <c r="E1317" s="29">
        <v>0</v>
      </c>
      <c r="F1317">
        <v>7.68</v>
      </c>
      <c r="G1317">
        <v>0.28000000000000003</v>
      </c>
      <c r="H1317">
        <v>7.96</v>
      </c>
      <c r="I1317" s="29">
        <v>0.96479999999999999</v>
      </c>
      <c r="J1317" s="29">
        <v>0</v>
      </c>
      <c r="K1317" s="9">
        <v>45325</v>
      </c>
      <c r="L1317">
        <f xml:space="preserve"> (交易處理資料__3[[#This Row],[售出工時]] * 60) / 5</f>
        <v>0</v>
      </c>
      <c r="M1317" t="str">
        <f>VLOOKUP(交易處理資料__3[[#This Row],[人員代號]],團隊分組!$B$1:$C$52,2,FALSE)</f>
        <v>查修團隊A</v>
      </c>
      <c r="N1317" t="str">
        <f>IF(交易處理資料__3[[#This Row],[上班時間]]=0,"否","是")</f>
        <v>是</v>
      </c>
      <c r="O1317" t="s">
        <v>76</v>
      </c>
      <c r="P1317" s="38">
        <v>0</v>
      </c>
      <c r="Q1317" s="38">
        <v>0</v>
      </c>
      <c r="R1317" s="38">
        <v>0.96479999999999999</v>
      </c>
    </row>
    <row r="1318" spans="1:18" hidden="1">
      <c r="A1318" s="10" t="s">
        <v>74</v>
      </c>
      <c r="B1318" t="s">
        <v>1</v>
      </c>
      <c r="C1318">
        <v>0</v>
      </c>
      <c r="D1318">
        <v>0</v>
      </c>
      <c r="E1318" s="29">
        <v>0</v>
      </c>
      <c r="F1318">
        <v>0</v>
      </c>
      <c r="G1318">
        <v>0</v>
      </c>
      <c r="H1318">
        <v>0</v>
      </c>
      <c r="I1318" s="29">
        <v>0</v>
      </c>
      <c r="J1318" s="29">
        <v>0</v>
      </c>
      <c r="K1318" s="9">
        <v>45326</v>
      </c>
      <c r="L1318">
        <f xml:space="preserve"> (交易處理資料__3[[#This Row],[售出工時]] * 60) / 5</f>
        <v>0</v>
      </c>
      <c r="M1318" t="str">
        <f>VLOOKUP(交易處理資料__3[[#This Row],[人員代號]],團隊分組!$B$1:$C$52,2,FALSE)</f>
        <v>噴漆維修組</v>
      </c>
      <c r="N1318" t="str">
        <f>IF(交易處理資料__3[[#This Row],[上班時間]]=0,"否","是")</f>
        <v>否</v>
      </c>
      <c r="O1318" s="10" t="s">
        <v>74</v>
      </c>
      <c r="P1318" s="37">
        <v>0</v>
      </c>
      <c r="Q1318" s="37">
        <v>0</v>
      </c>
      <c r="R1318" s="37">
        <v>0</v>
      </c>
    </row>
    <row r="1319" spans="1:18" hidden="1">
      <c r="A1319" s="10" t="s">
        <v>74</v>
      </c>
      <c r="B1319" t="s">
        <v>2</v>
      </c>
      <c r="C1319">
        <v>0</v>
      </c>
      <c r="D1319">
        <v>0</v>
      </c>
      <c r="E1319" s="29">
        <v>0</v>
      </c>
      <c r="F1319">
        <v>0</v>
      </c>
      <c r="G1319">
        <v>0</v>
      </c>
      <c r="H1319">
        <v>0</v>
      </c>
      <c r="I1319" s="29">
        <v>0</v>
      </c>
      <c r="J1319" s="29">
        <v>0</v>
      </c>
      <c r="K1319" s="9">
        <v>45326</v>
      </c>
      <c r="L1319">
        <f xml:space="preserve"> (交易處理資料__3[[#This Row],[售出工時]] * 60) / 5</f>
        <v>0</v>
      </c>
      <c r="M1319" t="str">
        <f>VLOOKUP(交易處理資料__3[[#This Row],[人員代號]],團隊分組!$B$1:$C$52,2,FALSE)</f>
        <v>噴漆維修組</v>
      </c>
      <c r="N1319" t="str">
        <f>IF(交易處理資料__3[[#This Row],[上班時間]]=0,"否","是")</f>
        <v>否</v>
      </c>
      <c r="O1319" s="10" t="s">
        <v>74</v>
      </c>
      <c r="P1319" s="38">
        <v>0</v>
      </c>
      <c r="Q1319" s="38">
        <v>0</v>
      </c>
      <c r="R1319" s="38">
        <v>0</v>
      </c>
    </row>
    <row r="1320" spans="1:18" hidden="1">
      <c r="A1320" s="10" t="s">
        <v>74</v>
      </c>
      <c r="B1320" t="s">
        <v>3</v>
      </c>
      <c r="C1320">
        <v>0</v>
      </c>
      <c r="D1320">
        <v>0</v>
      </c>
      <c r="E1320" s="29">
        <v>0</v>
      </c>
      <c r="F1320">
        <v>0</v>
      </c>
      <c r="G1320">
        <v>0</v>
      </c>
      <c r="H1320">
        <v>0</v>
      </c>
      <c r="I1320" s="29">
        <v>0</v>
      </c>
      <c r="J1320" s="29">
        <v>0</v>
      </c>
      <c r="K1320" s="9">
        <v>45326</v>
      </c>
      <c r="L1320">
        <f xml:space="preserve"> (交易處理資料__3[[#This Row],[售出工時]] * 60) / 5</f>
        <v>0</v>
      </c>
      <c r="M1320" t="str">
        <f>VLOOKUP(交易處理資料__3[[#This Row],[人員代號]],團隊分組!$B$1:$C$52,2,FALSE)</f>
        <v>噴漆維修組</v>
      </c>
      <c r="N1320" t="str">
        <f>IF(交易處理資料__3[[#This Row],[上班時間]]=0,"否","是")</f>
        <v>否</v>
      </c>
      <c r="O1320" s="10" t="s">
        <v>74</v>
      </c>
      <c r="P1320" s="37">
        <v>0</v>
      </c>
      <c r="Q1320" s="37">
        <v>0</v>
      </c>
      <c r="R1320" s="37">
        <v>0</v>
      </c>
    </row>
    <row r="1321" spans="1:18" hidden="1">
      <c r="A1321" s="10" t="s">
        <v>74</v>
      </c>
      <c r="B1321" t="s">
        <v>4</v>
      </c>
      <c r="C1321">
        <v>0</v>
      </c>
      <c r="D1321">
        <v>0</v>
      </c>
      <c r="E1321" s="29">
        <v>0</v>
      </c>
      <c r="F1321">
        <v>0</v>
      </c>
      <c r="G1321">
        <v>0</v>
      </c>
      <c r="H1321">
        <v>0</v>
      </c>
      <c r="I1321" s="29">
        <v>0</v>
      </c>
      <c r="J1321" s="29">
        <v>0</v>
      </c>
      <c r="K1321" s="9">
        <v>45326</v>
      </c>
      <c r="L1321">
        <f xml:space="preserve"> (交易處理資料__3[[#This Row],[售出工時]] * 60) / 5</f>
        <v>0</v>
      </c>
      <c r="M1321" t="str">
        <f>VLOOKUP(交易處理資料__3[[#This Row],[人員代號]],團隊分組!$B$1:$C$52,2,FALSE)</f>
        <v>噴漆維修組</v>
      </c>
      <c r="N1321" t="str">
        <f>IF(交易處理資料__3[[#This Row],[上班時間]]=0,"否","是")</f>
        <v>否</v>
      </c>
      <c r="O1321" s="10" t="s">
        <v>74</v>
      </c>
      <c r="P1321" s="38">
        <v>0</v>
      </c>
      <c r="Q1321" s="38">
        <v>0</v>
      </c>
      <c r="R1321" s="38">
        <v>0</v>
      </c>
    </row>
    <row r="1322" spans="1:18" hidden="1">
      <c r="A1322" s="10" t="s">
        <v>74</v>
      </c>
      <c r="B1322" t="s">
        <v>5</v>
      </c>
      <c r="C1322">
        <v>0</v>
      </c>
      <c r="D1322">
        <v>0</v>
      </c>
      <c r="E1322" s="29">
        <v>0</v>
      </c>
      <c r="F1322">
        <v>0</v>
      </c>
      <c r="G1322">
        <v>0</v>
      </c>
      <c r="H1322">
        <v>0</v>
      </c>
      <c r="I1322" s="29">
        <v>0</v>
      </c>
      <c r="J1322" s="29">
        <v>0</v>
      </c>
      <c r="K1322" s="9">
        <v>45326</v>
      </c>
      <c r="L1322">
        <f xml:space="preserve"> (交易處理資料__3[[#This Row],[售出工時]] * 60) / 5</f>
        <v>0</v>
      </c>
      <c r="M1322" t="str">
        <f>VLOOKUP(交易處理資料__3[[#This Row],[人員代號]],團隊分組!$B$1:$C$52,2,FALSE)</f>
        <v>噴漆維修組</v>
      </c>
      <c r="N1322" t="str">
        <f>IF(交易處理資料__3[[#This Row],[上班時間]]=0,"否","是")</f>
        <v>否</v>
      </c>
      <c r="O1322" s="10" t="s">
        <v>74</v>
      </c>
      <c r="P1322" s="37">
        <v>0</v>
      </c>
      <c r="Q1322" s="37">
        <v>0</v>
      </c>
      <c r="R1322" s="37">
        <v>0</v>
      </c>
    </row>
    <row r="1323" spans="1:18" hidden="1">
      <c r="A1323" s="10" t="s">
        <v>74</v>
      </c>
      <c r="B1323" t="s">
        <v>6</v>
      </c>
      <c r="C1323">
        <v>0</v>
      </c>
      <c r="D1323">
        <v>0</v>
      </c>
      <c r="E1323" s="29">
        <v>0</v>
      </c>
      <c r="F1323">
        <v>0</v>
      </c>
      <c r="G1323">
        <v>0</v>
      </c>
      <c r="H1323">
        <v>0</v>
      </c>
      <c r="I1323" s="29">
        <v>0</v>
      </c>
      <c r="J1323" s="29">
        <v>0</v>
      </c>
      <c r="K1323" s="9">
        <v>45326</v>
      </c>
      <c r="L1323">
        <f xml:space="preserve"> (交易處理資料__3[[#This Row],[售出工時]] * 60) / 5</f>
        <v>0</v>
      </c>
      <c r="M1323" t="str">
        <f>VLOOKUP(交易處理資料__3[[#This Row],[人員代號]],團隊分組!$B$1:$C$52,2,FALSE)</f>
        <v>噴漆維修組</v>
      </c>
      <c r="N1323" t="str">
        <f>IF(交易處理資料__3[[#This Row],[上班時間]]=0,"否","是")</f>
        <v>否</v>
      </c>
      <c r="O1323" s="10" t="s">
        <v>74</v>
      </c>
      <c r="P1323" s="38">
        <v>0</v>
      </c>
      <c r="Q1323" s="38">
        <v>0</v>
      </c>
      <c r="R1323" s="38">
        <v>0</v>
      </c>
    </row>
    <row r="1324" spans="1:18">
      <c r="A1324" s="10" t="s">
        <v>74</v>
      </c>
      <c r="B1324" t="s">
        <v>7</v>
      </c>
      <c r="C1324">
        <v>0</v>
      </c>
      <c r="D1324">
        <v>0</v>
      </c>
      <c r="E1324" s="29">
        <v>0</v>
      </c>
      <c r="F1324">
        <v>0</v>
      </c>
      <c r="G1324">
        <v>0</v>
      </c>
      <c r="H1324">
        <v>0</v>
      </c>
      <c r="I1324" s="29">
        <v>0</v>
      </c>
      <c r="J1324" s="29">
        <v>0</v>
      </c>
      <c r="K1324" s="9">
        <v>45326</v>
      </c>
      <c r="L1324">
        <f xml:space="preserve"> (交易處理資料__3[[#This Row],[售出工時]] * 60) / 5</f>
        <v>0</v>
      </c>
      <c r="M1324" t="str">
        <f>VLOOKUP(交易處理資料__3[[#This Row],[人員代號]],團隊分組!$B$1:$C$52,2,FALSE)</f>
        <v>噴漆維修組</v>
      </c>
      <c r="N1324" t="str">
        <f>IF(交易處理資料__3[[#This Row],[上班時間]]=0,"否","是")</f>
        <v>否</v>
      </c>
      <c r="O1324" s="10" t="s">
        <v>74</v>
      </c>
      <c r="P1324" s="37">
        <v>0</v>
      </c>
      <c r="Q1324" s="37">
        <v>0</v>
      </c>
      <c r="R1324" s="37">
        <v>0</v>
      </c>
    </row>
    <row r="1325" spans="1:18" hidden="1">
      <c r="A1325" s="10" t="s">
        <v>74</v>
      </c>
      <c r="B1325" t="s">
        <v>8</v>
      </c>
      <c r="C1325">
        <v>0</v>
      </c>
      <c r="D1325">
        <v>0</v>
      </c>
      <c r="E1325" s="29">
        <v>0</v>
      </c>
      <c r="F1325">
        <v>0</v>
      </c>
      <c r="G1325">
        <v>0</v>
      </c>
      <c r="H1325">
        <v>0</v>
      </c>
      <c r="I1325" s="29">
        <v>0</v>
      </c>
      <c r="J1325" s="29">
        <v>0</v>
      </c>
      <c r="K1325" s="9">
        <v>45326</v>
      </c>
      <c r="L1325">
        <f xml:space="preserve"> (交易處理資料__3[[#This Row],[售出工時]] * 60) / 5</f>
        <v>0</v>
      </c>
      <c r="M1325" t="str">
        <f>VLOOKUP(交易處理資料__3[[#This Row],[人員代號]],團隊分組!$B$1:$C$52,2,FALSE)</f>
        <v>噴漆維修組</v>
      </c>
      <c r="N1325" t="str">
        <f>IF(交易處理資料__3[[#This Row],[上班時間]]=0,"否","是")</f>
        <v>否</v>
      </c>
      <c r="O1325" s="10" t="s">
        <v>74</v>
      </c>
      <c r="P1325" s="38">
        <v>0</v>
      </c>
      <c r="Q1325" s="38">
        <v>0</v>
      </c>
      <c r="R1325" s="38">
        <v>0</v>
      </c>
    </row>
    <row r="1326" spans="1:18" hidden="1">
      <c r="A1326" s="10" t="s">
        <v>74</v>
      </c>
      <c r="B1326" t="s">
        <v>9</v>
      </c>
      <c r="C1326">
        <v>0</v>
      </c>
      <c r="D1326">
        <v>0</v>
      </c>
      <c r="E1326" s="29">
        <v>0</v>
      </c>
      <c r="F1326">
        <v>0</v>
      </c>
      <c r="G1326">
        <v>0</v>
      </c>
      <c r="H1326">
        <v>0</v>
      </c>
      <c r="I1326" s="29">
        <v>0</v>
      </c>
      <c r="J1326" s="29">
        <v>0</v>
      </c>
      <c r="K1326" s="9">
        <v>45326</v>
      </c>
      <c r="L1326">
        <f xml:space="preserve"> (交易處理資料__3[[#This Row],[售出工時]] * 60) / 5</f>
        <v>0</v>
      </c>
      <c r="M1326" t="str">
        <f>VLOOKUP(交易處理資料__3[[#This Row],[人員代號]],團隊分組!$B$1:$C$52,2,FALSE)</f>
        <v>噴漆維修組</v>
      </c>
      <c r="N1326" t="str">
        <f>IF(交易處理資料__3[[#This Row],[上班時間]]=0,"否","是")</f>
        <v>否</v>
      </c>
      <c r="O1326" s="10" t="s">
        <v>74</v>
      </c>
      <c r="P1326" s="37">
        <v>0</v>
      </c>
      <c r="Q1326" s="37">
        <v>0</v>
      </c>
      <c r="R1326" s="37">
        <v>0</v>
      </c>
    </row>
    <row r="1327" spans="1:18" hidden="1">
      <c r="A1327" t="s">
        <v>75</v>
      </c>
      <c r="B1327" t="s">
        <v>11</v>
      </c>
      <c r="C1327">
        <v>0</v>
      </c>
      <c r="D1327">
        <v>0</v>
      </c>
      <c r="E1327" s="29">
        <v>0</v>
      </c>
      <c r="F1327">
        <v>0</v>
      </c>
      <c r="G1327">
        <v>0</v>
      </c>
      <c r="H1327">
        <v>0</v>
      </c>
      <c r="I1327" s="29">
        <v>0</v>
      </c>
      <c r="J1327" s="29">
        <v>0</v>
      </c>
      <c r="K1327" s="9">
        <v>45326</v>
      </c>
      <c r="L1327">
        <f xml:space="preserve"> (交易處理資料__3[[#This Row],[售出工時]] * 60) / 5</f>
        <v>0</v>
      </c>
      <c r="M1327" t="str">
        <f>VLOOKUP(交易處理資料__3[[#This Row],[人員代號]],團隊分組!$B$1:$C$52,2,FALSE)</f>
        <v>鈑金維修組</v>
      </c>
      <c r="N1327" t="str">
        <f>IF(交易處理資料__3[[#This Row],[上班時間]]=0,"否","是")</f>
        <v>否</v>
      </c>
      <c r="O1327" t="s">
        <v>75</v>
      </c>
      <c r="P1327" s="38">
        <v>0</v>
      </c>
      <c r="Q1327" s="38">
        <v>0</v>
      </c>
      <c r="R1327" s="38">
        <v>0</v>
      </c>
    </row>
    <row r="1328" spans="1:18" hidden="1">
      <c r="A1328" t="s">
        <v>75</v>
      </c>
      <c r="B1328" t="s">
        <v>12</v>
      </c>
      <c r="C1328">
        <v>0</v>
      </c>
      <c r="D1328">
        <v>0</v>
      </c>
      <c r="E1328" s="29">
        <v>0</v>
      </c>
      <c r="F1328">
        <v>0</v>
      </c>
      <c r="G1328">
        <v>0</v>
      </c>
      <c r="H1328">
        <v>0</v>
      </c>
      <c r="I1328" s="29">
        <v>0</v>
      </c>
      <c r="J1328" s="29">
        <v>0</v>
      </c>
      <c r="K1328" s="9">
        <v>45326</v>
      </c>
      <c r="L1328">
        <f xml:space="preserve"> (交易處理資料__3[[#This Row],[售出工時]] * 60) / 5</f>
        <v>0</v>
      </c>
      <c r="M1328" t="str">
        <f>VLOOKUP(交易處理資料__3[[#This Row],[人員代號]],團隊分組!$B$1:$C$52,2,FALSE)</f>
        <v>鈑金維修組</v>
      </c>
      <c r="N1328" t="str">
        <f>IF(交易處理資料__3[[#This Row],[上班時間]]=0,"否","是")</f>
        <v>否</v>
      </c>
      <c r="O1328" t="s">
        <v>75</v>
      </c>
      <c r="P1328" s="37">
        <v>0</v>
      </c>
      <c r="Q1328" s="37">
        <v>0</v>
      </c>
      <c r="R1328" s="37">
        <v>0</v>
      </c>
    </row>
    <row r="1329" spans="1:18" hidden="1">
      <c r="A1329" t="s">
        <v>75</v>
      </c>
      <c r="B1329" t="s">
        <v>13</v>
      </c>
      <c r="C1329">
        <v>0</v>
      </c>
      <c r="D1329">
        <v>0</v>
      </c>
      <c r="E1329" s="29">
        <v>0</v>
      </c>
      <c r="F1329">
        <v>0</v>
      </c>
      <c r="G1329">
        <v>0</v>
      </c>
      <c r="H1329">
        <v>0</v>
      </c>
      <c r="I1329" s="29">
        <v>0</v>
      </c>
      <c r="J1329" s="29">
        <v>0</v>
      </c>
      <c r="K1329" s="9">
        <v>45326</v>
      </c>
      <c r="L1329">
        <f xml:space="preserve"> (交易處理資料__3[[#This Row],[售出工時]] * 60) / 5</f>
        <v>0</v>
      </c>
      <c r="M1329" t="str">
        <f>VLOOKUP(交易處理資料__3[[#This Row],[人員代號]],團隊分組!$B$1:$C$52,2,FALSE)</f>
        <v>鈑金維修組</v>
      </c>
      <c r="N1329" t="str">
        <f>IF(交易處理資料__3[[#This Row],[上班時間]]=0,"否","是")</f>
        <v>否</v>
      </c>
      <c r="O1329" t="s">
        <v>75</v>
      </c>
      <c r="P1329" s="38">
        <v>0</v>
      </c>
      <c r="Q1329" s="38">
        <v>0</v>
      </c>
      <c r="R1329" s="38">
        <v>0</v>
      </c>
    </row>
    <row r="1330" spans="1:18" hidden="1">
      <c r="A1330" t="s">
        <v>75</v>
      </c>
      <c r="B1330" t="s">
        <v>14</v>
      </c>
      <c r="C1330">
        <v>0</v>
      </c>
      <c r="D1330">
        <v>0</v>
      </c>
      <c r="E1330" s="29">
        <v>0</v>
      </c>
      <c r="F1330">
        <v>0</v>
      </c>
      <c r="G1330">
        <v>0</v>
      </c>
      <c r="H1330">
        <v>0</v>
      </c>
      <c r="I1330" s="29">
        <v>0</v>
      </c>
      <c r="J1330" s="29">
        <v>0</v>
      </c>
      <c r="K1330" s="9">
        <v>45326</v>
      </c>
      <c r="L1330">
        <f xml:space="preserve"> (交易處理資料__3[[#This Row],[售出工時]] * 60) / 5</f>
        <v>0</v>
      </c>
      <c r="M1330" t="str">
        <f>VLOOKUP(交易處理資料__3[[#This Row],[人員代號]],團隊分組!$B$1:$C$52,2,FALSE)</f>
        <v>鈑金維修組</v>
      </c>
      <c r="N1330" t="str">
        <f>IF(交易處理資料__3[[#This Row],[上班時間]]=0,"否","是")</f>
        <v>否</v>
      </c>
      <c r="O1330" t="s">
        <v>75</v>
      </c>
      <c r="P1330" s="37">
        <v>0</v>
      </c>
      <c r="Q1330" s="37">
        <v>0</v>
      </c>
      <c r="R1330" s="37">
        <v>0</v>
      </c>
    </row>
    <row r="1331" spans="1:18" hidden="1">
      <c r="A1331" t="s">
        <v>75</v>
      </c>
      <c r="B1331" t="s">
        <v>15</v>
      </c>
      <c r="C1331">
        <v>0</v>
      </c>
      <c r="D1331">
        <v>0</v>
      </c>
      <c r="E1331" s="29">
        <v>0</v>
      </c>
      <c r="F1331">
        <v>0</v>
      </c>
      <c r="G1331">
        <v>0</v>
      </c>
      <c r="H1331">
        <v>0</v>
      </c>
      <c r="I1331" s="29">
        <v>0</v>
      </c>
      <c r="J1331" s="29">
        <v>0</v>
      </c>
      <c r="K1331" s="9">
        <v>45326</v>
      </c>
      <c r="L1331">
        <f xml:space="preserve"> (交易處理資料__3[[#This Row],[售出工時]] * 60) / 5</f>
        <v>0</v>
      </c>
      <c r="M1331" t="str">
        <f>VLOOKUP(交易處理資料__3[[#This Row],[人員代號]],團隊分組!$B$1:$C$52,2,FALSE)</f>
        <v>鈑金維修組</v>
      </c>
      <c r="N1331" t="str">
        <f>IF(交易處理資料__3[[#This Row],[上班時間]]=0,"否","是")</f>
        <v>否</v>
      </c>
      <c r="O1331" t="s">
        <v>75</v>
      </c>
      <c r="P1331" s="38">
        <v>0</v>
      </c>
      <c r="Q1331" s="38">
        <v>0</v>
      </c>
      <c r="R1331" s="38">
        <v>0</v>
      </c>
    </row>
    <row r="1332" spans="1:18" hidden="1">
      <c r="A1332" t="s">
        <v>76</v>
      </c>
      <c r="B1332" t="s">
        <v>17</v>
      </c>
      <c r="C1332">
        <v>0</v>
      </c>
      <c r="D1332">
        <v>0</v>
      </c>
      <c r="E1332" s="29">
        <v>0</v>
      </c>
      <c r="F1332">
        <v>0</v>
      </c>
      <c r="G1332">
        <v>0</v>
      </c>
      <c r="H1332">
        <v>0</v>
      </c>
      <c r="I1332" s="29">
        <v>0</v>
      </c>
      <c r="J1332" s="29">
        <v>0</v>
      </c>
      <c r="K1332" s="9">
        <v>45326</v>
      </c>
      <c r="L1332">
        <f xml:space="preserve"> (交易處理資料__3[[#This Row],[售出工時]] * 60) / 5</f>
        <v>0</v>
      </c>
      <c r="M1332" t="str">
        <f>VLOOKUP(交易處理資料__3[[#This Row],[人員代號]],團隊分組!$B$1:$C$52,2,FALSE)</f>
        <v>快速保養團隊A</v>
      </c>
      <c r="N1332" t="str">
        <f>IF(交易處理資料__3[[#This Row],[上班時間]]=0,"否","是")</f>
        <v>否</v>
      </c>
      <c r="O1332" t="s">
        <v>76</v>
      </c>
      <c r="P1332" s="37">
        <v>0</v>
      </c>
      <c r="Q1332" s="37">
        <v>0</v>
      </c>
      <c r="R1332" s="37">
        <v>0</v>
      </c>
    </row>
    <row r="1333" spans="1:18" hidden="1">
      <c r="A1333" t="s">
        <v>76</v>
      </c>
      <c r="B1333" t="s">
        <v>18</v>
      </c>
      <c r="C1333">
        <v>0</v>
      </c>
      <c r="D1333">
        <v>0</v>
      </c>
      <c r="E1333" s="29">
        <v>0</v>
      </c>
      <c r="F1333">
        <v>0</v>
      </c>
      <c r="G1333">
        <v>0</v>
      </c>
      <c r="H1333">
        <v>0</v>
      </c>
      <c r="I1333" s="29">
        <v>0</v>
      </c>
      <c r="J1333" s="29">
        <v>0</v>
      </c>
      <c r="K1333" s="9">
        <v>45326</v>
      </c>
      <c r="L1333">
        <f xml:space="preserve"> (交易處理資料__3[[#This Row],[售出工時]] * 60) / 5</f>
        <v>0</v>
      </c>
      <c r="M1333" t="str">
        <f>VLOOKUP(交易處理資料__3[[#This Row],[人員代號]],團隊分組!$B$1:$C$52,2,FALSE)</f>
        <v>查修團隊B</v>
      </c>
      <c r="N1333" t="str">
        <f>IF(交易處理資料__3[[#This Row],[上班時間]]=0,"否","是")</f>
        <v>否</v>
      </c>
      <c r="O1333" t="s">
        <v>76</v>
      </c>
      <c r="P1333" s="38">
        <v>0</v>
      </c>
      <c r="Q1333" s="38">
        <v>0</v>
      </c>
      <c r="R1333" s="38">
        <v>0</v>
      </c>
    </row>
    <row r="1334" spans="1:18" hidden="1">
      <c r="A1334" t="s">
        <v>76</v>
      </c>
      <c r="B1334" t="s">
        <v>19</v>
      </c>
      <c r="C1334">
        <v>0</v>
      </c>
      <c r="D1334">
        <v>0</v>
      </c>
      <c r="E1334" s="29">
        <v>0</v>
      </c>
      <c r="F1334">
        <v>0</v>
      </c>
      <c r="G1334">
        <v>0</v>
      </c>
      <c r="H1334">
        <v>0</v>
      </c>
      <c r="I1334" s="29">
        <v>0</v>
      </c>
      <c r="J1334" s="29">
        <v>0</v>
      </c>
      <c r="K1334" s="9">
        <v>45326</v>
      </c>
      <c r="L1334">
        <f xml:space="preserve"> (交易處理資料__3[[#This Row],[售出工時]] * 60) / 5</f>
        <v>0</v>
      </c>
      <c r="M1334" t="str">
        <f>VLOOKUP(交易處理資料__3[[#This Row],[人員代號]],團隊分組!$B$1:$C$52,2,FALSE)</f>
        <v>查修團隊A</v>
      </c>
      <c r="N1334" t="str">
        <f>IF(交易處理資料__3[[#This Row],[上班時間]]=0,"否","是")</f>
        <v>否</v>
      </c>
      <c r="O1334" t="s">
        <v>76</v>
      </c>
      <c r="P1334" s="37">
        <v>0</v>
      </c>
      <c r="Q1334" s="37">
        <v>0</v>
      </c>
      <c r="R1334" s="37">
        <v>0</v>
      </c>
    </row>
    <row r="1335" spans="1:18" hidden="1">
      <c r="A1335" t="s">
        <v>76</v>
      </c>
      <c r="B1335" t="s">
        <v>20</v>
      </c>
      <c r="C1335">
        <v>0</v>
      </c>
      <c r="D1335">
        <v>0</v>
      </c>
      <c r="E1335" s="29">
        <v>0</v>
      </c>
      <c r="F1335">
        <v>0</v>
      </c>
      <c r="G1335">
        <v>0</v>
      </c>
      <c r="H1335">
        <v>0</v>
      </c>
      <c r="I1335" s="29">
        <v>0</v>
      </c>
      <c r="J1335" s="29">
        <v>0</v>
      </c>
      <c r="K1335" s="9">
        <v>45326</v>
      </c>
      <c r="L1335">
        <f xml:space="preserve"> (交易處理資料__3[[#This Row],[售出工時]] * 60) / 5</f>
        <v>0</v>
      </c>
      <c r="M1335" t="str">
        <f>VLOOKUP(交易處理資料__3[[#This Row],[人員代號]],團隊分組!$B$1:$C$52,2,FALSE)</f>
        <v>查修團隊B</v>
      </c>
      <c r="N1335" t="str">
        <f>IF(交易處理資料__3[[#This Row],[上班時間]]=0,"否","是")</f>
        <v>否</v>
      </c>
      <c r="O1335" t="s">
        <v>76</v>
      </c>
      <c r="P1335" s="38">
        <v>0</v>
      </c>
      <c r="Q1335" s="38">
        <v>0</v>
      </c>
      <c r="R1335" s="38">
        <v>0</v>
      </c>
    </row>
    <row r="1336" spans="1:18" hidden="1">
      <c r="A1336" t="s">
        <v>76</v>
      </c>
      <c r="B1336" t="s">
        <v>21</v>
      </c>
      <c r="C1336">
        <v>0</v>
      </c>
      <c r="D1336">
        <v>0</v>
      </c>
      <c r="E1336" s="29">
        <v>0</v>
      </c>
      <c r="F1336">
        <v>0</v>
      </c>
      <c r="G1336">
        <v>0</v>
      </c>
      <c r="H1336">
        <v>0</v>
      </c>
      <c r="I1336" s="29">
        <v>0</v>
      </c>
      <c r="J1336" s="29">
        <v>0</v>
      </c>
      <c r="K1336" s="9">
        <v>45326</v>
      </c>
      <c r="L1336">
        <f xml:space="preserve"> (交易處理資料__3[[#This Row],[售出工時]] * 60) / 5</f>
        <v>0</v>
      </c>
      <c r="M1336" t="str">
        <f>VLOOKUP(交易處理資料__3[[#This Row],[人員代號]],團隊分組!$B$1:$C$52,2,FALSE)</f>
        <v>查修團隊B</v>
      </c>
      <c r="N1336" t="str">
        <f>IF(交易處理資料__3[[#This Row],[上班時間]]=0,"否","是")</f>
        <v>否</v>
      </c>
      <c r="O1336" t="s">
        <v>76</v>
      </c>
      <c r="P1336" s="37">
        <v>0</v>
      </c>
      <c r="Q1336" s="37">
        <v>0</v>
      </c>
      <c r="R1336" s="37">
        <v>0</v>
      </c>
    </row>
    <row r="1337" spans="1:18" hidden="1">
      <c r="A1337" t="s">
        <v>76</v>
      </c>
      <c r="B1337" t="s">
        <v>22</v>
      </c>
      <c r="C1337">
        <v>0</v>
      </c>
      <c r="D1337">
        <v>0</v>
      </c>
      <c r="E1337" s="29">
        <v>0</v>
      </c>
      <c r="F1337">
        <v>0</v>
      </c>
      <c r="G1337">
        <v>0</v>
      </c>
      <c r="H1337">
        <v>0</v>
      </c>
      <c r="I1337" s="29">
        <v>0</v>
      </c>
      <c r="J1337" s="29">
        <v>0</v>
      </c>
      <c r="K1337" s="9">
        <v>45326</v>
      </c>
      <c r="L1337">
        <f xml:space="preserve"> (交易處理資料__3[[#This Row],[售出工時]] * 60) / 5</f>
        <v>0</v>
      </c>
      <c r="M1337" t="str">
        <f>VLOOKUP(交易處理資料__3[[#This Row],[人員代號]],團隊分組!$B$1:$C$52,2,FALSE)</f>
        <v>快速保養團隊A</v>
      </c>
      <c r="N1337" t="str">
        <f>IF(交易處理資料__3[[#This Row],[上班時間]]=0,"否","是")</f>
        <v>否</v>
      </c>
      <c r="O1337" t="s">
        <v>76</v>
      </c>
      <c r="P1337" s="38">
        <v>0</v>
      </c>
      <c r="Q1337" s="38">
        <v>0</v>
      </c>
      <c r="R1337" s="38">
        <v>0</v>
      </c>
    </row>
    <row r="1338" spans="1:18" hidden="1">
      <c r="A1338" t="s">
        <v>76</v>
      </c>
      <c r="B1338" t="s">
        <v>23</v>
      </c>
      <c r="C1338">
        <v>0</v>
      </c>
      <c r="D1338">
        <v>0</v>
      </c>
      <c r="E1338" s="29">
        <v>0</v>
      </c>
      <c r="F1338">
        <v>0</v>
      </c>
      <c r="G1338">
        <v>0</v>
      </c>
      <c r="H1338">
        <v>0</v>
      </c>
      <c r="I1338" s="29">
        <v>0</v>
      </c>
      <c r="J1338" s="29">
        <v>0</v>
      </c>
      <c r="K1338" s="9">
        <v>45326</v>
      </c>
      <c r="L1338">
        <f xml:space="preserve"> (交易處理資料__3[[#This Row],[售出工時]] * 60) / 5</f>
        <v>0</v>
      </c>
      <c r="M1338" t="str">
        <f>VLOOKUP(交易處理資料__3[[#This Row],[人員代號]],團隊分組!$B$1:$C$52,2,FALSE)</f>
        <v>快速保養團隊B</v>
      </c>
      <c r="N1338" t="str">
        <f>IF(交易處理資料__3[[#This Row],[上班時間]]=0,"否","是")</f>
        <v>否</v>
      </c>
      <c r="O1338" t="s">
        <v>76</v>
      </c>
      <c r="P1338" s="37">
        <v>0</v>
      </c>
      <c r="Q1338" s="37">
        <v>0</v>
      </c>
      <c r="R1338" s="37">
        <v>0</v>
      </c>
    </row>
    <row r="1339" spans="1:18" hidden="1">
      <c r="A1339" t="s">
        <v>76</v>
      </c>
      <c r="B1339" t="s">
        <v>24</v>
      </c>
      <c r="C1339">
        <v>0</v>
      </c>
      <c r="D1339">
        <v>0</v>
      </c>
      <c r="E1339" s="29">
        <v>0</v>
      </c>
      <c r="F1339">
        <v>0</v>
      </c>
      <c r="G1339">
        <v>0</v>
      </c>
      <c r="H1339">
        <v>0</v>
      </c>
      <c r="I1339" s="29">
        <v>0</v>
      </c>
      <c r="J1339" s="29">
        <v>0</v>
      </c>
      <c r="K1339" s="9">
        <v>45326</v>
      </c>
      <c r="L1339">
        <f xml:space="preserve"> (交易處理資料__3[[#This Row],[售出工時]] * 60) / 5</f>
        <v>0</v>
      </c>
      <c r="M1339" t="str">
        <f>VLOOKUP(交易處理資料__3[[#This Row],[人員代號]],團隊分組!$B$1:$C$52,2,FALSE)</f>
        <v>快速保養團隊A</v>
      </c>
      <c r="N1339" t="str">
        <f>IF(交易處理資料__3[[#This Row],[上班時間]]=0,"否","是")</f>
        <v>否</v>
      </c>
      <c r="O1339" t="s">
        <v>76</v>
      </c>
      <c r="P1339" s="38">
        <v>0</v>
      </c>
      <c r="Q1339" s="38">
        <v>0</v>
      </c>
      <c r="R1339" s="38">
        <v>0</v>
      </c>
    </row>
    <row r="1340" spans="1:18" hidden="1">
      <c r="A1340" t="s">
        <v>76</v>
      </c>
      <c r="B1340" t="s">
        <v>25</v>
      </c>
      <c r="C1340">
        <v>0</v>
      </c>
      <c r="D1340">
        <v>0</v>
      </c>
      <c r="E1340" s="29">
        <v>0</v>
      </c>
      <c r="F1340">
        <v>0</v>
      </c>
      <c r="G1340">
        <v>0</v>
      </c>
      <c r="H1340">
        <v>0</v>
      </c>
      <c r="I1340" s="29">
        <v>0</v>
      </c>
      <c r="J1340" s="29">
        <v>0</v>
      </c>
      <c r="K1340" s="9">
        <v>45326</v>
      </c>
      <c r="L1340">
        <f xml:space="preserve"> (交易處理資料__3[[#This Row],[售出工時]] * 60) / 5</f>
        <v>0</v>
      </c>
      <c r="M1340" t="str">
        <f>VLOOKUP(交易處理資料__3[[#This Row],[人員代號]],團隊分組!$B$1:$C$52,2,FALSE)</f>
        <v>查修團隊A</v>
      </c>
      <c r="N1340" t="str">
        <f>IF(交易處理資料__3[[#This Row],[上班時間]]=0,"否","是")</f>
        <v>否</v>
      </c>
      <c r="O1340" t="s">
        <v>76</v>
      </c>
      <c r="P1340" s="37">
        <v>0</v>
      </c>
      <c r="Q1340" s="37">
        <v>0</v>
      </c>
      <c r="R1340" s="37">
        <v>0</v>
      </c>
    </row>
    <row r="1341" spans="1:18" hidden="1">
      <c r="A1341" t="s">
        <v>76</v>
      </c>
      <c r="B1341" t="s">
        <v>26</v>
      </c>
      <c r="C1341">
        <v>0</v>
      </c>
      <c r="D1341">
        <v>0</v>
      </c>
      <c r="E1341" s="29">
        <v>0</v>
      </c>
      <c r="F1341">
        <v>0</v>
      </c>
      <c r="G1341">
        <v>0</v>
      </c>
      <c r="H1341">
        <v>0</v>
      </c>
      <c r="I1341" s="29">
        <v>0</v>
      </c>
      <c r="J1341" s="29">
        <v>0</v>
      </c>
      <c r="K1341" s="9">
        <v>45326</v>
      </c>
      <c r="L1341">
        <f xml:space="preserve"> (交易處理資料__3[[#This Row],[售出工時]] * 60) / 5</f>
        <v>0</v>
      </c>
      <c r="M1341" t="str">
        <f>VLOOKUP(交易處理資料__3[[#This Row],[人員代號]],團隊分組!$B$1:$C$52,2,FALSE)</f>
        <v>查修團隊B</v>
      </c>
      <c r="N1341" t="str">
        <f>IF(交易處理資料__3[[#This Row],[上班時間]]=0,"否","是")</f>
        <v>否</v>
      </c>
      <c r="O1341" t="s">
        <v>76</v>
      </c>
      <c r="P1341" s="38">
        <v>0</v>
      </c>
      <c r="Q1341" s="38">
        <v>0</v>
      </c>
      <c r="R1341" s="38">
        <v>0</v>
      </c>
    </row>
    <row r="1342" spans="1:18" hidden="1">
      <c r="A1342" t="s">
        <v>76</v>
      </c>
      <c r="B1342" t="s">
        <v>27</v>
      </c>
      <c r="C1342">
        <v>0</v>
      </c>
      <c r="D1342">
        <v>0</v>
      </c>
      <c r="E1342" s="29">
        <v>0</v>
      </c>
      <c r="F1342">
        <v>0</v>
      </c>
      <c r="G1342">
        <v>0</v>
      </c>
      <c r="H1342">
        <v>0</v>
      </c>
      <c r="I1342" s="29">
        <v>0</v>
      </c>
      <c r="J1342" s="29">
        <v>0</v>
      </c>
      <c r="K1342" s="9">
        <v>45326</v>
      </c>
      <c r="L1342">
        <f xml:space="preserve"> (交易處理資料__3[[#This Row],[售出工時]] * 60) / 5</f>
        <v>0</v>
      </c>
      <c r="M1342" t="str">
        <f>VLOOKUP(交易處理資料__3[[#This Row],[人員代號]],團隊分組!$B$1:$C$52,2,FALSE)</f>
        <v>快速保養團隊B</v>
      </c>
      <c r="N1342" t="str">
        <f>IF(交易處理資料__3[[#This Row],[上班時間]]=0,"否","是")</f>
        <v>否</v>
      </c>
      <c r="O1342" t="s">
        <v>76</v>
      </c>
      <c r="P1342" s="37">
        <v>0</v>
      </c>
      <c r="Q1342" s="37">
        <v>0</v>
      </c>
      <c r="R1342" s="37">
        <v>0</v>
      </c>
    </row>
    <row r="1343" spans="1:18" hidden="1">
      <c r="A1343" t="s">
        <v>76</v>
      </c>
      <c r="B1343" t="s">
        <v>28</v>
      </c>
      <c r="C1343">
        <v>0</v>
      </c>
      <c r="D1343">
        <v>0</v>
      </c>
      <c r="E1343" s="29">
        <v>0</v>
      </c>
      <c r="F1343">
        <v>0</v>
      </c>
      <c r="G1343">
        <v>0</v>
      </c>
      <c r="H1343">
        <v>0</v>
      </c>
      <c r="I1343" s="29">
        <v>0</v>
      </c>
      <c r="J1343" s="29">
        <v>0</v>
      </c>
      <c r="K1343" s="9">
        <v>45326</v>
      </c>
      <c r="L1343">
        <f xml:space="preserve"> (交易處理資料__3[[#This Row],[售出工時]] * 60) / 5</f>
        <v>0</v>
      </c>
      <c r="M1343" t="str">
        <f>VLOOKUP(交易處理資料__3[[#This Row],[人員代號]],團隊分組!$B$1:$C$52,2,FALSE)</f>
        <v>快速保養團隊A</v>
      </c>
      <c r="N1343" t="str">
        <f>IF(交易處理資料__3[[#This Row],[上班時間]]=0,"否","是")</f>
        <v>否</v>
      </c>
      <c r="O1343" t="s">
        <v>76</v>
      </c>
      <c r="P1343" s="38">
        <v>0</v>
      </c>
      <c r="Q1343" s="38">
        <v>0</v>
      </c>
      <c r="R1343" s="38">
        <v>0</v>
      </c>
    </row>
    <row r="1344" spans="1:18" hidden="1">
      <c r="A1344" t="s">
        <v>76</v>
      </c>
      <c r="B1344" t="s">
        <v>29</v>
      </c>
      <c r="C1344">
        <v>0</v>
      </c>
      <c r="D1344">
        <v>0</v>
      </c>
      <c r="E1344" s="29">
        <v>0</v>
      </c>
      <c r="F1344">
        <v>0</v>
      </c>
      <c r="G1344">
        <v>0</v>
      </c>
      <c r="H1344">
        <v>0</v>
      </c>
      <c r="I1344" s="29">
        <v>0</v>
      </c>
      <c r="J1344" s="29">
        <v>0</v>
      </c>
      <c r="K1344" s="9">
        <v>45326</v>
      </c>
      <c r="L1344">
        <f xml:space="preserve"> (交易處理資料__3[[#This Row],[售出工時]] * 60) / 5</f>
        <v>0</v>
      </c>
      <c r="M1344" t="str">
        <f>VLOOKUP(交易處理資料__3[[#This Row],[人員代號]],團隊分組!$B$1:$C$52,2,FALSE)</f>
        <v>查修團隊B</v>
      </c>
      <c r="N1344" t="str">
        <f>IF(交易處理資料__3[[#This Row],[上班時間]]=0,"否","是")</f>
        <v>否</v>
      </c>
      <c r="O1344" t="s">
        <v>76</v>
      </c>
      <c r="P1344" s="37">
        <v>0</v>
      </c>
      <c r="Q1344" s="37">
        <v>0</v>
      </c>
      <c r="R1344" s="37">
        <v>0</v>
      </c>
    </row>
    <row r="1345" spans="1:18" hidden="1">
      <c r="A1345" t="s">
        <v>76</v>
      </c>
      <c r="B1345" t="s">
        <v>30</v>
      </c>
      <c r="C1345">
        <v>0</v>
      </c>
      <c r="D1345">
        <v>0</v>
      </c>
      <c r="E1345" s="29">
        <v>0</v>
      </c>
      <c r="F1345">
        <v>0</v>
      </c>
      <c r="G1345">
        <v>0</v>
      </c>
      <c r="H1345">
        <v>0</v>
      </c>
      <c r="I1345" s="29">
        <v>0</v>
      </c>
      <c r="J1345" s="29">
        <v>0</v>
      </c>
      <c r="K1345" s="9">
        <v>45326</v>
      </c>
      <c r="L1345">
        <f xml:space="preserve"> (交易處理資料__3[[#This Row],[售出工時]] * 60) / 5</f>
        <v>0</v>
      </c>
      <c r="M1345" t="str">
        <f>VLOOKUP(交易處理資料__3[[#This Row],[人員代號]],團隊分組!$B$1:$C$52,2,FALSE)</f>
        <v>快速保養團隊B</v>
      </c>
      <c r="N1345" t="str">
        <f>IF(交易處理資料__3[[#This Row],[上班時間]]=0,"否","是")</f>
        <v>否</v>
      </c>
      <c r="O1345" t="s">
        <v>76</v>
      </c>
      <c r="P1345" s="38">
        <v>0</v>
      </c>
      <c r="Q1345" s="38">
        <v>0</v>
      </c>
      <c r="R1345" s="38">
        <v>0</v>
      </c>
    </row>
    <row r="1346" spans="1:18" hidden="1">
      <c r="A1346" t="s">
        <v>76</v>
      </c>
      <c r="B1346" t="s">
        <v>32</v>
      </c>
      <c r="C1346">
        <v>0</v>
      </c>
      <c r="D1346">
        <v>0</v>
      </c>
      <c r="E1346" s="29">
        <v>0</v>
      </c>
      <c r="F1346">
        <v>0</v>
      </c>
      <c r="G1346">
        <v>0</v>
      </c>
      <c r="H1346">
        <v>0</v>
      </c>
      <c r="I1346" s="29">
        <v>0</v>
      </c>
      <c r="J1346" s="29">
        <v>0</v>
      </c>
      <c r="K1346" s="9">
        <v>45326</v>
      </c>
      <c r="L1346">
        <f xml:space="preserve"> (交易處理資料__3[[#This Row],[售出工時]] * 60) / 5</f>
        <v>0</v>
      </c>
      <c r="M1346" t="str">
        <f>VLOOKUP(交易處理資料__3[[#This Row],[人員代號]],團隊分組!$B$1:$C$52,2,FALSE)</f>
        <v>快速保養團隊B</v>
      </c>
      <c r="N1346" t="str">
        <f>IF(交易處理資料__3[[#This Row],[上班時間]]=0,"否","是")</f>
        <v>否</v>
      </c>
      <c r="O1346" t="s">
        <v>76</v>
      </c>
      <c r="P1346" s="37">
        <v>0</v>
      </c>
      <c r="Q1346" s="37">
        <v>0</v>
      </c>
      <c r="R1346" s="37">
        <v>0</v>
      </c>
    </row>
    <row r="1347" spans="1:18" hidden="1">
      <c r="A1347" t="s">
        <v>76</v>
      </c>
      <c r="B1347" t="s">
        <v>33</v>
      </c>
      <c r="C1347">
        <v>0</v>
      </c>
      <c r="D1347">
        <v>0</v>
      </c>
      <c r="E1347" s="29">
        <v>0</v>
      </c>
      <c r="F1347">
        <v>0</v>
      </c>
      <c r="G1347">
        <v>0</v>
      </c>
      <c r="H1347">
        <v>0</v>
      </c>
      <c r="I1347" s="29">
        <v>0</v>
      </c>
      <c r="J1347" s="29">
        <v>0</v>
      </c>
      <c r="K1347" s="9">
        <v>45326</v>
      </c>
      <c r="L1347">
        <f xml:space="preserve"> (交易處理資料__3[[#This Row],[售出工時]] * 60) / 5</f>
        <v>0</v>
      </c>
      <c r="M1347" t="str">
        <f>VLOOKUP(交易處理資料__3[[#This Row],[人員代號]],團隊分組!$B$1:$C$52,2,FALSE)</f>
        <v>快速保養團隊B</v>
      </c>
      <c r="N1347" t="str">
        <f>IF(交易處理資料__3[[#This Row],[上班時間]]=0,"否","是")</f>
        <v>否</v>
      </c>
      <c r="O1347" t="s">
        <v>76</v>
      </c>
      <c r="P1347" s="38">
        <v>0</v>
      </c>
      <c r="Q1347" s="38">
        <v>0</v>
      </c>
      <c r="R1347" s="38">
        <v>0</v>
      </c>
    </row>
    <row r="1348" spans="1:18" hidden="1">
      <c r="A1348" t="s">
        <v>76</v>
      </c>
      <c r="B1348" t="s">
        <v>34</v>
      </c>
      <c r="C1348">
        <v>0</v>
      </c>
      <c r="D1348">
        <v>0</v>
      </c>
      <c r="E1348" s="29">
        <v>0</v>
      </c>
      <c r="F1348">
        <v>0</v>
      </c>
      <c r="G1348">
        <v>0</v>
      </c>
      <c r="H1348">
        <v>0</v>
      </c>
      <c r="I1348" s="29">
        <v>0</v>
      </c>
      <c r="J1348" s="29">
        <v>0</v>
      </c>
      <c r="K1348" s="9">
        <v>45326</v>
      </c>
      <c r="L1348">
        <f xml:space="preserve"> (交易處理資料__3[[#This Row],[售出工時]] * 60) / 5</f>
        <v>0</v>
      </c>
      <c r="M1348" t="str">
        <f>VLOOKUP(交易處理資料__3[[#This Row],[人員代號]],團隊分組!$B$1:$C$52,2,FALSE)</f>
        <v>快速保養團隊A</v>
      </c>
      <c r="N1348" t="str">
        <f>IF(交易處理資料__3[[#This Row],[上班時間]]=0,"否","是")</f>
        <v>否</v>
      </c>
      <c r="O1348" t="s">
        <v>76</v>
      </c>
      <c r="P1348" s="37">
        <v>0</v>
      </c>
      <c r="Q1348" s="37">
        <v>0</v>
      </c>
      <c r="R1348" s="37">
        <v>0</v>
      </c>
    </row>
    <row r="1349" spans="1:18" hidden="1">
      <c r="A1349" t="s">
        <v>76</v>
      </c>
      <c r="B1349" t="s">
        <v>35</v>
      </c>
      <c r="C1349">
        <v>0</v>
      </c>
      <c r="D1349">
        <v>0</v>
      </c>
      <c r="E1349" s="29">
        <v>0</v>
      </c>
      <c r="F1349">
        <v>0</v>
      </c>
      <c r="G1349">
        <v>0</v>
      </c>
      <c r="H1349">
        <v>0</v>
      </c>
      <c r="I1349" s="29">
        <v>0</v>
      </c>
      <c r="J1349" s="29">
        <v>0</v>
      </c>
      <c r="K1349" s="9">
        <v>45326</v>
      </c>
      <c r="L1349">
        <f xml:space="preserve"> (交易處理資料__3[[#This Row],[售出工時]] * 60) / 5</f>
        <v>0</v>
      </c>
      <c r="M1349" t="str">
        <f>VLOOKUP(交易處理資料__3[[#This Row],[人員代號]],團隊分組!$B$1:$C$52,2,FALSE)</f>
        <v>查修團隊B</v>
      </c>
      <c r="N1349" t="str">
        <f>IF(交易處理資料__3[[#This Row],[上班時間]]=0,"否","是")</f>
        <v>否</v>
      </c>
      <c r="O1349" t="s">
        <v>76</v>
      </c>
      <c r="P1349" s="38">
        <v>0</v>
      </c>
      <c r="Q1349" s="38">
        <v>0</v>
      </c>
      <c r="R1349" s="38">
        <v>0</v>
      </c>
    </row>
    <row r="1350" spans="1:18" hidden="1">
      <c r="A1350" t="s">
        <v>76</v>
      </c>
      <c r="B1350" t="s">
        <v>36</v>
      </c>
      <c r="C1350">
        <v>0</v>
      </c>
      <c r="D1350">
        <v>0</v>
      </c>
      <c r="E1350" s="29">
        <v>0</v>
      </c>
      <c r="F1350">
        <v>0</v>
      </c>
      <c r="G1350">
        <v>0</v>
      </c>
      <c r="H1350">
        <v>0</v>
      </c>
      <c r="I1350" s="29">
        <v>0</v>
      </c>
      <c r="J1350" s="29">
        <v>0</v>
      </c>
      <c r="K1350" s="9">
        <v>45326</v>
      </c>
      <c r="L1350">
        <f xml:space="preserve"> (交易處理資料__3[[#This Row],[售出工時]] * 60) / 5</f>
        <v>0</v>
      </c>
      <c r="M1350" t="str">
        <f>VLOOKUP(交易處理資料__3[[#This Row],[人員代號]],團隊分組!$B$1:$C$52,2,FALSE)</f>
        <v>查修團隊B</v>
      </c>
      <c r="N1350" t="str">
        <f>IF(交易處理資料__3[[#This Row],[上班時間]]=0,"否","是")</f>
        <v>否</v>
      </c>
      <c r="O1350" t="s">
        <v>76</v>
      </c>
      <c r="P1350" s="37">
        <v>0</v>
      </c>
      <c r="Q1350" s="37">
        <v>0</v>
      </c>
      <c r="R1350" s="37">
        <v>0</v>
      </c>
    </row>
    <row r="1351" spans="1:18" hidden="1">
      <c r="A1351" t="s">
        <v>76</v>
      </c>
      <c r="B1351" t="s">
        <v>37</v>
      </c>
      <c r="C1351">
        <v>0</v>
      </c>
      <c r="D1351">
        <v>0</v>
      </c>
      <c r="E1351" s="29">
        <v>0</v>
      </c>
      <c r="F1351">
        <v>0</v>
      </c>
      <c r="G1351">
        <v>0</v>
      </c>
      <c r="H1351">
        <v>0</v>
      </c>
      <c r="I1351" s="29">
        <v>0</v>
      </c>
      <c r="J1351" s="29">
        <v>0</v>
      </c>
      <c r="K1351" s="9">
        <v>45326</v>
      </c>
      <c r="L1351">
        <f xml:space="preserve"> (交易處理資料__3[[#This Row],[售出工時]] * 60) / 5</f>
        <v>0</v>
      </c>
      <c r="M1351" t="str">
        <f>VLOOKUP(交易處理資料__3[[#This Row],[人員代號]],團隊分組!$B$1:$C$52,2,FALSE)</f>
        <v>查修團隊A</v>
      </c>
      <c r="N1351" t="str">
        <f>IF(交易處理資料__3[[#This Row],[上班時間]]=0,"否","是")</f>
        <v>否</v>
      </c>
      <c r="O1351" t="s">
        <v>76</v>
      </c>
      <c r="P1351" s="38">
        <v>0</v>
      </c>
      <c r="Q1351" s="38">
        <v>0</v>
      </c>
      <c r="R1351" s="38">
        <v>0</v>
      </c>
    </row>
    <row r="1352" spans="1:18" hidden="1">
      <c r="A1352" t="s">
        <v>76</v>
      </c>
      <c r="B1352" t="s">
        <v>38</v>
      </c>
      <c r="C1352">
        <v>0</v>
      </c>
      <c r="D1352">
        <v>0</v>
      </c>
      <c r="E1352" s="29">
        <v>0</v>
      </c>
      <c r="F1352">
        <v>0</v>
      </c>
      <c r="G1352">
        <v>0</v>
      </c>
      <c r="H1352">
        <v>0</v>
      </c>
      <c r="I1352" s="29">
        <v>0</v>
      </c>
      <c r="J1352" s="29">
        <v>0</v>
      </c>
      <c r="K1352" s="9">
        <v>45326</v>
      </c>
      <c r="L1352">
        <f xml:space="preserve"> (交易處理資料__3[[#This Row],[售出工時]] * 60) / 5</f>
        <v>0</v>
      </c>
      <c r="M1352" t="str">
        <f>VLOOKUP(交易處理資料__3[[#This Row],[人員代號]],團隊分組!$B$1:$C$52,2,FALSE)</f>
        <v>快速保養團隊A</v>
      </c>
      <c r="N1352" t="str">
        <f>IF(交易處理資料__3[[#This Row],[上班時間]]=0,"否","是")</f>
        <v>否</v>
      </c>
      <c r="O1352" t="s">
        <v>76</v>
      </c>
      <c r="P1352" s="37">
        <v>0</v>
      </c>
      <c r="Q1352" s="37">
        <v>0</v>
      </c>
      <c r="R1352" s="37">
        <v>0</v>
      </c>
    </row>
    <row r="1353" spans="1:18" hidden="1">
      <c r="A1353" t="s">
        <v>76</v>
      </c>
      <c r="B1353" t="s">
        <v>39</v>
      </c>
      <c r="C1353">
        <v>0</v>
      </c>
      <c r="D1353">
        <v>0</v>
      </c>
      <c r="E1353" s="29">
        <v>0</v>
      </c>
      <c r="F1353">
        <v>0</v>
      </c>
      <c r="G1353">
        <v>0</v>
      </c>
      <c r="H1353">
        <v>0</v>
      </c>
      <c r="I1353" s="29">
        <v>0</v>
      </c>
      <c r="J1353" s="29">
        <v>0</v>
      </c>
      <c r="K1353" s="9">
        <v>45326</v>
      </c>
      <c r="L1353">
        <f xml:space="preserve"> (交易處理資料__3[[#This Row],[售出工時]] * 60) / 5</f>
        <v>0</v>
      </c>
      <c r="M1353" t="str">
        <f>VLOOKUP(交易處理資料__3[[#This Row],[人員代號]],團隊分組!$B$1:$C$52,2,FALSE)</f>
        <v>查修團隊A</v>
      </c>
      <c r="N1353" t="str">
        <f>IF(交易處理資料__3[[#This Row],[上班時間]]=0,"否","是")</f>
        <v>否</v>
      </c>
      <c r="O1353" t="s">
        <v>76</v>
      </c>
      <c r="P1353" s="38">
        <v>0</v>
      </c>
      <c r="Q1353" s="38">
        <v>0</v>
      </c>
      <c r="R1353" s="38">
        <v>0</v>
      </c>
    </row>
    <row r="1354" spans="1:18" hidden="1">
      <c r="A1354" t="s">
        <v>76</v>
      </c>
      <c r="B1354" t="s">
        <v>40</v>
      </c>
      <c r="C1354">
        <v>0</v>
      </c>
      <c r="D1354">
        <v>0</v>
      </c>
      <c r="E1354" s="29">
        <v>0</v>
      </c>
      <c r="F1354">
        <v>0</v>
      </c>
      <c r="G1354">
        <v>0</v>
      </c>
      <c r="H1354">
        <v>0</v>
      </c>
      <c r="I1354" s="29">
        <v>0</v>
      </c>
      <c r="J1354" s="29">
        <v>0</v>
      </c>
      <c r="K1354" s="9">
        <v>45326</v>
      </c>
      <c r="L1354">
        <f xml:space="preserve"> (交易處理資料__3[[#This Row],[售出工時]] * 60) / 5</f>
        <v>0</v>
      </c>
      <c r="M1354" t="str">
        <f>VLOOKUP(交易處理資料__3[[#This Row],[人員代號]],團隊分組!$B$1:$C$52,2,FALSE)</f>
        <v>查修團隊A</v>
      </c>
      <c r="N1354" t="str">
        <f>IF(交易處理資料__3[[#This Row],[上班時間]]=0,"否","是")</f>
        <v>否</v>
      </c>
      <c r="O1354" t="s">
        <v>76</v>
      </c>
      <c r="P1354" s="37">
        <v>0</v>
      </c>
      <c r="Q1354" s="37">
        <v>0</v>
      </c>
      <c r="R1354" s="37">
        <v>0</v>
      </c>
    </row>
    <row r="1355" spans="1:18" hidden="1">
      <c r="A1355" t="s">
        <v>76</v>
      </c>
      <c r="B1355" t="s">
        <v>41</v>
      </c>
      <c r="C1355">
        <v>0</v>
      </c>
      <c r="D1355">
        <v>0</v>
      </c>
      <c r="E1355" s="29">
        <v>0</v>
      </c>
      <c r="F1355">
        <v>0</v>
      </c>
      <c r="G1355">
        <v>0</v>
      </c>
      <c r="H1355">
        <v>0</v>
      </c>
      <c r="I1355" s="29">
        <v>0</v>
      </c>
      <c r="J1355" s="29">
        <v>0</v>
      </c>
      <c r="K1355" s="9">
        <v>45326</v>
      </c>
      <c r="L1355">
        <f xml:space="preserve"> (交易處理資料__3[[#This Row],[售出工時]] * 60) / 5</f>
        <v>0</v>
      </c>
      <c r="M1355" t="str">
        <f>VLOOKUP(交易處理資料__3[[#This Row],[人員代號]],團隊分組!$B$1:$C$52,2,FALSE)</f>
        <v>快速保養團隊A</v>
      </c>
      <c r="N1355" t="str">
        <f>IF(交易處理資料__3[[#This Row],[上班時間]]=0,"否","是")</f>
        <v>否</v>
      </c>
      <c r="O1355" t="s">
        <v>76</v>
      </c>
      <c r="P1355" s="38">
        <v>0</v>
      </c>
      <c r="Q1355" s="38">
        <v>0</v>
      </c>
      <c r="R1355" s="38">
        <v>0</v>
      </c>
    </row>
    <row r="1356" spans="1:18" hidden="1">
      <c r="A1356" t="s">
        <v>76</v>
      </c>
      <c r="B1356" t="s">
        <v>42</v>
      </c>
      <c r="C1356">
        <v>0</v>
      </c>
      <c r="D1356">
        <v>0</v>
      </c>
      <c r="E1356" s="29">
        <v>0</v>
      </c>
      <c r="F1356">
        <v>0</v>
      </c>
      <c r="G1356">
        <v>0</v>
      </c>
      <c r="H1356">
        <v>0</v>
      </c>
      <c r="I1356" s="29">
        <v>0</v>
      </c>
      <c r="J1356" s="29">
        <v>0</v>
      </c>
      <c r="K1356" s="9">
        <v>45326</v>
      </c>
      <c r="L1356">
        <f xml:space="preserve"> (交易處理資料__3[[#This Row],[售出工時]] * 60) / 5</f>
        <v>0</v>
      </c>
      <c r="M1356" t="str">
        <f>VLOOKUP(交易處理資料__3[[#This Row],[人員代號]],團隊分組!$B$1:$C$52,2,FALSE)</f>
        <v>快速保養團隊A</v>
      </c>
      <c r="N1356" t="str">
        <f>IF(交易處理資料__3[[#This Row],[上班時間]]=0,"否","是")</f>
        <v>否</v>
      </c>
      <c r="O1356" t="s">
        <v>76</v>
      </c>
      <c r="P1356" s="37">
        <v>0</v>
      </c>
      <c r="Q1356" s="37">
        <v>0</v>
      </c>
      <c r="R1356" s="37">
        <v>0</v>
      </c>
    </row>
    <row r="1357" spans="1:18" hidden="1">
      <c r="A1357" t="s">
        <v>76</v>
      </c>
      <c r="B1357" t="s">
        <v>43</v>
      </c>
      <c r="C1357">
        <v>0</v>
      </c>
      <c r="D1357">
        <v>0</v>
      </c>
      <c r="E1357" s="29">
        <v>0</v>
      </c>
      <c r="F1357">
        <v>0</v>
      </c>
      <c r="G1357">
        <v>0</v>
      </c>
      <c r="H1357">
        <v>0</v>
      </c>
      <c r="I1357" s="29">
        <v>0</v>
      </c>
      <c r="J1357" s="29">
        <v>0</v>
      </c>
      <c r="K1357" s="9">
        <v>45326</v>
      </c>
      <c r="L1357">
        <f xml:space="preserve"> (交易處理資料__3[[#This Row],[售出工時]] * 60) / 5</f>
        <v>0</v>
      </c>
      <c r="M1357" t="str">
        <f>VLOOKUP(交易處理資料__3[[#This Row],[人員代號]],團隊分組!$B$1:$C$52,2,FALSE)</f>
        <v>查修團隊B</v>
      </c>
      <c r="N1357" t="str">
        <f>IF(交易處理資料__3[[#This Row],[上班時間]]=0,"否","是")</f>
        <v>否</v>
      </c>
      <c r="O1357" t="s">
        <v>76</v>
      </c>
      <c r="P1357" s="38">
        <v>0</v>
      </c>
      <c r="Q1357" s="38">
        <v>0</v>
      </c>
      <c r="R1357" s="38">
        <v>0</v>
      </c>
    </row>
    <row r="1358" spans="1:18" hidden="1">
      <c r="A1358" t="s">
        <v>76</v>
      </c>
      <c r="B1358" t="s">
        <v>44</v>
      </c>
      <c r="C1358">
        <v>0</v>
      </c>
      <c r="D1358">
        <v>0</v>
      </c>
      <c r="E1358" s="29">
        <v>0</v>
      </c>
      <c r="F1358">
        <v>0</v>
      </c>
      <c r="G1358">
        <v>0</v>
      </c>
      <c r="H1358">
        <v>0</v>
      </c>
      <c r="I1358" s="29">
        <v>0</v>
      </c>
      <c r="J1358" s="29">
        <v>0</v>
      </c>
      <c r="K1358" s="9">
        <v>45326</v>
      </c>
      <c r="L1358">
        <f xml:space="preserve"> (交易處理資料__3[[#This Row],[售出工時]] * 60) / 5</f>
        <v>0</v>
      </c>
      <c r="M1358" t="str">
        <f>VLOOKUP(交易處理資料__3[[#This Row],[人員代號]],團隊分組!$B$1:$C$52,2,FALSE)</f>
        <v>快速保養團隊B</v>
      </c>
      <c r="N1358" t="str">
        <f>IF(交易處理資料__3[[#This Row],[上班時間]]=0,"否","是")</f>
        <v>否</v>
      </c>
      <c r="O1358" t="s">
        <v>76</v>
      </c>
      <c r="P1358" s="37">
        <v>0</v>
      </c>
      <c r="Q1358" s="37">
        <v>0</v>
      </c>
      <c r="R1358" s="37">
        <v>0</v>
      </c>
    </row>
    <row r="1359" spans="1:18" hidden="1">
      <c r="A1359" t="s">
        <v>76</v>
      </c>
      <c r="B1359" t="s">
        <v>45</v>
      </c>
      <c r="C1359">
        <v>0</v>
      </c>
      <c r="D1359">
        <v>0</v>
      </c>
      <c r="E1359" s="29">
        <v>0</v>
      </c>
      <c r="F1359">
        <v>0</v>
      </c>
      <c r="G1359">
        <v>0</v>
      </c>
      <c r="H1359">
        <v>0</v>
      </c>
      <c r="I1359" s="29">
        <v>0</v>
      </c>
      <c r="J1359" s="29">
        <v>0</v>
      </c>
      <c r="K1359" s="9">
        <v>45326</v>
      </c>
      <c r="L1359">
        <f xml:space="preserve"> (交易處理資料__3[[#This Row],[售出工時]] * 60) / 5</f>
        <v>0</v>
      </c>
      <c r="M1359" t="str">
        <f>VLOOKUP(交易處理資料__3[[#This Row],[人員代號]],團隊分組!$B$1:$C$52,2,FALSE)</f>
        <v>快速保養團隊A</v>
      </c>
      <c r="N1359" t="str">
        <f>IF(交易處理資料__3[[#This Row],[上班時間]]=0,"否","是")</f>
        <v>否</v>
      </c>
      <c r="O1359" t="s">
        <v>76</v>
      </c>
      <c r="P1359" s="38">
        <v>0</v>
      </c>
      <c r="Q1359" s="38">
        <v>0</v>
      </c>
      <c r="R1359" s="38">
        <v>0</v>
      </c>
    </row>
    <row r="1360" spans="1:18" hidden="1">
      <c r="A1360" t="s">
        <v>76</v>
      </c>
      <c r="B1360" t="s">
        <v>46</v>
      </c>
      <c r="C1360">
        <v>0</v>
      </c>
      <c r="D1360">
        <v>0</v>
      </c>
      <c r="E1360" s="29">
        <v>0</v>
      </c>
      <c r="F1360">
        <v>0</v>
      </c>
      <c r="G1360">
        <v>0</v>
      </c>
      <c r="H1360">
        <v>0</v>
      </c>
      <c r="I1360" s="29">
        <v>0</v>
      </c>
      <c r="J1360" s="29">
        <v>0</v>
      </c>
      <c r="K1360" s="9">
        <v>45326</v>
      </c>
      <c r="L1360">
        <f xml:space="preserve"> (交易處理資料__3[[#This Row],[售出工時]] * 60) / 5</f>
        <v>0</v>
      </c>
      <c r="M1360" t="str">
        <f>VLOOKUP(交易處理資料__3[[#This Row],[人員代號]],團隊分組!$B$1:$C$52,2,FALSE)</f>
        <v>查修團隊B</v>
      </c>
      <c r="N1360" t="str">
        <f>IF(交易處理資料__3[[#This Row],[上班時間]]=0,"否","是")</f>
        <v>否</v>
      </c>
      <c r="O1360" t="s">
        <v>76</v>
      </c>
      <c r="P1360" s="37">
        <v>0</v>
      </c>
      <c r="Q1360" s="37">
        <v>0</v>
      </c>
      <c r="R1360" s="37">
        <v>0</v>
      </c>
    </row>
    <row r="1361" spans="1:18" hidden="1">
      <c r="A1361" t="s">
        <v>76</v>
      </c>
      <c r="B1361" t="s">
        <v>47</v>
      </c>
      <c r="C1361">
        <v>0</v>
      </c>
      <c r="D1361">
        <v>0</v>
      </c>
      <c r="E1361" s="29">
        <v>0</v>
      </c>
      <c r="F1361">
        <v>0</v>
      </c>
      <c r="G1361">
        <v>0</v>
      </c>
      <c r="H1361">
        <v>0</v>
      </c>
      <c r="I1361" s="29">
        <v>0</v>
      </c>
      <c r="J1361" s="29">
        <v>0</v>
      </c>
      <c r="K1361" s="9">
        <v>45326</v>
      </c>
      <c r="L1361">
        <f xml:space="preserve"> (交易處理資料__3[[#This Row],[售出工時]] * 60) / 5</f>
        <v>0</v>
      </c>
      <c r="M1361" t="str">
        <f>VLOOKUP(交易處理資料__3[[#This Row],[人員代號]],團隊分組!$B$1:$C$52,2,FALSE)</f>
        <v>查修團隊B</v>
      </c>
      <c r="N1361" t="str">
        <f>IF(交易處理資料__3[[#This Row],[上班時間]]=0,"否","是")</f>
        <v>否</v>
      </c>
      <c r="O1361" t="s">
        <v>76</v>
      </c>
      <c r="P1361" s="38">
        <v>0</v>
      </c>
      <c r="Q1361" s="38">
        <v>0</v>
      </c>
      <c r="R1361" s="38">
        <v>0</v>
      </c>
    </row>
    <row r="1362" spans="1:18" hidden="1">
      <c r="A1362" t="s">
        <v>76</v>
      </c>
      <c r="B1362" t="s">
        <v>48</v>
      </c>
      <c r="C1362">
        <v>0</v>
      </c>
      <c r="D1362">
        <v>0</v>
      </c>
      <c r="E1362" s="29">
        <v>0</v>
      </c>
      <c r="F1362">
        <v>0</v>
      </c>
      <c r="G1362">
        <v>0</v>
      </c>
      <c r="H1362">
        <v>0</v>
      </c>
      <c r="I1362" s="29">
        <v>0</v>
      </c>
      <c r="J1362" s="29">
        <v>0</v>
      </c>
      <c r="K1362" s="9">
        <v>45326</v>
      </c>
      <c r="L1362">
        <f xml:space="preserve"> (交易處理資料__3[[#This Row],[售出工時]] * 60) / 5</f>
        <v>0</v>
      </c>
      <c r="M1362" t="str">
        <f>VLOOKUP(交易處理資料__3[[#This Row],[人員代號]],團隊分組!$B$1:$C$52,2,FALSE)</f>
        <v>查修團隊A</v>
      </c>
      <c r="N1362" t="str">
        <f>IF(交易處理資料__3[[#This Row],[上班時間]]=0,"否","是")</f>
        <v>否</v>
      </c>
      <c r="O1362" t="s">
        <v>76</v>
      </c>
      <c r="P1362" s="37">
        <v>0</v>
      </c>
      <c r="Q1362" s="37">
        <v>0</v>
      </c>
      <c r="R1362" s="37">
        <v>0</v>
      </c>
    </row>
    <row r="1363" spans="1:18" hidden="1">
      <c r="A1363" t="s">
        <v>76</v>
      </c>
      <c r="B1363" t="s">
        <v>49</v>
      </c>
      <c r="C1363">
        <v>0</v>
      </c>
      <c r="D1363">
        <v>0</v>
      </c>
      <c r="E1363" s="29">
        <v>0</v>
      </c>
      <c r="F1363">
        <v>0</v>
      </c>
      <c r="G1363">
        <v>0</v>
      </c>
      <c r="H1363">
        <v>0</v>
      </c>
      <c r="I1363" s="29">
        <v>0</v>
      </c>
      <c r="J1363" s="29">
        <v>0</v>
      </c>
      <c r="K1363" s="9">
        <v>45326</v>
      </c>
      <c r="L1363">
        <f xml:space="preserve"> (交易處理資料__3[[#This Row],[售出工時]] * 60) / 5</f>
        <v>0</v>
      </c>
      <c r="M1363" t="str">
        <f>VLOOKUP(交易處理資料__3[[#This Row],[人員代號]],團隊分組!$B$1:$C$52,2,FALSE)</f>
        <v>查修團隊A</v>
      </c>
      <c r="N1363" t="str">
        <f>IF(交易處理資料__3[[#This Row],[上班時間]]=0,"否","是")</f>
        <v>否</v>
      </c>
      <c r="O1363" t="s">
        <v>76</v>
      </c>
      <c r="P1363" s="38">
        <v>0</v>
      </c>
      <c r="Q1363" s="38">
        <v>0</v>
      </c>
      <c r="R1363" s="38">
        <v>0</v>
      </c>
    </row>
    <row r="1364" spans="1:18" hidden="1">
      <c r="A1364" t="s">
        <v>76</v>
      </c>
      <c r="B1364" t="s">
        <v>50</v>
      </c>
      <c r="C1364">
        <v>0</v>
      </c>
      <c r="D1364">
        <v>0</v>
      </c>
      <c r="E1364" s="29">
        <v>0</v>
      </c>
      <c r="F1364">
        <v>0</v>
      </c>
      <c r="G1364">
        <v>0</v>
      </c>
      <c r="H1364">
        <v>0</v>
      </c>
      <c r="I1364" s="29">
        <v>0</v>
      </c>
      <c r="J1364" s="29">
        <v>0</v>
      </c>
      <c r="K1364" s="9">
        <v>45326</v>
      </c>
      <c r="L1364">
        <f xml:space="preserve"> (交易處理資料__3[[#This Row],[售出工時]] * 60) / 5</f>
        <v>0</v>
      </c>
      <c r="M1364" t="str">
        <f>VLOOKUP(交易處理資料__3[[#This Row],[人員代號]],團隊分組!$B$1:$C$52,2,FALSE)</f>
        <v>快速保養團隊B</v>
      </c>
      <c r="N1364" t="str">
        <f>IF(交易處理資料__3[[#This Row],[上班時間]]=0,"否","是")</f>
        <v>否</v>
      </c>
      <c r="O1364" t="s">
        <v>76</v>
      </c>
      <c r="P1364" s="37">
        <v>0</v>
      </c>
      <c r="Q1364" s="37">
        <v>0</v>
      </c>
      <c r="R1364" s="37">
        <v>0</v>
      </c>
    </row>
    <row r="1365" spans="1:18" hidden="1">
      <c r="A1365" t="s">
        <v>76</v>
      </c>
      <c r="B1365" t="s">
        <v>51</v>
      </c>
      <c r="C1365">
        <v>0</v>
      </c>
      <c r="D1365">
        <v>0</v>
      </c>
      <c r="E1365" s="29">
        <v>0</v>
      </c>
      <c r="F1365">
        <v>0</v>
      </c>
      <c r="G1365">
        <v>0</v>
      </c>
      <c r="H1365">
        <v>0</v>
      </c>
      <c r="I1365" s="29">
        <v>0</v>
      </c>
      <c r="J1365" s="29">
        <v>0</v>
      </c>
      <c r="K1365" s="9">
        <v>45326</v>
      </c>
      <c r="L1365">
        <f xml:space="preserve"> (交易處理資料__3[[#This Row],[售出工時]] * 60) / 5</f>
        <v>0</v>
      </c>
      <c r="M1365" t="str">
        <f>VLOOKUP(交易處理資料__3[[#This Row],[人員代號]],團隊分組!$B$1:$C$52,2,FALSE)</f>
        <v>無效數據</v>
      </c>
      <c r="N1365" t="str">
        <f>IF(交易處理資料__3[[#This Row],[上班時間]]=0,"否","是")</f>
        <v>否</v>
      </c>
      <c r="O1365" t="s">
        <v>76</v>
      </c>
      <c r="P1365" s="38">
        <v>0</v>
      </c>
      <c r="Q1365" s="38">
        <v>0</v>
      </c>
      <c r="R1365" s="38">
        <v>0</v>
      </c>
    </row>
    <row r="1366" spans="1:18" hidden="1">
      <c r="A1366" t="s">
        <v>76</v>
      </c>
      <c r="B1366" t="s">
        <v>52</v>
      </c>
      <c r="C1366">
        <v>0</v>
      </c>
      <c r="D1366">
        <v>0</v>
      </c>
      <c r="E1366" s="29">
        <v>0</v>
      </c>
      <c r="F1366">
        <v>0</v>
      </c>
      <c r="G1366">
        <v>0</v>
      </c>
      <c r="H1366">
        <v>0</v>
      </c>
      <c r="I1366" s="29">
        <v>0</v>
      </c>
      <c r="J1366" s="29">
        <v>0</v>
      </c>
      <c r="K1366" s="9">
        <v>45326</v>
      </c>
      <c r="L1366">
        <f xml:space="preserve"> (交易處理資料__3[[#This Row],[售出工時]] * 60) / 5</f>
        <v>0</v>
      </c>
      <c r="M1366" t="str">
        <f>VLOOKUP(交易處理資料__3[[#This Row],[人員代號]],團隊分組!$B$1:$C$52,2,FALSE)</f>
        <v>查修團隊B</v>
      </c>
      <c r="N1366" t="str">
        <f>IF(交易處理資料__3[[#This Row],[上班時間]]=0,"否","是")</f>
        <v>否</v>
      </c>
      <c r="O1366" t="s">
        <v>76</v>
      </c>
      <c r="P1366" s="37">
        <v>0</v>
      </c>
      <c r="Q1366" s="37">
        <v>0</v>
      </c>
      <c r="R1366" s="37">
        <v>0</v>
      </c>
    </row>
    <row r="1367" spans="1:18" hidden="1">
      <c r="A1367" t="s">
        <v>76</v>
      </c>
      <c r="B1367" t="s">
        <v>53</v>
      </c>
      <c r="C1367">
        <v>0</v>
      </c>
      <c r="D1367">
        <v>0</v>
      </c>
      <c r="E1367" s="29">
        <v>0</v>
      </c>
      <c r="F1367">
        <v>0</v>
      </c>
      <c r="G1367">
        <v>0</v>
      </c>
      <c r="H1367">
        <v>0</v>
      </c>
      <c r="I1367" s="29">
        <v>0</v>
      </c>
      <c r="J1367" s="29">
        <v>0</v>
      </c>
      <c r="K1367" s="9">
        <v>45326</v>
      </c>
      <c r="L1367">
        <f xml:space="preserve"> (交易處理資料__3[[#This Row],[售出工時]] * 60) / 5</f>
        <v>0</v>
      </c>
      <c r="M1367" t="str">
        <f>VLOOKUP(交易處理資料__3[[#This Row],[人員代號]],團隊分組!$B$1:$C$52,2,FALSE)</f>
        <v>查修團隊A</v>
      </c>
      <c r="N1367" t="str">
        <f>IF(交易處理資料__3[[#This Row],[上班時間]]=0,"否","是")</f>
        <v>否</v>
      </c>
      <c r="O1367" t="s">
        <v>76</v>
      </c>
      <c r="P1367" s="38">
        <v>0</v>
      </c>
      <c r="Q1367" s="38">
        <v>0</v>
      </c>
      <c r="R1367" s="38">
        <v>0</v>
      </c>
    </row>
    <row r="1368" spans="1:18" hidden="1">
      <c r="A1368" s="10" t="s">
        <v>74</v>
      </c>
      <c r="B1368" t="s">
        <v>4</v>
      </c>
      <c r="C1368">
        <v>1.25</v>
      </c>
      <c r="D1368">
        <v>7.1</v>
      </c>
      <c r="E1368" s="29">
        <v>0.17605633800000001</v>
      </c>
      <c r="F1368">
        <v>4.96</v>
      </c>
      <c r="G1368">
        <v>2.89</v>
      </c>
      <c r="H1368">
        <v>7.85</v>
      </c>
      <c r="I1368" s="29">
        <v>0.63180000000000003</v>
      </c>
      <c r="J1368" s="29">
        <v>0.15920000000000001</v>
      </c>
      <c r="K1368" s="9">
        <v>45327</v>
      </c>
      <c r="L1368">
        <f xml:space="preserve"> (交易處理資料__3[[#This Row],[售出工時]] * 60) / 5</f>
        <v>15</v>
      </c>
      <c r="M1368" t="str">
        <f>VLOOKUP(交易處理資料__3[[#This Row],[人員代號]],團隊分組!$B$1:$C$52,2,FALSE)</f>
        <v>噴漆維修組</v>
      </c>
      <c r="N1368" t="str">
        <f>IF(交易處理資料__3[[#This Row],[上班時間]]=0,"否","是")</f>
        <v>是</v>
      </c>
      <c r="O1368" s="10" t="s">
        <v>74</v>
      </c>
      <c r="P1368" s="37">
        <v>0.17605633800000001</v>
      </c>
      <c r="Q1368" s="37">
        <v>0.15920000000000001</v>
      </c>
      <c r="R1368" s="37">
        <v>0.63180000000000003</v>
      </c>
    </row>
    <row r="1369" spans="1:18" hidden="1">
      <c r="A1369" s="10" t="s">
        <v>74</v>
      </c>
      <c r="B1369" t="s">
        <v>5</v>
      </c>
      <c r="C1369">
        <v>5.596666667</v>
      </c>
      <c r="D1369">
        <v>5.22</v>
      </c>
      <c r="E1369" s="29">
        <v>1.0721583649999999</v>
      </c>
      <c r="F1369">
        <v>7.75</v>
      </c>
      <c r="G1369">
        <v>0.2</v>
      </c>
      <c r="H1369">
        <v>7.95</v>
      </c>
      <c r="I1369" s="29">
        <v>0.9748</v>
      </c>
      <c r="J1369" s="29">
        <v>0.70400000000000007</v>
      </c>
      <c r="K1369" s="9">
        <v>45327</v>
      </c>
      <c r="L1369">
        <f xml:space="preserve"> (交易處理資料__3[[#This Row],[售出工時]] * 60) / 5</f>
        <v>67.160000004000011</v>
      </c>
      <c r="M1369" t="str">
        <f>VLOOKUP(交易處理資料__3[[#This Row],[人員代號]],團隊分組!$B$1:$C$52,2,FALSE)</f>
        <v>噴漆維修組</v>
      </c>
      <c r="N1369" t="str">
        <f>IF(交易處理資料__3[[#This Row],[上班時間]]=0,"否","是")</f>
        <v>是</v>
      </c>
      <c r="O1369" s="10" t="s">
        <v>74</v>
      </c>
      <c r="P1369" s="38">
        <v>1.0721583649999999</v>
      </c>
      <c r="Q1369" s="38">
        <v>0.70400000000000007</v>
      </c>
      <c r="R1369" s="38">
        <v>0.9748</v>
      </c>
    </row>
    <row r="1370" spans="1:18">
      <c r="A1370" s="10" t="s">
        <v>74</v>
      </c>
      <c r="B1370" t="s">
        <v>7</v>
      </c>
      <c r="C1370">
        <v>4.16</v>
      </c>
      <c r="D1370">
        <v>3.68</v>
      </c>
      <c r="E1370" s="29">
        <v>1.1304347830000001</v>
      </c>
      <c r="F1370">
        <v>7.75</v>
      </c>
      <c r="G1370">
        <v>0.2</v>
      </c>
      <c r="H1370">
        <v>7.95</v>
      </c>
      <c r="I1370" s="29">
        <v>0.9748</v>
      </c>
      <c r="J1370" s="29">
        <v>0.52329999999999999</v>
      </c>
      <c r="K1370" s="9">
        <v>45327</v>
      </c>
      <c r="L1370">
        <f xml:space="preserve"> (交易處理資料__3[[#This Row],[售出工時]] * 60) / 5</f>
        <v>49.92</v>
      </c>
      <c r="M1370" t="str">
        <f>VLOOKUP(交易處理資料__3[[#This Row],[人員代號]],團隊分組!$B$1:$C$52,2,FALSE)</f>
        <v>噴漆維修組</v>
      </c>
      <c r="N1370" t="str">
        <f>IF(交易處理資料__3[[#This Row],[上班時間]]=0,"否","是")</f>
        <v>是</v>
      </c>
      <c r="O1370" s="10" t="s">
        <v>74</v>
      </c>
      <c r="P1370" s="37">
        <v>1.1304347830000001</v>
      </c>
      <c r="Q1370" s="37">
        <v>0.52329999999999999</v>
      </c>
      <c r="R1370" s="37">
        <v>0.9748</v>
      </c>
    </row>
    <row r="1371" spans="1:18" hidden="1">
      <c r="A1371" s="10" t="s">
        <v>74</v>
      </c>
      <c r="B1371" t="s">
        <v>8</v>
      </c>
      <c r="C1371">
        <v>1.26</v>
      </c>
      <c r="D1371">
        <v>7.09</v>
      </c>
      <c r="E1371" s="29">
        <v>0.17771509170000002</v>
      </c>
      <c r="F1371">
        <v>4.96</v>
      </c>
      <c r="G1371">
        <v>2.91</v>
      </c>
      <c r="H1371">
        <v>7.87</v>
      </c>
      <c r="I1371" s="29">
        <v>0.63019999999999998</v>
      </c>
      <c r="J1371" s="29">
        <v>0.16010000000000002</v>
      </c>
      <c r="K1371" s="9">
        <v>45327</v>
      </c>
      <c r="L1371">
        <f xml:space="preserve"> (交易處理資料__3[[#This Row],[售出工時]] * 60) / 5</f>
        <v>15.12</v>
      </c>
      <c r="M1371" t="str">
        <f>VLOOKUP(交易處理資料__3[[#This Row],[人員代號]],團隊分組!$B$1:$C$52,2,FALSE)</f>
        <v>噴漆維修組</v>
      </c>
      <c r="N1371" t="str">
        <f>IF(交易處理資料__3[[#This Row],[上班時間]]=0,"否","是")</f>
        <v>是</v>
      </c>
      <c r="O1371" s="10" t="s">
        <v>74</v>
      </c>
      <c r="P1371" s="38">
        <v>0.17771509170000002</v>
      </c>
      <c r="Q1371" s="38">
        <v>0.16010000000000002</v>
      </c>
      <c r="R1371" s="38">
        <v>0.63019999999999998</v>
      </c>
    </row>
    <row r="1372" spans="1:18" hidden="1">
      <c r="A1372" t="s">
        <v>75</v>
      </c>
      <c r="B1372" t="s">
        <v>13</v>
      </c>
      <c r="C1372">
        <v>11.54</v>
      </c>
      <c r="D1372">
        <v>5.7</v>
      </c>
      <c r="E1372" s="29">
        <v>2.024561404</v>
      </c>
      <c r="F1372">
        <v>3.86</v>
      </c>
      <c r="G1372">
        <v>4.13</v>
      </c>
      <c r="H1372">
        <v>7.99</v>
      </c>
      <c r="I1372" s="29">
        <v>0.48310000000000003</v>
      </c>
      <c r="J1372" s="29">
        <v>1.4443000000000001</v>
      </c>
      <c r="K1372" s="9">
        <v>45327</v>
      </c>
      <c r="L1372">
        <f xml:space="preserve"> (交易處理資料__3[[#This Row],[售出工時]] * 60) / 5</f>
        <v>138.47999999999999</v>
      </c>
      <c r="M1372" t="str">
        <f>VLOOKUP(交易處理資料__3[[#This Row],[人員代號]],團隊分組!$B$1:$C$52,2,FALSE)</f>
        <v>鈑金維修組</v>
      </c>
      <c r="N1372" t="str">
        <f>IF(交易處理資料__3[[#This Row],[上班時間]]=0,"否","是")</f>
        <v>是</v>
      </c>
      <c r="O1372" t="s">
        <v>75</v>
      </c>
      <c r="P1372" s="37">
        <v>2.024561404</v>
      </c>
      <c r="Q1372" s="37">
        <v>1.4443000000000001</v>
      </c>
      <c r="R1372" s="37">
        <v>0.48310000000000003</v>
      </c>
    </row>
    <row r="1373" spans="1:18" hidden="1">
      <c r="A1373" t="s">
        <v>75</v>
      </c>
      <c r="B1373" t="s">
        <v>14</v>
      </c>
      <c r="C1373">
        <v>6.6366666670000001</v>
      </c>
      <c r="D1373">
        <v>3.85</v>
      </c>
      <c r="E1373" s="29">
        <v>1.7238095240000002</v>
      </c>
      <c r="F1373">
        <v>3.63</v>
      </c>
      <c r="G1373">
        <v>4.3600000000000003</v>
      </c>
      <c r="H1373">
        <v>7.99</v>
      </c>
      <c r="I1373" s="29">
        <v>0.45429999999999998</v>
      </c>
      <c r="J1373" s="29">
        <v>0.8306</v>
      </c>
      <c r="K1373" s="9">
        <v>45327</v>
      </c>
      <c r="L1373">
        <f xml:space="preserve"> (交易處理資料__3[[#This Row],[售出工時]] * 60) / 5</f>
        <v>79.640000004000001</v>
      </c>
      <c r="M1373" t="str">
        <f>VLOOKUP(交易處理資料__3[[#This Row],[人員代號]],團隊分組!$B$1:$C$52,2,FALSE)</f>
        <v>鈑金維修組</v>
      </c>
      <c r="N1373" t="str">
        <f>IF(交易處理資料__3[[#This Row],[上班時間]]=0,"否","是")</f>
        <v>是</v>
      </c>
      <c r="O1373" t="s">
        <v>75</v>
      </c>
      <c r="P1373" s="38">
        <v>1.7238095240000002</v>
      </c>
      <c r="Q1373" s="38">
        <v>0.8306</v>
      </c>
      <c r="R1373" s="38">
        <v>0.45429999999999998</v>
      </c>
    </row>
    <row r="1374" spans="1:18" hidden="1">
      <c r="A1374" t="s">
        <v>75</v>
      </c>
      <c r="B1374" t="s">
        <v>15</v>
      </c>
      <c r="C1374">
        <v>1.95</v>
      </c>
      <c r="D1374">
        <v>3.08</v>
      </c>
      <c r="E1374" s="29">
        <v>0.63311688310000003</v>
      </c>
      <c r="F1374">
        <v>3.63</v>
      </c>
      <c r="G1374">
        <v>4.3600000000000003</v>
      </c>
      <c r="H1374">
        <v>7.99</v>
      </c>
      <c r="I1374" s="29">
        <v>0.45429999999999998</v>
      </c>
      <c r="J1374" s="29">
        <v>0.24410000000000001</v>
      </c>
      <c r="K1374" s="9">
        <v>45327</v>
      </c>
      <c r="L1374">
        <f xml:space="preserve"> (交易處理資料__3[[#This Row],[售出工時]] * 60) / 5</f>
        <v>23.4</v>
      </c>
      <c r="M1374" t="str">
        <f>VLOOKUP(交易處理資料__3[[#This Row],[人員代號]],團隊分組!$B$1:$C$52,2,FALSE)</f>
        <v>鈑金維修組</v>
      </c>
      <c r="N1374" t="str">
        <f>IF(交易處理資料__3[[#This Row],[上班時間]]=0,"否","是")</f>
        <v>是</v>
      </c>
      <c r="O1374" t="s">
        <v>75</v>
      </c>
      <c r="P1374" s="37">
        <v>0.63311688310000003</v>
      </c>
      <c r="Q1374" s="37">
        <v>0.24410000000000001</v>
      </c>
      <c r="R1374" s="37">
        <v>0.45429999999999998</v>
      </c>
    </row>
    <row r="1375" spans="1:18" hidden="1">
      <c r="A1375" t="s">
        <v>76</v>
      </c>
      <c r="B1375" t="s">
        <v>17</v>
      </c>
      <c r="C1375">
        <v>9.6333333329999995</v>
      </c>
      <c r="D1375">
        <v>6.68</v>
      </c>
      <c r="E1375" s="29">
        <v>1.4421157679999999</v>
      </c>
      <c r="F1375">
        <v>7.73</v>
      </c>
      <c r="G1375">
        <v>0.33</v>
      </c>
      <c r="H1375">
        <v>8.06</v>
      </c>
      <c r="I1375" s="29">
        <v>0.95909999999999995</v>
      </c>
      <c r="J1375" s="29">
        <v>1.1952</v>
      </c>
      <c r="K1375" s="9">
        <v>45327</v>
      </c>
      <c r="L1375">
        <f xml:space="preserve"> (交易處理資料__3[[#This Row],[售出工時]] * 60) / 5</f>
        <v>115.59999999599999</v>
      </c>
      <c r="M1375" t="str">
        <f>VLOOKUP(交易處理資料__3[[#This Row],[人員代號]],團隊分組!$B$1:$C$52,2,FALSE)</f>
        <v>快速保養團隊A</v>
      </c>
      <c r="N1375" t="str">
        <f>IF(交易處理資料__3[[#This Row],[上班時間]]=0,"否","是")</f>
        <v>是</v>
      </c>
      <c r="O1375" t="s">
        <v>76</v>
      </c>
      <c r="P1375" s="38">
        <v>1.4421157679999999</v>
      </c>
      <c r="Q1375" s="38">
        <v>1.1952</v>
      </c>
      <c r="R1375" s="38">
        <v>0.95909999999999995</v>
      </c>
    </row>
    <row r="1376" spans="1:18" hidden="1">
      <c r="A1376" t="s">
        <v>76</v>
      </c>
      <c r="B1376" t="s">
        <v>18</v>
      </c>
      <c r="C1376">
        <v>0</v>
      </c>
      <c r="D1376">
        <v>0</v>
      </c>
      <c r="E1376" s="29">
        <v>0</v>
      </c>
      <c r="F1376">
        <v>6.88</v>
      </c>
      <c r="G1376">
        <v>1.19</v>
      </c>
      <c r="H1376">
        <v>8.07</v>
      </c>
      <c r="I1376" s="29">
        <v>0.85250000000000004</v>
      </c>
      <c r="J1376" s="29">
        <v>0</v>
      </c>
      <c r="K1376" s="9">
        <v>45327</v>
      </c>
      <c r="L1376">
        <f xml:space="preserve"> (交易處理資料__3[[#This Row],[售出工時]] * 60) / 5</f>
        <v>0</v>
      </c>
      <c r="M1376" t="str">
        <f>VLOOKUP(交易處理資料__3[[#This Row],[人員代號]],團隊分組!$B$1:$C$52,2,FALSE)</f>
        <v>查修團隊B</v>
      </c>
      <c r="N1376" t="str">
        <f>IF(交易處理資料__3[[#This Row],[上班時間]]=0,"否","是")</f>
        <v>是</v>
      </c>
      <c r="O1376" t="s">
        <v>76</v>
      </c>
      <c r="P1376" s="37">
        <v>0</v>
      </c>
      <c r="Q1376" s="37">
        <v>0</v>
      </c>
      <c r="R1376" s="37">
        <v>0.85250000000000004</v>
      </c>
    </row>
    <row r="1377" spans="1:18" hidden="1">
      <c r="A1377" t="s">
        <v>76</v>
      </c>
      <c r="B1377" t="s">
        <v>19</v>
      </c>
      <c r="C1377">
        <v>3.03</v>
      </c>
      <c r="D1377">
        <v>4.6100000000000003</v>
      </c>
      <c r="E1377" s="29">
        <v>0.65726681129999998</v>
      </c>
      <c r="F1377">
        <v>7.68</v>
      </c>
      <c r="G1377">
        <v>0.41</v>
      </c>
      <c r="H1377">
        <v>8.09</v>
      </c>
      <c r="I1377" s="29">
        <v>0.94930000000000003</v>
      </c>
      <c r="J1377" s="29">
        <v>0.37450000000000006</v>
      </c>
      <c r="K1377" s="9">
        <v>45327</v>
      </c>
      <c r="L1377">
        <f xml:space="preserve"> (交易處理資料__3[[#This Row],[售出工時]] * 60) / 5</f>
        <v>36.36</v>
      </c>
      <c r="M1377" t="str">
        <f>VLOOKUP(交易處理資料__3[[#This Row],[人員代號]],團隊分組!$B$1:$C$52,2,FALSE)</f>
        <v>查修團隊A</v>
      </c>
      <c r="N1377" t="str">
        <f>IF(交易處理資料__3[[#This Row],[上班時間]]=0,"否","是")</f>
        <v>是</v>
      </c>
      <c r="O1377" t="s">
        <v>76</v>
      </c>
      <c r="P1377" s="38">
        <v>0.65726681129999998</v>
      </c>
      <c r="Q1377" s="38">
        <v>0.37450000000000006</v>
      </c>
      <c r="R1377" s="38">
        <v>0.94930000000000003</v>
      </c>
    </row>
    <row r="1378" spans="1:18" hidden="1">
      <c r="A1378" t="s">
        <v>76</v>
      </c>
      <c r="B1378" t="s">
        <v>21</v>
      </c>
      <c r="C1378">
        <v>6.4366666669999999</v>
      </c>
      <c r="D1378">
        <v>3.61</v>
      </c>
      <c r="E1378" s="29">
        <v>1.7830101569999999</v>
      </c>
      <c r="F1378">
        <v>5.9</v>
      </c>
      <c r="G1378">
        <v>2.11</v>
      </c>
      <c r="H1378">
        <v>8.01</v>
      </c>
      <c r="I1378" s="29">
        <v>0.73659999999999992</v>
      </c>
      <c r="J1378" s="29">
        <v>0.80359999999999998</v>
      </c>
      <c r="K1378" s="9">
        <v>45327</v>
      </c>
      <c r="L1378">
        <f xml:space="preserve"> (交易處理資料__3[[#This Row],[售出工時]] * 60) / 5</f>
        <v>77.240000003999995</v>
      </c>
      <c r="M1378" t="str">
        <f>VLOOKUP(交易處理資料__3[[#This Row],[人員代號]],團隊分組!$B$1:$C$52,2,FALSE)</f>
        <v>查修團隊B</v>
      </c>
      <c r="N1378" t="str">
        <f>IF(交易處理資料__3[[#This Row],[上班時間]]=0,"否","是")</f>
        <v>是</v>
      </c>
      <c r="O1378" t="s">
        <v>76</v>
      </c>
      <c r="P1378" s="37">
        <v>1.7830101569999999</v>
      </c>
      <c r="Q1378" s="37">
        <v>0.80359999999999998</v>
      </c>
      <c r="R1378" s="37">
        <v>0.73659999999999992</v>
      </c>
    </row>
    <row r="1379" spans="1:18" hidden="1">
      <c r="A1379" t="s">
        <v>76</v>
      </c>
      <c r="B1379" t="s">
        <v>22</v>
      </c>
      <c r="C1379">
        <v>0</v>
      </c>
      <c r="D1379">
        <v>0</v>
      </c>
      <c r="E1379" s="29">
        <v>0</v>
      </c>
      <c r="F1379">
        <v>0</v>
      </c>
      <c r="G1379">
        <v>0</v>
      </c>
      <c r="H1379">
        <v>0</v>
      </c>
      <c r="I1379" s="29">
        <v>0</v>
      </c>
      <c r="J1379" s="29">
        <v>0</v>
      </c>
      <c r="K1379" s="9">
        <v>45327</v>
      </c>
      <c r="L1379">
        <f xml:space="preserve"> (交易處理資料__3[[#This Row],[售出工時]] * 60) / 5</f>
        <v>0</v>
      </c>
      <c r="M1379" t="str">
        <f>VLOOKUP(交易處理資料__3[[#This Row],[人員代號]],團隊分組!$B$1:$C$52,2,FALSE)</f>
        <v>快速保養團隊A</v>
      </c>
      <c r="N1379" t="str">
        <f>IF(交易處理資料__3[[#This Row],[上班時間]]=0,"否","是")</f>
        <v>否</v>
      </c>
      <c r="O1379" t="s">
        <v>76</v>
      </c>
      <c r="P1379" s="38">
        <v>0</v>
      </c>
      <c r="Q1379" s="38">
        <v>0</v>
      </c>
      <c r="R1379" s="38">
        <v>0</v>
      </c>
    </row>
    <row r="1380" spans="1:18" hidden="1">
      <c r="A1380" t="s">
        <v>76</v>
      </c>
      <c r="B1380" t="s">
        <v>26</v>
      </c>
      <c r="C1380">
        <v>3.1666666669999999</v>
      </c>
      <c r="D1380">
        <v>3.48</v>
      </c>
      <c r="E1380" s="29">
        <v>0.90996168580000003</v>
      </c>
      <c r="F1380">
        <v>8.23</v>
      </c>
      <c r="G1380">
        <v>3.27</v>
      </c>
      <c r="H1380">
        <v>11.5</v>
      </c>
      <c r="I1380" s="29">
        <v>0.71569999999999989</v>
      </c>
      <c r="J1380" s="29">
        <v>0.27539999999999998</v>
      </c>
      <c r="K1380" s="9">
        <v>45327</v>
      </c>
      <c r="L1380">
        <f xml:space="preserve"> (交易處理資料__3[[#This Row],[售出工時]] * 60) / 5</f>
        <v>38.000000004</v>
      </c>
      <c r="M1380" t="str">
        <f>VLOOKUP(交易處理資料__3[[#This Row],[人員代號]],團隊分組!$B$1:$C$52,2,FALSE)</f>
        <v>查修團隊B</v>
      </c>
      <c r="N1380" t="str">
        <f>IF(交易處理資料__3[[#This Row],[上班時間]]=0,"否","是")</f>
        <v>是</v>
      </c>
      <c r="O1380" t="s">
        <v>76</v>
      </c>
      <c r="P1380" s="37">
        <v>0.90996168580000003</v>
      </c>
      <c r="Q1380" s="37">
        <v>0.27539999999999998</v>
      </c>
      <c r="R1380" s="37">
        <v>0.71569999999999989</v>
      </c>
    </row>
    <row r="1381" spans="1:18" hidden="1">
      <c r="A1381" t="s">
        <v>76</v>
      </c>
      <c r="B1381" t="s">
        <v>27</v>
      </c>
      <c r="C1381">
        <v>8.98</v>
      </c>
      <c r="D1381">
        <v>5.99</v>
      </c>
      <c r="E1381" s="29">
        <v>1.499165275</v>
      </c>
      <c r="F1381">
        <v>6.58</v>
      </c>
      <c r="G1381">
        <v>1.49</v>
      </c>
      <c r="H1381">
        <v>8.07</v>
      </c>
      <c r="I1381" s="29">
        <v>0.81540000000000001</v>
      </c>
      <c r="J1381" s="29">
        <v>1.1128</v>
      </c>
      <c r="K1381" s="9">
        <v>45327</v>
      </c>
      <c r="L1381">
        <f xml:space="preserve"> (交易處理資料__3[[#This Row],[售出工時]] * 60) / 5</f>
        <v>107.76000000000002</v>
      </c>
      <c r="M1381" t="str">
        <f>VLOOKUP(交易處理資料__3[[#This Row],[人員代號]],團隊分組!$B$1:$C$52,2,FALSE)</f>
        <v>快速保養團隊B</v>
      </c>
      <c r="N1381" t="str">
        <f>IF(交易處理資料__3[[#This Row],[上班時間]]=0,"否","是")</f>
        <v>是</v>
      </c>
      <c r="O1381" t="s">
        <v>76</v>
      </c>
      <c r="P1381" s="38">
        <v>1.499165275</v>
      </c>
      <c r="Q1381" s="38">
        <v>1.1128</v>
      </c>
      <c r="R1381" s="38">
        <v>0.81540000000000001</v>
      </c>
    </row>
    <row r="1382" spans="1:18" hidden="1">
      <c r="A1382" t="s">
        <v>76</v>
      </c>
      <c r="B1382" t="s">
        <v>32</v>
      </c>
      <c r="C1382">
        <v>5</v>
      </c>
      <c r="D1382">
        <v>3.25</v>
      </c>
      <c r="E1382" s="29">
        <v>1.538461538</v>
      </c>
      <c r="F1382">
        <v>3.25</v>
      </c>
      <c r="G1382">
        <v>0.73</v>
      </c>
      <c r="H1382">
        <v>3.98</v>
      </c>
      <c r="I1382" s="29">
        <v>0.81659999999999999</v>
      </c>
      <c r="J1382" s="29">
        <v>1.2563</v>
      </c>
      <c r="K1382" s="9">
        <v>45327</v>
      </c>
      <c r="L1382">
        <f xml:space="preserve"> (交易處理資料__3[[#This Row],[售出工時]] * 60) / 5</f>
        <v>60</v>
      </c>
      <c r="M1382" t="str">
        <f>VLOOKUP(交易處理資料__3[[#This Row],[人員代號]],團隊分組!$B$1:$C$52,2,FALSE)</f>
        <v>快速保養團隊B</v>
      </c>
      <c r="N1382" t="str">
        <f>IF(交易處理資料__3[[#This Row],[上班時間]]=0,"否","是")</f>
        <v>是</v>
      </c>
      <c r="O1382" t="s">
        <v>76</v>
      </c>
      <c r="P1382" s="37">
        <v>1.538461538</v>
      </c>
      <c r="Q1382" s="37">
        <v>1.2563</v>
      </c>
      <c r="R1382" s="37">
        <v>0.81659999999999999</v>
      </c>
    </row>
    <row r="1383" spans="1:18" hidden="1">
      <c r="A1383" t="s">
        <v>76</v>
      </c>
      <c r="B1383" t="s">
        <v>33</v>
      </c>
      <c r="C1383">
        <v>0</v>
      </c>
      <c r="D1383">
        <v>0</v>
      </c>
      <c r="E1383" s="29">
        <v>0</v>
      </c>
      <c r="F1383">
        <v>0</v>
      </c>
      <c r="G1383">
        <v>0</v>
      </c>
      <c r="H1383">
        <v>0</v>
      </c>
      <c r="I1383" s="29">
        <v>0</v>
      </c>
      <c r="J1383" s="29">
        <v>0</v>
      </c>
      <c r="K1383" s="9">
        <v>45327</v>
      </c>
      <c r="L1383">
        <f xml:space="preserve"> (交易處理資料__3[[#This Row],[售出工時]] * 60) / 5</f>
        <v>0</v>
      </c>
      <c r="M1383" t="str">
        <f>VLOOKUP(交易處理資料__3[[#This Row],[人員代號]],團隊分組!$B$1:$C$52,2,FALSE)</f>
        <v>快速保養團隊B</v>
      </c>
      <c r="N1383" t="str">
        <f>IF(交易處理資料__3[[#This Row],[上班時間]]=0,"否","是")</f>
        <v>否</v>
      </c>
      <c r="O1383" t="s">
        <v>76</v>
      </c>
      <c r="P1383" s="38">
        <v>0</v>
      </c>
      <c r="Q1383" s="38">
        <v>0</v>
      </c>
      <c r="R1383" s="38">
        <v>0</v>
      </c>
    </row>
    <row r="1384" spans="1:18" hidden="1">
      <c r="A1384" t="s">
        <v>76</v>
      </c>
      <c r="B1384" t="s">
        <v>34</v>
      </c>
      <c r="C1384">
        <v>6.6666666670000003</v>
      </c>
      <c r="D1384">
        <v>7.29</v>
      </c>
      <c r="E1384" s="29">
        <v>0.9144947417</v>
      </c>
      <c r="F1384">
        <v>6.82</v>
      </c>
      <c r="G1384">
        <v>1.25</v>
      </c>
      <c r="H1384">
        <v>8.07</v>
      </c>
      <c r="I1384" s="29">
        <v>0.84510000000000007</v>
      </c>
      <c r="J1384" s="29">
        <v>0.82609999999999995</v>
      </c>
      <c r="K1384" s="9">
        <v>45327</v>
      </c>
      <c r="L1384">
        <f xml:space="preserve"> (交易處理資料__3[[#This Row],[售出工時]] * 60) / 5</f>
        <v>80.000000004</v>
      </c>
      <c r="M1384" t="str">
        <f>VLOOKUP(交易處理資料__3[[#This Row],[人員代號]],團隊分組!$B$1:$C$52,2,FALSE)</f>
        <v>快速保養團隊A</v>
      </c>
      <c r="N1384" t="str">
        <f>IF(交易處理資料__3[[#This Row],[上班時間]]=0,"否","是")</f>
        <v>是</v>
      </c>
      <c r="O1384" t="s">
        <v>76</v>
      </c>
      <c r="P1384" s="37">
        <v>0.9144947417</v>
      </c>
      <c r="Q1384" s="37">
        <v>0.82609999999999995</v>
      </c>
      <c r="R1384" s="37">
        <v>0.84510000000000007</v>
      </c>
    </row>
    <row r="1385" spans="1:18" hidden="1">
      <c r="A1385" t="s">
        <v>76</v>
      </c>
      <c r="B1385" t="s">
        <v>36</v>
      </c>
      <c r="C1385">
        <v>3.88</v>
      </c>
      <c r="D1385">
        <v>5.55</v>
      </c>
      <c r="E1385" s="29">
        <v>0.69909909910000001</v>
      </c>
      <c r="F1385">
        <v>7.57</v>
      </c>
      <c r="G1385">
        <v>0.55000000000000004</v>
      </c>
      <c r="H1385">
        <v>8.1199999999999992</v>
      </c>
      <c r="I1385" s="29">
        <v>0.93230000000000002</v>
      </c>
      <c r="J1385" s="29">
        <v>0.4778</v>
      </c>
      <c r="K1385" s="9">
        <v>45327</v>
      </c>
      <c r="L1385">
        <f xml:space="preserve"> (交易處理資料__3[[#This Row],[售出工時]] * 60) / 5</f>
        <v>46.559999999999995</v>
      </c>
      <c r="M1385" t="str">
        <f>VLOOKUP(交易處理資料__3[[#This Row],[人員代號]],團隊分組!$B$1:$C$52,2,FALSE)</f>
        <v>查修團隊B</v>
      </c>
      <c r="N1385" t="str">
        <f>IF(交易處理資料__3[[#This Row],[上班時間]]=0,"否","是")</f>
        <v>是</v>
      </c>
      <c r="O1385" t="s">
        <v>76</v>
      </c>
      <c r="P1385" s="38">
        <v>0.69909909910000001</v>
      </c>
      <c r="Q1385" s="38">
        <v>0.4778</v>
      </c>
      <c r="R1385" s="38">
        <v>0.93230000000000002</v>
      </c>
    </row>
    <row r="1386" spans="1:18" hidden="1">
      <c r="A1386" t="s">
        <v>76</v>
      </c>
      <c r="B1386" t="s">
        <v>37</v>
      </c>
      <c r="C1386">
        <v>1.5</v>
      </c>
      <c r="D1386">
        <v>3.48</v>
      </c>
      <c r="E1386" s="29">
        <v>0.43103448280000001</v>
      </c>
      <c r="F1386">
        <v>8.18</v>
      </c>
      <c r="G1386">
        <v>1.93</v>
      </c>
      <c r="H1386">
        <v>10.11</v>
      </c>
      <c r="I1386" s="29">
        <v>0.80909999999999993</v>
      </c>
      <c r="J1386" s="29">
        <v>0.1484</v>
      </c>
      <c r="K1386" s="9">
        <v>45327</v>
      </c>
      <c r="L1386">
        <f xml:space="preserve"> (交易處理資料__3[[#This Row],[售出工時]] * 60) / 5</f>
        <v>18</v>
      </c>
      <c r="M1386" t="str">
        <f>VLOOKUP(交易處理資料__3[[#This Row],[人員代號]],團隊分組!$B$1:$C$52,2,FALSE)</f>
        <v>查修團隊A</v>
      </c>
      <c r="N1386" t="str">
        <f>IF(交易處理資料__3[[#This Row],[上班時間]]=0,"否","是")</f>
        <v>是</v>
      </c>
      <c r="O1386" t="s">
        <v>76</v>
      </c>
      <c r="P1386" s="37">
        <v>0.43103448280000001</v>
      </c>
      <c r="Q1386" s="37">
        <v>0.1484</v>
      </c>
      <c r="R1386" s="37">
        <v>0.80909999999999993</v>
      </c>
    </row>
    <row r="1387" spans="1:18" hidden="1">
      <c r="A1387" t="s">
        <v>76</v>
      </c>
      <c r="B1387" t="s">
        <v>38</v>
      </c>
      <c r="C1387">
        <v>6.6666666670000003</v>
      </c>
      <c r="D1387">
        <v>2.46</v>
      </c>
      <c r="E1387" s="29">
        <v>2.7100270999999996</v>
      </c>
      <c r="F1387">
        <v>7.53</v>
      </c>
      <c r="G1387">
        <v>1.1200000000000001</v>
      </c>
      <c r="H1387">
        <v>8.65</v>
      </c>
      <c r="I1387" s="29">
        <v>0.87049999999999994</v>
      </c>
      <c r="J1387" s="29">
        <v>0.77069999999999994</v>
      </c>
      <c r="K1387" s="9">
        <v>45327</v>
      </c>
      <c r="L1387">
        <f xml:space="preserve"> (交易處理資料__3[[#This Row],[售出工時]] * 60) / 5</f>
        <v>80.000000004</v>
      </c>
      <c r="M1387" t="str">
        <f>VLOOKUP(交易處理資料__3[[#This Row],[人員代號]],團隊分組!$B$1:$C$52,2,FALSE)</f>
        <v>快速保養團隊A</v>
      </c>
      <c r="N1387" t="str">
        <f>IF(交易處理資料__3[[#This Row],[上班時間]]=0,"否","是")</f>
        <v>是</v>
      </c>
      <c r="O1387" t="s">
        <v>76</v>
      </c>
      <c r="P1387" s="38">
        <v>2.7100270999999996</v>
      </c>
      <c r="Q1387" s="38">
        <v>0.77069999999999994</v>
      </c>
      <c r="R1387" s="38">
        <v>0.87049999999999994</v>
      </c>
    </row>
    <row r="1388" spans="1:18" hidden="1">
      <c r="A1388" t="s">
        <v>76</v>
      </c>
      <c r="B1388" t="s">
        <v>40</v>
      </c>
      <c r="C1388">
        <v>1</v>
      </c>
      <c r="D1388">
        <v>0.62</v>
      </c>
      <c r="E1388" s="29">
        <v>1.612903226</v>
      </c>
      <c r="F1388">
        <v>7.62</v>
      </c>
      <c r="G1388">
        <v>0.64</v>
      </c>
      <c r="H1388">
        <v>8.26</v>
      </c>
      <c r="I1388" s="29">
        <v>0.92249999999999999</v>
      </c>
      <c r="J1388" s="29">
        <v>0.1211</v>
      </c>
      <c r="K1388" s="9">
        <v>45327</v>
      </c>
      <c r="L1388">
        <f xml:space="preserve"> (交易處理資料__3[[#This Row],[售出工時]] * 60) / 5</f>
        <v>12</v>
      </c>
      <c r="M1388" t="str">
        <f>VLOOKUP(交易處理資料__3[[#This Row],[人員代號]],團隊分組!$B$1:$C$52,2,FALSE)</f>
        <v>查修團隊A</v>
      </c>
      <c r="N1388" t="str">
        <f>IF(交易處理資料__3[[#This Row],[上班時間]]=0,"否","是")</f>
        <v>是</v>
      </c>
      <c r="O1388" t="s">
        <v>76</v>
      </c>
      <c r="P1388" s="37">
        <v>1.612903226</v>
      </c>
      <c r="Q1388" s="37">
        <v>0.1211</v>
      </c>
      <c r="R1388" s="37">
        <v>0.92249999999999999</v>
      </c>
    </row>
    <row r="1389" spans="1:18" hidden="1">
      <c r="A1389" t="s">
        <v>76</v>
      </c>
      <c r="B1389" t="s">
        <v>41</v>
      </c>
      <c r="C1389">
        <v>12.08333333</v>
      </c>
      <c r="D1389">
        <v>6.93</v>
      </c>
      <c r="E1389" s="29">
        <v>1.743626744</v>
      </c>
      <c r="F1389">
        <v>6.52</v>
      </c>
      <c r="G1389">
        <v>1.43</v>
      </c>
      <c r="H1389">
        <v>7.95</v>
      </c>
      <c r="I1389" s="29">
        <v>0.82010000000000005</v>
      </c>
      <c r="J1389" s="29">
        <v>1.5199</v>
      </c>
      <c r="K1389" s="9">
        <v>45327</v>
      </c>
      <c r="L1389">
        <f xml:space="preserve"> (交易處理資料__3[[#This Row],[售出工時]] * 60) / 5</f>
        <v>144.99999996000003</v>
      </c>
      <c r="M1389" t="str">
        <f>VLOOKUP(交易處理資料__3[[#This Row],[人員代號]],團隊分組!$B$1:$C$52,2,FALSE)</f>
        <v>快速保養團隊A</v>
      </c>
      <c r="N1389" t="str">
        <f>IF(交易處理資料__3[[#This Row],[上班時間]]=0,"否","是")</f>
        <v>是</v>
      </c>
      <c r="O1389" t="s">
        <v>76</v>
      </c>
      <c r="P1389" s="38">
        <v>1.743626744</v>
      </c>
      <c r="Q1389" s="38">
        <v>1.5199</v>
      </c>
      <c r="R1389" s="38">
        <v>0.82010000000000005</v>
      </c>
    </row>
    <row r="1390" spans="1:18" hidden="1">
      <c r="A1390" t="s">
        <v>76</v>
      </c>
      <c r="B1390" t="s">
        <v>42</v>
      </c>
      <c r="C1390">
        <v>6.3333333329999997</v>
      </c>
      <c r="D1390">
        <v>4.5199999999999996</v>
      </c>
      <c r="E1390" s="29">
        <v>1.4011799410000001</v>
      </c>
      <c r="F1390">
        <v>4.8899999999999997</v>
      </c>
      <c r="G1390">
        <v>3.18</v>
      </c>
      <c r="H1390">
        <v>8.07</v>
      </c>
      <c r="I1390" s="29">
        <v>0.60589999999999999</v>
      </c>
      <c r="J1390" s="29">
        <v>0.78480000000000005</v>
      </c>
      <c r="K1390" s="9">
        <v>45327</v>
      </c>
      <c r="L1390">
        <f xml:space="preserve"> (交易處理資料__3[[#This Row],[售出工時]] * 60) / 5</f>
        <v>75.999999996</v>
      </c>
      <c r="M1390" t="str">
        <f>VLOOKUP(交易處理資料__3[[#This Row],[人員代號]],團隊分組!$B$1:$C$52,2,FALSE)</f>
        <v>快速保養團隊A</v>
      </c>
      <c r="N1390" t="str">
        <f>IF(交易處理資料__3[[#This Row],[上班時間]]=0,"否","是")</f>
        <v>是</v>
      </c>
      <c r="O1390" t="s">
        <v>76</v>
      </c>
      <c r="P1390" s="37">
        <v>1.4011799410000001</v>
      </c>
      <c r="Q1390" s="37">
        <v>0.78480000000000005</v>
      </c>
      <c r="R1390" s="37">
        <v>0.60589999999999999</v>
      </c>
    </row>
    <row r="1391" spans="1:18" hidden="1">
      <c r="A1391" t="s">
        <v>76</v>
      </c>
      <c r="B1391" t="s">
        <v>44</v>
      </c>
      <c r="C1391">
        <v>3.996666667</v>
      </c>
      <c r="D1391">
        <v>4.25</v>
      </c>
      <c r="E1391" s="29">
        <v>0.94039215690000011</v>
      </c>
      <c r="F1391">
        <v>8.36</v>
      </c>
      <c r="G1391">
        <v>0.37</v>
      </c>
      <c r="H1391">
        <v>8.73</v>
      </c>
      <c r="I1391" s="29">
        <v>0.95760000000000001</v>
      </c>
      <c r="J1391" s="29">
        <v>0.45779999999999998</v>
      </c>
      <c r="K1391" s="9">
        <v>45327</v>
      </c>
      <c r="L1391">
        <f xml:space="preserve"> (交易處理資料__3[[#This Row],[售出工時]] * 60) / 5</f>
        <v>47.960000004000001</v>
      </c>
      <c r="M1391" t="str">
        <f>VLOOKUP(交易處理資料__3[[#This Row],[人員代號]],團隊分組!$B$1:$C$52,2,FALSE)</f>
        <v>快速保養團隊B</v>
      </c>
      <c r="N1391" t="str">
        <f>IF(交易處理資料__3[[#This Row],[上班時間]]=0,"否","是")</f>
        <v>是</v>
      </c>
      <c r="O1391" t="s">
        <v>76</v>
      </c>
      <c r="P1391" s="38">
        <v>0.94039215690000011</v>
      </c>
      <c r="Q1391" s="38">
        <v>0.45779999999999998</v>
      </c>
      <c r="R1391" s="38">
        <v>0.95760000000000001</v>
      </c>
    </row>
    <row r="1392" spans="1:18" hidden="1">
      <c r="A1392" t="s">
        <v>76</v>
      </c>
      <c r="B1392" t="s">
        <v>45</v>
      </c>
      <c r="C1392">
        <v>5.75</v>
      </c>
      <c r="D1392">
        <v>4.58</v>
      </c>
      <c r="E1392" s="29">
        <v>1.2554585149999999</v>
      </c>
      <c r="F1392">
        <v>7.51</v>
      </c>
      <c r="G1392">
        <v>0.65</v>
      </c>
      <c r="H1392">
        <v>8.16</v>
      </c>
      <c r="I1392" s="29">
        <v>0.92030000000000001</v>
      </c>
      <c r="J1392" s="29">
        <v>0.70469999999999999</v>
      </c>
      <c r="K1392" s="9">
        <v>45327</v>
      </c>
      <c r="L1392">
        <f xml:space="preserve"> (交易處理資料__3[[#This Row],[售出工時]] * 60) / 5</f>
        <v>69</v>
      </c>
      <c r="M1392" t="str">
        <f>VLOOKUP(交易處理資料__3[[#This Row],[人員代號]],團隊分組!$B$1:$C$52,2,FALSE)</f>
        <v>快速保養團隊A</v>
      </c>
      <c r="N1392" t="str">
        <f>IF(交易處理資料__3[[#This Row],[上班時間]]=0,"否","是")</f>
        <v>是</v>
      </c>
      <c r="O1392" t="s">
        <v>76</v>
      </c>
      <c r="P1392" s="37">
        <v>1.2554585149999999</v>
      </c>
      <c r="Q1392" s="37">
        <v>0.70469999999999999</v>
      </c>
      <c r="R1392" s="37">
        <v>0.92030000000000001</v>
      </c>
    </row>
    <row r="1393" spans="1:18" hidden="1">
      <c r="A1393" t="s">
        <v>76</v>
      </c>
      <c r="B1393" t="s">
        <v>46</v>
      </c>
      <c r="C1393">
        <v>5.8333333329999997</v>
      </c>
      <c r="D1393">
        <v>4.03</v>
      </c>
      <c r="E1393" s="29">
        <v>1.447477254</v>
      </c>
      <c r="F1393">
        <v>5.04</v>
      </c>
      <c r="G1393">
        <v>2.98</v>
      </c>
      <c r="H1393">
        <v>8.02</v>
      </c>
      <c r="I1393" s="29">
        <v>0.62840000000000007</v>
      </c>
      <c r="J1393" s="29">
        <v>0.72730000000000006</v>
      </c>
      <c r="K1393" s="9">
        <v>45327</v>
      </c>
      <c r="L1393">
        <f xml:space="preserve"> (交易處理資料__3[[#This Row],[售出工時]] * 60) / 5</f>
        <v>69.999999996</v>
      </c>
      <c r="M1393" t="str">
        <f>VLOOKUP(交易處理資料__3[[#This Row],[人員代號]],團隊分組!$B$1:$C$52,2,FALSE)</f>
        <v>查修團隊B</v>
      </c>
      <c r="N1393" t="str">
        <f>IF(交易處理資料__3[[#This Row],[上班時間]]=0,"否","是")</f>
        <v>是</v>
      </c>
      <c r="O1393" t="s">
        <v>76</v>
      </c>
      <c r="P1393" s="38">
        <v>1.447477254</v>
      </c>
      <c r="Q1393" s="38">
        <v>0.72730000000000006</v>
      </c>
      <c r="R1393" s="38">
        <v>0.62840000000000007</v>
      </c>
    </row>
    <row r="1394" spans="1:18" hidden="1">
      <c r="A1394" t="s">
        <v>76</v>
      </c>
      <c r="B1394" t="s">
        <v>47</v>
      </c>
      <c r="C1394">
        <v>0</v>
      </c>
      <c r="D1394">
        <v>0</v>
      </c>
      <c r="E1394" s="29">
        <v>0</v>
      </c>
      <c r="F1394">
        <v>6.64</v>
      </c>
      <c r="G1394">
        <v>1.55</v>
      </c>
      <c r="H1394">
        <v>8.19</v>
      </c>
      <c r="I1394" s="29">
        <v>0.81069999999999998</v>
      </c>
      <c r="J1394" s="29">
        <v>0</v>
      </c>
      <c r="K1394" s="9">
        <v>45327</v>
      </c>
      <c r="L1394">
        <f xml:space="preserve"> (交易處理資料__3[[#This Row],[售出工時]] * 60) / 5</f>
        <v>0</v>
      </c>
      <c r="M1394" t="str">
        <f>VLOOKUP(交易處理資料__3[[#This Row],[人員代號]],團隊分組!$B$1:$C$52,2,FALSE)</f>
        <v>查修團隊B</v>
      </c>
      <c r="N1394" t="str">
        <f>IF(交易處理資料__3[[#This Row],[上班時間]]=0,"否","是")</f>
        <v>是</v>
      </c>
      <c r="O1394" t="s">
        <v>76</v>
      </c>
      <c r="P1394" s="37">
        <v>0</v>
      </c>
      <c r="Q1394" s="37">
        <v>0</v>
      </c>
      <c r="R1394" s="37">
        <v>0.81069999999999998</v>
      </c>
    </row>
    <row r="1395" spans="1:18" hidden="1">
      <c r="A1395" t="s">
        <v>76</v>
      </c>
      <c r="B1395" t="s">
        <v>49</v>
      </c>
      <c r="C1395">
        <v>4.1399999999999997</v>
      </c>
      <c r="D1395">
        <v>7.58</v>
      </c>
      <c r="E1395" s="29">
        <v>0.54617414250000007</v>
      </c>
      <c r="F1395">
        <v>7.71</v>
      </c>
      <c r="G1395">
        <v>0.4</v>
      </c>
      <c r="H1395">
        <v>8.11</v>
      </c>
      <c r="I1395" s="29">
        <v>0.95069999999999988</v>
      </c>
      <c r="J1395" s="29">
        <v>0.51049999999999995</v>
      </c>
      <c r="K1395" s="9">
        <v>45327</v>
      </c>
      <c r="L1395">
        <f xml:space="preserve"> (交易處理資料__3[[#This Row],[售出工時]] * 60) / 5</f>
        <v>49.679999999999993</v>
      </c>
      <c r="M1395" t="str">
        <f>VLOOKUP(交易處理資料__3[[#This Row],[人員代號]],團隊分組!$B$1:$C$52,2,FALSE)</f>
        <v>查修團隊A</v>
      </c>
      <c r="N1395" t="str">
        <f>IF(交易處理資料__3[[#This Row],[上班時間]]=0,"否","是")</f>
        <v>是</v>
      </c>
      <c r="O1395" t="s">
        <v>76</v>
      </c>
      <c r="P1395" s="38">
        <v>0.54617414250000007</v>
      </c>
      <c r="Q1395" s="38">
        <v>0.51049999999999995</v>
      </c>
      <c r="R1395" s="38">
        <v>0.95069999999999988</v>
      </c>
    </row>
    <row r="1396" spans="1:18" hidden="1">
      <c r="A1396" t="s">
        <v>76</v>
      </c>
      <c r="B1396" t="s">
        <v>50</v>
      </c>
      <c r="C1396">
        <v>6.0833333329999997</v>
      </c>
      <c r="D1396">
        <v>4.1900000000000004</v>
      </c>
      <c r="E1396" s="29">
        <v>1.451869531</v>
      </c>
      <c r="F1396">
        <v>7.63</v>
      </c>
      <c r="G1396">
        <v>0.38</v>
      </c>
      <c r="H1396">
        <v>8.01</v>
      </c>
      <c r="I1396" s="29">
        <v>0.9526</v>
      </c>
      <c r="J1396" s="29">
        <v>0.75950000000000006</v>
      </c>
      <c r="K1396" s="9">
        <v>45327</v>
      </c>
      <c r="L1396">
        <f xml:space="preserve"> (交易處理資料__3[[#This Row],[售出工時]] * 60) / 5</f>
        <v>72.999999996</v>
      </c>
      <c r="M1396" t="str">
        <f>VLOOKUP(交易處理資料__3[[#This Row],[人員代號]],團隊分組!$B$1:$C$52,2,FALSE)</f>
        <v>快速保養團隊B</v>
      </c>
      <c r="N1396" t="str">
        <f>IF(交易處理資料__3[[#This Row],[上班時間]]=0,"否","是")</f>
        <v>是</v>
      </c>
      <c r="O1396" t="s">
        <v>76</v>
      </c>
      <c r="P1396" s="37">
        <v>1.451869531</v>
      </c>
      <c r="Q1396" s="37">
        <v>0.75950000000000006</v>
      </c>
      <c r="R1396" s="37">
        <v>0.9526</v>
      </c>
    </row>
    <row r="1397" spans="1:18" hidden="1">
      <c r="A1397" t="s">
        <v>76</v>
      </c>
      <c r="B1397" t="s">
        <v>51</v>
      </c>
      <c r="C1397">
        <v>0</v>
      </c>
      <c r="D1397">
        <v>0</v>
      </c>
      <c r="E1397" s="29">
        <v>0</v>
      </c>
      <c r="F1397">
        <v>0</v>
      </c>
      <c r="G1397">
        <v>0</v>
      </c>
      <c r="H1397">
        <v>0</v>
      </c>
      <c r="I1397" s="29">
        <v>0</v>
      </c>
      <c r="J1397" s="29">
        <v>0</v>
      </c>
      <c r="K1397" s="9">
        <v>45327</v>
      </c>
      <c r="L1397">
        <f xml:space="preserve"> (交易處理資料__3[[#This Row],[售出工時]] * 60) / 5</f>
        <v>0</v>
      </c>
      <c r="M1397" t="str">
        <f>VLOOKUP(交易處理資料__3[[#This Row],[人員代號]],團隊分組!$B$1:$C$52,2,FALSE)</f>
        <v>無效數據</v>
      </c>
      <c r="N1397" t="str">
        <f>IF(交易處理資料__3[[#This Row],[上班時間]]=0,"否","是")</f>
        <v>否</v>
      </c>
      <c r="O1397" t="s">
        <v>76</v>
      </c>
      <c r="P1397" s="38">
        <v>0</v>
      </c>
      <c r="Q1397" s="38">
        <v>0</v>
      </c>
      <c r="R1397" s="38">
        <v>0</v>
      </c>
    </row>
    <row r="1398" spans="1:18" hidden="1">
      <c r="A1398" t="s">
        <v>76</v>
      </c>
      <c r="B1398" t="s">
        <v>53</v>
      </c>
      <c r="C1398">
        <v>5.5833333329999997</v>
      </c>
      <c r="D1398">
        <v>4.41</v>
      </c>
      <c r="E1398" s="29">
        <v>1.2660619800000001</v>
      </c>
      <c r="F1398">
        <v>8.33</v>
      </c>
      <c r="G1398">
        <v>1.19</v>
      </c>
      <c r="H1398">
        <v>9.52</v>
      </c>
      <c r="I1398" s="29">
        <v>0.875</v>
      </c>
      <c r="J1398" s="29">
        <v>0.58650000000000002</v>
      </c>
      <c r="K1398" s="9">
        <v>45327</v>
      </c>
      <c r="L1398">
        <f xml:space="preserve"> (交易處理資料__3[[#This Row],[售出工時]] * 60) / 5</f>
        <v>66.999999996</v>
      </c>
      <c r="M1398" t="str">
        <f>VLOOKUP(交易處理資料__3[[#This Row],[人員代號]],團隊分組!$B$1:$C$52,2,FALSE)</f>
        <v>查修團隊A</v>
      </c>
      <c r="N1398" t="str">
        <f>IF(交易處理資料__3[[#This Row],[上班時間]]=0,"否","是")</f>
        <v>是</v>
      </c>
      <c r="O1398" t="s">
        <v>76</v>
      </c>
      <c r="P1398" s="37">
        <v>1.2660619800000001</v>
      </c>
      <c r="Q1398" s="37">
        <v>0.58650000000000002</v>
      </c>
      <c r="R1398" s="37">
        <v>0.875</v>
      </c>
    </row>
    <row r="1399" spans="1:18" hidden="1">
      <c r="A1399" s="10" t="s">
        <v>74</v>
      </c>
      <c r="B1399" t="s">
        <v>1</v>
      </c>
      <c r="C1399">
        <v>0</v>
      </c>
      <c r="D1399">
        <v>0</v>
      </c>
      <c r="E1399" s="29">
        <v>0</v>
      </c>
      <c r="F1399">
        <v>3.4</v>
      </c>
      <c r="G1399">
        <v>4.6500000000000004</v>
      </c>
      <c r="H1399">
        <v>8.0500000000000007</v>
      </c>
      <c r="I1399" s="29">
        <v>0.4224</v>
      </c>
      <c r="J1399" s="29">
        <v>0</v>
      </c>
      <c r="K1399" s="9">
        <v>45328</v>
      </c>
      <c r="L1399">
        <f xml:space="preserve"> (交易處理資料__3[[#This Row],[售出工時]] * 60) / 5</f>
        <v>0</v>
      </c>
      <c r="M1399" t="str">
        <f>VLOOKUP(交易處理資料__3[[#This Row],[人員代號]],團隊分組!$B$1:$C$52,2,FALSE)</f>
        <v>噴漆維修組</v>
      </c>
      <c r="N1399" t="str">
        <f>IF(交易處理資料__3[[#This Row],[上班時間]]=0,"否","是")</f>
        <v>是</v>
      </c>
      <c r="O1399" s="10" t="s">
        <v>74</v>
      </c>
      <c r="P1399" s="38">
        <v>0</v>
      </c>
      <c r="Q1399" s="38">
        <v>0</v>
      </c>
      <c r="R1399" s="38">
        <v>0.4224</v>
      </c>
    </row>
    <row r="1400" spans="1:18" hidden="1">
      <c r="A1400" s="10" t="s">
        <v>74</v>
      </c>
      <c r="B1400" t="s">
        <v>4</v>
      </c>
      <c r="C1400">
        <v>0</v>
      </c>
      <c r="D1400">
        <v>0</v>
      </c>
      <c r="E1400" s="29">
        <v>0</v>
      </c>
      <c r="F1400">
        <v>0</v>
      </c>
      <c r="G1400">
        <v>8.1</v>
      </c>
      <c r="H1400">
        <v>8.1</v>
      </c>
      <c r="I1400" s="29">
        <v>0</v>
      </c>
      <c r="J1400" s="29">
        <v>0</v>
      </c>
      <c r="K1400" s="9">
        <v>45328</v>
      </c>
      <c r="L1400">
        <f xml:space="preserve"> (交易處理資料__3[[#This Row],[售出工時]] * 60) / 5</f>
        <v>0</v>
      </c>
      <c r="M1400" t="str">
        <f>VLOOKUP(交易處理資料__3[[#This Row],[人員代號]],團隊分組!$B$1:$C$52,2,FALSE)</f>
        <v>噴漆維修組</v>
      </c>
      <c r="N1400" t="str">
        <f>IF(交易處理資料__3[[#This Row],[上班時間]]=0,"否","是")</f>
        <v>是</v>
      </c>
      <c r="O1400" s="10" t="s">
        <v>74</v>
      </c>
      <c r="P1400" s="37">
        <v>0</v>
      </c>
      <c r="Q1400" s="37">
        <v>0</v>
      </c>
      <c r="R1400" s="37">
        <v>0</v>
      </c>
    </row>
    <row r="1401" spans="1:18" hidden="1">
      <c r="A1401" s="10" t="s">
        <v>74</v>
      </c>
      <c r="B1401" t="s">
        <v>6</v>
      </c>
      <c r="C1401">
        <v>1.53</v>
      </c>
      <c r="D1401">
        <v>7.68</v>
      </c>
      <c r="E1401" s="29">
        <v>0.19921875</v>
      </c>
      <c r="F1401">
        <v>7.74</v>
      </c>
      <c r="G1401">
        <v>0.26</v>
      </c>
      <c r="H1401">
        <v>8</v>
      </c>
      <c r="I1401" s="29">
        <v>0.96750000000000003</v>
      </c>
      <c r="J1401" s="29">
        <v>0.1913</v>
      </c>
      <c r="K1401" s="9">
        <v>45328</v>
      </c>
      <c r="L1401">
        <f xml:space="preserve"> (交易處理資料__3[[#This Row],[售出工時]] * 60) / 5</f>
        <v>18.36</v>
      </c>
      <c r="M1401" t="str">
        <f>VLOOKUP(交易處理資料__3[[#This Row],[人員代號]],團隊分組!$B$1:$C$52,2,FALSE)</f>
        <v>噴漆維修組</v>
      </c>
      <c r="N1401" t="str">
        <f>IF(交易處理資料__3[[#This Row],[上班時間]]=0,"否","是")</f>
        <v>是</v>
      </c>
      <c r="O1401" s="10" t="s">
        <v>74</v>
      </c>
      <c r="P1401" s="38">
        <v>0.19921875</v>
      </c>
      <c r="Q1401" s="38">
        <v>0.1913</v>
      </c>
      <c r="R1401" s="38">
        <v>0.96750000000000003</v>
      </c>
    </row>
    <row r="1402" spans="1:18" hidden="1">
      <c r="A1402" s="10" t="s">
        <v>74</v>
      </c>
      <c r="B1402" t="s">
        <v>8</v>
      </c>
      <c r="C1402">
        <v>0</v>
      </c>
      <c r="D1402">
        <v>0</v>
      </c>
      <c r="E1402" s="29">
        <v>0</v>
      </c>
      <c r="F1402">
        <v>0</v>
      </c>
      <c r="G1402">
        <v>8.1</v>
      </c>
      <c r="H1402">
        <v>8.1</v>
      </c>
      <c r="I1402" s="29">
        <v>0</v>
      </c>
      <c r="J1402" s="29">
        <v>0</v>
      </c>
      <c r="K1402" s="9">
        <v>45328</v>
      </c>
      <c r="L1402">
        <f xml:space="preserve"> (交易處理資料__3[[#This Row],[售出工時]] * 60) / 5</f>
        <v>0</v>
      </c>
      <c r="M1402" t="str">
        <f>VLOOKUP(交易處理資料__3[[#This Row],[人員代號]],團隊分組!$B$1:$C$52,2,FALSE)</f>
        <v>噴漆維修組</v>
      </c>
      <c r="N1402" t="str">
        <f>IF(交易處理資料__3[[#This Row],[上班時間]]=0,"否","是")</f>
        <v>是</v>
      </c>
      <c r="O1402" s="10" t="s">
        <v>74</v>
      </c>
      <c r="P1402" s="37">
        <v>0</v>
      </c>
      <c r="Q1402" s="37">
        <v>0</v>
      </c>
      <c r="R1402" s="37">
        <v>0</v>
      </c>
    </row>
    <row r="1403" spans="1:18" hidden="1">
      <c r="A1403" s="10" t="s">
        <v>74</v>
      </c>
      <c r="B1403" t="s">
        <v>9</v>
      </c>
      <c r="C1403">
        <v>4.4166666670000003</v>
      </c>
      <c r="D1403">
        <v>3.73</v>
      </c>
      <c r="E1403" s="29">
        <v>1.18409294</v>
      </c>
      <c r="F1403">
        <v>3.47</v>
      </c>
      <c r="G1403">
        <v>4.58</v>
      </c>
      <c r="H1403">
        <v>8.0500000000000007</v>
      </c>
      <c r="I1403" s="29">
        <v>0.43109999999999998</v>
      </c>
      <c r="J1403" s="29">
        <v>0.54869999999999997</v>
      </c>
      <c r="K1403" s="9">
        <v>45328</v>
      </c>
      <c r="L1403">
        <f xml:space="preserve"> (交易處理資料__3[[#This Row],[售出工時]] * 60) / 5</f>
        <v>53.000000004</v>
      </c>
      <c r="M1403" t="str">
        <f>VLOOKUP(交易處理資料__3[[#This Row],[人員代號]],團隊分組!$B$1:$C$52,2,FALSE)</f>
        <v>噴漆維修組</v>
      </c>
      <c r="N1403" t="str">
        <f>IF(交易處理資料__3[[#This Row],[上班時間]]=0,"否","是")</f>
        <v>是</v>
      </c>
      <c r="O1403" s="10" t="s">
        <v>74</v>
      </c>
      <c r="P1403" s="38">
        <v>1.18409294</v>
      </c>
      <c r="Q1403" s="38">
        <v>0.54869999999999997</v>
      </c>
      <c r="R1403" s="38">
        <v>0.43109999999999998</v>
      </c>
    </row>
    <row r="1404" spans="1:18" hidden="1">
      <c r="A1404" t="s">
        <v>75</v>
      </c>
      <c r="B1404" t="s">
        <v>11</v>
      </c>
      <c r="C1404">
        <v>0</v>
      </c>
      <c r="D1404">
        <v>0</v>
      </c>
      <c r="E1404" s="29">
        <v>0</v>
      </c>
      <c r="F1404">
        <v>2.97</v>
      </c>
      <c r="G1404">
        <v>5.1100000000000003</v>
      </c>
      <c r="H1404">
        <v>8.08</v>
      </c>
      <c r="I1404" s="29">
        <v>0.36759999999999998</v>
      </c>
      <c r="J1404" s="29">
        <v>0</v>
      </c>
      <c r="K1404" s="9">
        <v>45328</v>
      </c>
      <c r="L1404">
        <f xml:space="preserve"> (交易處理資料__3[[#This Row],[售出工時]] * 60) / 5</f>
        <v>0</v>
      </c>
      <c r="M1404" t="str">
        <f>VLOOKUP(交易處理資料__3[[#This Row],[人員代號]],團隊分組!$B$1:$C$52,2,FALSE)</f>
        <v>鈑金維修組</v>
      </c>
      <c r="N1404" t="str">
        <f>IF(交易處理資料__3[[#This Row],[上班時間]]=0,"否","是")</f>
        <v>是</v>
      </c>
      <c r="O1404" t="s">
        <v>75</v>
      </c>
      <c r="P1404" s="37">
        <v>0</v>
      </c>
      <c r="Q1404" s="37">
        <v>0</v>
      </c>
      <c r="R1404" s="37">
        <v>0.36759999999999998</v>
      </c>
    </row>
    <row r="1405" spans="1:18" hidden="1">
      <c r="A1405" t="s">
        <v>75</v>
      </c>
      <c r="B1405" t="s">
        <v>13</v>
      </c>
      <c r="C1405">
        <v>14.66666667</v>
      </c>
      <c r="D1405">
        <v>7.06</v>
      </c>
      <c r="E1405" s="29">
        <v>2.077431539</v>
      </c>
      <c r="F1405">
        <v>2.97</v>
      </c>
      <c r="G1405">
        <v>5.13</v>
      </c>
      <c r="H1405">
        <v>8.1</v>
      </c>
      <c r="I1405" s="29">
        <v>0.36670000000000003</v>
      </c>
      <c r="J1405" s="29">
        <v>1.8107</v>
      </c>
      <c r="K1405" s="9">
        <v>45328</v>
      </c>
      <c r="L1405">
        <f xml:space="preserve"> (交易處理資料__3[[#This Row],[售出工時]] * 60) / 5</f>
        <v>176.00000003999997</v>
      </c>
      <c r="M1405" t="str">
        <f>VLOOKUP(交易處理資料__3[[#This Row],[人員代號]],團隊分組!$B$1:$C$52,2,FALSE)</f>
        <v>鈑金維修組</v>
      </c>
      <c r="N1405" t="str">
        <f>IF(交易處理資料__3[[#This Row],[上班時間]]=0,"否","是")</f>
        <v>是</v>
      </c>
      <c r="O1405" t="s">
        <v>75</v>
      </c>
      <c r="P1405" s="38">
        <v>2.077431539</v>
      </c>
      <c r="Q1405" s="38">
        <v>1.8107</v>
      </c>
      <c r="R1405" s="38">
        <v>0.36670000000000003</v>
      </c>
    </row>
    <row r="1406" spans="1:18" hidden="1">
      <c r="A1406" t="s">
        <v>75</v>
      </c>
      <c r="B1406" t="s">
        <v>14</v>
      </c>
      <c r="C1406">
        <v>0</v>
      </c>
      <c r="D1406">
        <v>0</v>
      </c>
      <c r="E1406" s="29">
        <v>0</v>
      </c>
      <c r="F1406">
        <v>2.15</v>
      </c>
      <c r="G1406">
        <v>6.01</v>
      </c>
      <c r="H1406">
        <v>8.16</v>
      </c>
      <c r="I1406" s="29">
        <v>0.26350000000000001</v>
      </c>
      <c r="J1406" s="29">
        <v>0</v>
      </c>
      <c r="K1406" s="9">
        <v>45328</v>
      </c>
      <c r="L1406">
        <f xml:space="preserve"> (交易處理資料__3[[#This Row],[售出工時]] * 60) / 5</f>
        <v>0</v>
      </c>
      <c r="M1406" t="str">
        <f>VLOOKUP(交易處理資料__3[[#This Row],[人員代號]],團隊分組!$B$1:$C$52,2,FALSE)</f>
        <v>鈑金維修組</v>
      </c>
      <c r="N1406" t="str">
        <f>IF(交易處理資料__3[[#This Row],[上班時間]]=0,"否","是")</f>
        <v>是</v>
      </c>
      <c r="O1406" t="s">
        <v>75</v>
      </c>
      <c r="P1406" s="37">
        <v>0</v>
      </c>
      <c r="Q1406" s="37">
        <v>0</v>
      </c>
      <c r="R1406" s="37">
        <v>0.26350000000000001</v>
      </c>
    </row>
    <row r="1407" spans="1:18" hidden="1">
      <c r="A1407" t="s">
        <v>75</v>
      </c>
      <c r="B1407" t="s">
        <v>15</v>
      </c>
      <c r="C1407">
        <v>0</v>
      </c>
      <c r="D1407">
        <v>0</v>
      </c>
      <c r="E1407" s="29">
        <v>0</v>
      </c>
      <c r="F1407">
        <v>3.17</v>
      </c>
      <c r="G1407">
        <v>4.9400000000000004</v>
      </c>
      <c r="H1407">
        <v>8.11</v>
      </c>
      <c r="I1407" s="29">
        <v>0.39090000000000003</v>
      </c>
      <c r="J1407" s="29">
        <v>0</v>
      </c>
      <c r="K1407" s="9">
        <v>45328</v>
      </c>
      <c r="L1407">
        <f xml:space="preserve"> (交易處理資料__3[[#This Row],[售出工時]] * 60) / 5</f>
        <v>0</v>
      </c>
      <c r="M1407" t="str">
        <f>VLOOKUP(交易處理資料__3[[#This Row],[人員代號]],團隊分組!$B$1:$C$52,2,FALSE)</f>
        <v>鈑金維修組</v>
      </c>
      <c r="N1407" t="str">
        <f>IF(交易處理資料__3[[#This Row],[上班時間]]=0,"否","是")</f>
        <v>是</v>
      </c>
      <c r="O1407" t="s">
        <v>75</v>
      </c>
      <c r="P1407" s="38">
        <v>0</v>
      </c>
      <c r="Q1407" s="38">
        <v>0</v>
      </c>
      <c r="R1407" s="38">
        <v>0.39090000000000003</v>
      </c>
    </row>
    <row r="1408" spans="1:18" hidden="1">
      <c r="A1408" t="s">
        <v>76</v>
      </c>
      <c r="B1408" t="s">
        <v>18</v>
      </c>
      <c r="C1408">
        <v>2</v>
      </c>
      <c r="D1408">
        <v>2.2400000000000002</v>
      </c>
      <c r="E1408" s="29">
        <v>0.89285714290000007</v>
      </c>
      <c r="F1408">
        <v>7.58</v>
      </c>
      <c r="G1408">
        <v>0.45</v>
      </c>
      <c r="H1408">
        <v>8.0299999999999994</v>
      </c>
      <c r="I1408" s="29">
        <v>0.94400000000000006</v>
      </c>
      <c r="J1408" s="29">
        <v>0.24909999999999999</v>
      </c>
      <c r="K1408" s="9">
        <v>45328</v>
      </c>
      <c r="L1408">
        <f xml:space="preserve"> (交易處理資料__3[[#This Row],[售出工時]] * 60) / 5</f>
        <v>24</v>
      </c>
      <c r="M1408" t="str">
        <f>VLOOKUP(交易處理資料__3[[#This Row],[人員代號]],團隊分組!$B$1:$C$52,2,FALSE)</f>
        <v>查修團隊B</v>
      </c>
      <c r="N1408" t="str">
        <f>IF(交易處理資料__3[[#This Row],[上班時間]]=0,"否","是")</f>
        <v>是</v>
      </c>
      <c r="O1408" t="s">
        <v>76</v>
      </c>
      <c r="P1408" s="37">
        <v>0.89285714290000007</v>
      </c>
      <c r="Q1408" s="37">
        <v>0.24909999999999999</v>
      </c>
      <c r="R1408" s="37">
        <v>0.94400000000000006</v>
      </c>
    </row>
    <row r="1409" spans="1:18" hidden="1">
      <c r="A1409" t="s">
        <v>76</v>
      </c>
      <c r="B1409" t="s">
        <v>19</v>
      </c>
      <c r="C1409">
        <v>1.0833333329999999</v>
      </c>
      <c r="D1409">
        <v>3.66</v>
      </c>
      <c r="E1409" s="29">
        <v>0.29599271399999999</v>
      </c>
      <c r="F1409">
        <v>7.71</v>
      </c>
      <c r="G1409">
        <v>0.33</v>
      </c>
      <c r="H1409">
        <v>8.0399999999999991</v>
      </c>
      <c r="I1409" s="29">
        <v>0.95900000000000007</v>
      </c>
      <c r="J1409" s="29">
        <v>0.13470000000000001</v>
      </c>
      <c r="K1409" s="9">
        <v>45328</v>
      </c>
      <c r="L1409">
        <f xml:space="preserve"> (交易處理資料__3[[#This Row],[售出工時]] * 60) / 5</f>
        <v>12.999999996</v>
      </c>
      <c r="M1409" t="str">
        <f>VLOOKUP(交易處理資料__3[[#This Row],[人員代號]],團隊分組!$B$1:$C$52,2,FALSE)</f>
        <v>查修團隊A</v>
      </c>
      <c r="N1409" t="str">
        <f>IF(交易處理資料__3[[#This Row],[上班時間]]=0,"否","是")</f>
        <v>是</v>
      </c>
      <c r="O1409" t="s">
        <v>76</v>
      </c>
      <c r="P1409" s="38">
        <v>0.29599271399999999</v>
      </c>
      <c r="Q1409" s="38">
        <v>0.13470000000000001</v>
      </c>
      <c r="R1409" s="38">
        <v>0.95900000000000007</v>
      </c>
    </row>
    <row r="1410" spans="1:18" hidden="1">
      <c r="A1410" t="s">
        <v>76</v>
      </c>
      <c r="B1410" t="s">
        <v>20</v>
      </c>
      <c r="C1410">
        <v>0</v>
      </c>
      <c r="D1410">
        <v>0</v>
      </c>
      <c r="E1410" s="29">
        <v>0</v>
      </c>
      <c r="F1410">
        <v>0</v>
      </c>
      <c r="G1410">
        <v>0</v>
      </c>
      <c r="H1410">
        <v>0</v>
      </c>
      <c r="I1410" s="29">
        <v>0</v>
      </c>
      <c r="J1410" s="29">
        <v>0</v>
      </c>
      <c r="K1410" s="9">
        <v>45328</v>
      </c>
      <c r="L1410">
        <f xml:space="preserve"> (交易處理資料__3[[#This Row],[售出工時]] * 60) / 5</f>
        <v>0</v>
      </c>
      <c r="M1410" t="str">
        <f>VLOOKUP(交易處理資料__3[[#This Row],[人員代號]],團隊分組!$B$1:$C$52,2,FALSE)</f>
        <v>查修團隊B</v>
      </c>
      <c r="N1410" t="str">
        <f>IF(交易處理資料__3[[#This Row],[上班時間]]=0,"否","是")</f>
        <v>否</v>
      </c>
      <c r="O1410" t="s">
        <v>76</v>
      </c>
      <c r="P1410" s="37">
        <v>0</v>
      </c>
      <c r="Q1410" s="37">
        <v>0</v>
      </c>
      <c r="R1410" s="37">
        <v>0</v>
      </c>
    </row>
    <row r="1411" spans="1:18" hidden="1">
      <c r="A1411" t="s">
        <v>76</v>
      </c>
      <c r="B1411" t="s">
        <v>22</v>
      </c>
      <c r="C1411">
        <v>0</v>
      </c>
      <c r="D1411">
        <v>0</v>
      </c>
      <c r="E1411" s="29">
        <v>0</v>
      </c>
      <c r="F1411">
        <v>0</v>
      </c>
      <c r="G1411">
        <v>0</v>
      </c>
      <c r="H1411">
        <v>0</v>
      </c>
      <c r="I1411" s="29">
        <v>0</v>
      </c>
      <c r="J1411" s="29">
        <v>0</v>
      </c>
      <c r="K1411" s="9">
        <v>45328</v>
      </c>
      <c r="L1411">
        <f xml:space="preserve"> (交易處理資料__3[[#This Row],[售出工時]] * 60) / 5</f>
        <v>0</v>
      </c>
      <c r="M1411" t="str">
        <f>VLOOKUP(交易處理資料__3[[#This Row],[人員代號]],團隊分組!$B$1:$C$52,2,FALSE)</f>
        <v>快速保養團隊A</v>
      </c>
      <c r="N1411" t="str">
        <f>IF(交易處理資料__3[[#This Row],[上班時間]]=0,"否","是")</f>
        <v>否</v>
      </c>
      <c r="O1411" t="s">
        <v>76</v>
      </c>
      <c r="P1411" s="38">
        <v>0</v>
      </c>
      <c r="Q1411" s="38">
        <v>0</v>
      </c>
      <c r="R1411" s="38">
        <v>0</v>
      </c>
    </row>
    <row r="1412" spans="1:18" hidden="1">
      <c r="A1412" t="s">
        <v>76</v>
      </c>
      <c r="B1412" t="s">
        <v>24</v>
      </c>
      <c r="C1412">
        <v>9.1266666670000003</v>
      </c>
      <c r="D1412">
        <v>7.59</v>
      </c>
      <c r="E1412" s="29">
        <v>1.202459376</v>
      </c>
      <c r="F1412">
        <v>7.52</v>
      </c>
      <c r="G1412">
        <v>0.65</v>
      </c>
      <c r="H1412">
        <v>8.17</v>
      </c>
      <c r="I1412" s="29">
        <v>0.92040000000000011</v>
      </c>
      <c r="J1412" s="29">
        <v>1.1171</v>
      </c>
      <c r="K1412" s="9">
        <v>45328</v>
      </c>
      <c r="L1412">
        <f xml:space="preserve"> (交易處理資料__3[[#This Row],[售出工時]] * 60) / 5</f>
        <v>109.52000000400001</v>
      </c>
      <c r="M1412" t="str">
        <f>VLOOKUP(交易處理資料__3[[#This Row],[人員代號]],團隊分組!$B$1:$C$52,2,FALSE)</f>
        <v>快速保養團隊A</v>
      </c>
      <c r="N1412" t="str">
        <f>IF(交易處理資料__3[[#This Row],[上班時間]]=0,"否","是")</f>
        <v>是</v>
      </c>
      <c r="O1412" t="s">
        <v>76</v>
      </c>
      <c r="P1412" s="37">
        <v>1.202459376</v>
      </c>
      <c r="Q1412" s="37">
        <v>1.1171</v>
      </c>
      <c r="R1412" s="37">
        <v>0.92040000000000011</v>
      </c>
    </row>
    <row r="1413" spans="1:18" hidden="1">
      <c r="A1413" t="s">
        <v>76</v>
      </c>
      <c r="B1413" t="s">
        <v>25</v>
      </c>
      <c r="C1413">
        <v>4.4166666670000003</v>
      </c>
      <c r="D1413">
        <v>4.1100000000000003</v>
      </c>
      <c r="E1413" s="29">
        <v>1.0746147610000001</v>
      </c>
      <c r="F1413">
        <v>8.0399999999999991</v>
      </c>
      <c r="G1413">
        <v>0.2</v>
      </c>
      <c r="H1413">
        <v>8.24</v>
      </c>
      <c r="I1413" s="29">
        <v>0.9756999999999999</v>
      </c>
      <c r="J1413" s="29">
        <v>0.53600000000000003</v>
      </c>
      <c r="K1413" s="9">
        <v>45328</v>
      </c>
      <c r="L1413">
        <f xml:space="preserve"> (交易處理資料__3[[#This Row],[售出工時]] * 60) / 5</f>
        <v>53.000000004</v>
      </c>
      <c r="M1413" t="str">
        <f>VLOOKUP(交易處理資料__3[[#This Row],[人員代號]],團隊分組!$B$1:$C$52,2,FALSE)</f>
        <v>查修團隊A</v>
      </c>
      <c r="N1413" t="str">
        <f>IF(交易處理資料__3[[#This Row],[上班時間]]=0,"否","是")</f>
        <v>是</v>
      </c>
      <c r="O1413" t="s">
        <v>76</v>
      </c>
      <c r="P1413" s="38">
        <v>1.0746147610000001</v>
      </c>
      <c r="Q1413" s="38">
        <v>0.53600000000000003</v>
      </c>
      <c r="R1413" s="38">
        <v>0.9756999999999999</v>
      </c>
    </row>
    <row r="1414" spans="1:18" hidden="1">
      <c r="A1414" t="s">
        <v>76</v>
      </c>
      <c r="B1414" t="s">
        <v>26</v>
      </c>
      <c r="C1414">
        <v>4</v>
      </c>
      <c r="D1414">
        <v>5.85</v>
      </c>
      <c r="E1414" s="29">
        <v>0.6837606838000001</v>
      </c>
      <c r="F1414">
        <v>0.88</v>
      </c>
      <c r="G1414">
        <v>9.1199999999999992</v>
      </c>
      <c r="H1414">
        <v>10</v>
      </c>
      <c r="I1414" s="29">
        <v>8.8000000000000009E-2</v>
      </c>
      <c r="J1414" s="29">
        <v>0.4</v>
      </c>
      <c r="K1414" s="9">
        <v>45328</v>
      </c>
      <c r="L1414">
        <f xml:space="preserve"> (交易處理資料__3[[#This Row],[售出工時]] * 60) / 5</f>
        <v>48</v>
      </c>
      <c r="M1414" t="str">
        <f>VLOOKUP(交易處理資料__3[[#This Row],[人員代號]],團隊分組!$B$1:$C$52,2,FALSE)</f>
        <v>查修團隊B</v>
      </c>
      <c r="N1414" t="str">
        <f>IF(交易處理資料__3[[#This Row],[上班時間]]=0,"否","是")</f>
        <v>是</v>
      </c>
      <c r="O1414" t="s">
        <v>76</v>
      </c>
      <c r="P1414" s="37">
        <v>0.6837606838000001</v>
      </c>
      <c r="Q1414" s="37">
        <v>0.4</v>
      </c>
      <c r="R1414" s="37">
        <v>8.8000000000000009E-2</v>
      </c>
    </row>
    <row r="1415" spans="1:18" hidden="1">
      <c r="A1415" t="s">
        <v>76</v>
      </c>
      <c r="B1415" t="s">
        <v>27</v>
      </c>
      <c r="C1415">
        <v>8.61</v>
      </c>
      <c r="D1415">
        <v>7.75</v>
      </c>
      <c r="E1415" s="29">
        <v>1.1109677419999999</v>
      </c>
      <c r="F1415">
        <v>6.97</v>
      </c>
      <c r="G1415">
        <v>2.5299999999999998</v>
      </c>
      <c r="H1415">
        <v>9.5</v>
      </c>
      <c r="I1415" s="29">
        <v>0.73370000000000002</v>
      </c>
      <c r="J1415" s="29">
        <v>0.90629999999999999</v>
      </c>
      <c r="K1415" s="9">
        <v>45328</v>
      </c>
      <c r="L1415">
        <f xml:space="preserve"> (交易處理資料__3[[#This Row],[售出工時]] * 60) / 5</f>
        <v>103.31999999999998</v>
      </c>
      <c r="M1415" t="str">
        <f>VLOOKUP(交易處理資料__3[[#This Row],[人員代號]],團隊分組!$B$1:$C$52,2,FALSE)</f>
        <v>快速保養團隊B</v>
      </c>
      <c r="N1415" t="str">
        <f>IF(交易處理資料__3[[#This Row],[上班時間]]=0,"否","是")</f>
        <v>是</v>
      </c>
      <c r="O1415" t="s">
        <v>76</v>
      </c>
      <c r="P1415" s="38">
        <v>1.1109677419999999</v>
      </c>
      <c r="Q1415" s="38">
        <v>0.90629999999999999</v>
      </c>
      <c r="R1415" s="38">
        <v>0.73370000000000002</v>
      </c>
    </row>
    <row r="1416" spans="1:18" hidden="1">
      <c r="A1416" t="s">
        <v>76</v>
      </c>
      <c r="B1416" t="s">
        <v>28</v>
      </c>
      <c r="C1416">
        <v>7.75</v>
      </c>
      <c r="D1416">
        <v>3.65</v>
      </c>
      <c r="E1416" s="29">
        <v>2.1232876709999999</v>
      </c>
      <c r="F1416">
        <v>7.37</v>
      </c>
      <c r="G1416">
        <v>0.62</v>
      </c>
      <c r="H1416">
        <v>7.99</v>
      </c>
      <c r="I1416" s="29">
        <v>0.9224</v>
      </c>
      <c r="J1416" s="29">
        <v>0.97</v>
      </c>
      <c r="K1416" s="9">
        <v>45328</v>
      </c>
      <c r="L1416">
        <f xml:space="preserve"> (交易處理資料__3[[#This Row],[售出工時]] * 60) / 5</f>
        <v>93</v>
      </c>
      <c r="M1416" t="str">
        <f>VLOOKUP(交易處理資料__3[[#This Row],[人員代號]],團隊分組!$B$1:$C$52,2,FALSE)</f>
        <v>快速保養團隊A</v>
      </c>
      <c r="N1416" t="str">
        <f>IF(交易處理資料__3[[#This Row],[上班時間]]=0,"否","是")</f>
        <v>是</v>
      </c>
      <c r="O1416" t="s">
        <v>76</v>
      </c>
      <c r="P1416" s="37">
        <v>2.1232876709999999</v>
      </c>
      <c r="Q1416" s="37">
        <v>0.97</v>
      </c>
      <c r="R1416" s="37">
        <v>0.9224</v>
      </c>
    </row>
    <row r="1417" spans="1:18" hidden="1">
      <c r="A1417" t="s">
        <v>76</v>
      </c>
      <c r="B1417" t="s">
        <v>29</v>
      </c>
      <c r="C1417">
        <v>7.06</v>
      </c>
      <c r="D1417">
        <v>6.74</v>
      </c>
      <c r="E1417" s="29">
        <v>1.0474777450000001</v>
      </c>
      <c r="F1417">
        <v>6.7</v>
      </c>
      <c r="G1417">
        <v>1.28</v>
      </c>
      <c r="H1417">
        <v>7.98</v>
      </c>
      <c r="I1417" s="29">
        <v>0.8395999999999999</v>
      </c>
      <c r="J1417" s="29">
        <v>0.88470000000000004</v>
      </c>
      <c r="K1417" s="9">
        <v>45328</v>
      </c>
      <c r="L1417">
        <f xml:space="preserve"> (交易處理資料__3[[#This Row],[售出工時]] * 60) / 5</f>
        <v>84.72</v>
      </c>
      <c r="M1417" t="str">
        <f>VLOOKUP(交易處理資料__3[[#This Row],[人員代號]],團隊分組!$B$1:$C$52,2,FALSE)</f>
        <v>查修團隊B</v>
      </c>
      <c r="N1417" t="str">
        <f>IF(交易處理資料__3[[#This Row],[上班時間]]=0,"否","是")</f>
        <v>是</v>
      </c>
      <c r="O1417" t="s">
        <v>76</v>
      </c>
      <c r="P1417" s="38">
        <v>1.0474777450000001</v>
      </c>
      <c r="Q1417" s="38">
        <v>0.88470000000000004</v>
      </c>
      <c r="R1417" s="38">
        <v>0.8395999999999999</v>
      </c>
    </row>
    <row r="1418" spans="1:18" hidden="1">
      <c r="A1418" t="s">
        <v>76</v>
      </c>
      <c r="B1418" t="s">
        <v>30</v>
      </c>
      <c r="C1418">
        <v>10.573333330000001</v>
      </c>
      <c r="D1418">
        <v>8.57</v>
      </c>
      <c r="E1418" s="29">
        <v>1.2337611819999998</v>
      </c>
      <c r="F1418">
        <v>6.94</v>
      </c>
      <c r="G1418">
        <v>2.57</v>
      </c>
      <c r="H1418">
        <v>9.51</v>
      </c>
      <c r="I1418" s="29">
        <v>0.7298</v>
      </c>
      <c r="J1418" s="29">
        <v>1.1118000000000001</v>
      </c>
      <c r="K1418" s="9">
        <v>45328</v>
      </c>
      <c r="L1418">
        <f xml:space="preserve"> (交易處理資料__3[[#This Row],[售出工時]] * 60) / 5</f>
        <v>126.87999996000001</v>
      </c>
      <c r="M1418" t="str">
        <f>VLOOKUP(交易處理資料__3[[#This Row],[人員代號]],團隊分組!$B$1:$C$52,2,FALSE)</f>
        <v>快速保養團隊B</v>
      </c>
      <c r="N1418" t="str">
        <f>IF(交易處理資料__3[[#This Row],[上班時間]]=0,"否","是")</f>
        <v>是</v>
      </c>
      <c r="O1418" t="s">
        <v>76</v>
      </c>
      <c r="P1418" s="37">
        <v>1.2337611819999998</v>
      </c>
      <c r="Q1418" s="37">
        <v>1.1118000000000001</v>
      </c>
      <c r="R1418" s="37">
        <v>0.7298</v>
      </c>
    </row>
    <row r="1419" spans="1:18" hidden="1">
      <c r="A1419" t="s">
        <v>76</v>
      </c>
      <c r="B1419" t="s">
        <v>32</v>
      </c>
      <c r="C1419">
        <v>7.3166666669999998</v>
      </c>
      <c r="D1419">
        <v>4.54</v>
      </c>
      <c r="E1419" s="29">
        <v>1.6116005870000001</v>
      </c>
      <c r="F1419">
        <v>6.35</v>
      </c>
      <c r="G1419">
        <v>1.62</v>
      </c>
      <c r="H1419">
        <v>7.97</v>
      </c>
      <c r="I1419" s="29">
        <v>0.79669999999999996</v>
      </c>
      <c r="J1419" s="29">
        <v>0.91799999999999993</v>
      </c>
      <c r="K1419" s="9">
        <v>45328</v>
      </c>
      <c r="L1419">
        <f xml:space="preserve"> (交易處理資料__3[[#This Row],[售出工時]] * 60) / 5</f>
        <v>87.800000003999997</v>
      </c>
      <c r="M1419" t="str">
        <f>VLOOKUP(交易處理資料__3[[#This Row],[人員代號]],團隊分組!$B$1:$C$52,2,FALSE)</f>
        <v>快速保養團隊B</v>
      </c>
      <c r="N1419" t="str">
        <f>IF(交易處理資料__3[[#This Row],[上班時間]]=0,"否","是")</f>
        <v>是</v>
      </c>
      <c r="O1419" t="s">
        <v>76</v>
      </c>
      <c r="P1419" s="38">
        <v>1.6116005870000001</v>
      </c>
      <c r="Q1419" s="38">
        <v>0.91799999999999993</v>
      </c>
      <c r="R1419" s="38">
        <v>0.79669999999999996</v>
      </c>
    </row>
    <row r="1420" spans="1:18" hidden="1">
      <c r="A1420" t="s">
        <v>76</v>
      </c>
      <c r="B1420" t="s">
        <v>33</v>
      </c>
      <c r="C1420">
        <v>0</v>
      </c>
      <c r="D1420">
        <v>0</v>
      </c>
      <c r="E1420" s="29">
        <v>0</v>
      </c>
      <c r="F1420">
        <v>0</v>
      </c>
      <c r="G1420">
        <v>0</v>
      </c>
      <c r="H1420">
        <v>0</v>
      </c>
      <c r="I1420" s="29">
        <v>0</v>
      </c>
      <c r="J1420" s="29">
        <v>0</v>
      </c>
      <c r="K1420" s="9">
        <v>45328</v>
      </c>
      <c r="L1420">
        <f xml:space="preserve"> (交易處理資料__3[[#This Row],[售出工時]] * 60) / 5</f>
        <v>0</v>
      </c>
      <c r="M1420" t="str">
        <f>VLOOKUP(交易處理資料__3[[#This Row],[人員代號]],團隊分組!$B$1:$C$52,2,FALSE)</f>
        <v>快速保養團隊B</v>
      </c>
      <c r="N1420" t="str">
        <f>IF(交易處理資料__3[[#This Row],[上班時間]]=0,"否","是")</f>
        <v>否</v>
      </c>
      <c r="O1420" t="s">
        <v>76</v>
      </c>
      <c r="P1420" s="37">
        <v>0</v>
      </c>
      <c r="Q1420" s="37">
        <v>0</v>
      </c>
      <c r="R1420" s="37">
        <v>0</v>
      </c>
    </row>
    <row r="1421" spans="1:18" hidden="1">
      <c r="A1421" t="s">
        <v>76</v>
      </c>
      <c r="B1421" t="s">
        <v>36</v>
      </c>
      <c r="C1421">
        <v>4.9933333329999998</v>
      </c>
      <c r="D1421">
        <v>3.67</v>
      </c>
      <c r="E1421" s="29">
        <v>1.3605812900000001</v>
      </c>
      <c r="F1421">
        <v>4.55</v>
      </c>
      <c r="G1421">
        <v>3.42</v>
      </c>
      <c r="H1421">
        <v>7.97</v>
      </c>
      <c r="I1421" s="29">
        <v>0.57090000000000007</v>
      </c>
      <c r="J1421" s="29">
        <v>0.62649999999999995</v>
      </c>
      <c r="K1421" s="9">
        <v>45328</v>
      </c>
      <c r="L1421">
        <f xml:space="preserve"> (交易處理資料__3[[#This Row],[售出工時]] * 60) / 5</f>
        <v>59.919999996000001</v>
      </c>
      <c r="M1421" t="str">
        <f>VLOOKUP(交易處理資料__3[[#This Row],[人員代號]],團隊分組!$B$1:$C$52,2,FALSE)</f>
        <v>查修團隊B</v>
      </c>
      <c r="N1421" t="str">
        <f>IF(交易處理資料__3[[#This Row],[上班時間]]=0,"否","是")</f>
        <v>是</v>
      </c>
      <c r="O1421" t="s">
        <v>76</v>
      </c>
      <c r="P1421" s="38">
        <v>1.3605812900000001</v>
      </c>
      <c r="Q1421" s="38">
        <v>0.62649999999999995</v>
      </c>
      <c r="R1421" s="38">
        <v>0.57090000000000007</v>
      </c>
    </row>
    <row r="1422" spans="1:18" hidden="1">
      <c r="A1422" t="s">
        <v>76</v>
      </c>
      <c r="B1422" t="s">
        <v>37</v>
      </c>
      <c r="C1422">
        <v>4.1666666670000003</v>
      </c>
      <c r="D1422">
        <v>3.9</v>
      </c>
      <c r="E1422" s="29">
        <v>1.0683760680000001</v>
      </c>
      <c r="F1422">
        <v>6.32</v>
      </c>
      <c r="G1422">
        <v>1.95</v>
      </c>
      <c r="H1422">
        <v>8.27</v>
      </c>
      <c r="I1422" s="29">
        <v>0.76419999999999999</v>
      </c>
      <c r="J1422" s="29">
        <v>0.50380000000000003</v>
      </c>
      <c r="K1422" s="9">
        <v>45328</v>
      </c>
      <c r="L1422">
        <f xml:space="preserve"> (交易處理資料__3[[#This Row],[售出工時]] * 60) / 5</f>
        <v>50.000000004</v>
      </c>
      <c r="M1422" t="str">
        <f>VLOOKUP(交易處理資料__3[[#This Row],[人員代號]],團隊分組!$B$1:$C$52,2,FALSE)</f>
        <v>查修團隊A</v>
      </c>
      <c r="N1422" t="str">
        <f>IF(交易處理資料__3[[#This Row],[上班時間]]=0,"否","是")</f>
        <v>是</v>
      </c>
      <c r="O1422" t="s">
        <v>76</v>
      </c>
      <c r="P1422" s="37">
        <v>1.0683760680000001</v>
      </c>
      <c r="Q1422" s="37">
        <v>0.50380000000000003</v>
      </c>
      <c r="R1422" s="37">
        <v>0.76419999999999999</v>
      </c>
    </row>
    <row r="1423" spans="1:18" hidden="1">
      <c r="A1423" t="s">
        <v>76</v>
      </c>
      <c r="B1423" t="s">
        <v>39</v>
      </c>
      <c r="C1423">
        <v>3</v>
      </c>
      <c r="D1423">
        <v>2.35</v>
      </c>
      <c r="E1423" s="29">
        <v>1.2765957450000001</v>
      </c>
      <c r="F1423">
        <v>9.33</v>
      </c>
      <c r="G1423">
        <v>2.0699999999999998</v>
      </c>
      <c r="H1423">
        <v>11.4</v>
      </c>
      <c r="I1423" s="29">
        <v>0.81840000000000002</v>
      </c>
      <c r="J1423" s="29">
        <v>0.26319999999999999</v>
      </c>
      <c r="K1423" s="9">
        <v>45328</v>
      </c>
      <c r="L1423">
        <f xml:space="preserve"> (交易處理資料__3[[#This Row],[售出工時]] * 60) / 5</f>
        <v>36</v>
      </c>
      <c r="M1423" t="str">
        <f>VLOOKUP(交易處理資料__3[[#This Row],[人員代號]],團隊分組!$B$1:$C$52,2,FALSE)</f>
        <v>查修團隊A</v>
      </c>
      <c r="N1423" t="str">
        <f>IF(交易處理資料__3[[#This Row],[上班時間]]=0,"否","是")</f>
        <v>是</v>
      </c>
      <c r="O1423" t="s">
        <v>76</v>
      </c>
      <c r="P1423" s="38">
        <v>1.2765957450000001</v>
      </c>
      <c r="Q1423" s="38">
        <v>0.26319999999999999</v>
      </c>
      <c r="R1423" s="38">
        <v>0.81840000000000002</v>
      </c>
    </row>
    <row r="1424" spans="1:18" hidden="1">
      <c r="A1424" t="s">
        <v>76</v>
      </c>
      <c r="B1424" t="s">
        <v>40</v>
      </c>
      <c r="C1424">
        <v>3.4166666669999999</v>
      </c>
      <c r="D1424">
        <v>4.28</v>
      </c>
      <c r="E1424" s="29">
        <v>0.79828660439999988</v>
      </c>
      <c r="F1424">
        <v>6.94</v>
      </c>
      <c r="G1424">
        <v>1.56</v>
      </c>
      <c r="H1424">
        <v>8.5</v>
      </c>
      <c r="I1424" s="29">
        <v>0.8165</v>
      </c>
      <c r="J1424" s="29">
        <v>0.40200000000000002</v>
      </c>
      <c r="K1424" s="9">
        <v>45328</v>
      </c>
      <c r="L1424">
        <f xml:space="preserve"> (交易處理資料__3[[#This Row],[售出工時]] * 60) / 5</f>
        <v>41.000000004</v>
      </c>
      <c r="M1424" t="str">
        <f>VLOOKUP(交易處理資料__3[[#This Row],[人員代號]],團隊分組!$B$1:$C$52,2,FALSE)</f>
        <v>查修團隊A</v>
      </c>
      <c r="N1424" t="str">
        <f>IF(交易處理資料__3[[#This Row],[上班時間]]=0,"否","是")</f>
        <v>是</v>
      </c>
      <c r="O1424" t="s">
        <v>76</v>
      </c>
      <c r="P1424" s="37">
        <v>0.79828660439999988</v>
      </c>
      <c r="Q1424" s="37">
        <v>0.40200000000000002</v>
      </c>
      <c r="R1424" s="37">
        <v>0.8165</v>
      </c>
    </row>
    <row r="1425" spans="1:18" hidden="1">
      <c r="A1425" t="s">
        <v>76</v>
      </c>
      <c r="B1425" t="s">
        <v>42</v>
      </c>
      <c r="C1425">
        <v>8.6666666669999994</v>
      </c>
      <c r="D1425">
        <v>7.02</v>
      </c>
      <c r="E1425" s="29">
        <v>1.2345679010000001</v>
      </c>
      <c r="F1425">
        <v>5.95</v>
      </c>
      <c r="G1425">
        <v>2.2200000000000002</v>
      </c>
      <c r="H1425">
        <v>8.17</v>
      </c>
      <c r="I1425" s="29">
        <v>0.72829999999999995</v>
      </c>
      <c r="J1425" s="29">
        <v>1.0608</v>
      </c>
      <c r="K1425" s="9">
        <v>45328</v>
      </c>
      <c r="L1425">
        <f xml:space="preserve"> (交易處理資料__3[[#This Row],[售出工時]] * 60) / 5</f>
        <v>104.000000004</v>
      </c>
      <c r="M1425" t="str">
        <f>VLOOKUP(交易處理資料__3[[#This Row],[人員代號]],團隊分組!$B$1:$C$52,2,FALSE)</f>
        <v>快速保養團隊A</v>
      </c>
      <c r="N1425" t="str">
        <f>IF(交易處理資料__3[[#This Row],[上班時間]]=0,"否","是")</f>
        <v>是</v>
      </c>
      <c r="O1425" t="s">
        <v>76</v>
      </c>
      <c r="P1425" s="38">
        <v>1.2345679010000001</v>
      </c>
      <c r="Q1425" s="38">
        <v>1.0608</v>
      </c>
      <c r="R1425" s="38">
        <v>0.72829999999999995</v>
      </c>
    </row>
    <row r="1426" spans="1:18" hidden="1">
      <c r="A1426" t="s">
        <v>76</v>
      </c>
      <c r="B1426" t="s">
        <v>43</v>
      </c>
      <c r="C1426">
        <v>7.29</v>
      </c>
      <c r="D1426">
        <v>5.62</v>
      </c>
      <c r="E1426" s="29">
        <v>1.2971530250000001</v>
      </c>
      <c r="F1426">
        <v>5.57</v>
      </c>
      <c r="G1426">
        <v>2.39</v>
      </c>
      <c r="H1426">
        <v>7.96</v>
      </c>
      <c r="I1426" s="29">
        <v>0.69969999999999999</v>
      </c>
      <c r="J1426" s="29">
        <v>0.91579999999999995</v>
      </c>
      <c r="K1426" s="9">
        <v>45328</v>
      </c>
      <c r="L1426">
        <f xml:space="preserve"> (交易處理資料__3[[#This Row],[售出工時]] * 60) / 5</f>
        <v>87.47999999999999</v>
      </c>
      <c r="M1426" t="str">
        <f>VLOOKUP(交易處理資料__3[[#This Row],[人員代號]],團隊分組!$B$1:$C$52,2,FALSE)</f>
        <v>查修團隊B</v>
      </c>
      <c r="N1426" t="str">
        <f>IF(交易處理資料__3[[#This Row],[上班時間]]=0,"否","是")</f>
        <v>是</v>
      </c>
      <c r="O1426" t="s">
        <v>76</v>
      </c>
      <c r="P1426" s="37">
        <v>1.2971530250000001</v>
      </c>
      <c r="Q1426" s="37">
        <v>0.91579999999999995</v>
      </c>
      <c r="R1426" s="37">
        <v>0.69969999999999999</v>
      </c>
    </row>
    <row r="1427" spans="1:18" hidden="1">
      <c r="A1427" t="s">
        <v>76</v>
      </c>
      <c r="B1427" t="s">
        <v>46</v>
      </c>
      <c r="C1427">
        <v>10.38</v>
      </c>
      <c r="D1427">
        <v>9.5399999999999991</v>
      </c>
      <c r="E1427" s="29">
        <v>1.088050314</v>
      </c>
      <c r="F1427">
        <v>6.15</v>
      </c>
      <c r="G1427">
        <v>3.45</v>
      </c>
      <c r="H1427">
        <v>9.6</v>
      </c>
      <c r="I1427" s="29">
        <v>0.64060000000000006</v>
      </c>
      <c r="J1427" s="29">
        <v>1.0812999999999999</v>
      </c>
      <c r="K1427" s="9">
        <v>45328</v>
      </c>
      <c r="L1427">
        <f xml:space="preserve"> (交易處理資料__3[[#This Row],[售出工時]] * 60) / 5</f>
        <v>124.56000000000002</v>
      </c>
      <c r="M1427" t="str">
        <f>VLOOKUP(交易處理資料__3[[#This Row],[人員代號]],團隊分組!$B$1:$C$52,2,FALSE)</f>
        <v>查修團隊B</v>
      </c>
      <c r="N1427" t="str">
        <f>IF(交易處理資料__3[[#This Row],[上班時間]]=0,"否","是")</f>
        <v>是</v>
      </c>
      <c r="O1427" t="s">
        <v>76</v>
      </c>
      <c r="P1427" s="38">
        <v>1.088050314</v>
      </c>
      <c r="Q1427" s="38">
        <v>1.0812999999999999</v>
      </c>
      <c r="R1427" s="38">
        <v>0.64060000000000006</v>
      </c>
    </row>
    <row r="1428" spans="1:18" hidden="1">
      <c r="A1428" t="s">
        <v>76</v>
      </c>
      <c r="B1428" t="s">
        <v>47</v>
      </c>
      <c r="C1428">
        <v>1.25</v>
      </c>
      <c r="D1428">
        <v>1.22</v>
      </c>
      <c r="E1428" s="29">
        <v>1.0245901639999999</v>
      </c>
      <c r="F1428">
        <v>5.1100000000000003</v>
      </c>
      <c r="G1428">
        <v>2.89</v>
      </c>
      <c r="H1428">
        <v>8</v>
      </c>
      <c r="I1428" s="29">
        <v>0.63880000000000003</v>
      </c>
      <c r="J1428" s="29">
        <v>0.15629999999999999</v>
      </c>
      <c r="K1428" s="9">
        <v>45328</v>
      </c>
      <c r="L1428">
        <f xml:space="preserve"> (交易處理資料__3[[#This Row],[售出工時]] * 60) / 5</f>
        <v>15</v>
      </c>
      <c r="M1428" t="str">
        <f>VLOOKUP(交易處理資料__3[[#This Row],[人員代號]],團隊分組!$B$1:$C$52,2,FALSE)</f>
        <v>查修團隊B</v>
      </c>
      <c r="N1428" t="str">
        <f>IF(交易處理資料__3[[#This Row],[上班時間]]=0,"否","是")</f>
        <v>是</v>
      </c>
      <c r="O1428" t="s">
        <v>76</v>
      </c>
      <c r="P1428" s="37">
        <v>1.0245901639999999</v>
      </c>
      <c r="Q1428" s="37">
        <v>0.15629999999999999</v>
      </c>
      <c r="R1428" s="37">
        <v>0.63880000000000003</v>
      </c>
    </row>
    <row r="1429" spans="1:18" hidden="1">
      <c r="A1429" t="s">
        <v>76</v>
      </c>
      <c r="B1429" t="s">
        <v>48</v>
      </c>
      <c r="C1429">
        <v>0</v>
      </c>
      <c r="D1429">
        <v>0</v>
      </c>
      <c r="E1429" s="29">
        <v>0</v>
      </c>
      <c r="F1429">
        <v>0</v>
      </c>
      <c r="G1429">
        <v>0</v>
      </c>
      <c r="H1429">
        <v>0</v>
      </c>
      <c r="I1429" s="29">
        <v>0</v>
      </c>
      <c r="J1429" s="29">
        <v>0</v>
      </c>
      <c r="K1429" s="9">
        <v>45328</v>
      </c>
      <c r="L1429">
        <f xml:space="preserve"> (交易處理資料__3[[#This Row],[售出工時]] * 60) / 5</f>
        <v>0</v>
      </c>
      <c r="M1429" t="str">
        <f>VLOOKUP(交易處理資料__3[[#This Row],[人員代號]],團隊分組!$B$1:$C$52,2,FALSE)</f>
        <v>查修團隊A</v>
      </c>
      <c r="N1429" t="str">
        <f>IF(交易處理資料__3[[#This Row],[上班時間]]=0,"否","是")</f>
        <v>否</v>
      </c>
      <c r="O1429" t="s">
        <v>76</v>
      </c>
      <c r="P1429" s="38">
        <v>0</v>
      </c>
      <c r="Q1429" s="38">
        <v>0</v>
      </c>
      <c r="R1429" s="38">
        <v>0</v>
      </c>
    </row>
    <row r="1430" spans="1:18" hidden="1">
      <c r="A1430" t="s">
        <v>76</v>
      </c>
      <c r="B1430" t="s">
        <v>49</v>
      </c>
      <c r="C1430">
        <v>2.5</v>
      </c>
      <c r="D1430">
        <v>5.64</v>
      </c>
      <c r="E1430" s="29">
        <v>0.44326241129999999</v>
      </c>
      <c r="F1430">
        <v>7.71</v>
      </c>
      <c r="G1430">
        <v>0.31</v>
      </c>
      <c r="H1430">
        <v>8.02</v>
      </c>
      <c r="I1430" s="29">
        <v>0.96129999999999993</v>
      </c>
      <c r="J1430" s="29">
        <v>0.31170000000000003</v>
      </c>
      <c r="K1430" s="9">
        <v>45328</v>
      </c>
      <c r="L1430">
        <f xml:space="preserve"> (交易處理資料__3[[#This Row],[售出工時]] * 60) / 5</f>
        <v>30</v>
      </c>
      <c r="M1430" t="str">
        <f>VLOOKUP(交易處理資料__3[[#This Row],[人員代號]],團隊分組!$B$1:$C$52,2,FALSE)</f>
        <v>查修團隊A</v>
      </c>
      <c r="N1430" t="str">
        <f>IF(交易處理資料__3[[#This Row],[上班時間]]=0,"否","是")</f>
        <v>是</v>
      </c>
      <c r="O1430" t="s">
        <v>76</v>
      </c>
      <c r="P1430" s="37">
        <v>0.44326241129999999</v>
      </c>
      <c r="Q1430" s="37">
        <v>0.31170000000000003</v>
      </c>
      <c r="R1430" s="37">
        <v>0.96129999999999993</v>
      </c>
    </row>
    <row r="1431" spans="1:18" hidden="1">
      <c r="A1431" t="s">
        <v>76</v>
      </c>
      <c r="B1431" t="s">
        <v>51</v>
      </c>
      <c r="C1431">
        <v>0</v>
      </c>
      <c r="D1431">
        <v>0</v>
      </c>
      <c r="E1431" s="29">
        <v>0</v>
      </c>
      <c r="F1431">
        <v>0</v>
      </c>
      <c r="G1431">
        <v>0</v>
      </c>
      <c r="H1431">
        <v>0</v>
      </c>
      <c r="I1431" s="29">
        <v>0</v>
      </c>
      <c r="J1431" s="29">
        <v>0</v>
      </c>
      <c r="K1431" s="9">
        <v>45328</v>
      </c>
      <c r="L1431">
        <f xml:space="preserve"> (交易處理資料__3[[#This Row],[售出工時]] * 60) / 5</f>
        <v>0</v>
      </c>
      <c r="M1431" t="str">
        <f>VLOOKUP(交易處理資料__3[[#This Row],[人員代號]],團隊分組!$B$1:$C$52,2,FALSE)</f>
        <v>無效數據</v>
      </c>
      <c r="N1431" t="str">
        <f>IF(交易處理資料__3[[#This Row],[上班時間]]=0,"否","是")</f>
        <v>否</v>
      </c>
      <c r="O1431" t="s">
        <v>76</v>
      </c>
      <c r="P1431" s="38">
        <v>0</v>
      </c>
      <c r="Q1431" s="38">
        <v>0</v>
      </c>
      <c r="R1431" s="38">
        <v>0</v>
      </c>
    </row>
    <row r="1432" spans="1:18" hidden="1">
      <c r="A1432" t="s">
        <v>76</v>
      </c>
      <c r="B1432" t="s">
        <v>53</v>
      </c>
      <c r="C1432">
        <v>5.0833333329999997</v>
      </c>
      <c r="D1432">
        <v>5.27</v>
      </c>
      <c r="E1432" s="29">
        <v>0.96457938010000011</v>
      </c>
      <c r="F1432">
        <v>10.220000000000001</v>
      </c>
      <c r="G1432">
        <v>0.3</v>
      </c>
      <c r="H1432">
        <v>10.52</v>
      </c>
      <c r="I1432" s="29">
        <v>0.97150000000000003</v>
      </c>
      <c r="J1432" s="29">
        <v>0.48320000000000002</v>
      </c>
      <c r="K1432" s="9">
        <v>45328</v>
      </c>
      <c r="L1432">
        <f xml:space="preserve"> (交易處理資料__3[[#This Row],[售出工時]] * 60) / 5</f>
        <v>60.999999996</v>
      </c>
      <c r="M1432" t="str">
        <f>VLOOKUP(交易處理資料__3[[#This Row],[人員代號]],團隊分組!$B$1:$C$52,2,FALSE)</f>
        <v>查修團隊A</v>
      </c>
      <c r="N1432" t="str">
        <f>IF(交易處理資料__3[[#This Row],[上班時間]]=0,"否","是")</f>
        <v>是</v>
      </c>
      <c r="O1432" t="s">
        <v>76</v>
      </c>
      <c r="P1432" s="37">
        <v>0.96457938010000011</v>
      </c>
      <c r="Q1432" s="37">
        <v>0.48320000000000002</v>
      </c>
      <c r="R1432" s="37">
        <v>0.97150000000000003</v>
      </c>
    </row>
    <row r="1433" spans="1:18" hidden="1">
      <c r="A1433" s="10" t="s">
        <v>74</v>
      </c>
      <c r="B1433" t="s">
        <v>2</v>
      </c>
      <c r="C1433">
        <v>1.1399999999999999</v>
      </c>
      <c r="D1433">
        <v>3.88</v>
      </c>
      <c r="E1433" s="29">
        <v>0.29381443299999999</v>
      </c>
      <c r="F1433">
        <v>0</v>
      </c>
      <c r="G1433">
        <v>8.0399999999999991</v>
      </c>
      <c r="H1433">
        <v>8.0399999999999991</v>
      </c>
      <c r="I1433" s="29">
        <v>0</v>
      </c>
      <c r="J1433" s="29">
        <v>0.14180000000000001</v>
      </c>
      <c r="K1433" s="9">
        <v>45329</v>
      </c>
      <c r="L1433">
        <f xml:space="preserve"> (交易處理資料__3[[#This Row],[售出工時]] * 60) / 5</f>
        <v>13.679999999999998</v>
      </c>
      <c r="M1433" t="str">
        <f>VLOOKUP(交易處理資料__3[[#This Row],[人員代號]],團隊分組!$B$1:$C$52,2,FALSE)</f>
        <v>噴漆維修組</v>
      </c>
      <c r="N1433" t="str">
        <f>IF(交易處理資料__3[[#This Row],[上班時間]]=0,"否","是")</f>
        <v>是</v>
      </c>
      <c r="O1433" s="10" t="s">
        <v>74</v>
      </c>
      <c r="P1433" s="38">
        <v>0.29381443299999999</v>
      </c>
      <c r="Q1433" s="38">
        <v>0.14180000000000001</v>
      </c>
      <c r="R1433" s="38">
        <v>0</v>
      </c>
    </row>
    <row r="1434" spans="1:18" hidden="1">
      <c r="A1434" s="10" t="s">
        <v>74</v>
      </c>
      <c r="B1434" t="s">
        <v>3</v>
      </c>
      <c r="C1434">
        <v>1.1399999999999999</v>
      </c>
      <c r="D1434">
        <v>3.88</v>
      </c>
      <c r="E1434" s="29">
        <v>0.29381443299999999</v>
      </c>
      <c r="F1434">
        <v>0</v>
      </c>
      <c r="G1434">
        <v>8.0299999999999994</v>
      </c>
      <c r="H1434">
        <v>8.0299999999999994</v>
      </c>
      <c r="I1434" s="29">
        <v>0</v>
      </c>
      <c r="J1434" s="29">
        <v>0.14199999999999999</v>
      </c>
      <c r="K1434" s="9">
        <v>45329</v>
      </c>
      <c r="L1434">
        <f xml:space="preserve"> (交易處理資料__3[[#This Row],[售出工時]] * 60) / 5</f>
        <v>13.679999999999998</v>
      </c>
      <c r="M1434" t="str">
        <f>VLOOKUP(交易處理資料__3[[#This Row],[人員代號]],團隊分組!$B$1:$C$52,2,FALSE)</f>
        <v>噴漆維修組</v>
      </c>
      <c r="N1434" t="str">
        <f>IF(交易處理資料__3[[#This Row],[上班時間]]=0,"否","是")</f>
        <v>是</v>
      </c>
      <c r="O1434" s="10" t="s">
        <v>74</v>
      </c>
      <c r="P1434" s="37">
        <v>0.29381443299999999</v>
      </c>
      <c r="Q1434" s="37">
        <v>0.14199999999999999</v>
      </c>
      <c r="R1434" s="37">
        <v>0</v>
      </c>
    </row>
    <row r="1435" spans="1:18" hidden="1">
      <c r="A1435" s="10" t="s">
        <v>74</v>
      </c>
      <c r="B1435" t="s">
        <v>4</v>
      </c>
      <c r="C1435">
        <v>2.69</v>
      </c>
      <c r="D1435">
        <v>5.4</v>
      </c>
      <c r="E1435" s="29">
        <v>0.49814814810000002</v>
      </c>
      <c r="F1435">
        <v>0</v>
      </c>
      <c r="G1435">
        <v>8.0399999999999991</v>
      </c>
      <c r="H1435">
        <v>8.0399999999999991</v>
      </c>
      <c r="I1435" s="29">
        <v>0</v>
      </c>
      <c r="J1435" s="29">
        <v>0.33460000000000001</v>
      </c>
      <c r="K1435" s="9">
        <v>45329</v>
      </c>
      <c r="L1435">
        <f xml:space="preserve"> (交易處理資料__3[[#This Row],[售出工時]] * 60) / 5</f>
        <v>32.28</v>
      </c>
      <c r="M1435" t="str">
        <f>VLOOKUP(交易處理資料__3[[#This Row],[人員代號]],團隊分組!$B$1:$C$52,2,FALSE)</f>
        <v>噴漆維修組</v>
      </c>
      <c r="N1435" t="str">
        <f>IF(交易處理資料__3[[#This Row],[上班時間]]=0,"否","是")</f>
        <v>是</v>
      </c>
      <c r="O1435" s="10" t="s">
        <v>74</v>
      </c>
      <c r="P1435" s="38">
        <v>0.49814814810000002</v>
      </c>
      <c r="Q1435" s="38">
        <v>0.33460000000000001</v>
      </c>
      <c r="R1435" s="38">
        <v>0</v>
      </c>
    </row>
    <row r="1436" spans="1:18" hidden="1">
      <c r="A1436" s="10" t="s">
        <v>74</v>
      </c>
      <c r="B1436" t="s">
        <v>6</v>
      </c>
      <c r="C1436">
        <v>1.1399999999999999</v>
      </c>
      <c r="D1436">
        <v>3.88</v>
      </c>
      <c r="E1436" s="29">
        <v>0.29381443299999999</v>
      </c>
      <c r="F1436">
        <v>0</v>
      </c>
      <c r="G1436">
        <v>8.0399999999999991</v>
      </c>
      <c r="H1436">
        <v>8.0399999999999991</v>
      </c>
      <c r="I1436" s="29">
        <v>0</v>
      </c>
      <c r="J1436" s="29">
        <v>0.14180000000000001</v>
      </c>
      <c r="K1436" s="9">
        <v>45329</v>
      </c>
      <c r="L1436">
        <f xml:space="preserve"> (交易處理資料__3[[#This Row],[售出工時]] * 60) / 5</f>
        <v>13.679999999999998</v>
      </c>
      <c r="M1436" t="str">
        <f>VLOOKUP(交易處理資料__3[[#This Row],[人員代號]],團隊分組!$B$1:$C$52,2,FALSE)</f>
        <v>噴漆維修組</v>
      </c>
      <c r="N1436" t="str">
        <f>IF(交易處理資料__3[[#This Row],[上班時間]]=0,"否","是")</f>
        <v>是</v>
      </c>
      <c r="O1436" s="10" t="s">
        <v>74</v>
      </c>
      <c r="P1436" s="37">
        <v>0.29381443299999999</v>
      </c>
      <c r="Q1436" s="37">
        <v>0.14180000000000001</v>
      </c>
      <c r="R1436" s="37">
        <v>0</v>
      </c>
    </row>
    <row r="1437" spans="1:18" hidden="1">
      <c r="A1437" s="10" t="s">
        <v>74</v>
      </c>
      <c r="B1437" t="s">
        <v>9</v>
      </c>
      <c r="C1437">
        <v>3.98</v>
      </c>
      <c r="D1437">
        <v>7.02</v>
      </c>
      <c r="E1437" s="29">
        <v>0.56695156699999993</v>
      </c>
      <c r="F1437">
        <v>0</v>
      </c>
      <c r="G1437">
        <v>8.0500000000000007</v>
      </c>
      <c r="H1437">
        <v>8.0500000000000007</v>
      </c>
      <c r="I1437" s="29">
        <v>0</v>
      </c>
      <c r="J1437" s="29">
        <v>0.49439999999999995</v>
      </c>
      <c r="K1437" s="9">
        <v>45329</v>
      </c>
      <c r="L1437">
        <f xml:space="preserve"> (交易處理資料__3[[#This Row],[售出工時]] * 60) / 5</f>
        <v>47.760000000000005</v>
      </c>
      <c r="M1437" t="str">
        <f>VLOOKUP(交易處理資料__3[[#This Row],[人員代號]],團隊分組!$B$1:$C$52,2,FALSE)</f>
        <v>噴漆維修組</v>
      </c>
      <c r="N1437" t="str">
        <f>IF(交易處理資料__3[[#This Row],[上班時間]]=0,"否","是")</f>
        <v>是</v>
      </c>
      <c r="O1437" s="10" t="s">
        <v>74</v>
      </c>
      <c r="P1437" s="38">
        <v>0.56695156699999993</v>
      </c>
      <c r="Q1437" s="38">
        <v>0.49439999999999995</v>
      </c>
      <c r="R1437" s="38">
        <v>0</v>
      </c>
    </row>
    <row r="1438" spans="1:18" hidden="1">
      <c r="A1438" t="s">
        <v>75</v>
      </c>
      <c r="B1438" t="s">
        <v>11</v>
      </c>
      <c r="C1438">
        <v>0</v>
      </c>
      <c r="D1438">
        <v>0</v>
      </c>
      <c r="E1438" s="29">
        <v>0</v>
      </c>
      <c r="F1438">
        <v>3.05</v>
      </c>
      <c r="G1438">
        <v>4.99</v>
      </c>
      <c r="H1438">
        <v>8.0399999999999991</v>
      </c>
      <c r="I1438" s="29">
        <v>0.37939999999999996</v>
      </c>
      <c r="J1438" s="29">
        <v>0</v>
      </c>
      <c r="K1438" s="9">
        <v>45329</v>
      </c>
      <c r="L1438">
        <f xml:space="preserve"> (交易處理資料__3[[#This Row],[售出工時]] * 60) / 5</f>
        <v>0</v>
      </c>
      <c r="M1438" t="str">
        <f>VLOOKUP(交易處理資料__3[[#This Row],[人員代號]],團隊分組!$B$1:$C$52,2,FALSE)</f>
        <v>鈑金維修組</v>
      </c>
      <c r="N1438" t="str">
        <f>IF(交易處理資料__3[[#This Row],[上班時間]]=0,"否","是")</f>
        <v>是</v>
      </c>
      <c r="O1438" t="s">
        <v>75</v>
      </c>
      <c r="P1438" s="37">
        <v>0</v>
      </c>
      <c r="Q1438" s="37">
        <v>0</v>
      </c>
      <c r="R1438" s="37">
        <v>0.37939999999999996</v>
      </c>
    </row>
    <row r="1439" spans="1:18" hidden="1">
      <c r="A1439" t="s">
        <v>75</v>
      </c>
      <c r="B1439" t="s">
        <v>13</v>
      </c>
      <c r="C1439">
        <v>9.99</v>
      </c>
      <c r="D1439">
        <v>5.72</v>
      </c>
      <c r="E1439" s="29">
        <v>1.746503497</v>
      </c>
      <c r="F1439">
        <v>0</v>
      </c>
      <c r="G1439">
        <v>8.0500000000000007</v>
      </c>
      <c r="H1439">
        <v>8.0500000000000007</v>
      </c>
      <c r="I1439" s="29">
        <v>0</v>
      </c>
      <c r="J1439" s="29">
        <v>1.2409999999999999</v>
      </c>
      <c r="K1439" s="9">
        <v>45329</v>
      </c>
      <c r="L1439">
        <f xml:space="preserve"> (交易處理資料__3[[#This Row],[售出工時]] * 60) / 5</f>
        <v>119.88</v>
      </c>
      <c r="M1439" t="str">
        <f>VLOOKUP(交易處理資料__3[[#This Row],[人員代號]],團隊分組!$B$1:$C$52,2,FALSE)</f>
        <v>鈑金維修組</v>
      </c>
      <c r="N1439" t="str">
        <f>IF(交易處理資料__3[[#This Row],[上班時間]]=0,"否","是")</f>
        <v>是</v>
      </c>
      <c r="O1439" t="s">
        <v>75</v>
      </c>
      <c r="P1439" s="38">
        <v>1.746503497</v>
      </c>
      <c r="Q1439" s="38">
        <v>1.2409999999999999</v>
      </c>
      <c r="R1439" s="38">
        <v>0</v>
      </c>
    </row>
    <row r="1440" spans="1:18" hidden="1">
      <c r="A1440" t="s">
        <v>75</v>
      </c>
      <c r="B1440" t="s">
        <v>14</v>
      </c>
      <c r="C1440">
        <v>3.26</v>
      </c>
      <c r="D1440">
        <v>4.38</v>
      </c>
      <c r="E1440" s="29">
        <v>0.74429223739999995</v>
      </c>
      <c r="F1440">
        <v>0</v>
      </c>
      <c r="G1440">
        <v>8.0500000000000007</v>
      </c>
      <c r="H1440">
        <v>8.0500000000000007</v>
      </c>
      <c r="I1440" s="29">
        <v>0</v>
      </c>
      <c r="J1440" s="29">
        <v>0.40500000000000003</v>
      </c>
      <c r="K1440" s="9">
        <v>45329</v>
      </c>
      <c r="L1440">
        <f xml:space="preserve"> (交易處理資料__3[[#This Row],[售出工時]] * 60) / 5</f>
        <v>39.119999999999997</v>
      </c>
      <c r="M1440" t="str">
        <f>VLOOKUP(交易處理資料__3[[#This Row],[人員代號]],團隊分組!$B$1:$C$52,2,FALSE)</f>
        <v>鈑金維修組</v>
      </c>
      <c r="N1440" t="str">
        <f>IF(交易處理資料__3[[#This Row],[上班時間]]=0,"否","是")</f>
        <v>是</v>
      </c>
      <c r="O1440" t="s">
        <v>75</v>
      </c>
      <c r="P1440" s="37">
        <v>0.74429223739999995</v>
      </c>
      <c r="Q1440" s="37">
        <v>0.40500000000000003</v>
      </c>
      <c r="R1440" s="37">
        <v>0</v>
      </c>
    </row>
    <row r="1441" spans="1:18" hidden="1">
      <c r="A1441" t="s">
        <v>76</v>
      </c>
      <c r="B1441" t="s">
        <v>17</v>
      </c>
      <c r="C1441">
        <v>11.893333330000001</v>
      </c>
      <c r="D1441">
        <v>7.39</v>
      </c>
      <c r="E1441" s="29">
        <v>1.6093820479999998</v>
      </c>
      <c r="F1441">
        <v>6.74</v>
      </c>
      <c r="G1441">
        <v>1.26</v>
      </c>
      <c r="H1441">
        <v>8</v>
      </c>
      <c r="I1441" s="29">
        <v>0.84250000000000003</v>
      </c>
      <c r="J1441" s="29">
        <v>1.4866999999999999</v>
      </c>
      <c r="K1441" s="9">
        <v>45329</v>
      </c>
      <c r="L1441">
        <f xml:space="preserve"> (交易處理資料__3[[#This Row],[售出工時]] * 60) / 5</f>
        <v>142.71999996000002</v>
      </c>
      <c r="M1441" t="str">
        <f>VLOOKUP(交易處理資料__3[[#This Row],[人員代號]],團隊分組!$B$1:$C$52,2,FALSE)</f>
        <v>快速保養團隊A</v>
      </c>
      <c r="N1441" t="str">
        <f>IF(交易處理資料__3[[#This Row],[上班時間]]=0,"否","是")</f>
        <v>是</v>
      </c>
      <c r="O1441" t="s">
        <v>76</v>
      </c>
      <c r="P1441" s="38">
        <v>1.6093820479999998</v>
      </c>
      <c r="Q1441" s="38">
        <v>1.4866999999999999</v>
      </c>
      <c r="R1441" s="38">
        <v>0.84250000000000003</v>
      </c>
    </row>
    <row r="1442" spans="1:18" hidden="1">
      <c r="A1442" t="s">
        <v>76</v>
      </c>
      <c r="B1442" t="s">
        <v>20</v>
      </c>
      <c r="C1442">
        <v>0</v>
      </c>
      <c r="D1442">
        <v>0</v>
      </c>
      <c r="E1442" s="29">
        <v>0</v>
      </c>
      <c r="F1442">
        <v>0</v>
      </c>
      <c r="G1442">
        <v>0</v>
      </c>
      <c r="H1442">
        <v>0</v>
      </c>
      <c r="I1442" s="29">
        <v>0</v>
      </c>
      <c r="J1442" s="29">
        <v>0</v>
      </c>
      <c r="K1442" s="9">
        <v>45329</v>
      </c>
      <c r="L1442">
        <f xml:space="preserve"> (交易處理資料__3[[#This Row],[售出工時]] * 60) / 5</f>
        <v>0</v>
      </c>
      <c r="M1442" t="str">
        <f>VLOOKUP(交易處理資料__3[[#This Row],[人員代號]],團隊分組!$B$1:$C$52,2,FALSE)</f>
        <v>查修團隊B</v>
      </c>
      <c r="N1442" t="str">
        <f>IF(交易處理資料__3[[#This Row],[上班時間]]=0,"否","是")</f>
        <v>否</v>
      </c>
      <c r="O1442" t="s">
        <v>76</v>
      </c>
      <c r="P1442" s="37">
        <v>0</v>
      </c>
      <c r="Q1442" s="37">
        <v>0</v>
      </c>
      <c r="R1442" s="37">
        <v>0</v>
      </c>
    </row>
    <row r="1443" spans="1:18" hidden="1">
      <c r="A1443" t="s">
        <v>76</v>
      </c>
      <c r="B1443" t="s">
        <v>22</v>
      </c>
      <c r="C1443">
        <v>0</v>
      </c>
      <c r="D1443">
        <v>0</v>
      </c>
      <c r="E1443" s="29">
        <v>0</v>
      </c>
      <c r="F1443">
        <v>0</v>
      </c>
      <c r="G1443">
        <v>0</v>
      </c>
      <c r="H1443">
        <v>0</v>
      </c>
      <c r="I1443" s="29">
        <v>0</v>
      </c>
      <c r="J1443" s="29">
        <v>0</v>
      </c>
      <c r="K1443" s="9">
        <v>45329</v>
      </c>
      <c r="L1443">
        <f xml:space="preserve"> (交易處理資料__3[[#This Row],[售出工時]] * 60) / 5</f>
        <v>0</v>
      </c>
      <c r="M1443" t="str">
        <f>VLOOKUP(交易處理資料__3[[#This Row],[人員代號]],團隊分組!$B$1:$C$52,2,FALSE)</f>
        <v>快速保養團隊A</v>
      </c>
      <c r="N1443" t="str">
        <f>IF(交易處理資料__3[[#This Row],[上班時間]]=0,"否","是")</f>
        <v>否</v>
      </c>
      <c r="O1443" t="s">
        <v>76</v>
      </c>
      <c r="P1443" s="38">
        <v>0</v>
      </c>
      <c r="Q1443" s="38">
        <v>0</v>
      </c>
      <c r="R1443" s="38">
        <v>0</v>
      </c>
    </row>
    <row r="1444" spans="1:18" hidden="1">
      <c r="A1444" t="s">
        <v>76</v>
      </c>
      <c r="B1444" t="s">
        <v>24</v>
      </c>
      <c r="C1444">
        <v>9.8566666670000007</v>
      </c>
      <c r="D1444">
        <v>6.05</v>
      </c>
      <c r="E1444" s="29">
        <v>1.6292011020000001</v>
      </c>
      <c r="F1444">
        <v>5.78</v>
      </c>
      <c r="G1444">
        <v>2.27</v>
      </c>
      <c r="H1444">
        <v>8.0500000000000007</v>
      </c>
      <c r="I1444" s="29">
        <v>0.71799999999999997</v>
      </c>
      <c r="J1444" s="29">
        <v>1.2243999999999999</v>
      </c>
      <c r="K1444" s="9">
        <v>45329</v>
      </c>
      <c r="L1444">
        <f xml:space="preserve"> (交易處理資料__3[[#This Row],[售出工時]] * 60) / 5</f>
        <v>118.280000004</v>
      </c>
      <c r="M1444" t="str">
        <f>VLOOKUP(交易處理資料__3[[#This Row],[人員代號]],團隊分組!$B$1:$C$52,2,FALSE)</f>
        <v>快速保養團隊A</v>
      </c>
      <c r="N1444" t="str">
        <f>IF(交易處理資料__3[[#This Row],[上班時間]]=0,"否","是")</f>
        <v>是</v>
      </c>
      <c r="O1444" t="s">
        <v>76</v>
      </c>
      <c r="P1444" s="37">
        <v>1.6292011020000001</v>
      </c>
      <c r="Q1444" s="37">
        <v>1.2243999999999999</v>
      </c>
      <c r="R1444" s="37">
        <v>0.71799999999999997</v>
      </c>
    </row>
    <row r="1445" spans="1:18" hidden="1">
      <c r="A1445" t="s">
        <v>76</v>
      </c>
      <c r="B1445" t="s">
        <v>27</v>
      </c>
      <c r="C1445">
        <v>9.1366666670000001</v>
      </c>
      <c r="D1445">
        <v>7.49</v>
      </c>
      <c r="E1445" s="29">
        <v>1.219848687</v>
      </c>
      <c r="F1445">
        <v>6.47</v>
      </c>
      <c r="G1445">
        <v>1.02</v>
      </c>
      <c r="H1445">
        <v>7.49</v>
      </c>
      <c r="I1445" s="29">
        <v>0.8637999999999999</v>
      </c>
      <c r="J1445" s="29">
        <v>1.2198</v>
      </c>
      <c r="K1445" s="9">
        <v>45329</v>
      </c>
      <c r="L1445">
        <f xml:space="preserve"> (交易處理資料__3[[#This Row],[售出工時]] * 60) / 5</f>
        <v>109.64000000400002</v>
      </c>
      <c r="M1445" t="str">
        <f>VLOOKUP(交易處理資料__3[[#This Row],[人員代號]],團隊分組!$B$1:$C$52,2,FALSE)</f>
        <v>快速保養團隊B</v>
      </c>
      <c r="N1445" t="str">
        <f>IF(交易處理資料__3[[#This Row],[上班時間]]=0,"否","是")</f>
        <v>是</v>
      </c>
      <c r="O1445" t="s">
        <v>76</v>
      </c>
      <c r="P1445" s="38">
        <v>1.219848687</v>
      </c>
      <c r="Q1445" s="38">
        <v>1.2198</v>
      </c>
      <c r="R1445" s="38">
        <v>0.8637999999999999</v>
      </c>
    </row>
    <row r="1446" spans="1:18" hidden="1">
      <c r="A1446" t="s">
        <v>76</v>
      </c>
      <c r="B1446" t="s">
        <v>28</v>
      </c>
      <c r="C1446">
        <v>13.41333333</v>
      </c>
      <c r="D1446">
        <v>6.33</v>
      </c>
      <c r="E1446" s="29">
        <v>2.1190100050000003</v>
      </c>
      <c r="F1446">
        <v>6.33</v>
      </c>
      <c r="G1446">
        <v>1.67</v>
      </c>
      <c r="H1446">
        <v>8</v>
      </c>
      <c r="I1446" s="29">
        <v>0.7913</v>
      </c>
      <c r="J1446" s="29">
        <v>1.6766999999999999</v>
      </c>
      <c r="K1446" s="9">
        <v>45329</v>
      </c>
      <c r="L1446">
        <f xml:space="preserve"> (交易處理資料__3[[#This Row],[售出工時]] * 60) / 5</f>
        <v>160.95999996</v>
      </c>
      <c r="M1446" t="str">
        <f>VLOOKUP(交易處理資料__3[[#This Row],[人員代號]],團隊分組!$B$1:$C$52,2,FALSE)</f>
        <v>快速保養團隊A</v>
      </c>
      <c r="N1446" t="str">
        <f>IF(交易處理資料__3[[#This Row],[上班時間]]=0,"否","是")</f>
        <v>是</v>
      </c>
      <c r="O1446" t="s">
        <v>76</v>
      </c>
      <c r="P1446" s="37">
        <v>2.1190100050000003</v>
      </c>
      <c r="Q1446" s="37">
        <v>1.6766999999999999</v>
      </c>
      <c r="R1446" s="37">
        <v>0.7913</v>
      </c>
    </row>
    <row r="1447" spans="1:18" hidden="1">
      <c r="A1447" t="s">
        <v>76</v>
      </c>
      <c r="B1447" t="s">
        <v>33</v>
      </c>
      <c r="C1447">
        <v>0</v>
      </c>
      <c r="D1447">
        <v>0</v>
      </c>
      <c r="E1447" s="29">
        <v>0</v>
      </c>
      <c r="F1447">
        <v>0</v>
      </c>
      <c r="G1447">
        <v>0</v>
      </c>
      <c r="H1447">
        <v>0</v>
      </c>
      <c r="I1447" s="29">
        <v>0</v>
      </c>
      <c r="J1447" s="29">
        <v>0</v>
      </c>
      <c r="K1447" s="9">
        <v>45329</v>
      </c>
      <c r="L1447">
        <f xml:space="preserve"> (交易處理資料__3[[#This Row],[售出工時]] * 60) / 5</f>
        <v>0</v>
      </c>
      <c r="M1447" t="str">
        <f>VLOOKUP(交易處理資料__3[[#This Row],[人員代號]],團隊分組!$B$1:$C$52,2,FALSE)</f>
        <v>快速保養團隊B</v>
      </c>
      <c r="N1447" t="str">
        <f>IF(交易處理資料__3[[#This Row],[上班時間]]=0,"否","是")</f>
        <v>否</v>
      </c>
      <c r="O1447" t="s">
        <v>76</v>
      </c>
      <c r="P1447" s="38">
        <v>0</v>
      </c>
      <c r="Q1447" s="38">
        <v>0</v>
      </c>
      <c r="R1447" s="38">
        <v>0</v>
      </c>
    </row>
    <row r="1448" spans="1:18" hidden="1">
      <c r="A1448" t="s">
        <v>76</v>
      </c>
      <c r="B1448" t="s">
        <v>34</v>
      </c>
      <c r="C1448">
        <v>8.25</v>
      </c>
      <c r="D1448">
        <v>4.76</v>
      </c>
      <c r="E1448" s="29">
        <v>1.733193277</v>
      </c>
      <c r="F1448">
        <v>4.76</v>
      </c>
      <c r="G1448">
        <v>3.25</v>
      </c>
      <c r="H1448">
        <v>8.01</v>
      </c>
      <c r="I1448" s="29">
        <v>0.59430000000000005</v>
      </c>
      <c r="J1448" s="29">
        <v>1.03</v>
      </c>
      <c r="K1448" s="9">
        <v>45329</v>
      </c>
      <c r="L1448">
        <f xml:space="preserve"> (交易處理資料__3[[#This Row],[售出工時]] * 60) / 5</f>
        <v>99</v>
      </c>
      <c r="M1448" t="str">
        <f>VLOOKUP(交易處理資料__3[[#This Row],[人員代號]],團隊分組!$B$1:$C$52,2,FALSE)</f>
        <v>快速保養團隊A</v>
      </c>
      <c r="N1448" t="str">
        <f>IF(交易處理資料__3[[#This Row],[上班時間]]=0,"否","是")</f>
        <v>是</v>
      </c>
      <c r="O1448" t="s">
        <v>76</v>
      </c>
      <c r="P1448" s="37">
        <v>1.733193277</v>
      </c>
      <c r="Q1448" s="37">
        <v>1.03</v>
      </c>
      <c r="R1448" s="37">
        <v>0.59430000000000005</v>
      </c>
    </row>
    <row r="1449" spans="1:18" hidden="1">
      <c r="A1449" t="s">
        <v>76</v>
      </c>
      <c r="B1449" t="s">
        <v>35</v>
      </c>
      <c r="C1449">
        <v>7.8833333330000004</v>
      </c>
      <c r="D1449">
        <v>6.37</v>
      </c>
      <c r="E1449" s="29">
        <v>1.2375719519999999</v>
      </c>
      <c r="F1449">
        <v>4.32</v>
      </c>
      <c r="G1449">
        <v>3.86</v>
      </c>
      <c r="H1449">
        <v>8.18</v>
      </c>
      <c r="I1449" s="29">
        <v>0.52810000000000001</v>
      </c>
      <c r="J1449" s="29">
        <v>0.9637</v>
      </c>
      <c r="K1449" s="9">
        <v>45329</v>
      </c>
      <c r="L1449">
        <f xml:space="preserve"> (交易處理資料__3[[#This Row],[售出工時]] * 60) / 5</f>
        <v>94.599999996000008</v>
      </c>
      <c r="M1449" t="str">
        <f>VLOOKUP(交易處理資料__3[[#This Row],[人員代號]],團隊分組!$B$1:$C$52,2,FALSE)</f>
        <v>查修團隊B</v>
      </c>
      <c r="N1449" t="str">
        <f>IF(交易處理資料__3[[#This Row],[上班時間]]=0,"否","是")</f>
        <v>是</v>
      </c>
      <c r="O1449" t="s">
        <v>76</v>
      </c>
      <c r="P1449" s="38">
        <v>1.2375719519999999</v>
      </c>
      <c r="Q1449" s="38">
        <v>0.9637</v>
      </c>
      <c r="R1449" s="38">
        <v>0.52810000000000001</v>
      </c>
    </row>
    <row r="1450" spans="1:18" hidden="1">
      <c r="A1450" t="s">
        <v>76</v>
      </c>
      <c r="B1450" t="s">
        <v>37</v>
      </c>
      <c r="C1450">
        <v>7.1733333330000004</v>
      </c>
      <c r="D1450">
        <v>7.35</v>
      </c>
      <c r="E1450" s="29">
        <v>0.9759637188000001</v>
      </c>
      <c r="F1450">
        <v>3.85</v>
      </c>
      <c r="G1450">
        <v>4.3</v>
      </c>
      <c r="H1450">
        <v>8.15</v>
      </c>
      <c r="I1450" s="29">
        <v>0.47240000000000004</v>
      </c>
      <c r="J1450" s="29">
        <v>0.88019999999999998</v>
      </c>
      <c r="K1450" s="9">
        <v>45329</v>
      </c>
      <c r="L1450">
        <f xml:space="preserve"> (交易處理資料__3[[#This Row],[售出工時]] * 60) / 5</f>
        <v>86.079999995999998</v>
      </c>
      <c r="M1450" t="str">
        <f>VLOOKUP(交易處理資料__3[[#This Row],[人員代號]],團隊分組!$B$1:$C$52,2,FALSE)</f>
        <v>查修團隊A</v>
      </c>
      <c r="N1450" t="str">
        <f>IF(交易處理資料__3[[#This Row],[上班時間]]=0,"否","是")</f>
        <v>是</v>
      </c>
      <c r="O1450" t="s">
        <v>76</v>
      </c>
      <c r="P1450" s="37">
        <v>0.9759637188000001</v>
      </c>
      <c r="Q1450" s="37">
        <v>0.88019999999999998</v>
      </c>
      <c r="R1450" s="37">
        <v>0.47240000000000004</v>
      </c>
    </row>
    <row r="1451" spans="1:18" hidden="1">
      <c r="A1451" t="s">
        <v>76</v>
      </c>
      <c r="B1451" t="s">
        <v>42</v>
      </c>
      <c r="C1451">
        <v>5.8333333329999997</v>
      </c>
      <c r="D1451">
        <v>2.87</v>
      </c>
      <c r="E1451" s="29">
        <v>2.0325203250000001</v>
      </c>
      <c r="F1451">
        <v>2.87</v>
      </c>
      <c r="G1451">
        <v>1.03</v>
      </c>
      <c r="H1451">
        <v>3.9</v>
      </c>
      <c r="I1451" s="29">
        <v>0.7359</v>
      </c>
      <c r="J1451" s="29">
        <v>1.4957</v>
      </c>
      <c r="K1451" s="9">
        <v>45329</v>
      </c>
      <c r="L1451">
        <f xml:space="preserve"> (交易處理資料__3[[#This Row],[售出工時]] * 60) / 5</f>
        <v>69.999999996</v>
      </c>
      <c r="M1451" t="str">
        <f>VLOOKUP(交易處理資料__3[[#This Row],[人員代號]],團隊分組!$B$1:$C$52,2,FALSE)</f>
        <v>快速保養團隊A</v>
      </c>
      <c r="N1451" t="str">
        <f>IF(交易處理資料__3[[#This Row],[上班時間]]=0,"否","是")</f>
        <v>是</v>
      </c>
      <c r="O1451" t="s">
        <v>76</v>
      </c>
      <c r="P1451" s="38">
        <v>2.0325203250000001</v>
      </c>
      <c r="Q1451" s="38">
        <v>1.4957</v>
      </c>
      <c r="R1451" s="38">
        <v>0.7359</v>
      </c>
    </row>
    <row r="1452" spans="1:18" hidden="1">
      <c r="A1452" t="s">
        <v>76</v>
      </c>
      <c r="B1452" t="s">
        <v>47</v>
      </c>
      <c r="C1452">
        <v>11.39666667</v>
      </c>
      <c r="D1452">
        <v>8.1</v>
      </c>
      <c r="E1452" s="29">
        <v>1.4069958849999999</v>
      </c>
      <c r="F1452">
        <v>3.32</v>
      </c>
      <c r="G1452">
        <v>5.44</v>
      </c>
      <c r="H1452">
        <v>8.76</v>
      </c>
      <c r="I1452" s="29">
        <v>0.379</v>
      </c>
      <c r="J1452" s="29">
        <v>1.3009999999999999</v>
      </c>
      <c r="K1452" s="9">
        <v>45329</v>
      </c>
      <c r="L1452">
        <f xml:space="preserve"> (交易處理資料__3[[#This Row],[售出工時]] * 60) / 5</f>
        <v>136.76000003999999</v>
      </c>
      <c r="M1452" t="str">
        <f>VLOOKUP(交易處理資料__3[[#This Row],[人員代號]],團隊分組!$B$1:$C$52,2,FALSE)</f>
        <v>查修團隊B</v>
      </c>
      <c r="N1452" t="str">
        <f>IF(交易處理資料__3[[#This Row],[上班時間]]=0,"否","是")</f>
        <v>是</v>
      </c>
      <c r="O1452" t="s">
        <v>76</v>
      </c>
      <c r="P1452" s="37">
        <v>1.4069958849999999</v>
      </c>
      <c r="Q1452" s="37">
        <v>1.3009999999999999</v>
      </c>
      <c r="R1452" s="37">
        <v>0.379</v>
      </c>
    </row>
    <row r="1453" spans="1:18" hidden="1">
      <c r="A1453" t="s">
        <v>76</v>
      </c>
      <c r="B1453" t="s">
        <v>51</v>
      </c>
      <c r="C1453">
        <v>0</v>
      </c>
      <c r="D1453">
        <v>0</v>
      </c>
      <c r="E1453" s="29">
        <v>0</v>
      </c>
      <c r="F1453">
        <v>0</v>
      </c>
      <c r="G1453">
        <v>0</v>
      </c>
      <c r="H1453">
        <v>0</v>
      </c>
      <c r="I1453" s="29">
        <v>0</v>
      </c>
      <c r="J1453" s="29">
        <v>0</v>
      </c>
      <c r="K1453" s="9">
        <v>45329</v>
      </c>
      <c r="L1453">
        <f xml:space="preserve"> (交易處理資料__3[[#This Row],[售出工時]] * 60) / 5</f>
        <v>0</v>
      </c>
      <c r="M1453" t="str">
        <f>VLOOKUP(交易處理資料__3[[#This Row],[人員代號]],團隊分組!$B$1:$C$52,2,FALSE)</f>
        <v>無效數據</v>
      </c>
      <c r="N1453" t="str">
        <f>IF(交易處理資料__3[[#This Row],[上班時間]]=0,"否","是")</f>
        <v>否</v>
      </c>
      <c r="O1453" t="s">
        <v>76</v>
      </c>
      <c r="P1453" s="38">
        <v>0</v>
      </c>
      <c r="Q1453" s="38">
        <v>0</v>
      </c>
      <c r="R1453" s="38">
        <v>0</v>
      </c>
    </row>
    <row r="1454" spans="1:18" hidden="1">
      <c r="A1454" t="s">
        <v>76</v>
      </c>
      <c r="B1454" t="s">
        <v>52</v>
      </c>
      <c r="C1454">
        <v>4</v>
      </c>
      <c r="D1454">
        <v>5.0999999999999996</v>
      </c>
      <c r="E1454" s="29">
        <v>0.78431372550000011</v>
      </c>
      <c r="F1454">
        <v>4.5599999999999996</v>
      </c>
      <c r="G1454">
        <v>3.61</v>
      </c>
      <c r="H1454">
        <v>8.17</v>
      </c>
      <c r="I1454" s="29">
        <v>0.55810000000000004</v>
      </c>
      <c r="J1454" s="29">
        <v>0.48960000000000004</v>
      </c>
      <c r="K1454" s="9">
        <v>45329</v>
      </c>
      <c r="L1454">
        <f xml:space="preserve"> (交易處理資料__3[[#This Row],[售出工時]] * 60) / 5</f>
        <v>48</v>
      </c>
      <c r="M1454" t="str">
        <f>VLOOKUP(交易處理資料__3[[#This Row],[人員代號]],團隊分組!$B$1:$C$52,2,FALSE)</f>
        <v>查修團隊B</v>
      </c>
      <c r="N1454" t="str">
        <f>IF(交易處理資料__3[[#This Row],[上班時間]]=0,"否","是")</f>
        <v>是</v>
      </c>
      <c r="O1454" t="s">
        <v>76</v>
      </c>
      <c r="P1454" s="37">
        <v>0.78431372550000011</v>
      </c>
      <c r="Q1454" s="37">
        <v>0.48960000000000004</v>
      </c>
      <c r="R1454" s="37">
        <v>0.55810000000000004</v>
      </c>
    </row>
    <row r="1455" spans="1:18" hidden="1">
      <c r="A1455" s="10" t="s">
        <v>74</v>
      </c>
      <c r="B1455" t="s">
        <v>1</v>
      </c>
      <c r="C1455">
        <v>0</v>
      </c>
      <c r="D1455">
        <v>0</v>
      </c>
      <c r="E1455" s="29">
        <v>0</v>
      </c>
      <c r="F1455">
        <v>0</v>
      </c>
      <c r="G1455">
        <v>0</v>
      </c>
      <c r="H1455">
        <v>0</v>
      </c>
      <c r="I1455" s="29">
        <v>0</v>
      </c>
      <c r="J1455" s="29">
        <v>0</v>
      </c>
      <c r="K1455" s="9">
        <v>45330</v>
      </c>
      <c r="L1455">
        <f xml:space="preserve"> (交易處理資料__3[[#This Row],[售出工時]] * 60) / 5</f>
        <v>0</v>
      </c>
      <c r="M1455" t="str">
        <f>VLOOKUP(交易處理資料__3[[#This Row],[人員代號]],團隊分組!$B$1:$C$52,2,FALSE)</f>
        <v>噴漆維修組</v>
      </c>
      <c r="N1455" t="str">
        <f>IF(交易處理資料__3[[#This Row],[上班時間]]=0,"否","是")</f>
        <v>否</v>
      </c>
      <c r="O1455" s="10" t="s">
        <v>74</v>
      </c>
      <c r="P1455" s="38">
        <v>0</v>
      </c>
      <c r="Q1455" s="38">
        <v>0</v>
      </c>
      <c r="R1455" s="38">
        <v>0</v>
      </c>
    </row>
    <row r="1456" spans="1:18" hidden="1">
      <c r="A1456" s="10" t="s">
        <v>74</v>
      </c>
      <c r="B1456" t="s">
        <v>2</v>
      </c>
      <c r="C1456">
        <v>0</v>
      </c>
      <c r="D1456">
        <v>0</v>
      </c>
      <c r="E1456" s="29">
        <v>0</v>
      </c>
      <c r="F1456">
        <v>0</v>
      </c>
      <c r="G1456">
        <v>0</v>
      </c>
      <c r="H1456">
        <v>0</v>
      </c>
      <c r="I1456" s="29">
        <v>0</v>
      </c>
      <c r="J1456" s="29">
        <v>0</v>
      </c>
      <c r="K1456" s="9">
        <v>45330</v>
      </c>
      <c r="L1456">
        <f xml:space="preserve"> (交易處理資料__3[[#This Row],[售出工時]] * 60) / 5</f>
        <v>0</v>
      </c>
      <c r="M1456" t="str">
        <f>VLOOKUP(交易處理資料__3[[#This Row],[人員代號]],團隊分組!$B$1:$C$52,2,FALSE)</f>
        <v>噴漆維修組</v>
      </c>
      <c r="N1456" t="str">
        <f>IF(交易處理資料__3[[#This Row],[上班時間]]=0,"否","是")</f>
        <v>否</v>
      </c>
      <c r="O1456" s="10" t="s">
        <v>74</v>
      </c>
      <c r="P1456" s="37">
        <v>0</v>
      </c>
      <c r="Q1456" s="37">
        <v>0</v>
      </c>
      <c r="R1456" s="37">
        <v>0</v>
      </c>
    </row>
    <row r="1457" spans="1:18" hidden="1">
      <c r="A1457" s="10" t="s">
        <v>74</v>
      </c>
      <c r="B1457" t="s">
        <v>3</v>
      </c>
      <c r="C1457">
        <v>0</v>
      </c>
      <c r="D1457">
        <v>0</v>
      </c>
      <c r="E1457" s="29">
        <v>0</v>
      </c>
      <c r="F1457">
        <v>0</v>
      </c>
      <c r="G1457">
        <v>0</v>
      </c>
      <c r="H1457">
        <v>0</v>
      </c>
      <c r="I1457" s="29">
        <v>0</v>
      </c>
      <c r="J1457" s="29">
        <v>0</v>
      </c>
      <c r="K1457" s="9">
        <v>45330</v>
      </c>
      <c r="L1457">
        <f xml:space="preserve"> (交易處理資料__3[[#This Row],[售出工時]] * 60) / 5</f>
        <v>0</v>
      </c>
      <c r="M1457" t="str">
        <f>VLOOKUP(交易處理資料__3[[#This Row],[人員代號]],團隊分組!$B$1:$C$52,2,FALSE)</f>
        <v>噴漆維修組</v>
      </c>
      <c r="N1457" t="str">
        <f>IF(交易處理資料__3[[#This Row],[上班時間]]=0,"否","是")</f>
        <v>否</v>
      </c>
      <c r="O1457" s="10" t="s">
        <v>74</v>
      </c>
      <c r="P1457" s="38">
        <v>0</v>
      </c>
      <c r="Q1457" s="38">
        <v>0</v>
      </c>
      <c r="R1457" s="38">
        <v>0</v>
      </c>
    </row>
    <row r="1458" spans="1:18" hidden="1">
      <c r="A1458" s="10" t="s">
        <v>74</v>
      </c>
      <c r="B1458" t="s">
        <v>4</v>
      </c>
      <c r="C1458">
        <v>0</v>
      </c>
      <c r="D1458">
        <v>0</v>
      </c>
      <c r="E1458" s="29">
        <v>0</v>
      </c>
      <c r="F1458">
        <v>0</v>
      </c>
      <c r="G1458">
        <v>0</v>
      </c>
      <c r="H1458">
        <v>0</v>
      </c>
      <c r="I1458" s="29">
        <v>0</v>
      </c>
      <c r="J1458" s="29">
        <v>0</v>
      </c>
      <c r="K1458" s="9">
        <v>45330</v>
      </c>
      <c r="L1458">
        <f xml:space="preserve"> (交易處理資料__3[[#This Row],[售出工時]] * 60) / 5</f>
        <v>0</v>
      </c>
      <c r="M1458" t="str">
        <f>VLOOKUP(交易處理資料__3[[#This Row],[人員代號]],團隊分組!$B$1:$C$52,2,FALSE)</f>
        <v>噴漆維修組</v>
      </c>
      <c r="N1458" t="str">
        <f>IF(交易處理資料__3[[#This Row],[上班時間]]=0,"否","是")</f>
        <v>否</v>
      </c>
      <c r="O1458" s="10" t="s">
        <v>74</v>
      </c>
      <c r="P1458" s="37">
        <v>0</v>
      </c>
      <c r="Q1458" s="37">
        <v>0</v>
      </c>
      <c r="R1458" s="37">
        <v>0</v>
      </c>
    </row>
    <row r="1459" spans="1:18" hidden="1">
      <c r="A1459" s="10" t="s">
        <v>74</v>
      </c>
      <c r="B1459" t="s">
        <v>5</v>
      </c>
      <c r="C1459">
        <v>0</v>
      </c>
      <c r="D1459">
        <v>0</v>
      </c>
      <c r="E1459" s="29">
        <v>0</v>
      </c>
      <c r="F1459">
        <v>0</v>
      </c>
      <c r="G1459">
        <v>0</v>
      </c>
      <c r="H1459">
        <v>0</v>
      </c>
      <c r="I1459" s="29">
        <v>0</v>
      </c>
      <c r="J1459" s="29">
        <v>0</v>
      </c>
      <c r="K1459" s="9">
        <v>45330</v>
      </c>
      <c r="L1459">
        <f xml:space="preserve"> (交易處理資料__3[[#This Row],[售出工時]] * 60) / 5</f>
        <v>0</v>
      </c>
      <c r="M1459" t="str">
        <f>VLOOKUP(交易處理資料__3[[#This Row],[人員代號]],團隊分組!$B$1:$C$52,2,FALSE)</f>
        <v>噴漆維修組</v>
      </c>
      <c r="N1459" t="str">
        <f>IF(交易處理資料__3[[#This Row],[上班時間]]=0,"否","是")</f>
        <v>否</v>
      </c>
      <c r="O1459" s="10" t="s">
        <v>74</v>
      </c>
      <c r="P1459" s="38">
        <v>0</v>
      </c>
      <c r="Q1459" s="38">
        <v>0</v>
      </c>
      <c r="R1459" s="38">
        <v>0</v>
      </c>
    </row>
    <row r="1460" spans="1:18" hidden="1">
      <c r="A1460" s="10" t="s">
        <v>74</v>
      </c>
      <c r="B1460" t="s">
        <v>6</v>
      </c>
      <c r="C1460">
        <v>0</v>
      </c>
      <c r="D1460">
        <v>0</v>
      </c>
      <c r="E1460" s="29">
        <v>0</v>
      </c>
      <c r="F1460">
        <v>0</v>
      </c>
      <c r="G1460">
        <v>0</v>
      </c>
      <c r="H1460">
        <v>0</v>
      </c>
      <c r="I1460" s="29">
        <v>0</v>
      </c>
      <c r="J1460" s="29">
        <v>0</v>
      </c>
      <c r="K1460" s="9">
        <v>45330</v>
      </c>
      <c r="L1460">
        <f xml:space="preserve"> (交易處理資料__3[[#This Row],[售出工時]] * 60) / 5</f>
        <v>0</v>
      </c>
      <c r="M1460" t="str">
        <f>VLOOKUP(交易處理資料__3[[#This Row],[人員代號]],團隊分組!$B$1:$C$52,2,FALSE)</f>
        <v>噴漆維修組</v>
      </c>
      <c r="N1460" t="str">
        <f>IF(交易處理資料__3[[#This Row],[上班時間]]=0,"否","是")</f>
        <v>否</v>
      </c>
      <c r="O1460" s="10" t="s">
        <v>74</v>
      </c>
      <c r="P1460" s="37">
        <v>0</v>
      </c>
      <c r="Q1460" s="37">
        <v>0</v>
      </c>
      <c r="R1460" s="37">
        <v>0</v>
      </c>
    </row>
    <row r="1461" spans="1:18">
      <c r="A1461" s="10" t="s">
        <v>74</v>
      </c>
      <c r="B1461" t="s">
        <v>7</v>
      </c>
      <c r="C1461">
        <v>0</v>
      </c>
      <c r="D1461">
        <v>0</v>
      </c>
      <c r="E1461" s="29">
        <v>0</v>
      </c>
      <c r="F1461">
        <v>0</v>
      </c>
      <c r="G1461">
        <v>0</v>
      </c>
      <c r="H1461">
        <v>0</v>
      </c>
      <c r="I1461" s="29">
        <v>0</v>
      </c>
      <c r="J1461" s="29">
        <v>0</v>
      </c>
      <c r="K1461" s="9">
        <v>45330</v>
      </c>
      <c r="L1461">
        <f xml:space="preserve"> (交易處理資料__3[[#This Row],[售出工時]] * 60) / 5</f>
        <v>0</v>
      </c>
      <c r="M1461" t="str">
        <f>VLOOKUP(交易處理資料__3[[#This Row],[人員代號]],團隊分組!$B$1:$C$52,2,FALSE)</f>
        <v>噴漆維修組</v>
      </c>
      <c r="N1461" t="str">
        <f>IF(交易處理資料__3[[#This Row],[上班時間]]=0,"否","是")</f>
        <v>否</v>
      </c>
      <c r="O1461" s="10" t="s">
        <v>74</v>
      </c>
      <c r="P1461" s="38">
        <v>0</v>
      </c>
      <c r="Q1461" s="38">
        <v>0</v>
      </c>
      <c r="R1461" s="38">
        <v>0</v>
      </c>
    </row>
    <row r="1462" spans="1:18" hidden="1">
      <c r="A1462" s="10" t="s">
        <v>74</v>
      </c>
      <c r="B1462" t="s">
        <v>8</v>
      </c>
      <c r="C1462">
        <v>0</v>
      </c>
      <c r="D1462">
        <v>0</v>
      </c>
      <c r="E1462" s="29">
        <v>0</v>
      </c>
      <c r="F1462">
        <v>0</v>
      </c>
      <c r="G1462">
        <v>0</v>
      </c>
      <c r="H1462">
        <v>0</v>
      </c>
      <c r="I1462" s="29">
        <v>0</v>
      </c>
      <c r="J1462" s="29">
        <v>0</v>
      </c>
      <c r="K1462" s="9">
        <v>45330</v>
      </c>
      <c r="L1462">
        <f xml:space="preserve"> (交易處理資料__3[[#This Row],[售出工時]] * 60) / 5</f>
        <v>0</v>
      </c>
      <c r="M1462" t="str">
        <f>VLOOKUP(交易處理資料__3[[#This Row],[人員代號]],團隊分組!$B$1:$C$52,2,FALSE)</f>
        <v>噴漆維修組</v>
      </c>
      <c r="N1462" t="str">
        <f>IF(交易處理資料__3[[#This Row],[上班時間]]=0,"否","是")</f>
        <v>否</v>
      </c>
      <c r="O1462" s="10" t="s">
        <v>74</v>
      </c>
      <c r="P1462" s="37">
        <v>0</v>
      </c>
      <c r="Q1462" s="37">
        <v>0</v>
      </c>
      <c r="R1462" s="37">
        <v>0</v>
      </c>
    </row>
    <row r="1463" spans="1:18" hidden="1">
      <c r="A1463" s="10" t="s">
        <v>74</v>
      </c>
      <c r="B1463" t="s">
        <v>9</v>
      </c>
      <c r="C1463">
        <v>0</v>
      </c>
      <c r="D1463">
        <v>0</v>
      </c>
      <c r="E1463" s="29">
        <v>0</v>
      </c>
      <c r="F1463">
        <v>0</v>
      </c>
      <c r="G1463">
        <v>0</v>
      </c>
      <c r="H1463">
        <v>0</v>
      </c>
      <c r="I1463" s="29">
        <v>0</v>
      </c>
      <c r="J1463" s="29">
        <v>0</v>
      </c>
      <c r="K1463" s="9">
        <v>45330</v>
      </c>
      <c r="L1463">
        <f xml:space="preserve"> (交易處理資料__3[[#This Row],[售出工時]] * 60) / 5</f>
        <v>0</v>
      </c>
      <c r="M1463" t="str">
        <f>VLOOKUP(交易處理資料__3[[#This Row],[人員代號]],團隊分組!$B$1:$C$52,2,FALSE)</f>
        <v>噴漆維修組</v>
      </c>
      <c r="N1463" t="str">
        <f>IF(交易處理資料__3[[#This Row],[上班時間]]=0,"否","是")</f>
        <v>否</v>
      </c>
      <c r="O1463" s="10" t="s">
        <v>74</v>
      </c>
      <c r="P1463" s="38">
        <v>0</v>
      </c>
      <c r="Q1463" s="38">
        <v>0</v>
      </c>
      <c r="R1463" s="38">
        <v>0</v>
      </c>
    </row>
    <row r="1464" spans="1:18" hidden="1">
      <c r="A1464" t="s">
        <v>75</v>
      </c>
      <c r="B1464" t="s">
        <v>11</v>
      </c>
      <c r="C1464">
        <v>0</v>
      </c>
      <c r="D1464">
        <v>0</v>
      </c>
      <c r="E1464" s="29">
        <v>0</v>
      </c>
      <c r="F1464">
        <v>0</v>
      </c>
      <c r="G1464">
        <v>0</v>
      </c>
      <c r="H1464">
        <v>0</v>
      </c>
      <c r="I1464" s="29">
        <v>0</v>
      </c>
      <c r="J1464" s="29">
        <v>0</v>
      </c>
      <c r="K1464" s="9">
        <v>45330</v>
      </c>
      <c r="L1464">
        <f xml:space="preserve"> (交易處理資料__3[[#This Row],[售出工時]] * 60) / 5</f>
        <v>0</v>
      </c>
      <c r="M1464" t="str">
        <f>VLOOKUP(交易處理資料__3[[#This Row],[人員代號]],團隊分組!$B$1:$C$52,2,FALSE)</f>
        <v>鈑金維修組</v>
      </c>
      <c r="N1464" t="str">
        <f>IF(交易處理資料__3[[#This Row],[上班時間]]=0,"否","是")</f>
        <v>否</v>
      </c>
      <c r="O1464" t="s">
        <v>75</v>
      </c>
      <c r="P1464" s="37">
        <v>0</v>
      </c>
      <c r="Q1464" s="37">
        <v>0</v>
      </c>
      <c r="R1464" s="37">
        <v>0</v>
      </c>
    </row>
    <row r="1465" spans="1:18" hidden="1">
      <c r="A1465" t="s">
        <v>75</v>
      </c>
      <c r="B1465" t="s">
        <v>12</v>
      </c>
      <c r="C1465">
        <v>0</v>
      </c>
      <c r="D1465">
        <v>0</v>
      </c>
      <c r="E1465" s="29">
        <v>0</v>
      </c>
      <c r="F1465">
        <v>0</v>
      </c>
      <c r="G1465">
        <v>0</v>
      </c>
      <c r="H1465">
        <v>0</v>
      </c>
      <c r="I1465" s="29">
        <v>0</v>
      </c>
      <c r="J1465" s="29">
        <v>0</v>
      </c>
      <c r="K1465" s="9">
        <v>45330</v>
      </c>
      <c r="L1465">
        <f xml:space="preserve"> (交易處理資料__3[[#This Row],[售出工時]] * 60) / 5</f>
        <v>0</v>
      </c>
      <c r="M1465" t="str">
        <f>VLOOKUP(交易處理資料__3[[#This Row],[人員代號]],團隊分組!$B$1:$C$52,2,FALSE)</f>
        <v>鈑金維修組</v>
      </c>
      <c r="N1465" t="str">
        <f>IF(交易處理資料__3[[#This Row],[上班時間]]=0,"否","是")</f>
        <v>否</v>
      </c>
      <c r="O1465" t="s">
        <v>75</v>
      </c>
      <c r="P1465" s="38">
        <v>0</v>
      </c>
      <c r="Q1465" s="38">
        <v>0</v>
      </c>
      <c r="R1465" s="38">
        <v>0</v>
      </c>
    </row>
    <row r="1466" spans="1:18" hidden="1">
      <c r="A1466" t="s">
        <v>75</v>
      </c>
      <c r="B1466" t="s">
        <v>13</v>
      </c>
      <c r="C1466">
        <v>0</v>
      </c>
      <c r="D1466">
        <v>0</v>
      </c>
      <c r="E1466" s="29">
        <v>0</v>
      </c>
      <c r="F1466">
        <v>0</v>
      </c>
      <c r="G1466">
        <v>0</v>
      </c>
      <c r="H1466">
        <v>0</v>
      </c>
      <c r="I1466" s="29">
        <v>0</v>
      </c>
      <c r="J1466" s="29">
        <v>0</v>
      </c>
      <c r="K1466" s="9">
        <v>45330</v>
      </c>
      <c r="L1466">
        <f xml:space="preserve"> (交易處理資料__3[[#This Row],[售出工時]] * 60) / 5</f>
        <v>0</v>
      </c>
      <c r="M1466" t="str">
        <f>VLOOKUP(交易處理資料__3[[#This Row],[人員代號]],團隊分組!$B$1:$C$52,2,FALSE)</f>
        <v>鈑金維修組</v>
      </c>
      <c r="N1466" t="str">
        <f>IF(交易處理資料__3[[#This Row],[上班時間]]=0,"否","是")</f>
        <v>否</v>
      </c>
      <c r="O1466" t="s">
        <v>75</v>
      </c>
      <c r="P1466" s="37">
        <v>0</v>
      </c>
      <c r="Q1466" s="37">
        <v>0</v>
      </c>
      <c r="R1466" s="37">
        <v>0</v>
      </c>
    </row>
    <row r="1467" spans="1:18" hidden="1">
      <c r="A1467" t="s">
        <v>75</v>
      </c>
      <c r="B1467" t="s">
        <v>14</v>
      </c>
      <c r="C1467">
        <v>0</v>
      </c>
      <c r="D1467">
        <v>0</v>
      </c>
      <c r="E1467" s="29">
        <v>0</v>
      </c>
      <c r="F1467">
        <v>0</v>
      </c>
      <c r="G1467">
        <v>0</v>
      </c>
      <c r="H1467">
        <v>0</v>
      </c>
      <c r="I1467" s="29">
        <v>0</v>
      </c>
      <c r="J1467" s="29">
        <v>0</v>
      </c>
      <c r="K1467" s="9">
        <v>45330</v>
      </c>
      <c r="L1467">
        <f xml:space="preserve"> (交易處理資料__3[[#This Row],[售出工時]] * 60) / 5</f>
        <v>0</v>
      </c>
      <c r="M1467" t="str">
        <f>VLOOKUP(交易處理資料__3[[#This Row],[人員代號]],團隊分組!$B$1:$C$52,2,FALSE)</f>
        <v>鈑金維修組</v>
      </c>
      <c r="N1467" t="str">
        <f>IF(交易處理資料__3[[#This Row],[上班時間]]=0,"否","是")</f>
        <v>否</v>
      </c>
      <c r="O1467" t="s">
        <v>75</v>
      </c>
      <c r="P1467" s="38">
        <v>0</v>
      </c>
      <c r="Q1467" s="38">
        <v>0</v>
      </c>
      <c r="R1467" s="38">
        <v>0</v>
      </c>
    </row>
    <row r="1468" spans="1:18" hidden="1">
      <c r="A1468" t="s">
        <v>75</v>
      </c>
      <c r="B1468" t="s">
        <v>15</v>
      </c>
      <c r="C1468">
        <v>0</v>
      </c>
      <c r="D1468">
        <v>0</v>
      </c>
      <c r="E1468" s="29">
        <v>0</v>
      </c>
      <c r="F1468">
        <v>0</v>
      </c>
      <c r="G1468">
        <v>0</v>
      </c>
      <c r="H1468">
        <v>0</v>
      </c>
      <c r="I1468" s="29">
        <v>0</v>
      </c>
      <c r="J1468" s="29">
        <v>0</v>
      </c>
      <c r="K1468" s="9">
        <v>45330</v>
      </c>
      <c r="L1468">
        <f xml:space="preserve"> (交易處理資料__3[[#This Row],[售出工時]] * 60) / 5</f>
        <v>0</v>
      </c>
      <c r="M1468" t="str">
        <f>VLOOKUP(交易處理資料__3[[#This Row],[人員代號]],團隊分組!$B$1:$C$52,2,FALSE)</f>
        <v>鈑金維修組</v>
      </c>
      <c r="N1468" t="str">
        <f>IF(交易處理資料__3[[#This Row],[上班時間]]=0,"否","是")</f>
        <v>否</v>
      </c>
      <c r="O1468" t="s">
        <v>75</v>
      </c>
      <c r="P1468" s="37">
        <v>0</v>
      </c>
      <c r="Q1468" s="37">
        <v>0</v>
      </c>
      <c r="R1468" s="37">
        <v>0</v>
      </c>
    </row>
    <row r="1469" spans="1:18" hidden="1">
      <c r="A1469" t="s">
        <v>76</v>
      </c>
      <c r="B1469" t="s">
        <v>17</v>
      </c>
      <c r="C1469">
        <v>0</v>
      </c>
      <c r="D1469">
        <v>0</v>
      </c>
      <c r="E1469" s="29">
        <v>0</v>
      </c>
      <c r="F1469">
        <v>0</v>
      </c>
      <c r="G1469">
        <v>0</v>
      </c>
      <c r="H1469">
        <v>0</v>
      </c>
      <c r="I1469" s="29">
        <v>0</v>
      </c>
      <c r="J1469" s="29">
        <v>0</v>
      </c>
      <c r="K1469" s="9">
        <v>45330</v>
      </c>
      <c r="L1469">
        <f xml:space="preserve"> (交易處理資料__3[[#This Row],[售出工時]] * 60) / 5</f>
        <v>0</v>
      </c>
      <c r="M1469" t="str">
        <f>VLOOKUP(交易處理資料__3[[#This Row],[人員代號]],團隊分組!$B$1:$C$52,2,FALSE)</f>
        <v>快速保養團隊A</v>
      </c>
      <c r="N1469" t="str">
        <f>IF(交易處理資料__3[[#This Row],[上班時間]]=0,"否","是")</f>
        <v>否</v>
      </c>
      <c r="O1469" t="s">
        <v>76</v>
      </c>
      <c r="P1469" s="38">
        <v>0</v>
      </c>
      <c r="Q1469" s="38">
        <v>0</v>
      </c>
      <c r="R1469" s="38">
        <v>0</v>
      </c>
    </row>
    <row r="1470" spans="1:18" hidden="1">
      <c r="A1470" t="s">
        <v>76</v>
      </c>
      <c r="B1470" t="s">
        <v>18</v>
      </c>
      <c r="C1470">
        <v>0</v>
      </c>
      <c r="D1470">
        <v>0</v>
      </c>
      <c r="E1470" s="29">
        <v>0</v>
      </c>
      <c r="F1470">
        <v>0</v>
      </c>
      <c r="G1470">
        <v>0</v>
      </c>
      <c r="H1470">
        <v>0</v>
      </c>
      <c r="I1470" s="29">
        <v>0</v>
      </c>
      <c r="J1470" s="29">
        <v>0</v>
      </c>
      <c r="K1470" s="9">
        <v>45330</v>
      </c>
      <c r="L1470">
        <f xml:space="preserve"> (交易處理資料__3[[#This Row],[售出工時]] * 60) / 5</f>
        <v>0</v>
      </c>
      <c r="M1470" t="str">
        <f>VLOOKUP(交易處理資料__3[[#This Row],[人員代號]],團隊分組!$B$1:$C$52,2,FALSE)</f>
        <v>查修團隊B</v>
      </c>
      <c r="N1470" t="str">
        <f>IF(交易處理資料__3[[#This Row],[上班時間]]=0,"否","是")</f>
        <v>否</v>
      </c>
      <c r="O1470" t="s">
        <v>76</v>
      </c>
      <c r="P1470" s="37">
        <v>0</v>
      </c>
      <c r="Q1470" s="37">
        <v>0</v>
      </c>
      <c r="R1470" s="37">
        <v>0</v>
      </c>
    </row>
    <row r="1471" spans="1:18" hidden="1">
      <c r="A1471" t="s">
        <v>76</v>
      </c>
      <c r="B1471" t="s">
        <v>19</v>
      </c>
      <c r="C1471">
        <v>0</v>
      </c>
      <c r="D1471">
        <v>0</v>
      </c>
      <c r="E1471" s="29">
        <v>0</v>
      </c>
      <c r="F1471">
        <v>0</v>
      </c>
      <c r="G1471">
        <v>0</v>
      </c>
      <c r="H1471">
        <v>0</v>
      </c>
      <c r="I1471" s="29">
        <v>0</v>
      </c>
      <c r="J1471" s="29">
        <v>0</v>
      </c>
      <c r="K1471" s="9">
        <v>45330</v>
      </c>
      <c r="L1471">
        <f xml:space="preserve"> (交易處理資料__3[[#This Row],[售出工時]] * 60) / 5</f>
        <v>0</v>
      </c>
      <c r="M1471" t="str">
        <f>VLOOKUP(交易處理資料__3[[#This Row],[人員代號]],團隊分組!$B$1:$C$52,2,FALSE)</f>
        <v>查修團隊A</v>
      </c>
      <c r="N1471" t="str">
        <f>IF(交易處理資料__3[[#This Row],[上班時間]]=0,"否","是")</f>
        <v>否</v>
      </c>
      <c r="O1471" t="s">
        <v>76</v>
      </c>
      <c r="P1471" s="38">
        <v>0</v>
      </c>
      <c r="Q1471" s="38">
        <v>0</v>
      </c>
      <c r="R1471" s="38">
        <v>0</v>
      </c>
    </row>
    <row r="1472" spans="1:18" hidden="1">
      <c r="A1472" t="s">
        <v>76</v>
      </c>
      <c r="B1472" t="s">
        <v>20</v>
      </c>
      <c r="C1472">
        <v>0</v>
      </c>
      <c r="D1472">
        <v>0</v>
      </c>
      <c r="E1472" s="29">
        <v>0</v>
      </c>
      <c r="F1472">
        <v>0</v>
      </c>
      <c r="G1472">
        <v>0</v>
      </c>
      <c r="H1472">
        <v>0</v>
      </c>
      <c r="I1472" s="29">
        <v>0</v>
      </c>
      <c r="J1472" s="29">
        <v>0</v>
      </c>
      <c r="K1472" s="9">
        <v>45330</v>
      </c>
      <c r="L1472">
        <f xml:space="preserve"> (交易處理資料__3[[#This Row],[售出工時]] * 60) / 5</f>
        <v>0</v>
      </c>
      <c r="M1472" t="str">
        <f>VLOOKUP(交易處理資料__3[[#This Row],[人員代號]],團隊分組!$B$1:$C$52,2,FALSE)</f>
        <v>查修團隊B</v>
      </c>
      <c r="N1472" t="str">
        <f>IF(交易處理資料__3[[#This Row],[上班時間]]=0,"否","是")</f>
        <v>否</v>
      </c>
      <c r="O1472" t="s">
        <v>76</v>
      </c>
      <c r="P1472" s="37">
        <v>0</v>
      </c>
      <c r="Q1472" s="37">
        <v>0</v>
      </c>
      <c r="R1472" s="37">
        <v>0</v>
      </c>
    </row>
    <row r="1473" spans="1:18" hidden="1">
      <c r="A1473" t="s">
        <v>76</v>
      </c>
      <c r="B1473" t="s">
        <v>21</v>
      </c>
      <c r="C1473">
        <v>0</v>
      </c>
      <c r="D1473">
        <v>0</v>
      </c>
      <c r="E1473" s="29">
        <v>0</v>
      </c>
      <c r="F1473">
        <v>0</v>
      </c>
      <c r="G1473">
        <v>0</v>
      </c>
      <c r="H1473">
        <v>0</v>
      </c>
      <c r="I1473" s="29">
        <v>0</v>
      </c>
      <c r="J1473" s="29">
        <v>0</v>
      </c>
      <c r="K1473" s="9">
        <v>45330</v>
      </c>
      <c r="L1473">
        <f xml:space="preserve"> (交易處理資料__3[[#This Row],[售出工時]] * 60) / 5</f>
        <v>0</v>
      </c>
      <c r="M1473" t="str">
        <f>VLOOKUP(交易處理資料__3[[#This Row],[人員代號]],團隊分組!$B$1:$C$52,2,FALSE)</f>
        <v>查修團隊B</v>
      </c>
      <c r="N1473" t="str">
        <f>IF(交易處理資料__3[[#This Row],[上班時間]]=0,"否","是")</f>
        <v>否</v>
      </c>
      <c r="O1473" t="s">
        <v>76</v>
      </c>
      <c r="P1473" s="38">
        <v>0</v>
      </c>
      <c r="Q1473" s="38">
        <v>0</v>
      </c>
      <c r="R1473" s="38">
        <v>0</v>
      </c>
    </row>
    <row r="1474" spans="1:18" hidden="1">
      <c r="A1474" t="s">
        <v>76</v>
      </c>
      <c r="B1474" t="s">
        <v>22</v>
      </c>
      <c r="C1474">
        <v>0</v>
      </c>
      <c r="D1474">
        <v>0</v>
      </c>
      <c r="E1474" s="29">
        <v>0</v>
      </c>
      <c r="F1474">
        <v>0</v>
      </c>
      <c r="G1474">
        <v>0</v>
      </c>
      <c r="H1474">
        <v>0</v>
      </c>
      <c r="I1474" s="29">
        <v>0</v>
      </c>
      <c r="J1474" s="29">
        <v>0</v>
      </c>
      <c r="K1474" s="9">
        <v>45330</v>
      </c>
      <c r="L1474">
        <f xml:space="preserve"> (交易處理資料__3[[#This Row],[售出工時]] * 60) / 5</f>
        <v>0</v>
      </c>
      <c r="M1474" t="str">
        <f>VLOOKUP(交易處理資料__3[[#This Row],[人員代號]],團隊分組!$B$1:$C$52,2,FALSE)</f>
        <v>快速保養團隊A</v>
      </c>
      <c r="N1474" t="str">
        <f>IF(交易處理資料__3[[#This Row],[上班時間]]=0,"否","是")</f>
        <v>否</v>
      </c>
      <c r="O1474" t="s">
        <v>76</v>
      </c>
      <c r="P1474" s="37">
        <v>0</v>
      </c>
      <c r="Q1474" s="37">
        <v>0</v>
      </c>
      <c r="R1474" s="37">
        <v>0</v>
      </c>
    </row>
    <row r="1475" spans="1:18" hidden="1">
      <c r="A1475" t="s">
        <v>76</v>
      </c>
      <c r="B1475" t="s">
        <v>24</v>
      </c>
      <c r="C1475">
        <v>5.4166666670000003</v>
      </c>
      <c r="D1475">
        <v>4.72</v>
      </c>
      <c r="E1475" s="29">
        <v>1.1475988700000002</v>
      </c>
      <c r="F1475">
        <v>4.72</v>
      </c>
      <c r="G1475">
        <v>3.43</v>
      </c>
      <c r="H1475">
        <v>8.15</v>
      </c>
      <c r="I1475" s="29">
        <v>0.57909999999999995</v>
      </c>
      <c r="J1475" s="29">
        <v>0.66459999999999997</v>
      </c>
      <c r="K1475" s="9">
        <v>45330</v>
      </c>
      <c r="L1475">
        <f xml:space="preserve"> (交易處理資料__3[[#This Row],[售出工時]] * 60) / 5</f>
        <v>65.000000004</v>
      </c>
      <c r="M1475" t="str">
        <f>VLOOKUP(交易處理資料__3[[#This Row],[人員代號]],團隊分組!$B$1:$C$52,2,FALSE)</f>
        <v>快速保養團隊A</v>
      </c>
      <c r="N1475" t="str">
        <f>IF(交易處理資料__3[[#This Row],[上班時間]]=0,"否","是")</f>
        <v>是</v>
      </c>
      <c r="O1475" t="s">
        <v>76</v>
      </c>
      <c r="P1475" s="38">
        <v>1.1475988700000002</v>
      </c>
      <c r="Q1475" s="38">
        <v>0.66459999999999997</v>
      </c>
      <c r="R1475" s="38">
        <v>0.57909999999999995</v>
      </c>
    </row>
    <row r="1476" spans="1:18" hidden="1">
      <c r="A1476" t="s">
        <v>76</v>
      </c>
      <c r="B1476" t="s">
        <v>25</v>
      </c>
      <c r="C1476">
        <v>0</v>
      </c>
      <c r="D1476">
        <v>0</v>
      </c>
      <c r="E1476" s="29">
        <v>0</v>
      </c>
      <c r="F1476">
        <v>0</v>
      </c>
      <c r="G1476">
        <v>0</v>
      </c>
      <c r="H1476">
        <v>0</v>
      </c>
      <c r="I1476" s="29">
        <v>0</v>
      </c>
      <c r="J1476" s="29">
        <v>0</v>
      </c>
      <c r="K1476" s="9">
        <v>45330</v>
      </c>
      <c r="L1476">
        <f xml:space="preserve"> (交易處理資料__3[[#This Row],[售出工時]] * 60) / 5</f>
        <v>0</v>
      </c>
      <c r="M1476" t="str">
        <f>VLOOKUP(交易處理資料__3[[#This Row],[人員代號]],團隊分組!$B$1:$C$52,2,FALSE)</f>
        <v>查修團隊A</v>
      </c>
      <c r="N1476" t="str">
        <f>IF(交易處理資料__3[[#This Row],[上班時間]]=0,"否","是")</f>
        <v>否</v>
      </c>
      <c r="O1476" t="s">
        <v>76</v>
      </c>
      <c r="P1476" s="37">
        <v>0</v>
      </c>
      <c r="Q1476" s="37">
        <v>0</v>
      </c>
      <c r="R1476" s="37">
        <v>0</v>
      </c>
    </row>
    <row r="1477" spans="1:18" hidden="1">
      <c r="A1477" t="s">
        <v>76</v>
      </c>
      <c r="B1477" t="s">
        <v>26</v>
      </c>
      <c r="C1477">
        <v>0</v>
      </c>
      <c r="D1477">
        <v>0</v>
      </c>
      <c r="E1477" s="29">
        <v>0</v>
      </c>
      <c r="F1477">
        <v>0</v>
      </c>
      <c r="G1477">
        <v>8.18</v>
      </c>
      <c r="H1477">
        <v>8.18</v>
      </c>
      <c r="I1477" s="29">
        <v>0</v>
      </c>
      <c r="J1477" s="29">
        <v>0</v>
      </c>
      <c r="K1477" s="9">
        <v>45330</v>
      </c>
      <c r="L1477">
        <f xml:space="preserve"> (交易處理資料__3[[#This Row],[售出工時]] * 60) / 5</f>
        <v>0</v>
      </c>
      <c r="M1477" t="str">
        <f>VLOOKUP(交易處理資料__3[[#This Row],[人員代號]],團隊分組!$B$1:$C$52,2,FALSE)</f>
        <v>查修團隊B</v>
      </c>
      <c r="N1477" t="str">
        <f>IF(交易處理資料__3[[#This Row],[上班時間]]=0,"否","是")</f>
        <v>是</v>
      </c>
      <c r="O1477" t="s">
        <v>76</v>
      </c>
      <c r="P1477" s="38">
        <v>0</v>
      </c>
      <c r="Q1477" s="38">
        <v>0</v>
      </c>
      <c r="R1477" s="38">
        <v>0</v>
      </c>
    </row>
    <row r="1478" spans="1:18" hidden="1">
      <c r="A1478" t="s">
        <v>76</v>
      </c>
      <c r="B1478" t="s">
        <v>27</v>
      </c>
      <c r="C1478">
        <v>0</v>
      </c>
      <c r="D1478">
        <v>0</v>
      </c>
      <c r="E1478" s="29">
        <v>0</v>
      </c>
      <c r="F1478">
        <v>0</v>
      </c>
      <c r="G1478">
        <v>0</v>
      </c>
      <c r="H1478">
        <v>0</v>
      </c>
      <c r="I1478" s="29">
        <v>0</v>
      </c>
      <c r="J1478" s="29">
        <v>0</v>
      </c>
      <c r="K1478" s="9">
        <v>45330</v>
      </c>
      <c r="L1478">
        <f xml:space="preserve"> (交易處理資料__3[[#This Row],[售出工時]] * 60) / 5</f>
        <v>0</v>
      </c>
      <c r="M1478" t="str">
        <f>VLOOKUP(交易處理資料__3[[#This Row],[人員代號]],團隊分組!$B$1:$C$52,2,FALSE)</f>
        <v>快速保養團隊B</v>
      </c>
      <c r="N1478" t="str">
        <f>IF(交易處理資料__3[[#This Row],[上班時間]]=0,"否","是")</f>
        <v>否</v>
      </c>
      <c r="O1478" t="s">
        <v>76</v>
      </c>
      <c r="P1478" s="37">
        <v>0</v>
      </c>
      <c r="Q1478" s="37">
        <v>0</v>
      </c>
      <c r="R1478" s="37">
        <v>0</v>
      </c>
    </row>
    <row r="1479" spans="1:18" hidden="1">
      <c r="A1479" t="s">
        <v>76</v>
      </c>
      <c r="B1479" t="s">
        <v>29</v>
      </c>
      <c r="C1479">
        <v>0</v>
      </c>
      <c r="D1479">
        <v>0</v>
      </c>
      <c r="E1479" s="29">
        <v>0</v>
      </c>
      <c r="F1479">
        <v>0</v>
      </c>
      <c r="G1479">
        <v>0</v>
      </c>
      <c r="H1479">
        <v>0</v>
      </c>
      <c r="I1479" s="29">
        <v>0</v>
      </c>
      <c r="J1479" s="29">
        <v>0</v>
      </c>
      <c r="K1479" s="9">
        <v>45330</v>
      </c>
      <c r="L1479">
        <f xml:space="preserve"> (交易處理資料__3[[#This Row],[售出工時]] * 60) / 5</f>
        <v>0</v>
      </c>
      <c r="M1479" t="str">
        <f>VLOOKUP(交易處理資料__3[[#This Row],[人員代號]],團隊分組!$B$1:$C$52,2,FALSE)</f>
        <v>查修團隊B</v>
      </c>
      <c r="N1479" t="str">
        <f>IF(交易處理資料__3[[#This Row],[上班時間]]=0,"否","是")</f>
        <v>否</v>
      </c>
      <c r="O1479" t="s">
        <v>76</v>
      </c>
      <c r="P1479" s="38">
        <v>0</v>
      </c>
      <c r="Q1479" s="38">
        <v>0</v>
      </c>
      <c r="R1479" s="38">
        <v>0</v>
      </c>
    </row>
    <row r="1480" spans="1:18" hidden="1">
      <c r="A1480" t="s">
        <v>76</v>
      </c>
      <c r="B1480" t="s">
        <v>30</v>
      </c>
      <c r="C1480">
        <v>6.4566666670000004</v>
      </c>
      <c r="D1480">
        <v>3.53</v>
      </c>
      <c r="E1480" s="29">
        <v>1.8290840420000001</v>
      </c>
      <c r="F1480">
        <v>3.53</v>
      </c>
      <c r="G1480">
        <v>4.6500000000000004</v>
      </c>
      <c r="H1480">
        <v>8.18</v>
      </c>
      <c r="I1480" s="29">
        <v>0.43149999999999999</v>
      </c>
      <c r="J1480" s="29">
        <v>0.78930000000000011</v>
      </c>
      <c r="K1480" s="9">
        <v>45330</v>
      </c>
      <c r="L1480">
        <f xml:space="preserve"> (交易處理資料__3[[#This Row],[售出工時]] * 60) / 5</f>
        <v>77.480000004000004</v>
      </c>
      <c r="M1480" t="str">
        <f>VLOOKUP(交易處理資料__3[[#This Row],[人員代號]],團隊分組!$B$1:$C$52,2,FALSE)</f>
        <v>快速保養團隊B</v>
      </c>
      <c r="N1480" t="str">
        <f>IF(交易處理資料__3[[#This Row],[上班時間]]=0,"否","是")</f>
        <v>是</v>
      </c>
      <c r="O1480" t="s">
        <v>76</v>
      </c>
      <c r="P1480" s="37">
        <v>1.8290840420000001</v>
      </c>
      <c r="Q1480" s="37">
        <v>0.78930000000000011</v>
      </c>
      <c r="R1480" s="37">
        <v>0.43149999999999999</v>
      </c>
    </row>
    <row r="1481" spans="1:18" hidden="1">
      <c r="A1481" t="s">
        <v>76</v>
      </c>
      <c r="B1481" t="s">
        <v>32</v>
      </c>
      <c r="C1481">
        <v>0</v>
      </c>
      <c r="D1481">
        <v>0</v>
      </c>
      <c r="E1481" s="29">
        <v>0</v>
      </c>
      <c r="F1481">
        <v>0</v>
      </c>
      <c r="G1481">
        <v>0</v>
      </c>
      <c r="H1481">
        <v>0</v>
      </c>
      <c r="I1481" s="29">
        <v>0</v>
      </c>
      <c r="J1481" s="29">
        <v>0</v>
      </c>
      <c r="K1481" s="9">
        <v>45330</v>
      </c>
      <c r="L1481">
        <f xml:space="preserve"> (交易處理資料__3[[#This Row],[售出工時]] * 60) / 5</f>
        <v>0</v>
      </c>
      <c r="M1481" t="str">
        <f>VLOOKUP(交易處理資料__3[[#This Row],[人員代號]],團隊分組!$B$1:$C$52,2,FALSE)</f>
        <v>快速保養團隊B</v>
      </c>
      <c r="N1481" t="str">
        <f>IF(交易處理資料__3[[#This Row],[上班時間]]=0,"否","是")</f>
        <v>否</v>
      </c>
      <c r="O1481" t="s">
        <v>76</v>
      </c>
      <c r="P1481" s="38">
        <v>0</v>
      </c>
      <c r="Q1481" s="38">
        <v>0</v>
      </c>
      <c r="R1481" s="38">
        <v>0</v>
      </c>
    </row>
    <row r="1482" spans="1:18" hidden="1">
      <c r="A1482" t="s">
        <v>76</v>
      </c>
      <c r="B1482" t="s">
        <v>33</v>
      </c>
      <c r="C1482">
        <v>0</v>
      </c>
      <c r="D1482">
        <v>0</v>
      </c>
      <c r="E1482" s="29">
        <v>0</v>
      </c>
      <c r="F1482">
        <v>0</v>
      </c>
      <c r="G1482">
        <v>0</v>
      </c>
      <c r="H1482">
        <v>0</v>
      </c>
      <c r="I1482" s="29">
        <v>0</v>
      </c>
      <c r="J1482" s="29">
        <v>0</v>
      </c>
      <c r="K1482" s="9">
        <v>45330</v>
      </c>
      <c r="L1482">
        <f xml:space="preserve"> (交易處理資料__3[[#This Row],[售出工時]] * 60) / 5</f>
        <v>0</v>
      </c>
      <c r="M1482" t="str">
        <f>VLOOKUP(交易處理資料__3[[#This Row],[人員代號]],團隊分組!$B$1:$C$52,2,FALSE)</f>
        <v>快速保養團隊B</v>
      </c>
      <c r="N1482" t="str">
        <f>IF(交易處理資料__3[[#This Row],[上班時間]]=0,"否","是")</f>
        <v>否</v>
      </c>
      <c r="O1482" t="s">
        <v>76</v>
      </c>
      <c r="P1482" s="37">
        <v>0</v>
      </c>
      <c r="Q1482" s="37">
        <v>0</v>
      </c>
      <c r="R1482" s="37">
        <v>0</v>
      </c>
    </row>
    <row r="1483" spans="1:18" hidden="1">
      <c r="A1483" t="s">
        <v>76</v>
      </c>
      <c r="B1483" t="s">
        <v>34</v>
      </c>
      <c r="C1483">
        <v>0</v>
      </c>
      <c r="D1483">
        <v>0</v>
      </c>
      <c r="E1483" s="29">
        <v>0</v>
      </c>
      <c r="F1483">
        <v>0</v>
      </c>
      <c r="G1483">
        <v>0</v>
      </c>
      <c r="H1483">
        <v>0</v>
      </c>
      <c r="I1483" s="29">
        <v>0</v>
      </c>
      <c r="J1483" s="29">
        <v>0</v>
      </c>
      <c r="K1483" s="9">
        <v>45330</v>
      </c>
      <c r="L1483">
        <f xml:space="preserve"> (交易處理資料__3[[#This Row],[售出工時]] * 60) / 5</f>
        <v>0</v>
      </c>
      <c r="M1483" t="str">
        <f>VLOOKUP(交易處理資料__3[[#This Row],[人員代號]],團隊分組!$B$1:$C$52,2,FALSE)</f>
        <v>快速保養團隊A</v>
      </c>
      <c r="N1483" t="str">
        <f>IF(交易處理資料__3[[#This Row],[上班時間]]=0,"否","是")</f>
        <v>否</v>
      </c>
      <c r="O1483" t="s">
        <v>76</v>
      </c>
      <c r="P1483" s="38">
        <v>0</v>
      </c>
      <c r="Q1483" s="38">
        <v>0</v>
      </c>
      <c r="R1483" s="38">
        <v>0</v>
      </c>
    </row>
    <row r="1484" spans="1:18" hidden="1">
      <c r="A1484" t="s">
        <v>76</v>
      </c>
      <c r="B1484" t="s">
        <v>35</v>
      </c>
      <c r="C1484">
        <v>0</v>
      </c>
      <c r="D1484">
        <v>0</v>
      </c>
      <c r="E1484" s="29">
        <v>0</v>
      </c>
      <c r="F1484">
        <v>0</v>
      </c>
      <c r="G1484">
        <v>0</v>
      </c>
      <c r="H1484">
        <v>0</v>
      </c>
      <c r="I1484" s="29">
        <v>0</v>
      </c>
      <c r="J1484" s="29">
        <v>0</v>
      </c>
      <c r="K1484" s="9">
        <v>45330</v>
      </c>
      <c r="L1484">
        <f xml:space="preserve"> (交易處理資料__3[[#This Row],[售出工時]] * 60) / 5</f>
        <v>0</v>
      </c>
      <c r="M1484" t="str">
        <f>VLOOKUP(交易處理資料__3[[#This Row],[人員代號]],團隊分組!$B$1:$C$52,2,FALSE)</f>
        <v>查修團隊B</v>
      </c>
      <c r="N1484" t="str">
        <f>IF(交易處理資料__3[[#This Row],[上班時間]]=0,"否","是")</f>
        <v>否</v>
      </c>
      <c r="O1484" t="s">
        <v>76</v>
      </c>
      <c r="P1484" s="37">
        <v>0</v>
      </c>
      <c r="Q1484" s="37">
        <v>0</v>
      </c>
      <c r="R1484" s="37">
        <v>0</v>
      </c>
    </row>
    <row r="1485" spans="1:18" hidden="1">
      <c r="A1485" t="s">
        <v>76</v>
      </c>
      <c r="B1485" t="s">
        <v>36</v>
      </c>
      <c r="C1485">
        <v>0</v>
      </c>
      <c r="D1485">
        <v>0</v>
      </c>
      <c r="E1485" s="29">
        <v>0</v>
      </c>
      <c r="F1485">
        <v>0</v>
      </c>
      <c r="G1485">
        <v>0</v>
      </c>
      <c r="H1485">
        <v>0</v>
      </c>
      <c r="I1485" s="29">
        <v>0</v>
      </c>
      <c r="J1485" s="29">
        <v>0</v>
      </c>
      <c r="K1485" s="9">
        <v>45330</v>
      </c>
      <c r="L1485">
        <f xml:space="preserve"> (交易處理資料__3[[#This Row],[售出工時]] * 60) / 5</f>
        <v>0</v>
      </c>
      <c r="M1485" t="str">
        <f>VLOOKUP(交易處理資料__3[[#This Row],[人員代號]],團隊分組!$B$1:$C$52,2,FALSE)</f>
        <v>查修團隊B</v>
      </c>
      <c r="N1485" t="str">
        <f>IF(交易處理資料__3[[#This Row],[上班時間]]=0,"否","是")</f>
        <v>否</v>
      </c>
      <c r="O1485" t="s">
        <v>76</v>
      </c>
      <c r="P1485" s="38">
        <v>0</v>
      </c>
      <c r="Q1485" s="38">
        <v>0</v>
      </c>
      <c r="R1485" s="38">
        <v>0</v>
      </c>
    </row>
    <row r="1486" spans="1:18" hidden="1">
      <c r="A1486" t="s">
        <v>76</v>
      </c>
      <c r="B1486" t="s">
        <v>37</v>
      </c>
      <c r="C1486">
        <v>4.2033333329999998</v>
      </c>
      <c r="D1486">
        <v>3.3</v>
      </c>
      <c r="E1486" s="29">
        <v>1.273737374</v>
      </c>
      <c r="F1486">
        <v>3.97</v>
      </c>
      <c r="G1486">
        <v>5.08</v>
      </c>
      <c r="H1486">
        <v>9.0500000000000007</v>
      </c>
      <c r="I1486" s="29">
        <v>0.43869999999999998</v>
      </c>
      <c r="J1486" s="29">
        <v>0.46450000000000002</v>
      </c>
      <c r="K1486" s="9">
        <v>45330</v>
      </c>
      <c r="L1486">
        <f xml:space="preserve"> (交易處理資料__3[[#This Row],[售出工時]] * 60) / 5</f>
        <v>50.439999995999997</v>
      </c>
      <c r="M1486" t="str">
        <f>VLOOKUP(交易處理資料__3[[#This Row],[人員代號]],團隊分組!$B$1:$C$52,2,FALSE)</f>
        <v>查修團隊A</v>
      </c>
      <c r="N1486" t="str">
        <f>IF(交易處理資料__3[[#This Row],[上班時間]]=0,"否","是")</f>
        <v>是</v>
      </c>
      <c r="O1486" t="s">
        <v>76</v>
      </c>
      <c r="P1486" s="37">
        <v>1.273737374</v>
      </c>
      <c r="Q1486" s="37">
        <v>0.46450000000000002</v>
      </c>
      <c r="R1486" s="37">
        <v>0.43869999999999998</v>
      </c>
    </row>
    <row r="1487" spans="1:18" hidden="1">
      <c r="A1487" t="s">
        <v>76</v>
      </c>
      <c r="B1487" t="s">
        <v>39</v>
      </c>
      <c r="C1487">
        <v>0</v>
      </c>
      <c r="D1487">
        <v>0</v>
      </c>
      <c r="E1487" s="29">
        <v>0</v>
      </c>
      <c r="F1487">
        <v>0</v>
      </c>
      <c r="G1487">
        <v>0</v>
      </c>
      <c r="H1487">
        <v>0</v>
      </c>
      <c r="I1487" s="29">
        <v>0</v>
      </c>
      <c r="J1487" s="29">
        <v>0</v>
      </c>
      <c r="K1487" s="9">
        <v>45330</v>
      </c>
      <c r="L1487">
        <f xml:space="preserve"> (交易處理資料__3[[#This Row],[售出工時]] * 60) / 5</f>
        <v>0</v>
      </c>
      <c r="M1487" t="str">
        <f>VLOOKUP(交易處理資料__3[[#This Row],[人員代號]],團隊分組!$B$1:$C$52,2,FALSE)</f>
        <v>查修團隊A</v>
      </c>
      <c r="N1487" t="str">
        <f>IF(交易處理資料__3[[#This Row],[上班時間]]=0,"否","是")</f>
        <v>否</v>
      </c>
      <c r="O1487" t="s">
        <v>76</v>
      </c>
      <c r="P1487" s="38">
        <v>0</v>
      </c>
      <c r="Q1487" s="38">
        <v>0</v>
      </c>
      <c r="R1487" s="38">
        <v>0</v>
      </c>
    </row>
    <row r="1488" spans="1:18" hidden="1">
      <c r="A1488" t="s">
        <v>76</v>
      </c>
      <c r="B1488" t="s">
        <v>40</v>
      </c>
      <c r="C1488">
        <v>0</v>
      </c>
      <c r="D1488">
        <v>0</v>
      </c>
      <c r="E1488" s="29">
        <v>0</v>
      </c>
      <c r="F1488">
        <v>0</v>
      </c>
      <c r="G1488">
        <v>0</v>
      </c>
      <c r="H1488">
        <v>0</v>
      </c>
      <c r="I1488" s="29">
        <v>0</v>
      </c>
      <c r="J1488" s="29">
        <v>0</v>
      </c>
      <c r="K1488" s="9">
        <v>45330</v>
      </c>
      <c r="L1488">
        <f xml:space="preserve"> (交易處理資料__3[[#This Row],[售出工時]] * 60) / 5</f>
        <v>0</v>
      </c>
      <c r="M1488" t="str">
        <f>VLOOKUP(交易處理資料__3[[#This Row],[人員代號]],團隊分組!$B$1:$C$52,2,FALSE)</f>
        <v>查修團隊A</v>
      </c>
      <c r="N1488" t="str">
        <f>IF(交易處理資料__3[[#This Row],[上班時間]]=0,"否","是")</f>
        <v>否</v>
      </c>
      <c r="O1488" t="s">
        <v>76</v>
      </c>
      <c r="P1488" s="37">
        <v>0</v>
      </c>
      <c r="Q1488" s="37">
        <v>0</v>
      </c>
      <c r="R1488" s="37">
        <v>0</v>
      </c>
    </row>
    <row r="1489" spans="1:18" hidden="1">
      <c r="A1489" t="s">
        <v>76</v>
      </c>
      <c r="B1489" t="s">
        <v>41</v>
      </c>
      <c r="C1489">
        <v>0</v>
      </c>
      <c r="D1489">
        <v>0</v>
      </c>
      <c r="E1489" s="29">
        <v>0</v>
      </c>
      <c r="F1489">
        <v>0</v>
      </c>
      <c r="G1489">
        <v>0</v>
      </c>
      <c r="H1489">
        <v>0</v>
      </c>
      <c r="I1489" s="29">
        <v>0</v>
      </c>
      <c r="J1489" s="29">
        <v>0</v>
      </c>
      <c r="K1489" s="9">
        <v>45330</v>
      </c>
      <c r="L1489">
        <f xml:space="preserve"> (交易處理資料__3[[#This Row],[售出工時]] * 60) / 5</f>
        <v>0</v>
      </c>
      <c r="M1489" t="str">
        <f>VLOOKUP(交易處理資料__3[[#This Row],[人員代號]],團隊分組!$B$1:$C$52,2,FALSE)</f>
        <v>快速保養團隊A</v>
      </c>
      <c r="N1489" t="str">
        <f>IF(交易處理資料__3[[#This Row],[上班時間]]=0,"否","是")</f>
        <v>否</v>
      </c>
      <c r="O1489" t="s">
        <v>76</v>
      </c>
      <c r="P1489" s="38">
        <v>0</v>
      </c>
      <c r="Q1489" s="38">
        <v>0</v>
      </c>
      <c r="R1489" s="38">
        <v>0</v>
      </c>
    </row>
    <row r="1490" spans="1:18" hidden="1">
      <c r="A1490" t="s">
        <v>76</v>
      </c>
      <c r="B1490" t="s">
        <v>42</v>
      </c>
      <c r="C1490">
        <v>5.25</v>
      </c>
      <c r="D1490">
        <v>3.77</v>
      </c>
      <c r="E1490" s="29">
        <v>1.3925729440000001</v>
      </c>
      <c r="F1490">
        <v>3.77</v>
      </c>
      <c r="G1490">
        <v>4.4000000000000004</v>
      </c>
      <c r="H1490">
        <v>8.17</v>
      </c>
      <c r="I1490" s="29">
        <v>0.46140000000000003</v>
      </c>
      <c r="J1490" s="29">
        <v>0.64260000000000006</v>
      </c>
      <c r="K1490" s="9">
        <v>45330</v>
      </c>
      <c r="L1490">
        <f xml:space="preserve"> (交易處理資料__3[[#This Row],[售出工時]] * 60) / 5</f>
        <v>63</v>
      </c>
      <c r="M1490" t="str">
        <f>VLOOKUP(交易處理資料__3[[#This Row],[人員代號]],團隊分組!$B$1:$C$52,2,FALSE)</f>
        <v>快速保養團隊A</v>
      </c>
      <c r="N1490" t="str">
        <f>IF(交易處理資料__3[[#This Row],[上班時間]]=0,"否","是")</f>
        <v>是</v>
      </c>
      <c r="O1490" t="s">
        <v>76</v>
      </c>
      <c r="P1490" s="37">
        <v>1.3925729440000001</v>
      </c>
      <c r="Q1490" s="37">
        <v>0.64260000000000006</v>
      </c>
      <c r="R1490" s="37">
        <v>0.46140000000000003</v>
      </c>
    </row>
    <row r="1491" spans="1:18" hidden="1">
      <c r="A1491" t="s">
        <v>76</v>
      </c>
      <c r="B1491" t="s">
        <v>43</v>
      </c>
      <c r="C1491">
        <v>0</v>
      </c>
      <c r="D1491">
        <v>0</v>
      </c>
      <c r="E1491" s="29">
        <v>0</v>
      </c>
      <c r="F1491">
        <v>0</v>
      </c>
      <c r="G1491">
        <v>0</v>
      </c>
      <c r="H1491">
        <v>0</v>
      </c>
      <c r="I1491" s="29">
        <v>0</v>
      </c>
      <c r="J1491" s="29">
        <v>0</v>
      </c>
      <c r="K1491" s="9">
        <v>45330</v>
      </c>
      <c r="L1491">
        <f xml:space="preserve"> (交易處理資料__3[[#This Row],[售出工時]] * 60) / 5</f>
        <v>0</v>
      </c>
      <c r="M1491" t="str">
        <f>VLOOKUP(交易處理資料__3[[#This Row],[人員代號]],團隊分組!$B$1:$C$52,2,FALSE)</f>
        <v>查修團隊B</v>
      </c>
      <c r="N1491" t="str">
        <f>IF(交易處理資料__3[[#This Row],[上班時間]]=0,"否","是")</f>
        <v>否</v>
      </c>
      <c r="O1491" t="s">
        <v>76</v>
      </c>
      <c r="P1491" s="38">
        <v>0</v>
      </c>
      <c r="Q1491" s="38">
        <v>0</v>
      </c>
      <c r="R1491" s="38">
        <v>0</v>
      </c>
    </row>
    <row r="1492" spans="1:18" hidden="1">
      <c r="A1492" t="s">
        <v>76</v>
      </c>
      <c r="B1492" t="s">
        <v>44</v>
      </c>
      <c r="C1492">
        <v>5.57</v>
      </c>
      <c r="D1492">
        <v>3.17</v>
      </c>
      <c r="E1492" s="29">
        <v>1.7570977920000002</v>
      </c>
      <c r="F1492">
        <v>3.17</v>
      </c>
      <c r="G1492">
        <v>5.01</v>
      </c>
      <c r="H1492">
        <v>8.18</v>
      </c>
      <c r="I1492" s="29">
        <v>0.38750000000000001</v>
      </c>
      <c r="J1492" s="29">
        <v>0.68090000000000006</v>
      </c>
      <c r="K1492" s="9">
        <v>45330</v>
      </c>
      <c r="L1492">
        <f xml:space="preserve"> (交易處理資料__3[[#This Row],[售出工時]] * 60) / 5</f>
        <v>66.84</v>
      </c>
      <c r="M1492" t="str">
        <f>VLOOKUP(交易處理資料__3[[#This Row],[人員代號]],團隊分組!$B$1:$C$52,2,FALSE)</f>
        <v>快速保養團隊B</v>
      </c>
      <c r="N1492" t="str">
        <f>IF(交易處理資料__3[[#This Row],[上班時間]]=0,"否","是")</f>
        <v>是</v>
      </c>
      <c r="O1492" t="s">
        <v>76</v>
      </c>
      <c r="P1492" s="37">
        <v>1.7570977920000002</v>
      </c>
      <c r="Q1492" s="37">
        <v>0.68090000000000006</v>
      </c>
      <c r="R1492" s="37">
        <v>0.38750000000000001</v>
      </c>
    </row>
    <row r="1493" spans="1:18" hidden="1">
      <c r="A1493" t="s">
        <v>76</v>
      </c>
      <c r="B1493" t="s">
        <v>45</v>
      </c>
      <c r="C1493">
        <v>0</v>
      </c>
      <c r="D1493">
        <v>0</v>
      </c>
      <c r="E1493" s="29">
        <v>0</v>
      </c>
      <c r="F1493">
        <v>0</v>
      </c>
      <c r="G1493">
        <v>0</v>
      </c>
      <c r="H1493">
        <v>0</v>
      </c>
      <c r="I1493" s="29">
        <v>0</v>
      </c>
      <c r="J1493" s="29">
        <v>0</v>
      </c>
      <c r="K1493" s="9">
        <v>45330</v>
      </c>
      <c r="L1493">
        <f xml:space="preserve"> (交易處理資料__3[[#This Row],[售出工時]] * 60) / 5</f>
        <v>0</v>
      </c>
      <c r="M1493" t="str">
        <f>VLOOKUP(交易處理資料__3[[#This Row],[人員代號]],團隊分組!$B$1:$C$52,2,FALSE)</f>
        <v>快速保養團隊A</v>
      </c>
      <c r="N1493" t="str">
        <f>IF(交易處理資料__3[[#This Row],[上班時間]]=0,"否","是")</f>
        <v>否</v>
      </c>
      <c r="O1493" t="s">
        <v>76</v>
      </c>
      <c r="P1493" s="38">
        <v>0</v>
      </c>
      <c r="Q1493" s="38">
        <v>0</v>
      </c>
      <c r="R1493" s="38">
        <v>0</v>
      </c>
    </row>
    <row r="1494" spans="1:18" hidden="1">
      <c r="A1494" t="s">
        <v>76</v>
      </c>
      <c r="B1494" t="s">
        <v>46</v>
      </c>
      <c r="C1494">
        <v>0</v>
      </c>
      <c r="D1494">
        <v>0</v>
      </c>
      <c r="E1494" s="29">
        <v>0</v>
      </c>
      <c r="F1494">
        <v>0</v>
      </c>
      <c r="G1494">
        <v>0</v>
      </c>
      <c r="H1494">
        <v>0</v>
      </c>
      <c r="I1494" s="29">
        <v>0</v>
      </c>
      <c r="J1494" s="29">
        <v>0</v>
      </c>
      <c r="K1494" s="9">
        <v>45330</v>
      </c>
      <c r="L1494">
        <f xml:space="preserve"> (交易處理資料__3[[#This Row],[售出工時]] * 60) / 5</f>
        <v>0</v>
      </c>
      <c r="M1494" t="str">
        <f>VLOOKUP(交易處理資料__3[[#This Row],[人員代號]],團隊分組!$B$1:$C$52,2,FALSE)</f>
        <v>查修團隊B</v>
      </c>
      <c r="N1494" t="str">
        <f>IF(交易處理資料__3[[#This Row],[上班時間]]=0,"否","是")</f>
        <v>否</v>
      </c>
      <c r="O1494" t="s">
        <v>76</v>
      </c>
      <c r="P1494" s="37">
        <v>0</v>
      </c>
      <c r="Q1494" s="37">
        <v>0</v>
      </c>
      <c r="R1494" s="37">
        <v>0</v>
      </c>
    </row>
    <row r="1495" spans="1:18" hidden="1">
      <c r="A1495" t="s">
        <v>76</v>
      </c>
      <c r="B1495" t="s">
        <v>47</v>
      </c>
      <c r="C1495">
        <v>0</v>
      </c>
      <c r="D1495">
        <v>0</v>
      </c>
      <c r="E1495" s="29">
        <v>0</v>
      </c>
      <c r="F1495">
        <v>0</v>
      </c>
      <c r="G1495">
        <v>0</v>
      </c>
      <c r="H1495">
        <v>0</v>
      </c>
      <c r="I1495" s="29">
        <v>0</v>
      </c>
      <c r="J1495" s="29">
        <v>0</v>
      </c>
      <c r="K1495" s="9">
        <v>45330</v>
      </c>
      <c r="L1495">
        <f xml:space="preserve"> (交易處理資料__3[[#This Row],[售出工時]] * 60) / 5</f>
        <v>0</v>
      </c>
      <c r="M1495" t="str">
        <f>VLOOKUP(交易處理資料__3[[#This Row],[人員代號]],團隊分組!$B$1:$C$52,2,FALSE)</f>
        <v>查修團隊B</v>
      </c>
      <c r="N1495" t="str">
        <f>IF(交易處理資料__3[[#This Row],[上班時間]]=0,"否","是")</f>
        <v>否</v>
      </c>
      <c r="O1495" t="s">
        <v>76</v>
      </c>
      <c r="P1495" s="38">
        <v>0</v>
      </c>
      <c r="Q1495" s="38">
        <v>0</v>
      </c>
      <c r="R1495" s="38">
        <v>0</v>
      </c>
    </row>
    <row r="1496" spans="1:18" hidden="1">
      <c r="A1496" t="s">
        <v>76</v>
      </c>
      <c r="B1496" t="s">
        <v>48</v>
      </c>
      <c r="C1496">
        <v>0</v>
      </c>
      <c r="D1496">
        <v>0</v>
      </c>
      <c r="E1496" s="29">
        <v>0</v>
      </c>
      <c r="F1496">
        <v>0</v>
      </c>
      <c r="G1496">
        <v>0</v>
      </c>
      <c r="H1496">
        <v>0</v>
      </c>
      <c r="I1496" s="29">
        <v>0</v>
      </c>
      <c r="J1496" s="29">
        <v>0</v>
      </c>
      <c r="K1496" s="9">
        <v>45330</v>
      </c>
      <c r="L1496">
        <f xml:space="preserve"> (交易處理資料__3[[#This Row],[售出工時]] * 60) / 5</f>
        <v>0</v>
      </c>
      <c r="M1496" t="str">
        <f>VLOOKUP(交易處理資料__3[[#This Row],[人員代號]],團隊分組!$B$1:$C$52,2,FALSE)</f>
        <v>查修團隊A</v>
      </c>
      <c r="N1496" t="str">
        <f>IF(交易處理資料__3[[#This Row],[上班時間]]=0,"否","是")</f>
        <v>否</v>
      </c>
      <c r="O1496" t="s">
        <v>76</v>
      </c>
      <c r="P1496" s="37">
        <v>0</v>
      </c>
      <c r="Q1496" s="37">
        <v>0</v>
      </c>
      <c r="R1496" s="37">
        <v>0</v>
      </c>
    </row>
    <row r="1497" spans="1:18" hidden="1">
      <c r="A1497" t="s">
        <v>76</v>
      </c>
      <c r="B1497" t="s">
        <v>49</v>
      </c>
      <c r="C1497">
        <v>0</v>
      </c>
      <c r="D1497">
        <v>0</v>
      </c>
      <c r="E1497" s="29">
        <v>0</v>
      </c>
      <c r="F1497">
        <v>0</v>
      </c>
      <c r="G1497">
        <v>0</v>
      </c>
      <c r="H1497">
        <v>0</v>
      </c>
      <c r="I1497" s="29">
        <v>0</v>
      </c>
      <c r="J1497" s="29">
        <v>0</v>
      </c>
      <c r="K1497" s="9">
        <v>45330</v>
      </c>
      <c r="L1497">
        <f xml:space="preserve"> (交易處理資料__3[[#This Row],[售出工時]] * 60) / 5</f>
        <v>0</v>
      </c>
      <c r="M1497" t="str">
        <f>VLOOKUP(交易處理資料__3[[#This Row],[人員代號]],團隊分組!$B$1:$C$52,2,FALSE)</f>
        <v>查修團隊A</v>
      </c>
      <c r="N1497" t="str">
        <f>IF(交易處理資料__3[[#This Row],[上班時間]]=0,"否","是")</f>
        <v>否</v>
      </c>
      <c r="O1497" t="s">
        <v>76</v>
      </c>
      <c r="P1497" s="38">
        <v>0</v>
      </c>
      <c r="Q1497" s="38">
        <v>0</v>
      </c>
      <c r="R1497" s="38">
        <v>0</v>
      </c>
    </row>
    <row r="1498" spans="1:18" hidden="1">
      <c r="A1498" t="s">
        <v>76</v>
      </c>
      <c r="B1498" t="s">
        <v>50</v>
      </c>
      <c r="C1498">
        <v>0</v>
      </c>
      <c r="D1498">
        <v>0</v>
      </c>
      <c r="E1498" s="29">
        <v>0</v>
      </c>
      <c r="F1498">
        <v>0</v>
      </c>
      <c r="G1498">
        <v>0</v>
      </c>
      <c r="H1498">
        <v>0</v>
      </c>
      <c r="I1498" s="29">
        <v>0</v>
      </c>
      <c r="J1498" s="29">
        <v>0</v>
      </c>
      <c r="K1498" s="9">
        <v>45330</v>
      </c>
      <c r="L1498">
        <f xml:space="preserve"> (交易處理資料__3[[#This Row],[售出工時]] * 60) / 5</f>
        <v>0</v>
      </c>
      <c r="M1498" t="str">
        <f>VLOOKUP(交易處理資料__3[[#This Row],[人員代號]],團隊分組!$B$1:$C$52,2,FALSE)</f>
        <v>快速保養團隊B</v>
      </c>
      <c r="N1498" t="str">
        <f>IF(交易處理資料__3[[#This Row],[上班時間]]=0,"否","是")</f>
        <v>否</v>
      </c>
      <c r="O1498" t="s">
        <v>76</v>
      </c>
      <c r="P1498" s="37">
        <v>0</v>
      </c>
      <c r="Q1498" s="37">
        <v>0</v>
      </c>
      <c r="R1498" s="37">
        <v>0</v>
      </c>
    </row>
    <row r="1499" spans="1:18" hidden="1">
      <c r="A1499" t="s">
        <v>76</v>
      </c>
      <c r="B1499" t="s">
        <v>51</v>
      </c>
      <c r="C1499">
        <v>0</v>
      </c>
      <c r="D1499">
        <v>0</v>
      </c>
      <c r="E1499" s="29">
        <v>0</v>
      </c>
      <c r="F1499">
        <v>0</v>
      </c>
      <c r="G1499">
        <v>0</v>
      </c>
      <c r="H1499">
        <v>0</v>
      </c>
      <c r="I1499" s="29">
        <v>0</v>
      </c>
      <c r="J1499" s="29">
        <v>0</v>
      </c>
      <c r="K1499" s="9">
        <v>45330</v>
      </c>
      <c r="L1499">
        <f xml:space="preserve"> (交易處理資料__3[[#This Row],[售出工時]] * 60) / 5</f>
        <v>0</v>
      </c>
      <c r="M1499" t="str">
        <f>VLOOKUP(交易處理資料__3[[#This Row],[人員代號]],團隊分組!$B$1:$C$52,2,FALSE)</f>
        <v>無效數據</v>
      </c>
      <c r="N1499" t="str">
        <f>IF(交易處理資料__3[[#This Row],[上班時間]]=0,"否","是")</f>
        <v>否</v>
      </c>
      <c r="O1499" t="s">
        <v>76</v>
      </c>
      <c r="P1499" s="38">
        <v>0</v>
      </c>
      <c r="Q1499" s="38">
        <v>0</v>
      </c>
      <c r="R1499" s="38">
        <v>0</v>
      </c>
    </row>
    <row r="1500" spans="1:18" hidden="1">
      <c r="A1500" t="s">
        <v>76</v>
      </c>
      <c r="B1500" t="s">
        <v>52</v>
      </c>
      <c r="C1500">
        <v>0</v>
      </c>
      <c r="D1500">
        <v>0</v>
      </c>
      <c r="E1500" s="29">
        <v>0</v>
      </c>
      <c r="F1500">
        <v>0</v>
      </c>
      <c r="G1500">
        <v>0</v>
      </c>
      <c r="H1500">
        <v>0</v>
      </c>
      <c r="I1500" s="29">
        <v>0</v>
      </c>
      <c r="J1500" s="29">
        <v>0</v>
      </c>
      <c r="K1500" s="9">
        <v>45330</v>
      </c>
      <c r="L1500">
        <f xml:space="preserve"> (交易處理資料__3[[#This Row],[售出工時]] * 60) / 5</f>
        <v>0</v>
      </c>
      <c r="M1500" t="str">
        <f>VLOOKUP(交易處理資料__3[[#This Row],[人員代號]],團隊分組!$B$1:$C$52,2,FALSE)</f>
        <v>查修團隊B</v>
      </c>
      <c r="N1500" t="str">
        <f>IF(交易處理資料__3[[#This Row],[上班時間]]=0,"否","是")</f>
        <v>否</v>
      </c>
      <c r="O1500" t="s">
        <v>76</v>
      </c>
      <c r="P1500" s="37">
        <v>0</v>
      </c>
      <c r="Q1500" s="37">
        <v>0</v>
      </c>
      <c r="R1500" s="37">
        <v>0</v>
      </c>
    </row>
    <row r="1501" spans="1:18" hidden="1">
      <c r="A1501" t="s">
        <v>76</v>
      </c>
      <c r="B1501" t="s">
        <v>53</v>
      </c>
      <c r="C1501">
        <v>3.12</v>
      </c>
      <c r="D1501">
        <v>2.7</v>
      </c>
      <c r="E1501" s="29">
        <v>1.1555555560000002</v>
      </c>
      <c r="F1501">
        <v>2.7</v>
      </c>
      <c r="G1501">
        <v>5.55</v>
      </c>
      <c r="H1501">
        <v>8.25</v>
      </c>
      <c r="I1501" s="29">
        <v>0.32729999999999998</v>
      </c>
      <c r="J1501" s="29">
        <v>0.37819999999999998</v>
      </c>
      <c r="K1501" s="9">
        <v>45330</v>
      </c>
      <c r="L1501">
        <f xml:space="preserve"> (交易處理資料__3[[#This Row],[售出工時]] * 60) / 5</f>
        <v>37.440000000000005</v>
      </c>
      <c r="M1501" t="str">
        <f>VLOOKUP(交易處理資料__3[[#This Row],[人員代號]],團隊分組!$B$1:$C$52,2,FALSE)</f>
        <v>查修團隊A</v>
      </c>
      <c r="N1501" t="str">
        <f>IF(交易處理資料__3[[#This Row],[上班時間]]=0,"否","是")</f>
        <v>是</v>
      </c>
      <c r="O1501" t="s">
        <v>76</v>
      </c>
      <c r="P1501" s="38">
        <v>1.1555555560000002</v>
      </c>
      <c r="Q1501" s="38">
        <v>0.37819999999999998</v>
      </c>
      <c r="R1501" s="38">
        <v>0.32729999999999998</v>
      </c>
    </row>
    <row r="1502" spans="1:18" hidden="1">
      <c r="A1502" s="10" t="s">
        <v>74</v>
      </c>
      <c r="B1502" t="s">
        <v>1</v>
      </c>
      <c r="C1502">
        <v>0</v>
      </c>
      <c r="D1502">
        <v>0</v>
      </c>
      <c r="E1502" s="29">
        <v>0</v>
      </c>
      <c r="F1502">
        <v>0</v>
      </c>
      <c r="G1502">
        <v>0</v>
      </c>
      <c r="H1502">
        <v>0</v>
      </c>
      <c r="I1502" s="29">
        <v>0</v>
      </c>
      <c r="J1502" s="29">
        <v>0</v>
      </c>
      <c r="K1502" s="9">
        <v>45331</v>
      </c>
      <c r="L1502">
        <f xml:space="preserve"> (交易處理資料__3[[#This Row],[售出工時]] * 60) / 5</f>
        <v>0</v>
      </c>
      <c r="M1502" t="str">
        <f>VLOOKUP(交易處理資料__3[[#This Row],[人員代號]],團隊分組!$B$1:$C$52,2,FALSE)</f>
        <v>噴漆維修組</v>
      </c>
      <c r="N1502" t="str">
        <f>IF(交易處理資料__3[[#This Row],[上班時間]]=0,"否","是")</f>
        <v>否</v>
      </c>
      <c r="O1502" s="10" t="s">
        <v>74</v>
      </c>
      <c r="P1502" s="37">
        <v>0</v>
      </c>
      <c r="Q1502" s="37">
        <v>0</v>
      </c>
      <c r="R1502" s="37">
        <v>0</v>
      </c>
    </row>
    <row r="1503" spans="1:18" hidden="1">
      <c r="A1503" s="10" t="s">
        <v>74</v>
      </c>
      <c r="B1503" t="s">
        <v>2</v>
      </c>
      <c r="C1503">
        <v>0</v>
      </c>
      <c r="D1503">
        <v>0</v>
      </c>
      <c r="E1503" s="29">
        <v>0</v>
      </c>
      <c r="F1503">
        <v>0</v>
      </c>
      <c r="G1503">
        <v>0</v>
      </c>
      <c r="H1503">
        <v>0</v>
      </c>
      <c r="I1503" s="29">
        <v>0</v>
      </c>
      <c r="J1503" s="29">
        <v>0</v>
      </c>
      <c r="K1503" s="9">
        <v>45331</v>
      </c>
      <c r="L1503">
        <f xml:space="preserve"> (交易處理資料__3[[#This Row],[售出工時]] * 60) / 5</f>
        <v>0</v>
      </c>
      <c r="M1503" t="str">
        <f>VLOOKUP(交易處理資料__3[[#This Row],[人員代號]],團隊分組!$B$1:$C$52,2,FALSE)</f>
        <v>噴漆維修組</v>
      </c>
      <c r="N1503" t="str">
        <f>IF(交易處理資料__3[[#This Row],[上班時間]]=0,"否","是")</f>
        <v>否</v>
      </c>
      <c r="O1503" s="10" t="s">
        <v>74</v>
      </c>
      <c r="P1503" s="38">
        <v>0</v>
      </c>
      <c r="Q1503" s="38">
        <v>0</v>
      </c>
      <c r="R1503" s="38">
        <v>0</v>
      </c>
    </row>
    <row r="1504" spans="1:18" hidden="1">
      <c r="A1504" s="10" t="s">
        <v>74</v>
      </c>
      <c r="B1504" t="s">
        <v>3</v>
      </c>
      <c r="C1504">
        <v>0</v>
      </c>
      <c r="D1504">
        <v>0</v>
      </c>
      <c r="E1504" s="29">
        <v>0</v>
      </c>
      <c r="F1504">
        <v>0</v>
      </c>
      <c r="G1504">
        <v>0</v>
      </c>
      <c r="H1504">
        <v>0</v>
      </c>
      <c r="I1504" s="29">
        <v>0</v>
      </c>
      <c r="J1504" s="29">
        <v>0</v>
      </c>
      <c r="K1504" s="9">
        <v>45331</v>
      </c>
      <c r="L1504">
        <f xml:space="preserve"> (交易處理資料__3[[#This Row],[售出工時]] * 60) / 5</f>
        <v>0</v>
      </c>
      <c r="M1504" t="str">
        <f>VLOOKUP(交易處理資料__3[[#This Row],[人員代號]],團隊分組!$B$1:$C$52,2,FALSE)</f>
        <v>噴漆維修組</v>
      </c>
      <c r="N1504" t="str">
        <f>IF(交易處理資料__3[[#This Row],[上班時間]]=0,"否","是")</f>
        <v>否</v>
      </c>
      <c r="O1504" s="10" t="s">
        <v>74</v>
      </c>
      <c r="P1504" s="37">
        <v>0</v>
      </c>
      <c r="Q1504" s="37">
        <v>0</v>
      </c>
      <c r="R1504" s="37">
        <v>0</v>
      </c>
    </row>
    <row r="1505" spans="1:18" hidden="1">
      <c r="A1505" s="10" t="s">
        <v>74</v>
      </c>
      <c r="B1505" t="s">
        <v>4</v>
      </c>
      <c r="C1505">
        <v>0</v>
      </c>
      <c r="D1505">
        <v>0</v>
      </c>
      <c r="E1505" s="29">
        <v>0</v>
      </c>
      <c r="F1505">
        <v>0</v>
      </c>
      <c r="G1505">
        <v>0</v>
      </c>
      <c r="H1505">
        <v>0</v>
      </c>
      <c r="I1505" s="29">
        <v>0</v>
      </c>
      <c r="J1505" s="29">
        <v>0</v>
      </c>
      <c r="K1505" s="9">
        <v>45331</v>
      </c>
      <c r="L1505">
        <f xml:space="preserve"> (交易處理資料__3[[#This Row],[售出工時]] * 60) / 5</f>
        <v>0</v>
      </c>
      <c r="M1505" t="str">
        <f>VLOOKUP(交易處理資料__3[[#This Row],[人員代號]],團隊分組!$B$1:$C$52,2,FALSE)</f>
        <v>噴漆維修組</v>
      </c>
      <c r="N1505" t="str">
        <f>IF(交易處理資料__3[[#This Row],[上班時間]]=0,"否","是")</f>
        <v>否</v>
      </c>
      <c r="O1505" s="10" t="s">
        <v>74</v>
      </c>
      <c r="P1505" s="38">
        <v>0</v>
      </c>
      <c r="Q1505" s="38">
        <v>0</v>
      </c>
      <c r="R1505" s="38">
        <v>0</v>
      </c>
    </row>
    <row r="1506" spans="1:18" hidden="1">
      <c r="A1506" s="10" t="s">
        <v>74</v>
      </c>
      <c r="B1506" t="s">
        <v>5</v>
      </c>
      <c r="C1506">
        <v>0</v>
      </c>
      <c r="D1506">
        <v>0</v>
      </c>
      <c r="E1506" s="29">
        <v>0</v>
      </c>
      <c r="F1506">
        <v>0</v>
      </c>
      <c r="G1506">
        <v>0</v>
      </c>
      <c r="H1506">
        <v>0</v>
      </c>
      <c r="I1506" s="29">
        <v>0</v>
      </c>
      <c r="J1506" s="29">
        <v>0</v>
      </c>
      <c r="K1506" s="9">
        <v>45331</v>
      </c>
      <c r="L1506">
        <f xml:space="preserve"> (交易處理資料__3[[#This Row],[售出工時]] * 60) / 5</f>
        <v>0</v>
      </c>
      <c r="M1506" t="str">
        <f>VLOOKUP(交易處理資料__3[[#This Row],[人員代號]],團隊分組!$B$1:$C$52,2,FALSE)</f>
        <v>噴漆維修組</v>
      </c>
      <c r="N1506" t="str">
        <f>IF(交易處理資料__3[[#This Row],[上班時間]]=0,"否","是")</f>
        <v>否</v>
      </c>
      <c r="O1506" s="10" t="s">
        <v>74</v>
      </c>
      <c r="P1506" s="37">
        <v>0</v>
      </c>
      <c r="Q1506" s="37">
        <v>0</v>
      </c>
      <c r="R1506" s="37">
        <v>0</v>
      </c>
    </row>
    <row r="1507" spans="1:18" hidden="1">
      <c r="A1507" s="10" t="s">
        <v>74</v>
      </c>
      <c r="B1507" t="s">
        <v>6</v>
      </c>
      <c r="C1507">
        <v>0</v>
      </c>
      <c r="D1507">
        <v>0</v>
      </c>
      <c r="E1507" s="29">
        <v>0</v>
      </c>
      <c r="F1507">
        <v>0</v>
      </c>
      <c r="G1507">
        <v>0</v>
      </c>
      <c r="H1507">
        <v>0</v>
      </c>
      <c r="I1507" s="29">
        <v>0</v>
      </c>
      <c r="J1507" s="29">
        <v>0</v>
      </c>
      <c r="K1507" s="9">
        <v>45331</v>
      </c>
      <c r="L1507">
        <f xml:space="preserve"> (交易處理資料__3[[#This Row],[售出工時]] * 60) / 5</f>
        <v>0</v>
      </c>
      <c r="M1507" t="str">
        <f>VLOOKUP(交易處理資料__3[[#This Row],[人員代號]],團隊分組!$B$1:$C$52,2,FALSE)</f>
        <v>噴漆維修組</v>
      </c>
      <c r="N1507" t="str">
        <f>IF(交易處理資料__3[[#This Row],[上班時間]]=0,"否","是")</f>
        <v>否</v>
      </c>
      <c r="O1507" s="10" t="s">
        <v>74</v>
      </c>
      <c r="P1507" s="38">
        <v>0</v>
      </c>
      <c r="Q1507" s="38">
        <v>0</v>
      </c>
      <c r="R1507" s="38">
        <v>0</v>
      </c>
    </row>
    <row r="1508" spans="1:18">
      <c r="A1508" s="10" t="s">
        <v>74</v>
      </c>
      <c r="B1508" t="s">
        <v>7</v>
      </c>
      <c r="C1508">
        <v>0</v>
      </c>
      <c r="D1508">
        <v>0</v>
      </c>
      <c r="E1508" s="29">
        <v>0</v>
      </c>
      <c r="F1508">
        <v>0</v>
      </c>
      <c r="G1508">
        <v>0</v>
      </c>
      <c r="H1508">
        <v>0</v>
      </c>
      <c r="I1508" s="29">
        <v>0</v>
      </c>
      <c r="J1508" s="29">
        <v>0</v>
      </c>
      <c r="K1508" s="9">
        <v>45331</v>
      </c>
      <c r="L1508">
        <f xml:space="preserve"> (交易處理資料__3[[#This Row],[售出工時]] * 60) / 5</f>
        <v>0</v>
      </c>
      <c r="M1508" t="str">
        <f>VLOOKUP(交易處理資料__3[[#This Row],[人員代號]],團隊分組!$B$1:$C$52,2,FALSE)</f>
        <v>噴漆維修組</v>
      </c>
      <c r="N1508" t="str">
        <f>IF(交易處理資料__3[[#This Row],[上班時間]]=0,"否","是")</f>
        <v>否</v>
      </c>
      <c r="O1508" s="10" t="s">
        <v>74</v>
      </c>
      <c r="P1508" s="37">
        <v>0</v>
      </c>
      <c r="Q1508" s="37">
        <v>0</v>
      </c>
      <c r="R1508" s="37">
        <v>0</v>
      </c>
    </row>
    <row r="1509" spans="1:18" hidden="1">
      <c r="A1509" s="10" t="s">
        <v>74</v>
      </c>
      <c r="B1509" t="s">
        <v>8</v>
      </c>
      <c r="C1509">
        <v>0</v>
      </c>
      <c r="D1509">
        <v>0</v>
      </c>
      <c r="E1509" s="29">
        <v>0</v>
      </c>
      <c r="F1509">
        <v>0</v>
      </c>
      <c r="G1509">
        <v>0</v>
      </c>
      <c r="H1509">
        <v>0</v>
      </c>
      <c r="I1509" s="29">
        <v>0</v>
      </c>
      <c r="J1509" s="29">
        <v>0</v>
      </c>
      <c r="K1509" s="9">
        <v>45331</v>
      </c>
      <c r="L1509">
        <f xml:space="preserve"> (交易處理資料__3[[#This Row],[售出工時]] * 60) / 5</f>
        <v>0</v>
      </c>
      <c r="M1509" t="str">
        <f>VLOOKUP(交易處理資料__3[[#This Row],[人員代號]],團隊分組!$B$1:$C$52,2,FALSE)</f>
        <v>噴漆維修組</v>
      </c>
      <c r="N1509" t="str">
        <f>IF(交易處理資料__3[[#This Row],[上班時間]]=0,"否","是")</f>
        <v>否</v>
      </c>
      <c r="O1509" s="10" t="s">
        <v>74</v>
      </c>
      <c r="P1509" s="38">
        <v>0</v>
      </c>
      <c r="Q1509" s="38">
        <v>0</v>
      </c>
      <c r="R1509" s="38">
        <v>0</v>
      </c>
    </row>
    <row r="1510" spans="1:18" hidden="1">
      <c r="A1510" s="10" t="s">
        <v>74</v>
      </c>
      <c r="B1510" t="s">
        <v>9</v>
      </c>
      <c r="C1510">
        <v>0</v>
      </c>
      <c r="D1510">
        <v>0</v>
      </c>
      <c r="E1510" s="29">
        <v>0</v>
      </c>
      <c r="F1510">
        <v>0</v>
      </c>
      <c r="G1510">
        <v>0</v>
      </c>
      <c r="H1510">
        <v>0</v>
      </c>
      <c r="I1510" s="29">
        <v>0</v>
      </c>
      <c r="J1510" s="29">
        <v>0</v>
      </c>
      <c r="K1510" s="9">
        <v>45331</v>
      </c>
      <c r="L1510">
        <f xml:space="preserve"> (交易處理資料__3[[#This Row],[售出工時]] * 60) / 5</f>
        <v>0</v>
      </c>
      <c r="M1510" t="str">
        <f>VLOOKUP(交易處理資料__3[[#This Row],[人員代號]],團隊分組!$B$1:$C$52,2,FALSE)</f>
        <v>噴漆維修組</v>
      </c>
      <c r="N1510" t="str">
        <f>IF(交易處理資料__3[[#This Row],[上班時間]]=0,"否","是")</f>
        <v>否</v>
      </c>
      <c r="O1510" s="10" t="s">
        <v>74</v>
      </c>
      <c r="P1510" s="37">
        <v>0</v>
      </c>
      <c r="Q1510" s="37">
        <v>0</v>
      </c>
      <c r="R1510" s="37">
        <v>0</v>
      </c>
    </row>
    <row r="1511" spans="1:18" hidden="1">
      <c r="A1511" t="s">
        <v>75</v>
      </c>
      <c r="B1511" t="s">
        <v>11</v>
      </c>
      <c r="C1511">
        <v>0</v>
      </c>
      <c r="D1511">
        <v>0</v>
      </c>
      <c r="E1511" s="29">
        <v>0</v>
      </c>
      <c r="F1511">
        <v>0</v>
      </c>
      <c r="G1511">
        <v>0</v>
      </c>
      <c r="H1511">
        <v>0</v>
      </c>
      <c r="I1511" s="29">
        <v>0</v>
      </c>
      <c r="J1511" s="29">
        <v>0</v>
      </c>
      <c r="K1511" s="9">
        <v>45331</v>
      </c>
      <c r="L1511">
        <f xml:space="preserve"> (交易處理資料__3[[#This Row],[售出工時]] * 60) / 5</f>
        <v>0</v>
      </c>
      <c r="M1511" t="str">
        <f>VLOOKUP(交易處理資料__3[[#This Row],[人員代號]],團隊分組!$B$1:$C$52,2,FALSE)</f>
        <v>鈑金維修組</v>
      </c>
      <c r="N1511" t="str">
        <f>IF(交易處理資料__3[[#This Row],[上班時間]]=0,"否","是")</f>
        <v>否</v>
      </c>
      <c r="O1511" t="s">
        <v>75</v>
      </c>
      <c r="P1511" s="38">
        <v>0</v>
      </c>
      <c r="Q1511" s="38">
        <v>0</v>
      </c>
      <c r="R1511" s="38">
        <v>0</v>
      </c>
    </row>
    <row r="1512" spans="1:18" hidden="1">
      <c r="A1512" t="s">
        <v>75</v>
      </c>
      <c r="B1512" t="s">
        <v>12</v>
      </c>
      <c r="C1512">
        <v>0</v>
      </c>
      <c r="D1512">
        <v>0</v>
      </c>
      <c r="E1512" s="29">
        <v>0</v>
      </c>
      <c r="F1512">
        <v>0</v>
      </c>
      <c r="G1512">
        <v>0</v>
      </c>
      <c r="H1512">
        <v>0</v>
      </c>
      <c r="I1512" s="29">
        <v>0</v>
      </c>
      <c r="J1512" s="29">
        <v>0</v>
      </c>
      <c r="K1512" s="9">
        <v>45331</v>
      </c>
      <c r="L1512">
        <f xml:space="preserve"> (交易處理資料__3[[#This Row],[售出工時]] * 60) / 5</f>
        <v>0</v>
      </c>
      <c r="M1512" t="str">
        <f>VLOOKUP(交易處理資料__3[[#This Row],[人員代號]],團隊分組!$B$1:$C$52,2,FALSE)</f>
        <v>鈑金維修組</v>
      </c>
      <c r="N1512" t="str">
        <f>IF(交易處理資料__3[[#This Row],[上班時間]]=0,"否","是")</f>
        <v>否</v>
      </c>
      <c r="O1512" t="s">
        <v>75</v>
      </c>
      <c r="P1512" s="37">
        <v>0</v>
      </c>
      <c r="Q1512" s="37">
        <v>0</v>
      </c>
      <c r="R1512" s="37">
        <v>0</v>
      </c>
    </row>
    <row r="1513" spans="1:18" hidden="1">
      <c r="A1513" t="s">
        <v>75</v>
      </c>
      <c r="B1513" t="s">
        <v>13</v>
      </c>
      <c r="C1513">
        <v>0</v>
      </c>
      <c r="D1513">
        <v>0</v>
      </c>
      <c r="E1513" s="29">
        <v>0</v>
      </c>
      <c r="F1513">
        <v>0</v>
      </c>
      <c r="G1513">
        <v>0</v>
      </c>
      <c r="H1513">
        <v>0</v>
      </c>
      <c r="I1513" s="29">
        <v>0</v>
      </c>
      <c r="J1513" s="29">
        <v>0</v>
      </c>
      <c r="K1513" s="9">
        <v>45331</v>
      </c>
      <c r="L1513">
        <f xml:space="preserve"> (交易處理資料__3[[#This Row],[售出工時]] * 60) / 5</f>
        <v>0</v>
      </c>
      <c r="M1513" t="str">
        <f>VLOOKUP(交易處理資料__3[[#This Row],[人員代號]],團隊分組!$B$1:$C$52,2,FALSE)</f>
        <v>鈑金維修組</v>
      </c>
      <c r="N1513" t="str">
        <f>IF(交易處理資料__3[[#This Row],[上班時間]]=0,"否","是")</f>
        <v>否</v>
      </c>
      <c r="O1513" t="s">
        <v>75</v>
      </c>
      <c r="P1513" s="38">
        <v>0</v>
      </c>
      <c r="Q1513" s="38">
        <v>0</v>
      </c>
      <c r="R1513" s="38">
        <v>0</v>
      </c>
    </row>
    <row r="1514" spans="1:18" hidden="1">
      <c r="A1514" t="s">
        <v>75</v>
      </c>
      <c r="B1514" t="s">
        <v>14</v>
      </c>
      <c r="C1514">
        <v>0</v>
      </c>
      <c r="D1514">
        <v>0</v>
      </c>
      <c r="E1514" s="29">
        <v>0</v>
      </c>
      <c r="F1514">
        <v>0</v>
      </c>
      <c r="G1514">
        <v>0</v>
      </c>
      <c r="H1514">
        <v>0</v>
      </c>
      <c r="I1514" s="29">
        <v>0</v>
      </c>
      <c r="J1514" s="29">
        <v>0</v>
      </c>
      <c r="K1514" s="9">
        <v>45331</v>
      </c>
      <c r="L1514">
        <f xml:space="preserve"> (交易處理資料__3[[#This Row],[售出工時]] * 60) / 5</f>
        <v>0</v>
      </c>
      <c r="M1514" t="str">
        <f>VLOOKUP(交易處理資料__3[[#This Row],[人員代號]],團隊分組!$B$1:$C$52,2,FALSE)</f>
        <v>鈑金維修組</v>
      </c>
      <c r="N1514" t="str">
        <f>IF(交易處理資料__3[[#This Row],[上班時間]]=0,"否","是")</f>
        <v>否</v>
      </c>
      <c r="O1514" t="s">
        <v>75</v>
      </c>
      <c r="P1514" s="37">
        <v>0</v>
      </c>
      <c r="Q1514" s="37">
        <v>0</v>
      </c>
      <c r="R1514" s="37">
        <v>0</v>
      </c>
    </row>
    <row r="1515" spans="1:18" hidden="1">
      <c r="A1515" t="s">
        <v>75</v>
      </c>
      <c r="B1515" t="s">
        <v>15</v>
      </c>
      <c r="C1515">
        <v>0</v>
      </c>
      <c r="D1515">
        <v>0</v>
      </c>
      <c r="E1515" s="29">
        <v>0</v>
      </c>
      <c r="F1515">
        <v>0</v>
      </c>
      <c r="G1515">
        <v>0</v>
      </c>
      <c r="H1515">
        <v>0</v>
      </c>
      <c r="I1515" s="29">
        <v>0</v>
      </c>
      <c r="J1515" s="29">
        <v>0</v>
      </c>
      <c r="K1515" s="9">
        <v>45331</v>
      </c>
      <c r="L1515">
        <f xml:space="preserve"> (交易處理資料__3[[#This Row],[售出工時]] * 60) / 5</f>
        <v>0</v>
      </c>
      <c r="M1515" t="str">
        <f>VLOOKUP(交易處理資料__3[[#This Row],[人員代號]],團隊分組!$B$1:$C$52,2,FALSE)</f>
        <v>鈑金維修組</v>
      </c>
      <c r="N1515" t="str">
        <f>IF(交易處理資料__3[[#This Row],[上班時間]]=0,"否","是")</f>
        <v>否</v>
      </c>
      <c r="O1515" t="s">
        <v>75</v>
      </c>
      <c r="P1515" s="38">
        <v>0</v>
      </c>
      <c r="Q1515" s="38">
        <v>0</v>
      </c>
      <c r="R1515" s="38">
        <v>0</v>
      </c>
    </row>
    <row r="1516" spans="1:18" hidden="1">
      <c r="A1516" t="s">
        <v>76</v>
      </c>
      <c r="B1516" t="s">
        <v>17</v>
      </c>
      <c r="C1516">
        <v>0</v>
      </c>
      <c r="D1516">
        <v>0</v>
      </c>
      <c r="E1516" s="29">
        <v>0</v>
      </c>
      <c r="F1516">
        <v>0</v>
      </c>
      <c r="G1516">
        <v>0</v>
      </c>
      <c r="H1516">
        <v>0</v>
      </c>
      <c r="I1516" s="29">
        <v>0</v>
      </c>
      <c r="J1516" s="29">
        <v>0</v>
      </c>
      <c r="K1516" s="9">
        <v>45331</v>
      </c>
      <c r="L1516">
        <f xml:space="preserve"> (交易處理資料__3[[#This Row],[售出工時]] * 60) / 5</f>
        <v>0</v>
      </c>
      <c r="M1516" t="str">
        <f>VLOOKUP(交易處理資料__3[[#This Row],[人員代號]],團隊分組!$B$1:$C$52,2,FALSE)</f>
        <v>快速保養團隊A</v>
      </c>
      <c r="N1516" t="str">
        <f>IF(交易處理資料__3[[#This Row],[上班時間]]=0,"否","是")</f>
        <v>否</v>
      </c>
      <c r="O1516" t="s">
        <v>76</v>
      </c>
      <c r="P1516" s="37">
        <v>0</v>
      </c>
      <c r="Q1516" s="37">
        <v>0</v>
      </c>
      <c r="R1516" s="37">
        <v>0</v>
      </c>
    </row>
    <row r="1517" spans="1:18" hidden="1">
      <c r="A1517" t="s">
        <v>76</v>
      </c>
      <c r="B1517" t="s">
        <v>18</v>
      </c>
      <c r="C1517">
        <v>0</v>
      </c>
      <c r="D1517">
        <v>0</v>
      </c>
      <c r="E1517" s="29">
        <v>0</v>
      </c>
      <c r="F1517">
        <v>0</v>
      </c>
      <c r="G1517">
        <v>0</v>
      </c>
      <c r="H1517">
        <v>0</v>
      </c>
      <c r="I1517" s="29">
        <v>0</v>
      </c>
      <c r="J1517" s="29">
        <v>0</v>
      </c>
      <c r="K1517" s="9">
        <v>45331</v>
      </c>
      <c r="L1517">
        <f xml:space="preserve"> (交易處理資料__3[[#This Row],[售出工時]] * 60) / 5</f>
        <v>0</v>
      </c>
      <c r="M1517" t="str">
        <f>VLOOKUP(交易處理資料__3[[#This Row],[人員代號]],團隊分組!$B$1:$C$52,2,FALSE)</f>
        <v>查修團隊B</v>
      </c>
      <c r="N1517" t="str">
        <f>IF(交易處理資料__3[[#This Row],[上班時間]]=0,"否","是")</f>
        <v>否</v>
      </c>
      <c r="O1517" t="s">
        <v>76</v>
      </c>
      <c r="P1517" s="38">
        <v>0</v>
      </c>
      <c r="Q1517" s="38">
        <v>0</v>
      </c>
      <c r="R1517" s="38">
        <v>0</v>
      </c>
    </row>
    <row r="1518" spans="1:18" hidden="1">
      <c r="A1518" t="s">
        <v>76</v>
      </c>
      <c r="B1518" t="s">
        <v>19</v>
      </c>
      <c r="C1518">
        <v>0</v>
      </c>
      <c r="D1518">
        <v>0</v>
      </c>
      <c r="E1518" s="29">
        <v>0</v>
      </c>
      <c r="F1518">
        <v>0</v>
      </c>
      <c r="G1518">
        <v>0</v>
      </c>
      <c r="H1518">
        <v>0</v>
      </c>
      <c r="I1518" s="29">
        <v>0</v>
      </c>
      <c r="J1518" s="29">
        <v>0</v>
      </c>
      <c r="K1518" s="9">
        <v>45331</v>
      </c>
      <c r="L1518">
        <f xml:space="preserve"> (交易處理資料__3[[#This Row],[售出工時]] * 60) / 5</f>
        <v>0</v>
      </c>
      <c r="M1518" t="str">
        <f>VLOOKUP(交易處理資料__3[[#This Row],[人員代號]],團隊分組!$B$1:$C$52,2,FALSE)</f>
        <v>查修團隊A</v>
      </c>
      <c r="N1518" t="str">
        <f>IF(交易處理資料__3[[#This Row],[上班時間]]=0,"否","是")</f>
        <v>否</v>
      </c>
      <c r="O1518" t="s">
        <v>76</v>
      </c>
      <c r="P1518" s="37">
        <v>0</v>
      </c>
      <c r="Q1518" s="37">
        <v>0</v>
      </c>
      <c r="R1518" s="37">
        <v>0</v>
      </c>
    </row>
    <row r="1519" spans="1:18" hidden="1">
      <c r="A1519" t="s">
        <v>76</v>
      </c>
      <c r="B1519" t="s">
        <v>20</v>
      </c>
      <c r="C1519">
        <v>0</v>
      </c>
      <c r="D1519">
        <v>0</v>
      </c>
      <c r="E1519" s="29">
        <v>0</v>
      </c>
      <c r="F1519">
        <v>0</v>
      </c>
      <c r="G1519">
        <v>0</v>
      </c>
      <c r="H1519">
        <v>0</v>
      </c>
      <c r="I1519" s="29">
        <v>0</v>
      </c>
      <c r="J1519" s="29">
        <v>0</v>
      </c>
      <c r="K1519" s="9">
        <v>45331</v>
      </c>
      <c r="L1519">
        <f xml:space="preserve"> (交易處理資料__3[[#This Row],[售出工時]] * 60) / 5</f>
        <v>0</v>
      </c>
      <c r="M1519" t="str">
        <f>VLOOKUP(交易處理資料__3[[#This Row],[人員代號]],團隊分組!$B$1:$C$52,2,FALSE)</f>
        <v>查修團隊B</v>
      </c>
      <c r="N1519" t="str">
        <f>IF(交易處理資料__3[[#This Row],[上班時間]]=0,"否","是")</f>
        <v>否</v>
      </c>
      <c r="O1519" t="s">
        <v>76</v>
      </c>
      <c r="P1519" s="38">
        <v>0</v>
      </c>
      <c r="Q1519" s="38">
        <v>0</v>
      </c>
      <c r="R1519" s="38">
        <v>0</v>
      </c>
    </row>
    <row r="1520" spans="1:18" hidden="1">
      <c r="A1520" t="s">
        <v>76</v>
      </c>
      <c r="B1520" t="s">
        <v>21</v>
      </c>
      <c r="C1520">
        <v>0</v>
      </c>
      <c r="D1520">
        <v>0</v>
      </c>
      <c r="E1520" s="29">
        <v>0</v>
      </c>
      <c r="F1520">
        <v>0</v>
      </c>
      <c r="G1520">
        <v>0</v>
      </c>
      <c r="H1520">
        <v>0</v>
      </c>
      <c r="I1520" s="29">
        <v>0</v>
      </c>
      <c r="J1520" s="29">
        <v>0</v>
      </c>
      <c r="K1520" s="9">
        <v>45331</v>
      </c>
      <c r="L1520">
        <f xml:space="preserve"> (交易處理資料__3[[#This Row],[售出工時]] * 60) / 5</f>
        <v>0</v>
      </c>
      <c r="M1520" t="str">
        <f>VLOOKUP(交易處理資料__3[[#This Row],[人員代號]],團隊分組!$B$1:$C$52,2,FALSE)</f>
        <v>查修團隊B</v>
      </c>
      <c r="N1520" t="str">
        <f>IF(交易處理資料__3[[#This Row],[上班時間]]=0,"否","是")</f>
        <v>否</v>
      </c>
      <c r="O1520" t="s">
        <v>76</v>
      </c>
      <c r="P1520" s="37">
        <v>0</v>
      </c>
      <c r="Q1520" s="37">
        <v>0</v>
      </c>
      <c r="R1520" s="37">
        <v>0</v>
      </c>
    </row>
    <row r="1521" spans="1:18" hidden="1">
      <c r="A1521" t="s">
        <v>76</v>
      </c>
      <c r="B1521" t="s">
        <v>22</v>
      </c>
      <c r="C1521">
        <v>0</v>
      </c>
      <c r="D1521">
        <v>0</v>
      </c>
      <c r="E1521" s="29">
        <v>0</v>
      </c>
      <c r="F1521">
        <v>0</v>
      </c>
      <c r="G1521">
        <v>0</v>
      </c>
      <c r="H1521">
        <v>0</v>
      </c>
      <c r="I1521" s="29">
        <v>0</v>
      </c>
      <c r="J1521" s="29">
        <v>0</v>
      </c>
      <c r="K1521" s="9">
        <v>45331</v>
      </c>
      <c r="L1521">
        <f xml:space="preserve"> (交易處理資料__3[[#This Row],[售出工時]] * 60) / 5</f>
        <v>0</v>
      </c>
      <c r="M1521" t="str">
        <f>VLOOKUP(交易處理資料__3[[#This Row],[人員代號]],團隊分組!$B$1:$C$52,2,FALSE)</f>
        <v>快速保養團隊A</v>
      </c>
      <c r="N1521" t="str">
        <f>IF(交易處理資料__3[[#This Row],[上班時間]]=0,"否","是")</f>
        <v>否</v>
      </c>
      <c r="O1521" t="s">
        <v>76</v>
      </c>
      <c r="P1521" s="38">
        <v>0</v>
      </c>
      <c r="Q1521" s="38">
        <v>0</v>
      </c>
      <c r="R1521" s="38">
        <v>0</v>
      </c>
    </row>
    <row r="1522" spans="1:18" hidden="1">
      <c r="A1522" t="s">
        <v>76</v>
      </c>
      <c r="B1522" t="s">
        <v>23</v>
      </c>
      <c r="C1522">
        <v>0</v>
      </c>
      <c r="D1522">
        <v>0</v>
      </c>
      <c r="E1522" s="29">
        <v>0</v>
      </c>
      <c r="F1522">
        <v>0</v>
      </c>
      <c r="G1522">
        <v>0</v>
      </c>
      <c r="H1522">
        <v>0</v>
      </c>
      <c r="I1522" s="29">
        <v>0</v>
      </c>
      <c r="J1522" s="29">
        <v>0</v>
      </c>
      <c r="K1522" s="9">
        <v>45331</v>
      </c>
      <c r="L1522">
        <f xml:space="preserve"> (交易處理資料__3[[#This Row],[售出工時]] * 60) / 5</f>
        <v>0</v>
      </c>
      <c r="M1522" t="str">
        <f>VLOOKUP(交易處理資料__3[[#This Row],[人員代號]],團隊分組!$B$1:$C$52,2,FALSE)</f>
        <v>快速保養團隊B</v>
      </c>
      <c r="N1522" t="str">
        <f>IF(交易處理資料__3[[#This Row],[上班時間]]=0,"否","是")</f>
        <v>否</v>
      </c>
      <c r="O1522" t="s">
        <v>76</v>
      </c>
      <c r="P1522" s="37">
        <v>0</v>
      </c>
      <c r="Q1522" s="37">
        <v>0</v>
      </c>
      <c r="R1522" s="37">
        <v>0</v>
      </c>
    </row>
    <row r="1523" spans="1:18" hidden="1">
      <c r="A1523" t="s">
        <v>76</v>
      </c>
      <c r="B1523" t="s">
        <v>24</v>
      </c>
      <c r="C1523">
        <v>0</v>
      </c>
      <c r="D1523">
        <v>0</v>
      </c>
      <c r="E1523" s="29">
        <v>0</v>
      </c>
      <c r="F1523">
        <v>0</v>
      </c>
      <c r="G1523">
        <v>0</v>
      </c>
      <c r="H1523">
        <v>0</v>
      </c>
      <c r="I1523" s="29">
        <v>0</v>
      </c>
      <c r="J1523" s="29">
        <v>0</v>
      </c>
      <c r="K1523" s="9">
        <v>45331</v>
      </c>
      <c r="L1523">
        <f xml:space="preserve"> (交易處理資料__3[[#This Row],[售出工時]] * 60) / 5</f>
        <v>0</v>
      </c>
      <c r="M1523" t="str">
        <f>VLOOKUP(交易處理資料__3[[#This Row],[人員代號]],團隊分組!$B$1:$C$52,2,FALSE)</f>
        <v>快速保養團隊A</v>
      </c>
      <c r="N1523" t="str">
        <f>IF(交易處理資料__3[[#This Row],[上班時間]]=0,"否","是")</f>
        <v>否</v>
      </c>
      <c r="O1523" t="s">
        <v>76</v>
      </c>
      <c r="P1523" s="38">
        <v>0</v>
      </c>
      <c r="Q1523" s="38">
        <v>0</v>
      </c>
      <c r="R1523" s="38">
        <v>0</v>
      </c>
    </row>
    <row r="1524" spans="1:18" hidden="1">
      <c r="A1524" t="s">
        <v>76</v>
      </c>
      <c r="B1524" t="s">
        <v>25</v>
      </c>
      <c r="C1524">
        <v>0</v>
      </c>
      <c r="D1524">
        <v>0</v>
      </c>
      <c r="E1524" s="29">
        <v>0</v>
      </c>
      <c r="F1524">
        <v>0</v>
      </c>
      <c r="G1524">
        <v>0</v>
      </c>
      <c r="H1524">
        <v>0</v>
      </c>
      <c r="I1524" s="29">
        <v>0</v>
      </c>
      <c r="J1524" s="29">
        <v>0</v>
      </c>
      <c r="K1524" s="9">
        <v>45331</v>
      </c>
      <c r="L1524">
        <f xml:space="preserve"> (交易處理資料__3[[#This Row],[售出工時]] * 60) / 5</f>
        <v>0</v>
      </c>
      <c r="M1524" t="str">
        <f>VLOOKUP(交易處理資料__3[[#This Row],[人員代號]],團隊分組!$B$1:$C$52,2,FALSE)</f>
        <v>查修團隊A</v>
      </c>
      <c r="N1524" t="str">
        <f>IF(交易處理資料__3[[#This Row],[上班時間]]=0,"否","是")</f>
        <v>否</v>
      </c>
      <c r="O1524" t="s">
        <v>76</v>
      </c>
      <c r="P1524" s="37">
        <v>0</v>
      </c>
      <c r="Q1524" s="37">
        <v>0</v>
      </c>
      <c r="R1524" s="37">
        <v>0</v>
      </c>
    </row>
    <row r="1525" spans="1:18" hidden="1">
      <c r="A1525" t="s">
        <v>76</v>
      </c>
      <c r="B1525" t="s">
        <v>26</v>
      </c>
      <c r="C1525">
        <v>0</v>
      </c>
      <c r="D1525">
        <v>0</v>
      </c>
      <c r="E1525" s="29">
        <v>0</v>
      </c>
      <c r="F1525">
        <v>0</v>
      </c>
      <c r="G1525">
        <v>0</v>
      </c>
      <c r="H1525">
        <v>0</v>
      </c>
      <c r="I1525" s="29">
        <v>0</v>
      </c>
      <c r="J1525" s="29">
        <v>0</v>
      </c>
      <c r="K1525" s="9">
        <v>45331</v>
      </c>
      <c r="L1525">
        <f xml:space="preserve"> (交易處理資料__3[[#This Row],[售出工時]] * 60) / 5</f>
        <v>0</v>
      </c>
      <c r="M1525" t="str">
        <f>VLOOKUP(交易處理資料__3[[#This Row],[人員代號]],團隊分組!$B$1:$C$52,2,FALSE)</f>
        <v>查修團隊B</v>
      </c>
      <c r="N1525" t="str">
        <f>IF(交易處理資料__3[[#This Row],[上班時間]]=0,"否","是")</f>
        <v>否</v>
      </c>
      <c r="O1525" t="s">
        <v>76</v>
      </c>
      <c r="P1525" s="38">
        <v>0</v>
      </c>
      <c r="Q1525" s="38">
        <v>0</v>
      </c>
      <c r="R1525" s="38">
        <v>0</v>
      </c>
    </row>
    <row r="1526" spans="1:18" hidden="1">
      <c r="A1526" t="s">
        <v>76</v>
      </c>
      <c r="B1526" t="s">
        <v>27</v>
      </c>
      <c r="C1526">
        <v>0</v>
      </c>
      <c r="D1526">
        <v>0</v>
      </c>
      <c r="E1526" s="29">
        <v>0</v>
      </c>
      <c r="F1526">
        <v>0</v>
      </c>
      <c r="G1526">
        <v>0</v>
      </c>
      <c r="H1526">
        <v>0</v>
      </c>
      <c r="I1526" s="29">
        <v>0</v>
      </c>
      <c r="J1526" s="29">
        <v>0</v>
      </c>
      <c r="K1526" s="9">
        <v>45331</v>
      </c>
      <c r="L1526">
        <f xml:space="preserve"> (交易處理資料__3[[#This Row],[售出工時]] * 60) / 5</f>
        <v>0</v>
      </c>
      <c r="M1526" t="str">
        <f>VLOOKUP(交易處理資料__3[[#This Row],[人員代號]],團隊分組!$B$1:$C$52,2,FALSE)</f>
        <v>快速保養團隊B</v>
      </c>
      <c r="N1526" t="str">
        <f>IF(交易處理資料__3[[#This Row],[上班時間]]=0,"否","是")</f>
        <v>否</v>
      </c>
      <c r="O1526" t="s">
        <v>76</v>
      </c>
      <c r="P1526" s="37">
        <v>0</v>
      </c>
      <c r="Q1526" s="37">
        <v>0</v>
      </c>
      <c r="R1526" s="37">
        <v>0</v>
      </c>
    </row>
    <row r="1527" spans="1:18" hidden="1">
      <c r="A1527" t="s">
        <v>76</v>
      </c>
      <c r="B1527" t="s">
        <v>28</v>
      </c>
      <c r="C1527">
        <v>0</v>
      </c>
      <c r="D1527">
        <v>0</v>
      </c>
      <c r="E1527" s="29">
        <v>0</v>
      </c>
      <c r="F1527">
        <v>0</v>
      </c>
      <c r="G1527">
        <v>0</v>
      </c>
      <c r="H1527">
        <v>0</v>
      </c>
      <c r="I1527" s="29">
        <v>0</v>
      </c>
      <c r="J1527" s="29">
        <v>0</v>
      </c>
      <c r="K1527" s="9">
        <v>45331</v>
      </c>
      <c r="L1527">
        <f xml:space="preserve"> (交易處理資料__3[[#This Row],[售出工時]] * 60) / 5</f>
        <v>0</v>
      </c>
      <c r="M1527" t="str">
        <f>VLOOKUP(交易處理資料__3[[#This Row],[人員代號]],團隊分組!$B$1:$C$52,2,FALSE)</f>
        <v>快速保養團隊A</v>
      </c>
      <c r="N1527" t="str">
        <f>IF(交易處理資料__3[[#This Row],[上班時間]]=0,"否","是")</f>
        <v>否</v>
      </c>
      <c r="O1527" t="s">
        <v>76</v>
      </c>
      <c r="P1527" s="38">
        <v>0</v>
      </c>
      <c r="Q1527" s="38">
        <v>0</v>
      </c>
      <c r="R1527" s="38">
        <v>0</v>
      </c>
    </row>
    <row r="1528" spans="1:18" hidden="1">
      <c r="A1528" t="s">
        <v>76</v>
      </c>
      <c r="B1528" t="s">
        <v>29</v>
      </c>
      <c r="C1528">
        <v>0</v>
      </c>
      <c r="D1528">
        <v>0</v>
      </c>
      <c r="E1528" s="29">
        <v>0</v>
      </c>
      <c r="F1528">
        <v>0</v>
      </c>
      <c r="G1528">
        <v>0</v>
      </c>
      <c r="H1528">
        <v>0</v>
      </c>
      <c r="I1528" s="29">
        <v>0</v>
      </c>
      <c r="J1528" s="29">
        <v>0</v>
      </c>
      <c r="K1528" s="9">
        <v>45331</v>
      </c>
      <c r="L1528">
        <f xml:space="preserve"> (交易處理資料__3[[#This Row],[售出工時]] * 60) / 5</f>
        <v>0</v>
      </c>
      <c r="M1528" t="str">
        <f>VLOOKUP(交易處理資料__3[[#This Row],[人員代號]],團隊分組!$B$1:$C$52,2,FALSE)</f>
        <v>查修團隊B</v>
      </c>
      <c r="N1528" t="str">
        <f>IF(交易處理資料__3[[#This Row],[上班時間]]=0,"否","是")</f>
        <v>否</v>
      </c>
      <c r="O1528" t="s">
        <v>76</v>
      </c>
      <c r="P1528" s="37">
        <v>0</v>
      </c>
      <c r="Q1528" s="37">
        <v>0</v>
      </c>
      <c r="R1528" s="37">
        <v>0</v>
      </c>
    </row>
    <row r="1529" spans="1:18" hidden="1">
      <c r="A1529" t="s">
        <v>76</v>
      </c>
      <c r="B1529" t="s">
        <v>30</v>
      </c>
      <c r="C1529">
        <v>0</v>
      </c>
      <c r="D1529">
        <v>0</v>
      </c>
      <c r="E1529" s="29">
        <v>0</v>
      </c>
      <c r="F1529">
        <v>0</v>
      </c>
      <c r="G1529">
        <v>0</v>
      </c>
      <c r="H1529">
        <v>0</v>
      </c>
      <c r="I1529" s="29">
        <v>0</v>
      </c>
      <c r="J1529" s="29">
        <v>0</v>
      </c>
      <c r="K1529" s="9">
        <v>45331</v>
      </c>
      <c r="L1529">
        <f xml:space="preserve"> (交易處理資料__3[[#This Row],[售出工時]] * 60) / 5</f>
        <v>0</v>
      </c>
      <c r="M1529" t="str">
        <f>VLOOKUP(交易處理資料__3[[#This Row],[人員代號]],團隊分組!$B$1:$C$52,2,FALSE)</f>
        <v>快速保養團隊B</v>
      </c>
      <c r="N1529" t="str">
        <f>IF(交易處理資料__3[[#This Row],[上班時間]]=0,"否","是")</f>
        <v>否</v>
      </c>
      <c r="O1529" t="s">
        <v>76</v>
      </c>
      <c r="P1529" s="38">
        <v>0</v>
      </c>
      <c r="Q1529" s="38">
        <v>0</v>
      </c>
      <c r="R1529" s="38">
        <v>0</v>
      </c>
    </row>
    <row r="1530" spans="1:18" hidden="1">
      <c r="A1530" t="s">
        <v>76</v>
      </c>
      <c r="B1530" t="s">
        <v>32</v>
      </c>
      <c r="C1530">
        <v>0</v>
      </c>
      <c r="D1530">
        <v>0</v>
      </c>
      <c r="E1530" s="29">
        <v>0</v>
      </c>
      <c r="F1530">
        <v>0</v>
      </c>
      <c r="G1530">
        <v>0</v>
      </c>
      <c r="H1530">
        <v>0</v>
      </c>
      <c r="I1530" s="29">
        <v>0</v>
      </c>
      <c r="J1530" s="29">
        <v>0</v>
      </c>
      <c r="K1530" s="9">
        <v>45331</v>
      </c>
      <c r="L1530">
        <f xml:space="preserve"> (交易處理資料__3[[#This Row],[售出工時]] * 60) / 5</f>
        <v>0</v>
      </c>
      <c r="M1530" t="str">
        <f>VLOOKUP(交易處理資料__3[[#This Row],[人員代號]],團隊分組!$B$1:$C$52,2,FALSE)</f>
        <v>快速保養團隊B</v>
      </c>
      <c r="N1530" t="str">
        <f>IF(交易處理資料__3[[#This Row],[上班時間]]=0,"否","是")</f>
        <v>否</v>
      </c>
      <c r="O1530" t="s">
        <v>76</v>
      </c>
      <c r="P1530" s="37">
        <v>0</v>
      </c>
      <c r="Q1530" s="37">
        <v>0</v>
      </c>
      <c r="R1530" s="37">
        <v>0</v>
      </c>
    </row>
    <row r="1531" spans="1:18" hidden="1">
      <c r="A1531" t="s">
        <v>76</v>
      </c>
      <c r="B1531" t="s">
        <v>33</v>
      </c>
      <c r="C1531">
        <v>0</v>
      </c>
      <c r="D1531">
        <v>0</v>
      </c>
      <c r="E1531" s="29">
        <v>0</v>
      </c>
      <c r="F1531">
        <v>0</v>
      </c>
      <c r="G1531">
        <v>0</v>
      </c>
      <c r="H1531">
        <v>0</v>
      </c>
      <c r="I1531" s="29">
        <v>0</v>
      </c>
      <c r="J1531" s="29">
        <v>0</v>
      </c>
      <c r="K1531" s="9">
        <v>45331</v>
      </c>
      <c r="L1531">
        <f xml:space="preserve"> (交易處理資料__3[[#This Row],[售出工時]] * 60) / 5</f>
        <v>0</v>
      </c>
      <c r="M1531" t="str">
        <f>VLOOKUP(交易處理資料__3[[#This Row],[人員代號]],團隊分組!$B$1:$C$52,2,FALSE)</f>
        <v>快速保養團隊B</v>
      </c>
      <c r="N1531" t="str">
        <f>IF(交易處理資料__3[[#This Row],[上班時間]]=0,"否","是")</f>
        <v>否</v>
      </c>
      <c r="O1531" t="s">
        <v>76</v>
      </c>
      <c r="P1531" s="38">
        <v>0</v>
      </c>
      <c r="Q1531" s="38">
        <v>0</v>
      </c>
      <c r="R1531" s="38">
        <v>0</v>
      </c>
    </row>
    <row r="1532" spans="1:18" hidden="1">
      <c r="A1532" t="s">
        <v>76</v>
      </c>
      <c r="B1532" t="s">
        <v>34</v>
      </c>
      <c r="C1532">
        <v>0</v>
      </c>
      <c r="D1532">
        <v>0</v>
      </c>
      <c r="E1532" s="29">
        <v>0</v>
      </c>
      <c r="F1532">
        <v>0</v>
      </c>
      <c r="G1532">
        <v>0</v>
      </c>
      <c r="H1532">
        <v>0</v>
      </c>
      <c r="I1532" s="29">
        <v>0</v>
      </c>
      <c r="J1532" s="29">
        <v>0</v>
      </c>
      <c r="K1532" s="9">
        <v>45331</v>
      </c>
      <c r="L1532">
        <f xml:space="preserve"> (交易處理資料__3[[#This Row],[售出工時]] * 60) / 5</f>
        <v>0</v>
      </c>
      <c r="M1532" t="str">
        <f>VLOOKUP(交易處理資料__3[[#This Row],[人員代號]],團隊分組!$B$1:$C$52,2,FALSE)</f>
        <v>快速保養團隊A</v>
      </c>
      <c r="N1532" t="str">
        <f>IF(交易處理資料__3[[#This Row],[上班時間]]=0,"否","是")</f>
        <v>否</v>
      </c>
      <c r="O1532" t="s">
        <v>76</v>
      </c>
      <c r="P1532" s="37">
        <v>0</v>
      </c>
      <c r="Q1532" s="37">
        <v>0</v>
      </c>
      <c r="R1532" s="37">
        <v>0</v>
      </c>
    </row>
    <row r="1533" spans="1:18" hidden="1">
      <c r="A1533" t="s">
        <v>76</v>
      </c>
      <c r="B1533" t="s">
        <v>35</v>
      </c>
      <c r="C1533">
        <v>0</v>
      </c>
      <c r="D1533">
        <v>0</v>
      </c>
      <c r="E1533" s="29">
        <v>0</v>
      </c>
      <c r="F1533">
        <v>0</v>
      </c>
      <c r="G1533">
        <v>0</v>
      </c>
      <c r="H1533">
        <v>0</v>
      </c>
      <c r="I1533" s="29">
        <v>0</v>
      </c>
      <c r="J1533" s="29">
        <v>0</v>
      </c>
      <c r="K1533" s="9">
        <v>45331</v>
      </c>
      <c r="L1533">
        <f xml:space="preserve"> (交易處理資料__3[[#This Row],[售出工時]] * 60) / 5</f>
        <v>0</v>
      </c>
      <c r="M1533" t="str">
        <f>VLOOKUP(交易處理資料__3[[#This Row],[人員代號]],團隊分組!$B$1:$C$52,2,FALSE)</f>
        <v>查修團隊B</v>
      </c>
      <c r="N1533" t="str">
        <f>IF(交易處理資料__3[[#This Row],[上班時間]]=0,"否","是")</f>
        <v>否</v>
      </c>
      <c r="O1533" t="s">
        <v>76</v>
      </c>
      <c r="P1533" s="38">
        <v>0</v>
      </c>
      <c r="Q1533" s="38">
        <v>0</v>
      </c>
      <c r="R1533" s="38">
        <v>0</v>
      </c>
    </row>
    <row r="1534" spans="1:18" hidden="1">
      <c r="A1534" t="s">
        <v>76</v>
      </c>
      <c r="B1534" t="s">
        <v>36</v>
      </c>
      <c r="C1534">
        <v>0</v>
      </c>
      <c r="D1534">
        <v>0</v>
      </c>
      <c r="E1534" s="29">
        <v>0</v>
      </c>
      <c r="F1534">
        <v>0</v>
      </c>
      <c r="G1534">
        <v>0</v>
      </c>
      <c r="H1534">
        <v>0</v>
      </c>
      <c r="I1534" s="29">
        <v>0</v>
      </c>
      <c r="J1534" s="29">
        <v>0</v>
      </c>
      <c r="K1534" s="9">
        <v>45331</v>
      </c>
      <c r="L1534">
        <f xml:space="preserve"> (交易處理資料__3[[#This Row],[售出工時]] * 60) / 5</f>
        <v>0</v>
      </c>
      <c r="M1534" t="str">
        <f>VLOOKUP(交易處理資料__3[[#This Row],[人員代號]],團隊分組!$B$1:$C$52,2,FALSE)</f>
        <v>查修團隊B</v>
      </c>
      <c r="N1534" t="str">
        <f>IF(交易處理資料__3[[#This Row],[上班時間]]=0,"否","是")</f>
        <v>否</v>
      </c>
      <c r="O1534" t="s">
        <v>76</v>
      </c>
      <c r="P1534" s="37">
        <v>0</v>
      </c>
      <c r="Q1534" s="37">
        <v>0</v>
      </c>
      <c r="R1534" s="37">
        <v>0</v>
      </c>
    </row>
    <row r="1535" spans="1:18" hidden="1">
      <c r="A1535" t="s">
        <v>76</v>
      </c>
      <c r="B1535" t="s">
        <v>37</v>
      </c>
      <c r="C1535">
        <v>0</v>
      </c>
      <c r="D1535">
        <v>0</v>
      </c>
      <c r="E1535" s="29">
        <v>0</v>
      </c>
      <c r="F1535">
        <v>0</v>
      </c>
      <c r="G1535">
        <v>0</v>
      </c>
      <c r="H1535">
        <v>0</v>
      </c>
      <c r="I1535" s="29">
        <v>0</v>
      </c>
      <c r="J1535" s="29">
        <v>0</v>
      </c>
      <c r="K1535" s="9">
        <v>45331</v>
      </c>
      <c r="L1535">
        <f xml:space="preserve"> (交易處理資料__3[[#This Row],[售出工時]] * 60) / 5</f>
        <v>0</v>
      </c>
      <c r="M1535" t="str">
        <f>VLOOKUP(交易處理資料__3[[#This Row],[人員代號]],團隊分組!$B$1:$C$52,2,FALSE)</f>
        <v>查修團隊A</v>
      </c>
      <c r="N1535" t="str">
        <f>IF(交易處理資料__3[[#This Row],[上班時間]]=0,"否","是")</f>
        <v>否</v>
      </c>
      <c r="O1535" t="s">
        <v>76</v>
      </c>
      <c r="P1535" s="38">
        <v>0</v>
      </c>
      <c r="Q1535" s="38">
        <v>0</v>
      </c>
      <c r="R1535" s="38">
        <v>0</v>
      </c>
    </row>
    <row r="1536" spans="1:18" hidden="1">
      <c r="A1536" t="s">
        <v>76</v>
      </c>
      <c r="B1536" t="s">
        <v>38</v>
      </c>
      <c r="C1536">
        <v>0</v>
      </c>
      <c r="D1536">
        <v>0</v>
      </c>
      <c r="E1536" s="29">
        <v>0</v>
      </c>
      <c r="F1536">
        <v>0</v>
      </c>
      <c r="G1536">
        <v>0</v>
      </c>
      <c r="H1536">
        <v>0</v>
      </c>
      <c r="I1536" s="29">
        <v>0</v>
      </c>
      <c r="J1536" s="29">
        <v>0</v>
      </c>
      <c r="K1536" s="9">
        <v>45331</v>
      </c>
      <c r="L1536">
        <f xml:space="preserve"> (交易處理資料__3[[#This Row],[售出工時]] * 60) / 5</f>
        <v>0</v>
      </c>
      <c r="M1536" t="str">
        <f>VLOOKUP(交易處理資料__3[[#This Row],[人員代號]],團隊分組!$B$1:$C$52,2,FALSE)</f>
        <v>快速保養團隊A</v>
      </c>
      <c r="N1536" t="str">
        <f>IF(交易處理資料__3[[#This Row],[上班時間]]=0,"否","是")</f>
        <v>否</v>
      </c>
      <c r="O1536" t="s">
        <v>76</v>
      </c>
      <c r="P1536" s="37">
        <v>0</v>
      </c>
      <c r="Q1536" s="37">
        <v>0</v>
      </c>
      <c r="R1536" s="37">
        <v>0</v>
      </c>
    </row>
    <row r="1537" spans="1:18" hidden="1">
      <c r="A1537" t="s">
        <v>76</v>
      </c>
      <c r="B1537" t="s">
        <v>39</v>
      </c>
      <c r="C1537">
        <v>0</v>
      </c>
      <c r="D1537">
        <v>0</v>
      </c>
      <c r="E1537" s="29">
        <v>0</v>
      </c>
      <c r="F1537">
        <v>0</v>
      </c>
      <c r="G1537">
        <v>0</v>
      </c>
      <c r="H1537">
        <v>0</v>
      </c>
      <c r="I1537" s="29">
        <v>0</v>
      </c>
      <c r="J1537" s="29">
        <v>0</v>
      </c>
      <c r="K1537" s="9">
        <v>45331</v>
      </c>
      <c r="L1537">
        <f xml:space="preserve"> (交易處理資料__3[[#This Row],[售出工時]] * 60) / 5</f>
        <v>0</v>
      </c>
      <c r="M1537" t="str">
        <f>VLOOKUP(交易處理資料__3[[#This Row],[人員代號]],團隊分組!$B$1:$C$52,2,FALSE)</f>
        <v>查修團隊A</v>
      </c>
      <c r="N1537" t="str">
        <f>IF(交易處理資料__3[[#This Row],[上班時間]]=0,"否","是")</f>
        <v>否</v>
      </c>
      <c r="O1537" t="s">
        <v>76</v>
      </c>
      <c r="P1537" s="38">
        <v>0</v>
      </c>
      <c r="Q1537" s="38">
        <v>0</v>
      </c>
      <c r="R1537" s="38">
        <v>0</v>
      </c>
    </row>
    <row r="1538" spans="1:18" hidden="1">
      <c r="A1538" t="s">
        <v>76</v>
      </c>
      <c r="B1538" t="s">
        <v>40</v>
      </c>
      <c r="C1538">
        <v>0</v>
      </c>
      <c r="D1538">
        <v>0</v>
      </c>
      <c r="E1538" s="29">
        <v>0</v>
      </c>
      <c r="F1538">
        <v>0</v>
      </c>
      <c r="G1538">
        <v>0</v>
      </c>
      <c r="H1538">
        <v>0</v>
      </c>
      <c r="I1538" s="29">
        <v>0</v>
      </c>
      <c r="J1538" s="29">
        <v>0</v>
      </c>
      <c r="K1538" s="9">
        <v>45331</v>
      </c>
      <c r="L1538">
        <f xml:space="preserve"> (交易處理資料__3[[#This Row],[售出工時]] * 60) / 5</f>
        <v>0</v>
      </c>
      <c r="M1538" t="str">
        <f>VLOOKUP(交易處理資料__3[[#This Row],[人員代號]],團隊分組!$B$1:$C$52,2,FALSE)</f>
        <v>查修團隊A</v>
      </c>
      <c r="N1538" t="str">
        <f>IF(交易處理資料__3[[#This Row],[上班時間]]=0,"否","是")</f>
        <v>否</v>
      </c>
      <c r="O1538" t="s">
        <v>76</v>
      </c>
      <c r="P1538" s="37">
        <v>0</v>
      </c>
      <c r="Q1538" s="37">
        <v>0</v>
      </c>
      <c r="R1538" s="37">
        <v>0</v>
      </c>
    </row>
    <row r="1539" spans="1:18" hidden="1">
      <c r="A1539" t="s">
        <v>76</v>
      </c>
      <c r="B1539" t="s">
        <v>41</v>
      </c>
      <c r="C1539">
        <v>0</v>
      </c>
      <c r="D1539">
        <v>0</v>
      </c>
      <c r="E1539" s="29">
        <v>0</v>
      </c>
      <c r="F1539">
        <v>0</v>
      </c>
      <c r="G1539">
        <v>0</v>
      </c>
      <c r="H1539">
        <v>0</v>
      </c>
      <c r="I1539" s="29">
        <v>0</v>
      </c>
      <c r="J1539" s="29">
        <v>0</v>
      </c>
      <c r="K1539" s="9">
        <v>45331</v>
      </c>
      <c r="L1539">
        <f xml:space="preserve"> (交易處理資料__3[[#This Row],[售出工時]] * 60) / 5</f>
        <v>0</v>
      </c>
      <c r="M1539" t="str">
        <f>VLOOKUP(交易處理資料__3[[#This Row],[人員代號]],團隊分組!$B$1:$C$52,2,FALSE)</f>
        <v>快速保養團隊A</v>
      </c>
      <c r="N1539" t="str">
        <f>IF(交易處理資料__3[[#This Row],[上班時間]]=0,"否","是")</f>
        <v>否</v>
      </c>
      <c r="O1539" t="s">
        <v>76</v>
      </c>
      <c r="P1539" s="38">
        <v>0</v>
      </c>
      <c r="Q1539" s="38">
        <v>0</v>
      </c>
      <c r="R1539" s="38">
        <v>0</v>
      </c>
    </row>
    <row r="1540" spans="1:18" hidden="1">
      <c r="A1540" t="s">
        <v>76</v>
      </c>
      <c r="B1540" t="s">
        <v>42</v>
      </c>
      <c r="C1540">
        <v>0</v>
      </c>
      <c r="D1540">
        <v>0</v>
      </c>
      <c r="E1540" s="29">
        <v>0</v>
      </c>
      <c r="F1540">
        <v>0</v>
      </c>
      <c r="G1540">
        <v>0</v>
      </c>
      <c r="H1540">
        <v>0</v>
      </c>
      <c r="I1540" s="29">
        <v>0</v>
      </c>
      <c r="J1540" s="29">
        <v>0</v>
      </c>
      <c r="K1540" s="9">
        <v>45331</v>
      </c>
      <c r="L1540">
        <f xml:space="preserve"> (交易處理資料__3[[#This Row],[售出工時]] * 60) / 5</f>
        <v>0</v>
      </c>
      <c r="M1540" t="str">
        <f>VLOOKUP(交易處理資料__3[[#This Row],[人員代號]],團隊分組!$B$1:$C$52,2,FALSE)</f>
        <v>快速保養團隊A</v>
      </c>
      <c r="N1540" t="str">
        <f>IF(交易處理資料__3[[#This Row],[上班時間]]=0,"否","是")</f>
        <v>否</v>
      </c>
      <c r="O1540" t="s">
        <v>76</v>
      </c>
      <c r="P1540" s="37">
        <v>0</v>
      </c>
      <c r="Q1540" s="37">
        <v>0</v>
      </c>
      <c r="R1540" s="37">
        <v>0</v>
      </c>
    </row>
    <row r="1541" spans="1:18" hidden="1">
      <c r="A1541" t="s">
        <v>76</v>
      </c>
      <c r="B1541" t="s">
        <v>43</v>
      </c>
      <c r="C1541">
        <v>0</v>
      </c>
      <c r="D1541">
        <v>0</v>
      </c>
      <c r="E1541" s="29">
        <v>0</v>
      </c>
      <c r="F1541">
        <v>0</v>
      </c>
      <c r="G1541">
        <v>0</v>
      </c>
      <c r="H1541">
        <v>0</v>
      </c>
      <c r="I1541" s="29">
        <v>0</v>
      </c>
      <c r="J1541" s="29">
        <v>0</v>
      </c>
      <c r="K1541" s="9">
        <v>45331</v>
      </c>
      <c r="L1541">
        <f xml:space="preserve"> (交易處理資料__3[[#This Row],[售出工時]] * 60) / 5</f>
        <v>0</v>
      </c>
      <c r="M1541" t="str">
        <f>VLOOKUP(交易處理資料__3[[#This Row],[人員代號]],團隊分組!$B$1:$C$52,2,FALSE)</f>
        <v>查修團隊B</v>
      </c>
      <c r="N1541" t="str">
        <f>IF(交易處理資料__3[[#This Row],[上班時間]]=0,"否","是")</f>
        <v>否</v>
      </c>
      <c r="O1541" t="s">
        <v>76</v>
      </c>
      <c r="P1541" s="38">
        <v>0</v>
      </c>
      <c r="Q1541" s="38">
        <v>0</v>
      </c>
      <c r="R1541" s="38">
        <v>0</v>
      </c>
    </row>
    <row r="1542" spans="1:18" hidden="1">
      <c r="A1542" t="s">
        <v>76</v>
      </c>
      <c r="B1542" t="s">
        <v>44</v>
      </c>
      <c r="C1542">
        <v>0</v>
      </c>
      <c r="D1542">
        <v>0</v>
      </c>
      <c r="E1542" s="29">
        <v>0</v>
      </c>
      <c r="F1542">
        <v>0</v>
      </c>
      <c r="G1542">
        <v>0</v>
      </c>
      <c r="H1542">
        <v>0</v>
      </c>
      <c r="I1542" s="29">
        <v>0</v>
      </c>
      <c r="J1542" s="29">
        <v>0</v>
      </c>
      <c r="K1542" s="9">
        <v>45331</v>
      </c>
      <c r="L1542">
        <f xml:space="preserve"> (交易處理資料__3[[#This Row],[售出工時]] * 60) / 5</f>
        <v>0</v>
      </c>
      <c r="M1542" t="str">
        <f>VLOOKUP(交易處理資料__3[[#This Row],[人員代號]],團隊分組!$B$1:$C$52,2,FALSE)</f>
        <v>快速保養團隊B</v>
      </c>
      <c r="N1542" t="str">
        <f>IF(交易處理資料__3[[#This Row],[上班時間]]=0,"否","是")</f>
        <v>否</v>
      </c>
      <c r="O1542" t="s">
        <v>76</v>
      </c>
      <c r="P1542" s="37">
        <v>0</v>
      </c>
      <c r="Q1542" s="37">
        <v>0</v>
      </c>
      <c r="R1542" s="37">
        <v>0</v>
      </c>
    </row>
    <row r="1543" spans="1:18" hidden="1">
      <c r="A1543" t="s">
        <v>76</v>
      </c>
      <c r="B1543" t="s">
        <v>45</v>
      </c>
      <c r="C1543">
        <v>0</v>
      </c>
      <c r="D1543">
        <v>0</v>
      </c>
      <c r="E1543" s="29">
        <v>0</v>
      </c>
      <c r="F1543">
        <v>0</v>
      </c>
      <c r="G1543">
        <v>0</v>
      </c>
      <c r="H1543">
        <v>0</v>
      </c>
      <c r="I1543" s="29">
        <v>0</v>
      </c>
      <c r="J1543" s="29">
        <v>0</v>
      </c>
      <c r="K1543" s="9">
        <v>45331</v>
      </c>
      <c r="L1543">
        <f xml:space="preserve"> (交易處理資料__3[[#This Row],[售出工時]] * 60) / 5</f>
        <v>0</v>
      </c>
      <c r="M1543" t="str">
        <f>VLOOKUP(交易處理資料__3[[#This Row],[人員代號]],團隊分組!$B$1:$C$52,2,FALSE)</f>
        <v>快速保養團隊A</v>
      </c>
      <c r="N1543" t="str">
        <f>IF(交易處理資料__3[[#This Row],[上班時間]]=0,"否","是")</f>
        <v>否</v>
      </c>
      <c r="O1543" t="s">
        <v>76</v>
      </c>
      <c r="P1543" s="38">
        <v>0</v>
      </c>
      <c r="Q1543" s="38">
        <v>0</v>
      </c>
      <c r="R1543" s="38">
        <v>0</v>
      </c>
    </row>
    <row r="1544" spans="1:18" hidden="1">
      <c r="A1544" t="s">
        <v>76</v>
      </c>
      <c r="B1544" t="s">
        <v>46</v>
      </c>
      <c r="C1544">
        <v>0</v>
      </c>
      <c r="D1544">
        <v>0</v>
      </c>
      <c r="E1544" s="29">
        <v>0</v>
      </c>
      <c r="F1544">
        <v>0</v>
      </c>
      <c r="G1544">
        <v>0</v>
      </c>
      <c r="H1544">
        <v>0</v>
      </c>
      <c r="I1544" s="29">
        <v>0</v>
      </c>
      <c r="J1544" s="29">
        <v>0</v>
      </c>
      <c r="K1544" s="9">
        <v>45331</v>
      </c>
      <c r="L1544">
        <f xml:space="preserve"> (交易處理資料__3[[#This Row],[售出工時]] * 60) / 5</f>
        <v>0</v>
      </c>
      <c r="M1544" t="str">
        <f>VLOOKUP(交易處理資料__3[[#This Row],[人員代號]],團隊分組!$B$1:$C$52,2,FALSE)</f>
        <v>查修團隊B</v>
      </c>
      <c r="N1544" t="str">
        <f>IF(交易處理資料__3[[#This Row],[上班時間]]=0,"否","是")</f>
        <v>否</v>
      </c>
      <c r="O1544" t="s">
        <v>76</v>
      </c>
      <c r="P1544" s="37">
        <v>0</v>
      </c>
      <c r="Q1544" s="37">
        <v>0</v>
      </c>
      <c r="R1544" s="37">
        <v>0</v>
      </c>
    </row>
    <row r="1545" spans="1:18" hidden="1">
      <c r="A1545" t="s">
        <v>76</v>
      </c>
      <c r="B1545" t="s">
        <v>47</v>
      </c>
      <c r="C1545">
        <v>0</v>
      </c>
      <c r="D1545">
        <v>0</v>
      </c>
      <c r="E1545" s="29">
        <v>0</v>
      </c>
      <c r="F1545">
        <v>0</v>
      </c>
      <c r="G1545">
        <v>0</v>
      </c>
      <c r="H1545">
        <v>0</v>
      </c>
      <c r="I1545" s="29">
        <v>0</v>
      </c>
      <c r="J1545" s="29">
        <v>0</v>
      </c>
      <c r="K1545" s="9">
        <v>45331</v>
      </c>
      <c r="L1545">
        <f xml:space="preserve"> (交易處理資料__3[[#This Row],[售出工時]] * 60) / 5</f>
        <v>0</v>
      </c>
      <c r="M1545" t="str">
        <f>VLOOKUP(交易處理資料__3[[#This Row],[人員代號]],團隊分組!$B$1:$C$52,2,FALSE)</f>
        <v>查修團隊B</v>
      </c>
      <c r="N1545" t="str">
        <f>IF(交易處理資料__3[[#This Row],[上班時間]]=0,"否","是")</f>
        <v>否</v>
      </c>
      <c r="O1545" t="s">
        <v>76</v>
      </c>
      <c r="P1545" s="38">
        <v>0</v>
      </c>
      <c r="Q1545" s="38">
        <v>0</v>
      </c>
      <c r="R1545" s="38">
        <v>0</v>
      </c>
    </row>
    <row r="1546" spans="1:18" hidden="1">
      <c r="A1546" t="s">
        <v>76</v>
      </c>
      <c r="B1546" t="s">
        <v>48</v>
      </c>
      <c r="C1546">
        <v>0</v>
      </c>
      <c r="D1546">
        <v>0</v>
      </c>
      <c r="E1546" s="29">
        <v>0</v>
      </c>
      <c r="F1546">
        <v>0</v>
      </c>
      <c r="G1546">
        <v>0</v>
      </c>
      <c r="H1546">
        <v>0</v>
      </c>
      <c r="I1546" s="29">
        <v>0</v>
      </c>
      <c r="J1546" s="29">
        <v>0</v>
      </c>
      <c r="K1546" s="9">
        <v>45331</v>
      </c>
      <c r="L1546">
        <f xml:space="preserve"> (交易處理資料__3[[#This Row],[售出工時]] * 60) / 5</f>
        <v>0</v>
      </c>
      <c r="M1546" t="str">
        <f>VLOOKUP(交易處理資料__3[[#This Row],[人員代號]],團隊分組!$B$1:$C$52,2,FALSE)</f>
        <v>查修團隊A</v>
      </c>
      <c r="N1546" t="str">
        <f>IF(交易處理資料__3[[#This Row],[上班時間]]=0,"否","是")</f>
        <v>否</v>
      </c>
      <c r="O1546" t="s">
        <v>76</v>
      </c>
      <c r="P1546" s="37">
        <v>0</v>
      </c>
      <c r="Q1546" s="37">
        <v>0</v>
      </c>
      <c r="R1546" s="37">
        <v>0</v>
      </c>
    </row>
    <row r="1547" spans="1:18" hidden="1">
      <c r="A1547" t="s">
        <v>76</v>
      </c>
      <c r="B1547" t="s">
        <v>49</v>
      </c>
      <c r="C1547">
        <v>0</v>
      </c>
      <c r="D1547">
        <v>0</v>
      </c>
      <c r="E1547" s="29">
        <v>0</v>
      </c>
      <c r="F1547">
        <v>0</v>
      </c>
      <c r="G1547">
        <v>0</v>
      </c>
      <c r="H1547">
        <v>0</v>
      </c>
      <c r="I1547" s="29">
        <v>0</v>
      </c>
      <c r="J1547" s="29">
        <v>0</v>
      </c>
      <c r="K1547" s="9">
        <v>45331</v>
      </c>
      <c r="L1547">
        <f xml:space="preserve"> (交易處理資料__3[[#This Row],[售出工時]] * 60) / 5</f>
        <v>0</v>
      </c>
      <c r="M1547" t="str">
        <f>VLOOKUP(交易處理資料__3[[#This Row],[人員代號]],團隊分組!$B$1:$C$52,2,FALSE)</f>
        <v>查修團隊A</v>
      </c>
      <c r="N1547" t="str">
        <f>IF(交易處理資料__3[[#This Row],[上班時間]]=0,"否","是")</f>
        <v>否</v>
      </c>
      <c r="O1547" t="s">
        <v>76</v>
      </c>
      <c r="P1547" s="38">
        <v>0</v>
      </c>
      <c r="Q1547" s="38">
        <v>0</v>
      </c>
      <c r="R1547" s="38">
        <v>0</v>
      </c>
    </row>
    <row r="1548" spans="1:18" hidden="1">
      <c r="A1548" t="s">
        <v>76</v>
      </c>
      <c r="B1548" t="s">
        <v>50</v>
      </c>
      <c r="C1548">
        <v>0</v>
      </c>
      <c r="D1548">
        <v>0</v>
      </c>
      <c r="E1548" s="29">
        <v>0</v>
      </c>
      <c r="F1548">
        <v>0</v>
      </c>
      <c r="G1548">
        <v>0</v>
      </c>
      <c r="H1548">
        <v>0</v>
      </c>
      <c r="I1548" s="29">
        <v>0</v>
      </c>
      <c r="J1548" s="29">
        <v>0</v>
      </c>
      <c r="K1548" s="9">
        <v>45331</v>
      </c>
      <c r="L1548">
        <f xml:space="preserve"> (交易處理資料__3[[#This Row],[售出工時]] * 60) / 5</f>
        <v>0</v>
      </c>
      <c r="M1548" t="str">
        <f>VLOOKUP(交易處理資料__3[[#This Row],[人員代號]],團隊分組!$B$1:$C$52,2,FALSE)</f>
        <v>快速保養團隊B</v>
      </c>
      <c r="N1548" t="str">
        <f>IF(交易處理資料__3[[#This Row],[上班時間]]=0,"否","是")</f>
        <v>否</v>
      </c>
      <c r="O1548" t="s">
        <v>76</v>
      </c>
      <c r="P1548" s="37">
        <v>0</v>
      </c>
      <c r="Q1548" s="37">
        <v>0</v>
      </c>
      <c r="R1548" s="37">
        <v>0</v>
      </c>
    </row>
    <row r="1549" spans="1:18" hidden="1">
      <c r="A1549" t="s">
        <v>76</v>
      </c>
      <c r="B1549" t="s">
        <v>51</v>
      </c>
      <c r="C1549">
        <v>0</v>
      </c>
      <c r="D1549">
        <v>0</v>
      </c>
      <c r="E1549" s="29">
        <v>0</v>
      </c>
      <c r="F1549">
        <v>0</v>
      </c>
      <c r="G1549">
        <v>0</v>
      </c>
      <c r="H1549">
        <v>0</v>
      </c>
      <c r="I1549" s="29">
        <v>0</v>
      </c>
      <c r="J1549" s="29">
        <v>0</v>
      </c>
      <c r="K1549" s="9">
        <v>45331</v>
      </c>
      <c r="L1549">
        <f xml:space="preserve"> (交易處理資料__3[[#This Row],[售出工時]] * 60) / 5</f>
        <v>0</v>
      </c>
      <c r="M1549" t="str">
        <f>VLOOKUP(交易處理資料__3[[#This Row],[人員代號]],團隊分組!$B$1:$C$52,2,FALSE)</f>
        <v>無效數據</v>
      </c>
      <c r="N1549" t="str">
        <f>IF(交易處理資料__3[[#This Row],[上班時間]]=0,"否","是")</f>
        <v>否</v>
      </c>
      <c r="O1549" t="s">
        <v>76</v>
      </c>
      <c r="P1549" s="38">
        <v>0</v>
      </c>
      <c r="Q1549" s="38">
        <v>0</v>
      </c>
      <c r="R1549" s="38">
        <v>0</v>
      </c>
    </row>
    <row r="1550" spans="1:18" hidden="1">
      <c r="A1550" t="s">
        <v>76</v>
      </c>
      <c r="B1550" t="s">
        <v>52</v>
      </c>
      <c r="C1550">
        <v>0</v>
      </c>
      <c r="D1550">
        <v>0</v>
      </c>
      <c r="E1550" s="29">
        <v>0</v>
      </c>
      <c r="F1550">
        <v>0</v>
      </c>
      <c r="G1550">
        <v>0</v>
      </c>
      <c r="H1550">
        <v>0</v>
      </c>
      <c r="I1550" s="29">
        <v>0</v>
      </c>
      <c r="J1550" s="29">
        <v>0</v>
      </c>
      <c r="K1550" s="9">
        <v>45331</v>
      </c>
      <c r="L1550">
        <f xml:space="preserve"> (交易處理資料__3[[#This Row],[售出工時]] * 60) / 5</f>
        <v>0</v>
      </c>
      <c r="M1550" t="str">
        <f>VLOOKUP(交易處理資料__3[[#This Row],[人員代號]],團隊分組!$B$1:$C$52,2,FALSE)</f>
        <v>查修團隊B</v>
      </c>
      <c r="N1550" t="str">
        <f>IF(交易處理資料__3[[#This Row],[上班時間]]=0,"否","是")</f>
        <v>否</v>
      </c>
      <c r="O1550" t="s">
        <v>76</v>
      </c>
      <c r="P1550" s="37">
        <v>0</v>
      </c>
      <c r="Q1550" s="37">
        <v>0</v>
      </c>
      <c r="R1550" s="37">
        <v>0</v>
      </c>
    </row>
    <row r="1551" spans="1:18" hidden="1">
      <c r="A1551" t="s">
        <v>76</v>
      </c>
      <c r="B1551" t="s">
        <v>53</v>
      </c>
      <c r="C1551">
        <v>0</v>
      </c>
      <c r="D1551">
        <v>0</v>
      </c>
      <c r="E1551" s="29">
        <v>0</v>
      </c>
      <c r="F1551">
        <v>0</v>
      </c>
      <c r="G1551">
        <v>0</v>
      </c>
      <c r="H1551">
        <v>0</v>
      </c>
      <c r="I1551" s="29">
        <v>0</v>
      </c>
      <c r="J1551" s="29">
        <v>0</v>
      </c>
      <c r="K1551" s="9">
        <v>45331</v>
      </c>
      <c r="L1551">
        <f xml:space="preserve"> (交易處理資料__3[[#This Row],[售出工時]] * 60) / 5</f>
        <v>0</v>
      </c>
      <c r="M1551" t="str">
        <f>VLOOKUP(交易處理資料__3[[#This Row],[人員代號]],團隊分組!$B$1:$C$52,2,FALSE)</f>
        <v>查修團隊A</v>
      </c>
      <c r="N1551" t="str">
        <f>IF(交易處理資料__3[[#This Row],[上班時間]]=0,"否","是")</f>
        <v>否</v>
      </c>
      <c r="O1551" t="s">
        <v>76</v>
      </c>
      <c r="P1551" s="38">
        <v>0</v>
      </c>
      <c r="Q1551" s="38">
        <v>0</v>
      </c>
      <c r="R1551" s="38">
        <v>0</v>
      </c>
    </row>
    <row r="1552" spans="1:18" hidden="1">
      <c r="A1552" s="10" t="s">
        <v>74</v>
      </c>
      <c r="B1552" t="s">
        <v>1</v>
      </c>
      <c r="C1552">
        <v>0</v>
      </c>
      <c r="D1552">
        <v>0</v>
      </c>
      <c r="E1552" s="29">
        <v>0</v>
      </c>
      <c r="F1552">
        <v>0</v>
      </c>
      <c r="G1552">
        <v>0</v>
      </c>
      <c r="H1552">
        <v>0</v>
      </c>
      <c r="I1552" s="29">
        <v>0</v>
      </c>
      <c r="J1552" s="29">
        <v>0</v>
      </c>
      <c r="K1552" s="9">
        <v>45332</v>
      </c>
      <c r="L1552">
        <f xml:space="preserve"> (交易處理資料__3[[#This Row],[售出工時]] * 60) / 5</f>
        <v>0</v>
      </c>
      <c r="M1552" t="str">
        <f>VLOOKUP(交易處理資料__3[[#This Row],[人員代號]],團隊分組!$B$1:$C$52,2,FALSE)</f>
        <v>噴漆維修組</v>
      </c>
      <c r="N1552" t="str">
        <f>IF(交易處理資料__3[[#This Row],[上班時間]]=0,"否","是")</f>
        <v>否</v>
      </c>
      <c r="O1552" s="10" t="s">
        <v>74</v>
      </c>
      <c r="P1552" s="37">
        <v>0</v>
      </c>
      <c r="Q1552" s="37">
        <v>0</v>
      </c>
      <c r="R1552" s="37">
        <v>0</v>
      </c>
    </row>
    <row r="1553" spans="1:18" hidden="1">
      <c r="A1553" s="10" t="s">
        <v>74</v>
      </c>
      <c r="B1553" t="s">
        <v>2</v>
      </c>
      <c r="C1553">
        <v>0</v>
      </c>
      <c r="D1553">
        <v>0</v>
      </c>
      <c r="E1553" s="29">
        <v>0</v>
      </c>
      <c r="F1553">
        <v>0</v>
      </c>
      <c r="G1553">
        <v>0</v>
      </c>
      <c r="H1553">
        <v>0</v>
      </c>
      <c r="I1553" s="29">
        <v>0</v>
      </c>
      <c r="J1553" s="29">
        <v>0</v>
      </c>
      <c r="K1553" s="9">
        <v>45332</v>
      </c>
      <c r="L1553">
        <f xml:space="preserve"> (交易處理資料__3[[#This Row],[售出工時]] * 60) / 5</f>
        <v>0</v>
      </c>
      <c r="M1553" t="str">
        <f>VLOOKUP(交易處理資料__3[[#This Row],[人員代號]],團隊分組!$B$1:$C$52,2,FALSE)</f>
        <v>噴漆維修組</v>
      </c>
      <c r="N1553" t="str">
        <f>IF(交易處理資料__3[[#This Row],[上班時間]]=0,"否","是")</f>
        <v>否</v>
      </c>
      <c r="O1553" s="10" t="s">
        <v>74</v>
      </c>
      <c r="P1553" s="38">
        <v>0</v>
      </c>
      <c r="Q1553" s="38">
        <v>0</v>
      </c>
      <c r="R1553" s="38">
        <v>0</v>
      </c>
    </row>
    <row r="1554" spans="1:18" hidden="1">
      <c r="A1554" s="10" t="s">
        <v>74</v>
      </c>
      <c r="B1554" t="s">
        <v>3</v>
      </c>
      <c r="C1554">
        <v>0</v>
      </c>
      <c r="D1554">
        <v>0</v>
      </c>
      <c r="E1554" s="29">
        <v>0</v>
      </c>
      <c r="F1554">
        <v>0</v>
      </c>
      <c r="G1554">
        <v>0</v>
      </c>
      <c r="H1554">
        <v>0</v>
      </c>
      <c r="I1554" s="29">
        <v>0</v>
      </c>
      <c r="J1554" s="29">
        <v>0</v>
      </c>
      <c r="K1554" s="9">
        <v>45332</v>
      </c>
      <c r="L1554">
        <f xml:space="preserve"> (交易處理資料__3[[#This Row],[售出工時]] * 60) / 5</f>
        <v>0</v>
      </c>
      <c r="M1554" t="str">
        <f>VLOOKUP(交易處理資料__3[[#This Row],[人員代號]],團隊分組!$B$1:$C$52,2,FALSE)</f>
        <v>噴漆維修組</v>
      </c>
      <c r="N1554" t="str">
        <f>IF(交易處理資料__3[[#This Row],[上班時間]]=0,"否","是")</f>
        <v>否</v>
      </c>
      <c r="O1554" s="10" t="s">
        <v>74</v>
      </c>
      <c r="P1554" s="37">
        <v>0</v>
      </c>
      <c r="Q1554" s="37">
        <v>0</v>
      </c>
      <c r="R1554" s="37">
        <v>0</v>
      </c>
    </row>
    <row r="1555" spans="1:18" hidden="1">
      <c r="A1555" s="10" t="s">
        <v>74</v>
      </c>
      <c r="B1555" t="s">
        <v>4</v>
      </c>
      <c r="C1555">
        <v>0</v>
      </c>
      <c r="D1555">
        <v>0</v>
      </c>
      <c r="E1555" s="29">
        <v>0</v>
      </c>
      <c r="F1555">
        <v>0</v>
      </c>
      <c r="G1555">
        <v>0</v>
      </c>
      <c r="H1555">
        <v>0</v>
      </c>
      <c r="I1555" s="29">
        <v>0</v>
      </c>
      <c r="J1555" s="29">
        <v>0</v>
      </c>
      <c r="K1555" s="9">
        <v>45332</v>
      </c>
      <c r="L1555">
        <f xml:space="preserve"> (交易處理資料__3[[#This Row],[售出工時]] * 60) / 5</f>
        <v>0</v>
      </c>
      <c r="M1555" t="str">
        <f>VLOOKUP(交易處理資料__3[[#This Row],[人員代號]],團隊分組!$B$1:$C$52,2,FALSE)</f>
        <v>噴漆維修組</v>
      </c>
      <c r="N1555" t="str">
        <f>IF(交易處理資料__3[[#This Row],[上班時間]]=0,"否","是")</f>
        <v>否</v>
      </c>
      <c r="O1555" s="10" t="s">
        <v>74</v>
      </c>
      <c r="P1555" s="38">
        <v>0</v>
      </c>
      <c r="Q1555" s="38">
        <v>0</v>
      </c>
      <c r="R1555" s="38">
        <v>0</v>
      </c>
    </row>
    <row r="1556" spans="1:18" hidden="1">
      <c r="A1556" s="10" t="s">
        <v>74</v>
      </c>
      <c r="B1556" t="s">
        <v>5</v>
      </c>
      <c r="C1556">
        <v>0</v>
      </c>
      <c r="D1556">
        <v>0</v>
      </c>
      <c r="E1556" s="29">
        <v>0</v>
      </c>
      <c r="F1556">
        <v>0</v>
      </c>
      <c r="G1556">
        <v>0</v>
      </c>
      <c r="H1556">
        <v>0</v>
      </c>
      <c r="I1556" s="29">
        <v>0</v>
      </c>
      <c r="J1556" s="29">
        <v>0</v>
      </c>
      <c r="K1556" s="9">
        <v>45332</v>
      </c>
      <c r="L1556">
        <f xml:space="preserve"> (交易處理資料__3[[#This Row],[售出工時]] * 60) / 5</f>
        <v>0</v>
      </c>
      <c r="M1556" t="str">
        <f>VLOOKUP(交易處理資料__3[[#This Row],[人員代號]],團隊分組!$B$1:$C$52,2,FALSE)</f>
        <v>噴漆維修組</v>
      </c>
      <c r="N1556" t="str">
        <f>IF(交易處理資料__3[[#This Row],[上班時間]]=0,"否","是")</f>
        <v>否</v>
      </c>
      <c r="O1556" s="10" t="s">
        <v>74</v>
      </c>
      <c r="P1556" s="37">
        <v>0</v>
      </c>
      <c r="Q1556" s="37">
        <v>0</v>
      </c>
      <c r="R1556" s="37">
        <v>0</v>
      </c>
    </row>
    <row r="1557" spans="1:18" hidden="1">
      <c r="A1557" s="10" t="s">
        <v>74</v>
      </c>
      <c r="B1557" t="s">
        <v>6</v>
      </c>
      <c r="C1557">
        <v>0</v>
      </c>
      <c r="D1557">
        <v>0</v>
      </c>
      <c r="E1557" s="29">
        <v>0</v>
      </c>
      <c r="F1557">
        <v>0</v>
      </c>
      <c r="G1557">
        <v>0</v>
      </c>
      <c r="H1557">
        <v>0</v>
      </c>
      <c r="I1557" s="29">
        <v>0</v>
      </c>
      <c r="J1557" s="29">
        <v>0</v>
      </c>
      <c r="K1557" s="9">
        <v>45332</v>
      </c>
      <c r="L1557">
        <f xml:space="preserve"> (交易處理資料__3[[#This Row],[售出工時]] * 60) / 5</f>
        <v>0</v>
      </c>
      <c r="M1557" t="str">
        <f>VLOOKUP(交易處理資料__3[[#This Row],[人員代號]],團隊分組!$B$1:$C$52,2,FALSE)</f>
        <v>噴漆維修組</v>
      </c>
      <c r="N1557" t="str">
        <f>IF(交易處理資料__3[[#This Row],[上班時間]]=0,"否","是")</f>
        <v>否</v>
      </c>
      <c r="O1557" s="10" t="s">
        <v>74</v>
      </c>
      <c r="P1557" s="38">
        <v>0</v>
      </c>
      <c r="Q1557" s="38">
        <v>0</v>
      </c>
      <c r="R1557" s="38">
        <v>0</v>
      </c>
    </row>
    <row r="1558" spans="1:18">
      <c r="A1558" s="10" t="s">
        <v>74</v>
      </c>
      <c r="B1558" t="s">
        <v>7</v>
      </c>
      <c r="C1558">
        <v>0</v>
      </c>
      <c r="D1558">
        <v>0</v>
      </c>
      <c r="E1558" s="29">
        <v>0</v>
      </c>
      <c r="F1558">
        <v>0</v>
      </c>
      <c r="G1558">
        <v>0</v>
      </c>
      <c r="H1558">
        <v>0</v>
      </c>
      <c r="I1558" s="29">
        <v>0</v>
      </c>
      <c r="J1558" s="29">
        <v>0</v>
      </c>
      <c r="K1558" s="9">
        <v>45332</v>
      </c>
      <c r="L1558">
        <f xml:space="preserve"> (交易處理資料__3[[#This Row],[售出工時]] * 60) / 5</f>
        <v>0</v>
      </c>
      <c r="M1558" t="str">
        <f>VLOOKUP(交易處理資料__3[[#This Row],[人員代號]],團隊分組!$B$1:$C$52,2,FALSE)</f>
        <v>噴漆維修組</v>
      </c>
      <c r="N1558" t="str">
        <f>IF(交易處理資料__3[[#This Row],[上班時間]]=0,"否","是")</f>
        <v>否</v>
      </c>
      <c r="O1558" s="10" t="s">
        <v>74</v>
      </c>
      <c r="P1558" s="37">
        <v>0</v>
      </c>
      <c r="Q1558" s="37">
        <v>0</v>
      </c>
      <c r="R1558" s="37">
        <v>0</v>
      </c>
    </row>
    <row r="1559" spans="1:18" hidden="1">
      <c r="A1559" s="10" t="s">
        <v>74</v>
      </c>
      <c r="B1559" t="s">
        <v>8</v>
      </c>
      <c r="C1559">
        <v>0</v>
      </c>
      <c r="D1559">
        <v>0</v>
      </c>
      <c r="E1559" s="29">
        <v>0</v>
      </c>
      <c r="F1559">
        <v>0</v>
      </c>
      <c r="G1559">
        <v>0</v>
      </c>
      <c r="H1559">
        <v>0</v>
      </c>
      <c r="I1559" s="29">
        <v>0</v>
      </c>
      <c r="J1559" s="29">
        <v>0</v>
      </c>
      <c r="K1559" s="9">
        <v>45332</v>
      </c>
      <c r="L1559">
        <f xml:space="preserve"> (交易處理資料__3[[#This Row],[售出工時]] * 60) / 5</f>
        <v>0</v>
      </c>
      <c r="M1559" t="str">
        <f>VLOOKUP(交易處理資料__3[[#This Row],[人員代號]],團隊分組!$B$1:$C$52,2,FALSE)</f>
        <v>噴漆維修組</v>
      </c>
      <c r="N1559" t="str">
        <f>IF(交易處理資料__3[[#This Row],[上班時間]]=0,"否","是")</f>
        <v>否</v>
      </c>
      <c r="O1559" s="10" t="s">
        <v>74</v>
      </c>
      <c r="P1559" s="38">
        <v>0</v>
      </c>
      <c r="Q1559" s="38">
        <v>0</v>
      </c>
      <c r="R1559" s="38">
        <v>0</v>
      </c>
    </row>
    <row r="1560" spans="1:18" hidden="1">
      <c r="A1560" s="10" t="s">
        <v>74</v>
      </c>
      <c r="B1560" t="s">
        <v>9</v>
      </c>
      <c r="C1560">
        <v>0</v>
      </c>
      <c r="D1560">
        <v>0</v>
      </c>
      <c r="E1560" s="29">
        <v>0</v>
      </c>
      <c r="F1560">
        <v>0</v>
      </c>
      <c r="G1560">
        <v>0</v>
      </c>
      <c r="H1560">
        <v>0</v>
      </c>
      <c r="I1560" s="29">
        <v>0</v>
      </c>
      <c r="J1560" s="29">
        <v>0</v>
      </c>
      <c r="K1560" s="9">
        <v>45332</v>
      </c>
      <c r="L1560">
        <f xml:space="preserve"> (交易處理資料__3[[#This Row],[售出工時]] * 60) / 5</f>
        <v>0</v>
      </c>
      <c r="M1560" t="str">
        <f>VLOOKUP(交易處理資料__3[[#This Row],[人員代號]],團隊分組!$B$1:$C$52,2,FALSE)</f>
        <v>噴漆維修組</v>
      </c>
      <c r="N1560" t="str">
        <f>IF(交易處理資料__3[[#This Row],[上班時間]]=0,"否","是")</f>
        <v>否</v>
      </c>
      <c r="O1560" s="10" t="s">
        <v>74</v>
      </c>
      <c r="P1560" s="37">
        <v>0</v>
      </c>
      <c r="Q1560" s="37">
        <v>0</v>
      </c>
      <c r="R1560" s="37">
        <v>0</v>
      </c>
    </row>
    <row r="1561" spans="1:18" hidden="1">
      <c r="A1561" t="s">
        <v>75</v>
      </c>
      <c r="B1561" t="s">
        <v>11</v>
      </c>
      <c r="C1561">
        <v>0</v>
      </c>
      <c r="D1561">
        <v>0</v>
      </c>
      <c r="E1561" s="29">
        <v>0</v>
      </c>
      <c r="F1561">
        <v>0</v>
      </c>
      <c r="G1561">
        <v>0</v>
      </c>
      <c r="H1561">
        <v>0</v>
      </c>
      <c r="I1561" s="29">
        <v>0</v>
      </c>
      <c r="J1561" s="29">
        <v>0</v>
      </c>
      <c r="K1561" s="9">
        <v>45332</v>
      </c>
      <c r="L1561">
        <f xml:space="preserve"> (交易處理資料__3[[#This Row],[售出工時]] * 60) / 5</f>
        <v>0</v>
      </c>
      <c r="M1561" t="str">
        <f>VLOOKUP(交易處理資料__3[[#This Row],[人員代號]],團隊分組!$B$1:$C$52,2,FALSE)</f>
        <v>鈑金維修組</v>
      </c>
      <c r="N1561" t="str">
        <f>IF(交易處理資料__3[[#This Row],[上班時間]]=0,"否","是")</f>
        <v>否</v>
      </c>
      <c r="O1561" t="s">
        <v>75</v>
      </c>
      <c r="P1561" s="38">
        <v>0</v>
      </c>
      <c r="Q1561" s="38">
        <v>0</v>
      </c>
      <c r="R1561" s="38">
        <v>0</v>
      </c>
    </row>
    <row r="1562" spans="1:18" hidden="1">
      <c r="A1562" t="s">
        <v>75</v>
      </c>
      <c r="B1562" t="s">
        <v>12</v>
      </c>
      <c r="C1562">
        <v>0</v>
      </c>
      <c r="D1562">
        <v>0</v>
      </c>
      <c r="E1562" s="29">
        <v>0</v>
      </c>
      <c r="F1562">
        <v>0</v>
      </c>
      <c r="G1562">
        <v>0</v>
      </c>
      <c r="H1562">
        <v>0</v>
      </c>
      <c r="I1562" s="29">
        <v>0</v>
      </c>
      <c r="J1562" s="29">
        <v>0</v>
      </c>
      <c r="K1562" s="9">
        <v>45332</v>
      </c>
      <c r="L1562">
        <f xml:space="preserve"> (交易處理資料__3[[#This Row],[售出工時]] * 60) / 5</f>
        <v>0</v>
      </c>
      <c r="M1562" t="str">
        <f>VLOOKUP(交易處理資料__3[[#This Row],[人員代號]],團隊分組!$B$1:$C$52,2,FALSE)</f>
        <v>鈑金維修組</v>
      </c>
      <c r="N1562" t="str">
        <f>IF(交易處理資料__3[[#This Row],[上班時間]]=0,"否","是")</f>
        <v>否</v>
      </c>
      <c r="O1562" t="s">
        <v>75</v>
      </c>
      <c r="P1562" s="37">
        <v>0</v>
      </c>
      <c r="Q1562" s="37">
        <v>0</v>
      </c>
      <c r="R1562" s="37">
        <v>0</v>
      </c>
    </row>
    <row r="1563" spans="1:18" hidden="1">
      <c r="A1563" t="s">
        <v>75</v>
      </c>
      <c r="B1563" t="s">
        <v>13</v>
      </c>
      <c r="C1563">
        <v>0</v>
      </c>
      <c r="D1563">
        <v>0</v>
      </c>
      <c r="E1563" s="29">
        <v>0</v>
      </c>
      <c r="F1563">
        <v>0</v>
      </c>
      <c r="G1563">
        <v>0</v>
      </c>
      <c r="H1563">
        <v>0</v>
      </c>
      <c r="I1563" s="29">
        <v>0</v>
      </c>
      <c r="J1563" s="29">
        <v>0</v>
      </c>
      <c r="K1563" s="9">
        <v>45332</v>
      </c>
      <c r="L1563">
        <f xml:space="preserve"> (交易處理資料__3[[#This Row],[售出工時]] * 60) / 5</f>
        <v>0</v>
      </c>
      <c r="M1563" t="str">
        <f>VLOOKUP(交易處理資料__3[[#This Row],[人員代號]],團隊分組!$B$1:$C$52,2,FALSE)</f>
        <v>鈑金維修組</v>
      </c>
      <c r="N1563" t="str">
        <f>IF(交易處理資料__3[[#This Row],[上班時間]]=0,"否","是")</f>
        <v>否</v>
      </c>
      <c r="O1563" t="s">
        <v>75</v>
      </c>
      <c r="P1563" s="38">
        <v>0</v>
      </c>
      <c r="Q1563" s="38">
        <v>0</v>
      </c>
      <c r="R1563" s="38">
        <v>0</v>
      </c>
    </row>
    <row r="1564" spans="1:18" hidden="1">
      <c r="A1564" t="s">
        <v>75</v>
      </c>
      <c r="B1564" t="s">
        <v>14</v>
      </c>
      <c r="C1564">
        <v>0</v>
      </c>
      <c r="D1564">
        <v>0</v>
      </c>
      <c r="E1564" s="29">
        <v>0</v>
      </c>
      <c r="F1564">
        <v>0</v>
      </c>
      <c r="G1564">
        <v>0</v>
      </c>
      <c r="H1564">
        <v>0</v>
      </c>
      <c r="I1564" s="29">
        <v>0</v>
      </c>
      <c r="J1564" s="29">
        <v>0</v>
      </c>
      <c r="K1564" s="9">
        <v>45332</v>
      </c>
      <c r="L1564">
        <f xml:space="preserve"> (交易處理資料__3[[#This Row],[售出工時]] * 60) / 5</f>
        <v>0</v>
      </c>
      <c r="M1564" t="str">
        <f>VLOOKUP(交易處理資料__3[[#This Row],[人員代號]],團隊分組!$B$1:$C$52,2,FALSE)</f>
        <v>鈑金維修組</v>
      </c>
      <c r="N1564" t="str">
        <f>IF(交易處理資料__3[[#This Row],[上班時間]]=0,"否","是")</f>
        <v>否</v>
      </c>
      <c r="O1564" t="s">
        <v>75</v>
      </c>
      <c r="P1564" s="37">
        <v>0</v>
      </c>
      <c r="Q1564" s="37">
        <v>0</v>
      </c>
      <c r="R1564" s="37">
        <v>0</v>
      </c>
    </row>
    <row r="1565" spans="1:18" hidden="1">
      <c r="A1565" t="s">
        <v>75</v>
      </c>
      <c r="B1565" t="s">
        <v>15</v>
      </c>
      <c r="C1565">
        <v>0</v>
      </c>
      <c r="D1565">
        <v>0</v>
      </c>
      <c r="E1565" s="29">
        <v>0</v>
      </c>
      <c r="F1565">
        <v>0</v>
      </c>
      <c r="G1565">
        <v>0</v>
      </c>
      <c r="H1565">
        <v>0</v>
      </c>
      <c r="I1565" s="29">
        <v>0</v>
      </c>
      <c r="J1565" s="29">
        <v>0</v>
      </c>
      <c r="K1565" s="9">
        <v>45332</v>
      </c>
      <c r="L1565">
        <f xml:space="preserve"> (交易處理資料__3[[#This Row],[售出工時]] * 60) / 5</f>
        <v>0</v>
      </c>
      <c r="M1565" t="str">
        <f>VLOOKUP(交易處理資料__3[[#This Row],[人員代號]],團隊分組!$B$1:$C$52,2,FALSE)</f>
        <v>鈑金維修組</v>
      </c>
      <c r="N1565" t="str">
        <f>IF(交易處理資料__3[[#This Row],[上班時間]]=0,"否","是")</f>
        <v>否</v>
      </c>
      <c r="O1565" t="s">
        <v>75</v>
      </c>
      <c r="P1565" s="38">
        <v>0</v>
      </c>
      <c r="Q1565" s="38">
        <v>0</v>
      </c>
      <c r="R1565" s="38">
        <v>0</v>
      </c>
    </row>
    <row r="1566" spans="1:18" hidden="1">
      <c r="A1566" t="s">
        <v>76</v>
      </c>
      <c r="B1566" t="s">
        <v>17</v>
      </c>
      <c r="C1566">
        <v>0</v>
      </c>
      <c r="D1566">
        <v>0</v>
      </c>
      <c r="E1566" s="29">
        <v>0</v>
      </c>
      <c r="F1566">
        <v>0</v>
      </c>
      <c r="G1566">
        <v>0</v>
      </c>
      <c r="H1566">
        <v>0</v>
      </c>
      <c r="I1566" s="29">
        <v>0</v>
      </c>
      <c r="J1566" s="29">
        <v>0</v>
      </c>
      <c r="K1566" s="9">
        <v>45332</v>
      </c>
      <c r="L1566">
        <f xml:space="preserve"> (交易處理資料__3[[#This Row],[售出工時]] * 60) / 5</f>
        <v>0</v>
      </c>
      <c r="M1566" t="str">
        <f>VLOOKUP(交易處理資料__3[[#This Row],[人員代號]],團隊分組!$B$1:$C$52,2,FALSE)</f>
        <v>快速保養團隊A</v>
      </c>
      <c r="N1566" t="str">
        <f>IF(交易處理資料__3[[#This Row],[上班時間]]=0,"否","是")</f>
        <v>否</v>
      </c>
      <c r="O1566" t="s">
        <v>76</v>
      </c>
      <c r="P1566" s="37">
        <v>0</v>
      </c>
      <c r="Q1566" s="37">
        <v>0</v>
      </c>
      <c r="R1566" s="37">
        <v>0</v>
      </c>
    </row>
    <row r="1567" spans="1:18" hidden="1">
      <c r="A1567" t="s">
        <v>76</v>
      </c>
      <c r="B1567" t="s">
        <v>18</v>
      </c>
      <c r="C1567">
        <v>0</v>
      </c>
      <c r="D1567">
        <v>0</v>
      </c>
      <c r="E1567" s="29">
        <v>0</v>
      </c>
      <c r="F1567">
        <v>0</v>
      </c>
      <c r="G1567">
        <v>0</v>
      </c>
      <c r="H1567">
        <v>0</v>
      </c>
      <c r="I1567" s="29">
        <v>0</v>
      </c>
      <c r="J1567" s="29">
        <v>0</v>
      </c>
      <c r="K1567" s="9">
        <v>45332</v>
      </c>
      <c r="L1567">
        <f xml:space="preserve"> (交易處理資料__3[[#This Row],[售出工時]] * 60) / 5</f>
        <v>0</v>
      </c>
      <c r="M1567" t="str">
        <f>VLOOKUP(交易處理資料__3[[#This Row],[人員代號]],團隊分組!$B$1:$C$52,2,FALSE)</f>
        <v>查修團隊B</v>
      </c>
      <c r="N1567" t="str">
        <f>IF(交易處理資料__3[[#This Row],[上班時間]]=0,"否","是")</f>
        <v>否</v>
      </c>
      <c r="O1567" t="s">
        <v>76</v>
      </c>
      <c r="P1567" s="38">
        <v>0</v>
      </c>
      <c r="Q1567" s="38">
        <v>0</v>
      </c>
      <c r="R1567" s="38">
        <v>0</v>
      </c>
    </row>
    <row r="1568" spans="1:18" hidden="1">
      <c r="A1568" t="s">
        <v>76</v>
      </c>
      <c r="B1568" t="s">
        <v>19</v>
      </c>
      <c r="C1568">
        <v>0</v>
      </c>
      <c r="D1568">
        <v>0</v>
      </c>
      <c r="E1568" s="29">
        <v>0</v>
      </c>
      <c r="F1568">
        <v>0</v>
      </c>
      <c r="G1568">
        <v>0</v>
      </c>
      <c r="H1568">
        <v>0</v>
      </c>
      <c r="I1568" s="29">
        <v>0</v>
      </c>
      <c r="J1568" s="29">
        <v>0</v>
      </c>
      <c r="K1568" s="9">
        <v>45332</v>
      </c>
      <c r="L1568">
        <f xml:space="preserve"> (交易處理資料__3[[#This Row],[售出工時]] * 60) / 5</f>
        <v>0</v>
      </c>
      <c r="M1568" t="str">
        <f>VLOOKUP(交易處理資料__3[[#This Row],[人員代號]],團隊分組!$B$1:$C$52,2,FALSE)</f>
        <v>查修團隊A</v>
      </c>
      <c r="N1568" t="str">
        <f>IF(交易處理資料__3[[#This Row],[上班時間]]=0,"否","是")</f>
        <v>否</v>
      </c>
      <c r="O1568" t="s">
        <v>76</v>
      </c>
      <c r="P1568" s="37">
        <v>0</v>
      </c>
      <c r="Q1568" s="37">
        <v>0</v>
      </c>
      <c r="R1568" s="37">
        <v>0</v>
      </c>
    </row>
    <row r="1569" spans="1:18" hidden="1">
      <c r="A1569" t="s">
        <v>76</v>
      </c>
      <c r="B1569" t="s">
        <v>20</v>
      </c>
      <c r="C1569">
        <v>0</v>
      </c>
      <c r="D1569">
        <v>0</v>
      </c>
      <c r="E1569" s="29">
        <v>0</v>
      </c>
      <c r="F1569">
        <v>0</v>
      </c>
      <c r="G1569">
        <v>0</v>
      </c>
      <c r="H1569">
        <v>0</v>
      </c>
      <c r="I1569" s="29">
        <v>0</v>
      </c>
      <c r="J1569" s="29">
        <v>0</v>
      </c>
      <c r="K1569" s="9">
        <v>45332</v>
      </c>
      <c r="L1569">
        <f xml:space="preserve"> (交易處理資料__3[[#This Row],[售出工時]] * 60) / 5</f>
        <v>0</v>
      </c>
      <c r="M1569" t="str">
        <f>VLOOKUP(交易處理資料__3[[#This Row],[人員代號]],團隊分組!$B$1:$C$52,2,FALSE)</f>
        <v>查修團隊B</v>
      </c>
      <c r="N1569" t="str">
        <f>IF(交易處理資料__3[[#This Row],[上班時間]]=0,"否","是")</f>
        <v>否</v>
      </c>
      <c r="O1569" t="s">
        <v>76</v>
      </c>
      <c r="P1569" s="38">
        <v>0</v>
      </c>
      <c r="Q1569" s="38">
        <v>0</v>
      </c>
      <c r="R1569" s="38">
        <v>0</v>
      </c>
    </row>
    <row r="1570" spans="1:18" hidden="1">
      <c r="A1570" t="s">
        <v>76</v>
      </c>
      <c r="B1570" t="s">
        <v>21</v>
      </c>
      <c r="C1570">
        <v>0</v>
      </c>
      <c r="D1570">
        <v>0</v>
      </c>
      <c r="E1570" s="29">
        <v>0</v>
      </c>
      <c r="F1570">
        <v>0</v>
      </c>
      <c r="G1570">
        <v>0</v>
      </c>
      <c r="H1570">
        <v>0</v>
      </c>
      <c r="I1570" s="29">
        <v>0</v>
      </c>
      <c r="J1570" s="29">
        <v>0</v>
      </c>
      <c r="K1570" s="9">
        <v>45332</v>
      </c>
      <c r="L1570">
        <f xml:space="preserve"> (交易處理資料__3[[#This Row],[售出工時]] * 60) / 5</f>
        <v>0</v>
      </c>
      <c r="M1570" t="str">
        <f>VLOOKUP(交易處理資料__3[[#This Row],[人員代號]],團隊分組!$B$1:$C$52,2,FALSE)</f>
        <v>查修團隊B</v>
      </c>
      <c r="N1570" t="str">
        <f>IF(交易處理資料__3[[#This Row],[上班時間]]=0,"否","是")</f>
        <v>否</v>
      </c>
      <c r="O1570" t="s">
        <v>76</v>
      </c>
      <c r="P1570" s="37">
        <v>0</v>
      </c>
      <c r="Q1570" s="37">
        <v>0</v>
      </c>
      <c r="R1570" s="37">
        <v>0</v>
      </c>
    </row>
    <row r="1571" spans="1:18" hidden="1">
      <c r="A1571" t="s">
        <v>76</v>
      </c>
      <c r="B1571" t="s">
        <v>22</v>
      </c>
      <c r="C1571">
        <v>0</v>
      </c>
      <c r="D1571">
        <v>0</v>
      </c>
      <c r="E1571" s="29">
        <v>0</v>
      </c>
      <c r="F1571">
        <v>0</v>
      </c>
      <c r="G1571">
        <v>0</v>
      </c>
      <c r="H1571">
        <v>0</v>
      </c>
      <c r="I1571" s="29">
        <v>0</v>
      </c>
      <c r="J1571" s="29">
        <v>0</v>
      </c>
      <c r="K1571" s="9">
        <v>45332</v>
      </c>
      <c r="L1571">
        <f xml:space="preserve"> (交易處理資料__3[[#This Row],[售出工時]] * 60) / 5</f>
        <v>0</v>
      </c>
      <c r="M1571" t="str">
        <f>VLOOKUP(交易處理資料__3[[#This Row],[人員代號]],團隊分組!$B$1:$C$52,2,FALSE)</f>
        <v>快速保養團隊A</v>
      </c>
      <c r="N1571" t="str">
        <f>IF(交易處理資料__3[[#This Row],[上班時間]]=0,"否","是")</f>
        <v>否</v>
      </c>
      <c r="O1571" t="s">
        <v>76</v>
      </c>
      <c r="P1571" s="38">
        <v>0</v>
      </c>
      <c r="Q1571" s="38">
        <v>0</v>
      </c>
      <c r="R1571" s="38">
        <v>0</v>
      </c>
    </row>
    <row r="1572" spans="1:18" hidden="1">
      <c r="A1572" t="s">
        <v>76</v>
      </c>
      <c r="B1572" t="s">
        <v>23</v>
      </c>
      <c r="C1572">
        <v>0</v>
      </c>
      <c r="D1572">
        <v>0</v>
      </c>
      <c r="E1572" s="29">
        <v>0</v>
      </c>
      <c r="F1572">
        <v>0</v>
      </c>
      <c r="G1572">
        <v>0</v>
      </c>
      <c r="H1572">
        <v>0</v>
      </c>
      <c r="I1572" s="29">
        <v>0</v>
      </c>
      <c r="J1572" s="29">
        <v>0</v>
      </c>
      <c r="K1572" s="9">
        <v>45332</v>
      </c>
      <c r="L1572">
        <f xml:space="preserve"> (交易處理資料__3[[#This Row],[售出工時]] * 60) / 5</f>
        <v>0</v>
      </c>
      <c r="M1572" t="str">
        <f>VLOOKUP(交易處理資料__3[[#This Row],[人員代號]],團隊分組!$B$1:$C$52,2,FALSE)</f>
        <v>快速保養團隊B</v>
      </c>
      <c r="N1572" t="str">
        <f>IF(交易處理資料__3[[#This Row],[上班時間]]=0,"否","是")</f>
        <v>否</v>
      </c>
      <c r="O1572" t="s">
        <v>76</v>
      </c>
      <c r="P1572" s="37">
        <v>0</v>
      </c>
      <c r="Q1572" s="37">
        <v>0</v>
      </c>
      <c r="R1572" s="37">
        <v>0</v>
      </c>
    </row>
    <row r="1573" spans="1:18" hidden="1">
      <c r="A1573" t="s">
        <v>76</v>
      </c>
      <c r="B1573" t="s">
        <v>24</v>
      </c>
      <c r="C1573">
        <v>0</v>
      </c>
      <c r="D1573">
        <v>0</v>
      </c>
      <c r="E1573" s="29">
        <v>0</v>
      </c>
      <c r="F1573">
        <v>0</v>
      </c>
      <c r="G1573">
        <v>0</v>
      </c>
      <c r="H1573">
        <v>0</v>
      </c>
      <c r="I1573" s="29">
        <v>0</v>
      </c>
      <c r="J1573" s="29">
        <v>0</v>
      </c>
      <c r="K1573" s="9">
        <v>45332</v>
      </c>
      <c r="L1573">
        <f xml:space="preserve"> (交易處理資料__3[[#This Row],[售出工時]] * 60) / 5</f>
        <v>0</v>
      </c>
      <c r="M1573" t="str">
        <f>VLOOKUP(交易處理資料__3[[#This Row],[人員代號]],團隊分組!$B$1:$C$52,2,FALSE)</f>
        <v>快速保養團隊A</v>
      </c>
      <c r="N1573" t="str">
        <f>IF(交易處理資料__3[[#This Row],[上班時間]]=0,"否","是")</f>
        <v>否</v>
      </c>
      <c r="O1573" t="s">
        <v>76</v>
      </c>
      <c r="P1573" s="38">
        <v>0</v>
      </c>
      <c r="Q1573" s="38">
        <v>0</v>
      </c>
      <c r="R1573" s="38">
        <v>0</v>
      </c>
    </row>
    <row r="1574" spans="1:18" hidden="1">
      <c r="A1574" t="s">
        <v>76</v>
      </c>
      <c r="B1574" t="s">
        <v>25</v>
      </c>
      <c r="C1574">
        <v>0</v>
      </c>
      <c r="D1574">
        <v>0</v>
      </c>
      <c r="E1574" s="29">
        <v>0</v>
      </c>
      <c r="F1574">
        <v>0</v>
      </c>
      <c r="G1574">
        <v>0</v>
      </c>
      <c r="H1574">
        <v>0</v>
      </c>
      <c r="I1574" s="29">
        <v>0</v>
      </c>
      <c r="J1574" s="29">
        <v>0</v>
      </c>
      <c r="K1574" s="9">
        <v>45332</v>
      </c>
      <c r="L1574">
        <f xml:space="preserve"> (交易處理資料__3[[#This Row],[售出工時]] * 60) / 5</f>
        <v>0</v>
      </c>
      <c r="M1574" t="str">
        <f>VLOOKUP(交易處理資料__3[[#This Row],[人員代號]],團隊分組!$B$1:$C$52,2,FALSE)</f>
        <v>查修團隊A</v>
      </c>
      <c r="N1574" t="str">
        <f>IF(交易處理資料__3[[#This Row],[上班時間]]=0,"否","是")</f>
        <v>否</v>
      </c>
      <c r="O1574" t="s">
        <v>76</v>
      </c>
      <c r="P1574" s="37">
        <v>0</v>
      </c>
      <c r="Q1574" s="37">
        <v>0</v>
      </c>
      <c r="R1574" s="37">
        <v>0</v>
      </c>
    </row>
    <row r="1575" spans="1:18" hidden="1">
      <c r="A1575" t="s">
        <v>76</v>
      </c>
      <c r="B1575" t="s">
        <v>26</v>
      </c>
      <c r="C1575">
        <v>0</v>
      </c>
      <c r="D1575">
        <v>0</v>
      </c>
      <c r="E1575" s="29">
        <v>0</v>
      </c>
      <c r="F1575">
        <v>0</v>
      </c>
      <c r="G1575">
        <v>0</v>
      </c>
      <c r="H1575">
        <v>0</v>
      </c>
      <c r="I1575" s="29">
        <v>0</v>
      </c>
      <c r="J1575" s="29">
        <v>0</v>
      </c>
      <c r="K1575" s="9">
        <v>45332</v>
      </c>
      <c r="L1575">
        <f xml:space="preserve"> (交易處理資料__3[[#This Row],[售出工時]] * 60) / 5</f>
        <v>0</v>
      </c>
      <c r="M1575" t="str">
        <f>VLOOKUP(交易處理資料__3[[#This Row],[人員代號]],團隊分組!$B$1:$C$52,2,FALSE)</f>
        <v>查修團隊B</v>
      </c>
      <c r="N1575" t="str">
        <f>IF(交易處理資料__3[[#This Row],[上班時間]]=0,"否","是")</f>
        <v>否</v>
      </c>
      <c r="O1575" t="s">
        <v>76</v>
      </c>
      <c r="P1575" s="38">
        <v>0</v>
      </c>
      <c r="Q1575" s="38">
        <v>0</v>
      </c>
      <c r="R1575" s="38">
        <v>0</v>
      </c>
    </row>
    <row r="1576" spans="1:18" hidden="1">
      <c r="A1576" t="s">
        <v>76</v>
      </c>
      <c r="B1576" t="s">
        <v>27</v>
      </c>
      <c r="C1576">
        <v>0</v>
      </c>
      <c r="D1576">
        <v>0</v>
      </c>
      <c r="E1576" s="29">
        <v>0</v>
      </c>
      <c r="F1576">
        <v>0</v>
      </c>
      <c r="G1576">
        <v>0</v>
      </c>
      <c r="H1576">
        <v>0</v>
      </c>
      <c r="I1576" s="29">
        <v>0</v>
      </c>
      <c r="J1576" s="29">
        <v>0</v>
      </c>
      <c r="K1576" s="9">
        <v>45332</v>
      </c>
      <c r="L1576">
        <f xml:space="preserve"> (交易處理資料__3[[#This Row],[售出工時]] * 60) / 5</f>
        <v>0</v>
      </c>
      <c r="M1576" t="str">
        <f>VLOOKUP(交易處理資料__3[[#This Row],[人員代號]],團隊分組!$B$1:$C$52,2,FALSE)</f>
        <v>快速保養團隊B</v>
      </c>
      <c r="N1576" t="str">
        <f>IF(交易處理資料__3[[#This Row],[上班時間]]=0,"否","是")</f>
        <v>否</v>
      </c>
      <c r="O1576" t="s">
        <v>76</v>
      </c>
      <c r="P1576" s="37">
        <v>0</v>
      </c>
      <c r="Q1576" s="37">
        <v>0</v>
      </c>
      <c r="R1576" s="37">
        <v>0</v>
      </c>
    </row>
    <row r="1577" spans="1:18" hidden="1">
      <c r="A1577" t="s">
        <v>76</v>
      </c>
      <c r="B1577" t="s">
        <v>28</v>
      </c>
      <c r="C1577">
        <v>0</v>
      </c>
      <c r="D1577">
        <v>0</v>
      </c>
      <c r="E1577" s="29">
        <v>0</v>
      </c>
      <c r="F1577">
        <v>0</v>
      </c>
      <c r="G1577">
        <v>0</v>
      </c>
      <c r="H1577">
        <v>0</v>
      </c>
      <c r="I1577" s="29">
        <v>0</v>
      </c>
      <c r="J1577" s="29">
        <v>0</v>
      </c>
      <c r="K1577" s="9">
        <v>45332</v>
      </c>
      <c r="L1577">
        <f xml:space="preserve"> (交易處理資料__3[[#This Row],[售出工時]] * 60) / 5</f>
        <v>0</v>
      </c>
      <c r="M1577" t="str">
        <f>VLOOKUP(交易處理資料__3[[#This Row],[人員代號]],團隊分組!$B$1:$C$52,2,FALSE)</f>
        <v>快速保養團隊A</v>
      </c>
      <c r="N1577" t="str">
        <f>IF(交易處理資料__3[[#This Row],[上班時間]]=0,"否","是")</f>
        <v>否</v>
      </c>
      <c r="O1577" t="s">
        <v>76</v>
      </c>
      <c r="P1577" s="38">
        <v>0</v>
      </c>
      <c r="Q1577" s="38">
        <v>0</v>
      </c>
      <c r="R1577" s="38">
        <v>0</v>
      </c>
    </row>
    <row r="1578" spans="1:18" hidden="1">
      <c r="A1578" t="s">
        <v>76</v>
      </c>
      <c r="B1578" t="s">
        <v>29</v>
      </c>
      <c r="C1578">
        <v>0</v>
      </c>
      <c r="D1578">
        <v>0</v>
      </c>
      <c r="E1578" s="29">
        <v>0</v>
      </c>
      <c r="F1578">
        <v>0</v>
      </c>
      <c r="G1578">
        <v>0</v>
      </c>
      <c r="H1578">
        <v>0</v>
      </c>
      <c r="I1578" s="29">
        <v>0</v>
      </c>
      <c r="J1578" s="29">
        <v>0</v>
      </c>
      <c r="K1578" s="9">
        <v>45332</v>
      </c>
      <c r="L1578">
        <f xml:space="preserve"> (交易處理資料__3[[#This Row],[售出工時]] * 60) / 5</f>
        <v>0</v>
      </c>
      <c r="M1578" t="str">
        <f>VLOOKUP(交易處理資料__3[[#This Row],[人員代號]],團隊分組!$B$1:$C$52,2,FALSE)</f>
        <v>查修團隊B</v>
      </c>
      <c r="N1578" t="str">
        <f>IF(交易處理資料__3[[#This Row],[上班時間]]=0,"否","是")</f>
        <v>否</v>
      </c>
      <c r="O1578" t="s">
        <v>76</v>
      </c>
      <c r="P1578" s="37">
        <v>0</v>
      </c>
      <c r="Q1578" s="37">
        <v>0</v>
      </c>
      <c r="R1578" s="37">
        <v>0</v>
      </c>
    </row>
    <row r="1579" spans="1:18" hidden="1">
      <c r="A1579" t="s">
        <v>76</v>
      </c>
      <c r="B1579" t="s">
        <v>30</v>
      </c>
      <c r="C1579">
        <v>0</v>
      </c>
      <c r="D1579">
        <v>0</v>
      </c>
      <c r="E1579" s="29">
        <v>0</v>
      </c>
      <c r="F1579">
        <v>0</v>
      </c>
      <c r="G1579">
        <v>0</v>
      </c>
      <c r="H1579">
        <v>0</v>
      </c>
      <c r="I1579" s="29">
        <v>0</v>
      </c>
      <c r="J1579" s="29">
        <v>0</v>
      </c>
      <c r="K1579" s="9">
        <v>45332</v>
      </c>
      <c r="L1579">
        <f xml:space="preserve"> (交易處理資料__3[[#This Row],[售出工時]] * 60) / 5</f>
        <v>0</v>
      </c>
      <c r="M1579" t="str">
        <f>VLOOKUP(交易處理資料__3[[#This Row],[人員代號]],團隊分組!$B$1:$C$52,2,FALSE)</f>
        <v>快速保養團隊B</v>
      </c>
      <c r="N1579" t="str">
        <f>IF(交易處理資料__3[[#This Row],[上班時間]]=0,"否","是")</f>
        <v>否</v>
      </c>
      <c r="O1579" t="s">
        <v>76</v>
      </c>
      <c r="P1579" s="38">
        <v>0</v>
      </c>
      <c r="Q1579" s="38">
        <v>0</v>
      </c>
      <c r="R1579" s="38">
        <v>0</v>
      </c>
    </row>
    <row r="1580" spans="1:18" hidden="1">
      <c r="A1580" t="s">
        <v>76</v>
      </c>
      <c r="B1580" t="s">
        <v>32</v>
      </c>
      <c r="C1580">
        <v>0</v>
      </c>
      <c r="D1580">
        <v>0</v>
      </c>
      <c r="E1580" s="29">
        <v>0</v>
      </c>
      <c r="F1580">
        <v>0</v>
      </c>
      <c r="G1580">
        <v>0</v>
      </c>
      <c r="H1580">
        <v>0</v>
      </c>
      <c r="I1580" s="29">
        <v>0</v>
      </c>
      <c r="J1580" s="29">
        <v>0</v>
      </c>
      <c r="K1580" s="9">
        <v>45332</v>
      </c>
      <c r="L1580">
        <f xml:space="preserve"> (交易處理資料__3[[#This Row],[售出工時]] * 60) / 5</f>
        <v>0</v>
      </c>
      <c r="M1580" t="str">
        <f>VLOOKUP(交易處理資料__3[[#This Row],[人員代號]],團隊分組!$B$1:$C$52,2,FALSE)</f>
        <v>快速保養團隊B</v>
      </c>
      <c r="N1580" t="str">
        <f>IF(交易處理資料__3[[#This Row],[上班時間]]=0,"否","是")</f>
        <v>否</v>
      </c>
      <c r="O1580" t="s">
        <v>76</v>
      </c>
      <c r="P1580" s="37">
        <v>0</v>
      </c>
      <c r="Q1580" s="37">
        <v>0</v>
      </c>
      <c r="R1580" s="37">
        <v>0</v>
      </c>
    </row>
    <row r="1581" spans="1:18" hidden="1">
      <c r="A1581" t="s">
        <v>76</v>
      </c>
      <c r="B1581" t="s">
        <v>33</v>
      </c>
      <c r="C1581">
        <v>0</v>
      </c>
      <c r="D1581">
        <v>0</v>
      </c>
      <c r="E1581" s="29">
        <v>0</v>
      </c>
      <c r="F1581">
        <v>0</v>
      </c>
      <c r="G1581">
        <v>0</v>
      </c>
      <c r="H1581">
        <v>0</v>
      </c>
      <c r="I1581" s="29">
        <v>0</v>
      </c>
      <c r="J1581" s="29">
        <v>0</v>
      </c>
      <c r="K1581" s="9">
        <v>45332</v>
      </c>
      <c r="L1581">
        <f xml:space="preserve"> (交易處理資料__3[[#This Row],[售出工時]] * 60) / 5</f>
        <v>0</v>
      </c>
      <c r="M1581" t="str">
        <f>VLOOKUP(交易處理資料__3[[#This Row],[人員代號]],團隊分組!$B$1:$C$52,2,FALSE)</f>
        <v>快速保養團隊B</v>
      </c>
      <c r="N1581" t="str">
        <f>IF(交易處理資料__3[[#This Row],[上班時間]]=0,"否","是")</f>
        <v>否</v>
      </c>
      <c r="O1581" t="s">
        <v>76</v>
      </c>
      <c r="P1581" s="38">
        <v>0</v>
      </c>
      <c r="Q1581" s="38">
        <v>0</v>
      </c>
      <c r="R1581" s="38">
        <v>0</v>
      </c>
    </row>
    <row r="1582" spans="1:18" hidden="1">
      <c r="A1582" t="s">
        <v>76</v>
      </c>
      <c r="B1582" t="s">
        <v>34</v>
      </c>
      <c r="C1582">
        <v>0</v>
      </c>
      <c r="D1582">
        <v>0</v>
      </c>
      <c r="E1582" s="29">
        <v>0</v>
      </c>
      <c r="F1582">
        <v>0</v>
      </c>
      <c r="G1582">
        <v>0</v>
      </c>
      <c r="H1582">
        <v>0</v>
      </c>
      <c r="I1582" s="29">
        <v>0</v>
      </c>
      <c r="J1582" s="29">
        <v>0</v>
      </c>
      <c r="K1582" s="9">
        <v>45332</v>
      </c>
      <c r="L1582">
        <f xml:space="preserve"> (交易處理資料__3[[#This Row],[售出工時]] * 60) / 5</f>
        <v>0</v>
      </c>
      <c r="M1582" t="str">
        <f>VLOOKUP(交易處理資料__3[[#This Row],[人員代號]],團隊分組!$B$1:$C$52,2,FALSE)</f>
        <v>快速保養團隊A</v>
      </c>
      <c r="N1582" t="str">
        <f>IF(交易處理資料__3[[#This Row],[上班時間]]=0,"否","是")</f>
        <v>否</v>
      </c>
      <c r="O1582" t="s">
        <v>76</v>
      </c>
      <c r="P1582" s="37">
        <v>0</v>
      </c>
      <c r="Q1582" s="37">
        <v>0</v>
      </c>
      <c r="R1582" s="37">
        <v>0</v>
      </c>
    </row>
    <row r="1583" spans="1:18" hidden="1">
      <c r="A1583" t="s">
        <v>76</v>
      </c>
      <c r="B1583" t="s">
        <v>35</v>
      </c>
      <c r="C1583">
        <v>0</v>
      </c>
      <c r="D1583">
        <v>0</v>
      </c>
      <c r="E1583" s="29">
        <v>0</v>
      </c>
      <c r="F1583">
        <v>0</v>
      </c>
      <c r="G1583">
        <v>0</v>
      </c>
      <c r="H1583">
        <v>0</v>
      </c>
      <c r="I1583" s="29">
        <v>0</v>
      </c>
      <c r="J1583" s="29">
        <v>0</v>
      </c>
      <c r="K1583" s="9">
        <v>45332</v>
      </c>
      <c r="L1583">
        <f xml:space="preserve"> (交易處理資料__3[[#This Row],[售出工時]] * 60) / 5</f>
        <v>0</v>
      </c>
      <c r="M1583" t="str">
        <f>VLOOKUP(交易處理資料__3[[#This Row],[人員代號]],團隊分組!$B$1:$C$52,2,FALSE)</f>
        <v>查修團隊B</v>
      </c>
      <c r="N1583" t="str">
        <f>IF(交易處理資料__3[[#This Row],[上班時間]]=0,"否","是")</f>
        <v>否</v>
      </c>
      <c r="O1583" t="s">
        <v>76</v>
      </c>
      <c r="P1583" s="38">
        <v>0</v>
      </c>
      <c r="Q1583" s="38">
        <v>0</v>
      </c>
      <c r="R1583" s="38">
        <v>0</v>
      </c>
    </row>
    <row r="1584" spans="1:18" hidden="1">
      <c r="A1584" t="s">
        <v>76</v>
      </c>
      <c r="B1584" t="s">
        <v>36</v>
      </c>
      <c r="C1584">
        <v>0</v>
      </c>
      <c r="D1584">
        <v>0</v>
      </c>
      <c r="E1584" s="29">
        <v>0</v>
      </c>
      <c r="F1584">
        <v>0</v>
      </c>
      <c r="G1584">
        <v>0</v>
      </c>
      <c r="H1584">
        <v>0</v>
      </c>
      <c r="I1584" s="29">
        <v>0</v>
      </c>
      <c r="J1584" s="29">
        <v>0</v>
      </c>
      <c r="K1584" s="9">
        <v>45332</v>
      </c>
      <c r="L1584">
        <f xml:space="preserve"> (交易處理資料__3[[#This Row],[售出工時]] * 60) / 5</f>
        <v>0</v>
      </c>
      <c r="M1584" t="str">
        <f>VLOOKUP(交易處理資料__3[[#This Row],[人員代號]],團隊分組!$B$1:$C$52,2,FALSE)</f>
        <v>查修團隊B</v>
      </c>
      <c r="N1584" t="str">
        <f>IF(交易處理資料__3[[#This Row],[上班時間]]=0,"否","是")</f>
        <v>否</v>
      </c>
      <c r="O1584" t="s">
        <v>76</v>
      </c>
      <c r="P1584" s="37">
        <v>0</v>
      </c>
      <c r="Q1584" s="37">
        <v>0</v>
      </c>
      <c r="R1584" s="37">
        <v>0</v>
      </c>
    </row>
    <row r="1585" spans="1:18" hidden="1">
      <c r="A1585" t="s">
        <v>76</v>
      </c>
      <c r="B1585" t="s">
        <v>37</v>
      </c>
      <c r="C1585">
        <v>0</v>
      </c>
      <c r="D1585">
        <v>0</v>
      </c>
      <c r="E1585" s="29">
        <v>0</v>
      </c>
      <c r="F1585">
        <v>0</v>
      </c>
      <c r="G1585">
        <v>0</v>
      </c>
      <c r="H1585">
        <v>0</v>
      </c>
      <c r="I1585" s="29">
        <v>0</v>
      </c>
      <c r="J1585" s="29">
        <v>0</v>
      </c>
      <c r="K1585" s="9">
        <v>45332</v>
      </c>
      <c r="L1585">
        <f xml:space="preserve"> (交易處理資料__3[[#This Row],[售出工時]] * 60) / 5</f>
        <v>0</v>
      </c>
      <c r="M1585" t="str">
        <f>VLOOKUP(交易處理資料__3[[#This Row],[人員代號]],團隊分組!$B$1:$C$52,2,FALSE)</f>
        <v>查修團隊A</v>
      </c>
      <c r="N1585" t="str">
        <f>IF(交易處理資料__3[[#This Row],[上班時間]]=0,"否","是")</f>
        <v>否</v>
      </c>
      <c r="O1585" t="s">
        <v>76</v>
      </c>
      <c r="P1585" s="38">
        <v>0</v>
      </c>
      <c r="Q1585" s="38">
        <v>0</v>
      </c>
      <c r="R1585" s="38">
        <v>0</v>
      </c>
    </row>
    <row r="1586" spans="1:18" hidden="1">
      <c r="A1586" t="s">
        <v>76</v>
      </c>
      <c r="B1586" t="s">
        <v>38</v>
      </c>
      <c r="C1586">
        <v>0</v>
      </c>
      <c r="D1586">
        <v>0</v>
      </c>
      <c r="E1586" s="29">
        <v>0</v>
      </c>
      <c r="F1586">
        <v>0</v>
      </c>
      <c r="G1586">
        <v>0</v>
      </c>
      <c r="H1586">
        <v>0</v>
      </c>
      <c r="I1586" s="29">
        <v>0</v>
      </c>
      <c r="J1586" s="29">
        <v>0</v>
      </c>
      <c r="K1586" s="9">
        <v>45332</v>
      </c>
      <c r="L1586">
        <f xml:space="preserve"> (交易處理資料__3[[#This Row],[售出工時]] * 60) / 5</f>
        <v>0</v>
      </c>
      <c r="M1586" t="str">
        <f>VLOOKUP(交易處理資料__3[[#This Row],[人員代號]],團隊分組!$B$1:$C$52,2,FALSE)</f>
        <v>快速保養團隊A</v>
      </c>
      <c r="N1586" t="str">
        <f>IF(交易處理資料__3[[#This Row],[上班時間]]=0,"否","是")</f>
        <v>否</v>
      </c>
      <c r="O1586" t="s">
        <v>76</v>
      </c>
      <c r="P1586" s="37">
        <v>0</v>
      </c>
      <c r="Q1586" s="37">
        <v>0</v>
      </c>
      <c r="R1586" s="37">
        <v>0</v>
      </c>
    </row>
    <row r="1587" spans="1:18" hidden="1">
      <c r="A1587" t="s">
        <v>76</v>
      </c>
      <c r="B1587" t="s">
        <v>39</v>
      </c>
      <c r="C1587">
        <v>0</v>
      </c>
      <c r="D1587">
        <v>0</v>
      </c>
      <c r="E1587" s="29">
        <v>0</v>
      </c>
      <c r="F1587">
        <v>0</v>
      </c>
      <c r="G1587">
        <v>0</v>
      </c>
      <c r="H1587">
        <v>0</v>
      </c>
      <c r="I1587" s="29">
        <v>0</v>
      </c>
      <c r="J1587" s="29">
        <v>0</v>
      </c>
      <c r="K1587" s="9">
        <v>45332</v>
      </c>
      <c r="L1587">
        <f xml:space="preserve"> (交易處理資料__3[[#This Row],[售出工時]] * 60) / 5</f>
        <v>0</v>
      </c>
      <c r="M1587" t="str">
        <f>VLOOKUP(交易處理資料__3[[#This Row],[人員代號]],團隊分組!$B$1:$C$52,2,FALSE)</f>
        <v>查修團隊A</v>
      </c>
      <c r="N1587" t="str">
        <f>IF(交易處理資料__3[[#This Row],[上班時間]]=0,"否","是")</f>
        <v>否</v>
      </c>
      <c r="O1587" t="s">
        <v>76</v>
      </c>
      <c r="P1587" s="38">
        <v>0</v>
      </c>
      <c r="Q1587" s="38">
        <v>0</v>
      </c>
      <c r="R1587" s="38">
        <v>0</v>
      </c>
    </row>
    <row r="1588" spans="1:18" hidden="1">
      <c r="A1588" t="s">
        <v>76</v>
      </c>
      <c r="B1588" t="s">
        <v>40</v>
      </c>
      <c r="C1588">
        <v>0</v>
      </c>
      <c r="D1588">
        <v>0</v>
      </c>
      <c r="E1588" s="29">
        <v>0</v>
      </c>
      <c r="F1588">
        <v>0</v>
      </c>
      <c r="G1588">
        <v>0</v>
      </c>
      <c r="H1588">
        <v>0</v>
      </c>
      <c r="I1588" s="29">
        <v>0</v>
      </c>
      <c r="J1588" s="29">
        <v>0</v>
      </c>
      <c r="K1588" s="9">
        <v>45332</v>
      </c>
      <c r="L1588">
        <f xml:space="preserve"> (交易處理資料__3[[#This Row],[售出工時]] * 60) / 5</f>
        <v>0</v>
      </c>
      <c r="M1588" t="str">
        <f>VLOOKUP(交易處理資料__3[[#This Row],[人員代號]],團隊分組!$B$1:$C$52,2,FALSE)</f>
        <v>查修團隊A</v>
      </c>
      <c r="N1588" t="str">
        <f>IF(交易處理資料__3[[#This Row],[上班時間]]=0,"否","是")</f>
        <v>否</v>
      </c>
      <c r="O1588" t="s">
        <v>76</v>
      </c>
      <c r="P1588" s="37">
        <v>0</v>
      </c>
      <c r="Q1588" s="37">
        <v>0</v>
      </c>
      <c r="R1588" s="37">
        <v>0</v>
      </c>
    </row>
    <row r="1589" spans="1:18" hidden="1">
      <c r="A1589" t="s">
        <v>76</v>
      </c>
      <c r="B1589" t="s">
        <v>41</v>
      </c>
      <c r="C1589">
        <v>0</v>
      </c>
      <c r="D1589">
        <v>0</v>
      </c>
      <c r="E1589" s="29">
        <v>0</v>
      </c>
      <c r="F1589">
        <v>0</v>
      </c>
      <c r="G1589">
        <v>0</v>
      </c>
      <c r="H1589">
        <v>0</v>
      </c>
      <c r="I1589" s="29">
        <v>0</v>
      </c>
      <c r="J1589" s="29">
        <v>0</v>
      </c>
      <c r="K1589" s="9">
        <v>45332</v>
      </c>
      <c r="L1589">
        <f xml:space="preserve"> (交易處理資料__3[[#This Row],[售出工時]] * 60) / 5</f>
        <v>0</v>
      </c>
      <c r="M1589" t="str">
        <f>VLOOKUP(交易處理資料__3[[#This Row],[人員代號]],團隊分組!$B$1:$C$52,2,FALSE)</f>
        <v>快速保養團隊A</v>
      </c>
      <c r="N1589" t="str">
        <f>IF(交易處理資料__3[[#This Row],[上班時間]]=0,"否","是")</f>
        <v>否</v>
      </c>
      <c r="O1589" t="s">
        <v>76</v>
      </c>
      <c r="P1589" s="38">
        <v>0</v>
      </c>
      <c r="Q1589" s="38">
        <v>0</v>
      </c>
      <c r="R1589" s="38">
        <v>0</v>
      </c>
    </row>
    <row r="1590" spans="1:18" hidden="1">
      <c r="A1590" t="s">
        <v>76</v>
      </c>
      <c r="B1590" t="s">
        <v>42</v>
      </c>
      <c r="C1590">
        <v>0</v>
      </c>
      <c r="D1590">
        <v>0</v>
      </c>
      <c r="E1590" s="29">
        <v>0</v>
      </c>
      <c r="F1590">
        <v>0</v>
      </c>
      <c r="G1590">
        <v>0</v>
      </c>
      <c r="H1590">
        <v>0</v>
      </c>
      <c r="I1590" s="29">
        <v>0</v>
      </c>
      <c r="J1590" s="29">
        <v>0</v>
      </c>
      <c r="K1590" s="9">
        <v>45332</v>
      </c>
      <c r="L1590">
        <f xml:space="preserve"> (交易處理資料__3[[#This Row],[售出工時]] * 60) / 5</f>
        <v>0</v>
      </c>
      <c r="M1590" t="str">
        <f>VLOOKUP(交易處理資料__3[[#This Row],[人員代號]],團隊分組!$B$1:$C$52,2,FALSE)</f>
        <v>快速保養團隊A</v>
      </c>
      <c r="N1590" t="str">
        <f>IF(交易處理資料__3[[#This Row],[上班時間]]=0,"否","是")</f>
        <v>否</v>
      </c>
      <c r="O1590" t="s">
        <v>76</v>
      </c>
      <c r="P1590" s="37">
        <v>0</v>
      </c>
      <c r="Q1590" s="37">
        <v>0</v>
      </c>
      <c r="R1590" s="37">
        <v>0</v>
      </c>
    </row>
    <row r="1591" spans="1:18" hidden="1">
      <c r="A1591" t="s">
        <v>76</v>
      </c>
      <c r="B1591" t="s">
        <v>43</v>
      </c>
      <c r="C1591">
        <v>0</v>
      </c>
      <c r="D1591">
        <v>0</v>
      </c>
      <c r="E1591" s="29">
        <v>0</v>
      </c>
      <c r="F1591">
        <v>0</v>
      </c>
      <c r="G1591">
        <v>0</v>
      </c>
      <c r="H1591">
        <v>0</v>
      </c>
      <c r="I1591" s="29">
        <v>0</v>
      </c>
      <c r="J1591" s="29">
        <v>0</v>
      </c>
      <c r="K1591" s="9">
        <v>45332</v>
      </c>
      <c r="L1591">
        <f xml:space="preserve"> (交易處理資料__3[[#This Row],[售出工時]] * 60) / 5</f>
        <v>0</v>
      </c>
      <c r="M1591" t="str">
        <f>VLOOKUP(交易處理資料__3[[#This Row],[人員代號]],團隊分組!$B$1:$C$52,2,FALSE)</f>
        <v>查修團隊B</v>
      </c>
      <c r="N1591" t="str">
        <f>IF(交易處理資料__3[[#This Row],[上班時間]]=0,"否","是")</f>
        <v>否</v>
      </c>
      <c r="O1591" t="s">
        <v>76</v>
      </c>
      <c r="P1591" s="38">
        <v>0</v>
      </c>
      <c r="Q1591" s="38">
        <v>0</v>
      </c>
      <c r="R1591" s="38">
        <v>0</v>
      </c>
    </row>
    <row r="1592" spans="1:18" hidden="1">
      <c r="A1592" t="s">
        <v>76</v>
      </c>
      <c r="B1592" t="s">
        <v>44</v>
      </c>
      <c r="C1592">
        <v>0</v>
      </c>
      <c r="D1592">
        <v>0</v>
      </c>
      <c r="E1592" s="29">
        <v>0</v>
      </c>
      <c r="F1592">
        <v>0</v>
      </c>
      <c r="G1592">
        <v>0</v>
      </c>
      <c r="H1592">
        <v>0</v>
      </c>
      <c r="I1592" s="29">
        <v>0</v>
      </c>
      <c r="J1592" s="29">
        <v>0</v>
      </c>
      <c r="K1592" s="9">
        <v>45332</v>
      </c>
      <c r="L1592">
        <f xml:space="preserve"> (交易處理資料__3[[#This Row],[售出工時]] * 60) / 5</f>
        <v>0</v>
      </c>
      <c r="M1592" t="str">
        <f>VLOOKUP(交易處理資料__3[[#This Row],[人員代號]],團隊分組!$B$1:$C$52,2,FALSE)</f>
        <v>快速保養團隊B</v>
      </c>
      <c r="N1592" t="str">
        <f>IF(交易處理資料__3[[#This Row],[上班時間]]=0,"否","是")</f>
        <v>否</v>
      </c>
      <c r="O1592" t="s">
        <v>76</v>
      </c>
      <c r="P1592" s="37">
        <v>0</v>
      </c>
      <c r="Q1592" s="37">
        <v>0</v>
      </c>
      <c r="R1592" s="37">
        <v>0</v>
      </c>
    </row>
    <row r="1593" spans="1:18" hidden="1">
      <c r="A1593" t="s">
        <v>76</v>
      </c>
      <c r="B1593" t="s">
        <v>45</v>
      </c>
      <c r="C1593">
        <v>0</v>
      </c>
      <c r="D1593">
        <v>0</v>
      </c>
      <c r="E1593" s="29">
        <v>0</v>
      </c>
      <c r="F1593">
        <v>0</v>
      </c>
      <c r="G1593">
        <v>0</v>
      </c>
      <c r="H1593">
        <v>0</v>
      </c>
      <c r="I1593" s="29">
        <v>0</v>
      </c>
      <c r="J1593" s="29">
        <v>0</v>
      </c>
      <c r="K1593" s="9">
        <v>45332</v>
      </c>
      <c r="L1593">
        <f xml:space="preserve"> (交易處理資料__3[[#This Row],[售出工時]] * 60) / 5</f>
        <v>0</v>
      </c>
      <c r="M1593" t="str">
        <f>VLOOKUP(交易處理資料__3[[#This Row],[人員代號]],團隊分組!$B$1:$C$52,2,FALSE)</f>
        <v>快速保養團隊A</v>
      </c>
      <c r="N1593" t="str">
        <f>IF(交易處理資料__3[[#This Row],[上班時間]]=0,"否","是")</f>
        <v>否</v>
      </c>
      <c r="O1593" t="s">
        <v>76</v>
      </c>
      <c r="P1593" s="38">
        <v>0</v>
      </c>
      <c r="Q1593" s="38">
        <v>0</v>
      </c>
      <c r="R1593" s="38">
        <v>0</v>
      </c>
    </row>
    <row r="1594" spans="1:18" hidden="1">
      <c r="A1594" t="s">
        <v>76</v>
      </c>
      <c r="B1594" t="s">
        <v>46</v>
      </c>
      <c r="C1594">
        <v>0</v>
      </c>
      <c r="D1594">
        <v>0</v>
      </c>
      <c r="E1594" s="29">
        <v>0</v>
      </c>
      <c r="F1594">
        <v>0</v>
      </c>
      <c r="G1594">
        <v>0</v>
      </c>
      <c r="H1594">
        <v>0</v>
      </c>
      <c r="I1594" s="29">
        <v>0</v>
      </c>
      <c r="J1594" s="29">
        <v>0</v>
      </c>
      <c r="K1594" s="9">
        <v>45332</v>
      </c>
      <c r="L1594">
        <f xml:space="preserve"> (交易處理資料__3[[#This Row],[售出工時]] * 60) / 5</f>
        <v>0</v>
      </c>
      <c r="M1594" t="str">
        <f>VLOOKUP(交易處理資料__3[[#This Row],[人員代號]],團隊分組!$B$1:$C$52,2,FALSE)</f>
        <v>查修團隊B</v>
      </c>
      <c r="N1594" t="str">
        <f>IF(交易處理資料__3[[#This Row],[上班時間]]=0,"否","是")</f>
        <v>否</v>
      </c>
      <c r="O1594" t="s">
        <v>76</v>
      </c>
      <c r="P1594" s="37">
        <v>0</v>
      </c>
      <c r="Q1594" s="37">
        <v>0</v>
      </c>
      <c r="R1594" s="37">
        <v>0</v>
      </c>
    </row>
    <row r="1595" spans="1:18" hidden="1">
      <c r="A1595" t="s">
        <v>76</v>
      </c>
      <c r="B1595" t="s">
        <v>47</v>
      </c>
      <c r="C1595">
        <v>0</v>
      </c>
      <c r="D1595">
        <v>0</v>
      </c>
      <c r="E1595" s="29">
        <v>0</v>
      </c>
      <c r="F1595">
        <v>0</v>
      </c>
      <c r="G1595">
        <v>0</v>
      </c>
      <c r="H1595">
        <v>0</v>
      </c>
      <c r="I1595" s="29">
        <v>0</v>
      </c>
      <c r="J1595" s="29">
        <v>0</v>
      </c>
      <c r="K1595" s="9">
        <v>45332</v>
      </c>
      <c r="L1595">
        <f xml:space="preserve"> (交易處理資料__3[[#This Row],[售出工時]] * 60) / 5</f>
        <v>0</v>
      </c>
      <c r="M1595" t="str">
        <f>VLOOKUP(交易處理資料__3[[#This Row],[人員代號]],團隊分組!$B$1:$C$52,2,FALSE)</f>
        <v>查修團隊B</v>
      </c>
      <c r="N1595" t="str">
        <f>IF(交易處理資料__3[[#This Row],[上班時間]]=0,"否","是")</f>
        <v>否</v>
      </c>
      <c r="O1595" t="s">
        <v>76</v>
      </c>
      <c r="P1595" s="38">
        <v>0</v>
      </c>
      <c r="Q1595" s="38">
        <v>0</v>
      </c>
      <c r="R1595" s="38">
        <v>0</v>
      </c>
    </row>
    <row r="1596" spans="1:18" hidden="1">
      <c r="A1596" t="s">
        <v>76</v>
      </c>
      <c r="B1596" t="s">
        <v>48</v>
      </c>
      <c r="C1596">
        <v>0</v>
      </c>
      <c r="D1596">
        <v>0</v>
      </c>
      <c r="E1596" s="29">
        <v>0</v>
      </c>
      <c r="F1596">
        <v>0</v>
      </c>
      <c r="G1596">
        <v>0</v>
      </c>
      <c r="H1596">
        <v>0</v>
      </c>
      <c r="I1596" s="29">
        <v>0</v>
      </c>
      <c r="J1596" s="29">
        <v>0</v>
      </c>
      <c r="K1596" s="9">
        <v>45332</v>
      </c>
      <c r="L1596">
        <f xml:space="preserve"> (交易處理資料__3[[#This Row],[售出工時]] * 60) / 5</f>
        <v>0</v>
      </c>
      <c r="M1596" t="str">
        <f>VLOOKUP(交易處理資料__3[[#This Row],[人員代號]],團隊分組!$B$1:$C$52,2,FALSE)</f>
        <v>查修團隊A</v>
      </c>
      <c r="N1596" t="str">
        <f>IF(交易處理資料__3[[#This Row],[上班時間]]=0,"否","是")</f>
        <v>否</v>
      </c>
      <c r="O1596" t="s">
        <v>76</v>
      </c>
      <c r="P1596" s="37">
        <v>0</v>
      </c>
      <c r="Q1596" s="37">
        <v>0</v>
      </c>
      <c r="R1596" s="37">
        <v>0</v>
      </c>
    </row>
    <row r="1597" spans="1:18" hidden="1">
      <c r="A1597" t="s">
        <v>76</v>
      </c>
      <c r="B1597" t="s">
        <v>49</v>
      </c>
      <c r="C1597">
        <v>0</v>
      </c>
      <c r="D1597">
        <v>0</v>
      </c>
      <c r="E1597" s="29">
        <v>0</v>
      </c>
      <c r="F1597">
        <v>0</v>
      </c>
      <c r="G1597">
        <v>0</v>
      </c>
      <c r="H1597">
        <v>0</v>
      </c>
      <c r="I1597" s="29">
        <v>0</v>
      </c>
      <c r="J1597" s="29">
        <v>0</v>
      </c>
      <c r="K1597" s="9">
        <v>45332</v>
      </c>
      <c r="L1597">
        <f xml:space="preserve"> (交易處理資料__3[[#This Row],[售出工時]] * 60) / 5</f>
        <v>0</v>
      </c>
      <c r="M1597" t="str">
        <f>VLOOKUP(交易處理資料__3[[#This Row],[人員代號]],團隊分組!$B$1:$C$52,2,FALSE)</f>
        <v>查修團隊A</v>
      </c>
      <c r="N1597" t="str">
        <f>IF(交易處理資料__3[[#This Row],[上班時間]]=0,"否","是")</f>
        <v>否</v>
      </c>
      <c r="O1597" t="s">
        <v>76</v>
      </c>
      <c r="P1597" s="38">
        <v>0</v>
      </c>
      <c r="Q1597" s="38">
        <v>0</v>
      </c>
      <c r="R1597" s="38">
        <v>0</v>
      </c>
    </row>
    <row r="1598" spans="1:18" hidden="1">
      <c r="A1598" t="s">
        <v>76</v>
      </c>
      <c r="B1598" t="s">
        <v>50</v>
      </c>
      <c r="C1598">
        <v>0</v>
      </c>
      <c r="D1598">
        <v>0</v>
      </c>
      <c r="E1598" s="29">
        <v>0</v>
      </c>
      <c r="F1598">
        <v>0</v>
      </c>
      <c r="G1598">
        <v>0</v>
      </c>
      <c r="H1598">
        <v>0</v>
      </c>
      <c r="I1598" s="29">
        <v>0</v>
      </c>
      <c r="J1598" s="29">
        <v>0</v>
      </c>
      <c r="K1598" s="9">
        <v>45332</v>
      </c>
      <c r="L1598">
        <f xml:space="preserve"> (交易處理資料__3[[#This Row],[售出工時]] * 60) / 5</f>
        <v>0</v>
      </c>
      <c r="M1598" t="str">
        <f>VLOOKUP(交易處理資料__3[[#This Row],[人員代號]],團隊分組!$B$1:$C$52,2,FALSE)</f>
        <v>快速保養團隊B</v>
      </c>
      <c r="N1598" t="str">
        <f>IF(交易處理資料__3[[#This Row],[上班時間]]=0,"否","是")</f>
        <v>否</v>
      </c>
      <c r="O1598" t="s">
        <v>76</v>
      </c>
      <c r="P1598" s="37">
        <v>0</v>
      </c>
      <c r="Q1598" s="37">
        <v>0</v>
      </c>
      <c r="R1598" s="37">
        <v>0</v>
      </c>
    </row>
    <row r="1599" spans="1:18" hidden="1">
      <c r="A1599" t="s">
        <v>76</v>
      </c>
      <c r="B1599" t="s">
        <v>51</v>
      </c>
      <c r="C1599">
        <v>0</v>
      </c>
      <c r="D1599">
        <v>0</v>
      </c>
      <c r="E1599" s="29">
        <v>0</v>
      </c>
      <c r="F1599">
        <v>0</v>
      </c>
      <c r="G1599">
        <v>0</v>
      </c>
      <c r="H1599">
        <v>0</v>
      </c>
      <c r="I1599" s="29">
        <v>0</v>
      </c>
      <c r="J1599" s="29">
        <v>0</v>
      </c>
      <c r="K1599" s="9">
        <v>45332</v>
      </c>
      <c r="L1599">
        <f xml:space="preserve"> (交易處理資料__3[[#This Row],[售出工時]] * 60) / 5</f>
        <v>0</v>
      </c>
      <c r="M1599" t="str">
        <f>VLOOKUP(交易處理資料__3[[#This Row],[人員代號]],團隊分組!$B$1:$C$52,2,FALSE)</f>
        <v>無效數據</v>
      </c>
      <c r="N1599" t="str">
        <f>IF(交易處理資料__3[[#This Row],[上班時間]]=0,"否","是")</f>
        <v>否</v>
      </c>
      <c r="O1599" t="s">
        <v>76</v>
      </c>
      <c r="P1599" s="38">
        <v>0</v>
      </c>
      <c r="Q1599" s="38">
        <v>0</v>
      </c>
      <c r="R1599" s="38">
        <v>0</v>
      </c>
    </row>
    <row r="1600" spans="1:18" hidden="1">
      <c r="A1600" t="s">
        <v>76</v>
      </c>
      <c r="B1600" t="s">
        <v>52</v>
      </c>
      <c r="C1600">
        <v>0</v>
      </c>
      <c r="D1600">
        <v>0</v>
      </c>
      <c r="E1600" s="29">
        <v>0</v>
      </c>
      <c r="F1600">
        <v>0</v>
      </c>
      <c r="G1600">
        <v>0</v>
      </c>
      <c r="H1600">
        <v>0</v>
      </c>
      <c r="I1600" s="29">
        <v>0</v>
      </c>
      <c r="J1600" s="29">
        <v>0</v>
      </c>
      <c r="K1600" s="9">
        <v>45332</v>
      </c>
      <c r="L1600">
        <f xml:space="preserve"> (交易處理資料__3[[#This Row],[售出工時]] * 60) / 5</f>
        <v>0</v>
      </c>
      <c r="M1600" t="str">
        <f>VLOOKUP(交易處理資料__3[[#This Row],[人員代號]],團隊分組!$B$1:$C$52,2,FALSE)</f>
        <v>查修團隊B</v>
      </c>
      <c r="N1600" t="str">
        <f>IF(交易處理資料__3[[#This Row],[上班時間]]=0,"否","是")</f>
        <v>否</v>
      </c>
      <c r="O1600" t="s">
        <v>76</v>
      </c>
      <c r="P1600" s="37">
        <v>0</v>
      </c>
      <c r="Q1600" s="37">
        <v>0</v>
      </c>
      <c r="R1600" s="37">
        <v>0</v>
      </c>
    </row>
    <row r="1601" spans="1:18" hidden="1">
      <c r="A1601" t="s">
        <v>76</v>
      </c>
      <c r="B1601" t="s">
        <v>53</v>
      </c>
      <c r="C1601">
        <v>0</v>
      </c>
      <c r="D1601">
        <v>0</v>
      </c>
      <c r="E1601" s="29">
        <v>0</v>
      </c>
      <c r="F1601">
        <v>0</v>
      </c>
      <c r="G1601">
        <v>0</v>
      </c>
      <c r="H1601">
        <v>0</v>
      </c>
      <c r="I1601" s="29">
        <v>0</v>
      </c>
      <c r="J1601" s="29">
        <v>0</v>
      </c>
      <c r="K1601" s="9">
        <v>45332</v>
      </c>
      <c r="L1601">
        <f xml:space="preserve"> (交易處理資料__3[[#This Row],[售出工時]] * 60) / 5</f>
        <v>0</v>
      </c>
      <c r="M1601" t="str">
        <f>VLOOKUP(交易處理資料__3[[#This Row],[人員代號]],團隊分組!$B$1:$C$52,2,FALSE)</f>
        <v>查修團隊A</v>
      </c>
      <c r="N1601" t="str">
        <f>IF(交易處理資料__3[[#This Row],[上班時間]]=0,"否","是")</f>
        <v>否</v>
      </c>
      <c r="O1601" t="s">
        <v>76</v>
      </c>
      <c r="P1601" s="38">
        <v>0</v>
      </c>
      <c r="Q1601" s="38">
        <v>0</v>
      </c>
      <c r="R1601" s="38">
        <v>0</v>
      </c>
    </row>
    <row r="1602" spans="1:18" hidden="1">
      <c r="A1602" s="10" t="s">
        <v>74</v>
      </c>
      <c r="B1602" t="s">
        <v>1</v>
      </c>
      <c r="C1602">
        <v>0</v>
      </c>
      <c r="D1602">
        <v>0</v>
      </c>
      <c r="E1602" s="29">
        <v>0</v>
      </c>
      <c r="F1602">
        <v>0</v>
      </c>
      <c r="G1602">
        <v>0</v>
      </c>
      <c r="H1602">
        <v>0</v>
      </c>
      <c r="I1602" s="29">
        <v>0</v>
      </c>
      <c r="J1602" s="29">
        <v>0</v>
      </c>
      <c r="K1602" s="9">
        <v>45333</v>
      </c>
      <c r="L1602">
        <f xml:space="preserve"> (交易處理資料__3[[#This Row],[售出工時]] * 60) / 5</f>
        <v>0</v>
      </c>
      <c r="M1602" t="str">
        <f>VLOOKUP(交易處理資料__3[[#This Row],[人員代號]],團隊分組!$B$1:$C$52,2,FALSE)</f>
        <v>噴漆維修組</v>
      </c>
      <c r="N1602" t="str">
        <f>IF(交易處理資料__3[[#This Row],[上班時間]]=0,"否","是")</f>
        <v>否</v>
      </c>
      <c r="O1602" s="10" t="s">
        <v>74</v>
      </c>
      <c r="P1602" s="37">
        <v>0</v>
      </c>
      <c r="Q1602" s="37">
        <v>0</v>
      </c>
      <c r="R1602" s="37">
        <v>0</v>
      </c>
    </row>
    <row r="1603" spans="1:18" hidden="1">
      <c r="A1603" s="10" t="s">
        <v>74</v>
      </c>
      <c r="B1603" t="s">
        <v>2</v>
      </c>
      <c r="C1603">
        <v>0</v>
      </c>
      <c r="D1603">
        <v>0</v>
      </c>
      <c r="E1603" s="29">
        <v>0</v>
      </c>
      <c r="F1603">
        <v>0</v>
      </c>
      <c r="G1603">
        <v>0</v>
      </c>
      <c r="H1603">
        <v>0</v>
      </c>
      <c r="I1603" s="29">
        <v>0</v>
      </c>
      <c r="J1603" s="29">
        <v>0</v>
      </c>
      <c r="K1603" s="9">
        <v>45333</v>
      </c>
      <c r="L1603">
        <f xml:space="preserve"> (交易處理資料__3[[#This Row],[售出工時]] * 60) / 5</f>
        <v>0</v>
      </c>
      <c r="M1603" t="str">
        <f>VLOOKUP(交易處理資料__3[[#This Row],[人員代號]],團隊分組!$B$1:$C$52,2,FALSE)</f>
        <v>噴漆維修組</v>
      </c>
      <c r="N1603" t="str">
        <f>IF(交易處理資料__3[[#This Row],[上班時間]]=0,"否","是")</f>
        <v>否</v>
      </c>
      <c r="O1603" s="10" t="s">
        <v>74</v>
      </c>
      <c r="P1603" s="38">
        <v>0</v>
      </c>
      <c r="Q1603" s="38">
        <v>0</v>
      </c>
      <c r="R1603" s="38">
        <v>0</v>
      </c>
    </row>
    <row r="1604" spans="1:18" hidden="1">
      <c r="A1604" s="10" t="s">
        <v>74</v>
      </c>
      <c r="B1604" t="s">
        <v>3</v>
      </c>
      <c r="C1604">
        <v>0</v>
      </c>
      <c r="D1604">
        <v>0</v>
      </c>
      <c r="E1604" s="29">
        <v>0</v>
      </c>
      <c r="F1604">
        <v>0</v>
      </c>
      <c r="G1604">
        <v>0</v>
      </c>
      <c r="H1604">
        <v>0</v>
      </c>
      <c r="I1604" s="29">
        <v>0</v>
      </c>
      <c r="J1604" s="29">
        <v>0</v>
      </c>
      <c r="K1604" s="9">
        <v>45333</v>
      </c>
      <c r="L1604">
        <f xml:space="preserve"> (交易處理資料__3[[#This Row],[售出工時]] * 60) / 5</f>
        <v>0</v>
      </c>
      <c r="M1604" t="str">
        <f>VLOOKUP(交易處理資料__3[[#This Row],[人員代號]],團隊分組!$B$1:$C$52,2,FALSE)</f>
        <v>噴漆維修組</v>
      </c>
      <c r="N1604" t="str">
        <f>IF(交易處理資料__3[[#This Row],[上班時間]]=0,"否","是")</f>
        <v>否</v>
      </c>
      <c r="O1604" s="10" t="s">
        <v>74</v>
      </c>
      <c r="P1604" s="37">
        <v>0</v>
      </c>
      <c r="Q1604" s="37">
        <v>0</v>
      </c>
      <c r="R1604" s="37">
        <v>0</v>
      </c>
    </row>
    <row r="1605" spans="1:18" hidden="1">
      <c r="A1605" s="10" t="s">
        <v>74</v>
      </c>
      <c r="B1605" t="s">
        <v>4</v>
      </c>
      <c r="C1605">
        <v>0</v>
      </c>
      <c r="D1605">
        <v>0</v>
      </c>
      <c r="E1605" s="29">
        <v>0</v>
      </c>
      <c r="F1605">
        <v>0</v>
      </c>
      <c r="G1605">
        <v>0</v>
      </c>
      <c r="H1605">
        <v>0</v>
      </c>
      <c r="I1605" s="29">
        <v>0</v>
      </c>
      <c r="J1605" s="29">
        <v>0</v>
      </c>
      <c r="K1605" s="9">
        <v>45333</v>
      </c>
      <c r="L1605">
        <f xml:space="preserve"> (交易處理資料__3[[#This Row],[售出工時]] * 60) / 5</f>
        <v>0</v>
      </c>
      <c r="M1605" t="str">
        <f>VLOOKUP(交易處理資料__3[[#This Row],[人員代號]],團隊分組!$B$1:$C$52,2,FALSE)</f>
        <v>噴漆維修組</v>
      </c>
      <c r="N1605" t="str">
        <f>IF(交易處理資料__3[[#This Row],[上班時間]]=0,"否","是")</f>
        <v>否</v>
      </c>
      <c r="O1605" s="10" t="s">
        <v>74</v>
      </c>
      <c r="P1605" s="38">
        <v>0</v>
      </c>
      <c r="Q1605" s="38">
        <v>0</v>
      </c>
      <c r="R1605" s="38">
        <v>0</v>
      </c>
    </row>
    <row r="1606" spans="1:18" hidden="1">
      <c r="A1606" s="10" t="s">
        <v>74</v>
      </c>
      <c r="B1606" t="s">
        <v>5</v>
      </c>
      <c r="C1606">
        <v>0</v>
      </c>
      <c r="D1606">
        <v>0</v>
      </c>
      <c r="E1606" s="29">
        <v>0</v>
      </c>
      <c r="F1606">
        <v>0</v>
      </c>
      <c r="G1606">
        <v>0</v>
      </c>
      <c r="H1606">
        <v>0</v>
      </c>
      <c r="I1606" s="29">
        <v>0</v>
      </c>
      <c r="J1606" s="29">
        <v>0</v>
      </c>
      <c r="K1606" s="9">
        <v>45333</v>
      </c>
      <c r="L1606">
        <f xml:space="preserve"> (交易處理資料__3[[#This Row],[售出工時]] * 60) / 5</f>
        <v>0</v>
      </c>
      <c r="M1606" t="str">
        <f>VLOOKUP(交易處理資料__3[[#This Row],[人員代號]],團隊分組!$B$1:$C$52,2,FALSE)</f>
        <v>噴漆維修組</v>
      </c>
      <c r="N1606" t="str">
        <f>IF(交易處理資料__3[[#This Row],[上班時間]]=0,"否","是")</f>
        <v>否</v>
      </c>
      <c r="O1606" s="10" t="s">
        <v>74</v>
      </c>
      <c r="P1606" s="37">
        <v>0</v>
      </c>
      <c r="Q1606" s="37">
        <v>0</v>
      </c>
      <c r="R1606" s="37">
        <v>0</v>
      </c>
    </row>
    <row r="1607" spans="1:18" hidden="1">
      <c r="A1607" s="10" t="s">
        <v>74</v>
      </c>
      <c r="B1607" t="s">
        <v>6</v>
      </c>
      <c r="C1607">
        <v>0</v>
      </c>
      <c r="D1607">
        <v>0</v>
      </c>
      <c r="E1607" s="29">
        <v>0</v>
      </c>
      <c r="F1607">
        <v>0</v>
      </c>
      <c r="G1607">
        <v>0</v>
      </c>
      <c r="H1607">
        <v>0</v>
      </c>
      <c r="I1607" s="29">
        <v>0</v>
      </c>
      <c r="J1607" s="29">
        <v>0</v>
      </c>
      <c r="K1607" s="9">
        <v>45333</v>
      </c>
      <c r="L1607">
        <f xml:space="preserve"> (交易處理資料__3[[#This Row],[售出工時]] * 60) / 5</f>
        <v>0</v>
      </c>
      <c r="M1607" t="str">
        <f>VLOOKUP(交易處理資料__3[[#This Row],[人員代號]],團隊分組!$B$1:$C$52,2,FALSE)</f>
        <v>噴漆維修組</v>
      </c>
      <c r="N1607" t="str">
        <f>IF(交易處理資料__3[[#This Row],[上班時間]]=0,"否","是")</f>
        <v>否</v>
      </c>
      <c r="O1607" s="10" t="s">
        <v>74</v>
      </c>
      <c r="P1607" s="38">
        <v>0</v>
      </c>
      <c r="Q1607" s="38">
        <v>0</v>
      </c>
      <c r="R1607" s="38">
        <v>0</v>
      </c>
    </row>
    <row r="1608" spans="1:18">
      <c r="A1608" s="10" t="s">
        <v>74</v>
      </c>
      <c r="B1608" t="s">
        <v>7</v>
      </c>
      <c r="C1608">
        <v>0</v>
      </c>
      <c r="D1608">
        <v>0</v>
      </c>
      <c r="E1608" s="29">
        <v>0</v>
      </c>
      <c r="F1608">
        <v>0</v>
      </c>
      <c r="G1608">
        <v>0</v>
      </c>
      <c r="H1608">
        <v>0</v>
      </c>
      <c r="I1608" s="29">
        <v>0</v>
      </c>
      <c r="J1608" s="29">
        <v>0</v>
      </c>
      <c r="K1608" s="9">
        <v>45333</v>
      </c>
      <c r="L1608">
        <f xml:space="preserve"> (交易處理資料__3[[#This Row],[售出工時]] * 60) / 5</f>
        <v>0</v>
      </c>
      <c r="M1608" t="str">
        <f>VLOOKUP(交易處理資料__3[[#This Row],[人員代號]],團隊分組!$B$1:$C$52,2,FALSE)</f>
        <v>噴漆維修組</v>
      </c>
      <c r="N1608" t="str">
        <f>IF(交易處理資料__3[[#This Row],[上班時間]]=0,"否","是")</f>
        <v>否</v>
      </c>
      <c r="O1608" s="10" t="s">
        <v>74</v>
      </c>
      <c r="P1608" s="37">
        <v>0</v>
      </c>
      <c r="Q1608" s="37">
        <v>0</v>
      </c>
      <c r="R1608" s="37">
        <v>0</v>
      </c>
    </row>
    <row r="1609" spans="1:18" hidden="1">
      <c r="A1609" s="10" t="s">
        <v>74</v>
      </c>
      <c r="B1609" t="s">
        <v>8</v>
      </c>
      <c r="C1609">
        <v>0</v>
      </c>
      <c r="D1609">
        <v>0</v>
      </c>
      <c r="E1609" s="29">
        <v>0</v>
      </c>
      <c r="F1609">
        <v>0</v>
      </c>
      <c r="G1609">
        <v>0</v>
      </c>
      <c r="H1609">
        <v>0</v>
      </c>
      <c r="I1609" s="29">
        <v>0</v>
      </c>
      <c r="J1609" s="29">
        <v>0</v>
      </c>
      <c r="K1609" s="9">
        <v>45333</v>
      </c>
      <c r="L1609">
        <f xml:space="preserve"> (交易處理資料__3[[#This Row],[售出工時]] * 60) / 5</f>
        <v>0</v>
      </c>
      <c r="M1609" t="str">
        <f>VLOOKUP(交易處理資料__3[[#This Row],[人員代號]],團隊分組!$B$1:$C$52,2,FALSE)</f>
        <v>噴漆維修組</v>
      </c>
      <c r="N1609" t="str">
        <f>IF(交易處理資料__3[[#This Row],[上班時間]]=0,"否","是")</f>
        <v>否</v>
      </c>
      <c r="O1609" s="10" t="s">
        <v>74</v>
      </c>
      <c r="P1609" s="38">
        <v>0</v>
      </c>
      <c r="Q1609" s="38">
        <v>0</v>
      </c>
      <c r="R1609" s="38">
        <v>0</v>
      </c>
    </row>
    <row r="1610" spans="1:18" hidden="1">
      <c r="A1610" s="10" t="s">
        <v>74</v>
      </c>
      <c r="B1610" t="s">
        <v>9</v>
      </c>
      <c r="C1610">
        <v>0</v>
      </c>
      <c r="D1610">
        <v>0</v>
      </c>
      <c r="E1610" s="29">
        <v>0</v>
      </c>
      <c r="F1610">
        <v>0</v>
      </c>
      <c r="G1610">
        <v>0</v>
      </c>
      <c r="H1610">
        <v>0</v>
      </c>
      <c r="I1610" s="29">
        <v>0</v>
      </c>
      <c r="J1610" s="29">
        <v>0</v>
      </c>
      <c r="K1610" s="9">
        <v>45333</v>
      </c>
      <c r="L1610">
        <f xml:space="preserve"> (交易處理資料__3[[#This Row],[售出工時]] * 60) / 5</f>
        <v>0</v>
      </c>
      <c r="M1610" t="str">
        <f>VLOOKUP(交易處理資料__3[[#This Row],[人員代號]],團隊分組!$B$1:$C$52,2,FALSE)</f>
        <v>噴漆維修組</v>
      </c>
      <c r="N1610" t="str">
        <f>IF(交易處理資料__3[[#This Row],[上班時間]]=0,"否","是")</f>
        <v>否</v>
      </c>
      <c r="O1610" s="10" t="s">
        <v>74</v>
      </c>
      <c r="P1610" s="37">
        <v>0</v>
      </c>
      <c r="Q1610" s="37">
        <v>0</v>
      </c>
      <c r="R1610" s="37">
        <v>0</v>
      </c>
    </row>
    <row r="1611" spans="1:18" hidden="1">
      <c r="A1611" t="s">
        <v>75</v>
      </c>
      <c r="B1611" t="s">
        <v>11</v>
      </c>
      <c r="C1611">
        <v>0</v>
      </c>
      <c r="D1611">
        <v>0</v>
      </c>
      <c r="E1611" s="29">
        <v>0</v>
      </c>
      <c r="F1611">
        <v>0</v>
      </c>
      <c r="G1611">
        <v>0</v>
      </c>
      <c r="H1611">
        <v>0</v>
      </c>
      <c r="I1611" s="29">
        <v>0</v>
      </c>
      <c r="J1611" s="29">
        <v>0</v>
      </c>
      <c r="K1611" s="9">
        <v>45333</v>
      </c>
      <c r="L1611">
        <f xml:space="preserve"> (交易處理資料__3[[#This Row],[售出工時]] * 60) / 5</f>
        <v>0</v>
      </c>
      <c r="M1611" t="str">
        <f>VLOOKUP(交易處理資料__3[[#This Row],[人員代號]],團隊分組!$B$1:$C$52,2,FALSE)</f>
        <v>鈑金維修組</v>
      </c>
      <c r="N1611" t="str">
        <f>IF(交易處理資料__3[[#This Row],[上班時間]]=0,"否","是")</f>
        <v>否</v>
      </c>
      <c r="O1611" t="s">
        <v>75</v>
      </c>
      <c r="P1611" s="38">
        <v>0</v>
      </c>
      <c r="Q1611" s="38">
        <v>0</v>
      </c>
      <c r="R1611" s="38">
        <v>0</v>
      </c>
    </row>
    <row r="1612" spans="1:18" hidden="1">
      <c r="A1612" t="s">
        <v>75</v>
      </c>
      <c r="B1612" t="s">
        <v>12</v>
      </c>
      <c r="C1612">
        <v>0</v>
      </c>
      <c r="D1612">
        <v>0</v>
      </c>
      <c r="E1612" s="29">
        <v>0</v>
      </c>
      <c r="F1612">
        <v>0</v>
      </c>
      <c r="G1612">
        <v>0</v>
      </c>
      <c r="H1612">
        <v>0</v>
      </c>
      <c r="I1612" s="29">
        <v>0</v>
      </c>
      <c r="J1612" s="29">
        <v>0</v>
      </c>
      <c r="K1612" s="9">
        <v>45333</v>
      </c>
      <c r="L1612">
        <f xml:space="preserve"> (交易處理資料__3[[#This Row],[售出工時]] * 60) / 5</f>
        <v>0</v>
      </c>
      <c r="M1612" t="str">
        <f>VLOOKUP(交易處理資料__3[[#This Row],[人員代號]],團隊分組!$B$1:$C$52,2,FALSE)</f>
        <v>鈑金維修組</v>
      </c>
      <c r="N1612" t="str">
        <f>IF(交易處理資料__3[[#This Row],[上班時間]]=0,"否","是")</f>
        <v>否</v>
      </c>
      <c r="O1612" t="s">
        <v>75</v>
      </c>
      <c r="P1612" s="37">
        <v>0</v>
      </c>
      <c r="Q1612" s="37">
        <v>0</v>
      </c>
      <c r="R1612" s="37">
        <v>0</v>
      </c>
    </row>
    <row r="1613" spans="1:18" hidden="1">
      <c r="A1613" t="s">
        <v>75</v>
      </c>
      <c r="B1613" t="s">
        <v>13</v>
      </c>
      <c r="C1613">
        <v>0</v>
      </c>
      <c r="D1613">
        <v>0</v>
      </c>
      <c r="E1613" s="29">
        <v>0</v>
      </c>
      <c r="F1613">
        <v>0</v>
      </c>
      <c r="G1613">
        <v>0</v>
      </c>
      <c r="H1613">
        <v>0</v>
      </c>
      <c r="I1613" s="29">
        <v>0</v>
      </c>
      <c r="J1613" s="29">
        <v>0</v>
      </c>
      <c r="K1613" s="9">
        <v>45333</v>
      </c>
      <c r="L1613">
        <f xml:space="preserve"> (交易處理資料__3[[#This Row],[售出工時]] * 60) / 5</f>
        <v>0</v>
      </c>
      <c r="M1613" t="str">
        <f>VLOOKUP(交易處理資料__3[[#This Row],[人員代號]],團隊分組!$B$1:$C$52,2,FALSE)</f>
        <v>鈑金維修組</v>
      </c>
      <c r="N1613" t="str">
        <f>IF(交易處理資料__3[[#This Row],[上班時間]]=0,"否","是")</f>
        <v>否</v>
      </c>
      <c r="O1613" t="s">
        <v>75</v>
      </c>
      <c r="P1613" s="38">
        <v>0</v>
      </c>
      <c r="Q1613" s="38">
        <v>0</v>
      </c>
      <c r="R1613" s="38">
        <v>0</v>
      </c>
    </row>
    <row r="1614" spans="1:18" hidden="1">
      <c r="A1614" t="s">
        <v>75</v>
      </c>
      <c r="B1614" t="s">
        <v>14</v>
      </c>
      <c r="C1614">
        <v>0</v>
      </c>
      <c r="D1614">
        <v>0</v>
      </c>
      <c r="E1614" s="29">
        <v>0</v>
      </c>
      <c r="F1614">
        <v>0</v>
      </c>
      <c r="G1614">
        <v>0</v>
      </c>
      <c r="H1614">
        <v>0</v>
      </c>
      <c r="I1614" s="29">
        <v>0</v>
      </c>
      <c r="J1614" s="29">
        <v>0</v>
      </c>
      <c r="K1614" s="9">
        <v>45333</v>
      </c>
      <c r="L1614">
        <f xml:space="preserve"> (交易處理資料__3[[#This Row],[售出工時]] * 60) / 5</f>
        <v>0</v>
      </c>
      <c r="M1614" t="str">
        <f>VLOOKUP(交易處理資料__3[[#This Row],[人員代號]],團隊分組!$B$1:$C$52,2,FALSE)</f>
        <v>鈑金維修組</v>
      </c>
      <c r="N1614" t="str">
        <f>IF(交易處理資料__3[[#This Row],[上班時間]]=0,"否","是")</f>
        <v>否</v>
      </c>
      <c r="O1614" t="s">
        <v>75</v>
      </c>
      <c r="P1614" s="37">
        <v>0</v>
      </c>
      <c r="Q1614" s="37">
        <v>0</v>
      </c>
      <c r="R1614" s="37">
        <v>0</v>
      </c>
    </row>
    <row r="1615" spans="1:18" hidden="1">
      <c r="A1615" t="s">
        <v>75</v>
      </c>
      <c r="B1615" t="s">
        <v>15</v>
      </c>
      <c r="C1615">
        <v>0</v>
      </c>
      <c r="D1615">
        <v>0</v>
      </c>
      <c r="E1615" s="29">
        <v>0</v>
      </c>
      <c r="F1615">
        <v>0</v>
      </c>
      <c r="G1615">
        <v>0</v>
      </c>
      <c r="H1615">
        <v>0</v>
      </c>
      <c r="I1615" s="29">
        <v>0</v>
      </c>
      <c r="J1615" s="29">
        <v>0</v>
      </c>
      <c r="K1615" s="9">
        <v>45333</v>
      </c>
      <c r="L1615">
        <f xml:space="preserve"> (交易處理資料__3[[#This Row],[售出工時]] * 60) / 5</f>
        <v>0</v>
      </c>
      <c r="M1615" t="str">
        <f>VLOOKUP(交易處理資料__3[[#This Row],[人員代號]],團隊分組!$B$1:$C$52,2,FALSE)</f>
        <v>鈑金維修組</v>
      </c>
      <c r="N1615" t="str">
        <f>IF(交易處理資料__3[[#This Row],[上班時間]]=0,"否","是")</f>
        <v>否</v>
      </c>
      <c r="O1615" t="s">
        <v>75</v>
      </c>
      <c r="P1615" s="38">
        <v>0</v>
      </c>
      <c r="Q1615" s="38">
        <v>0</v>
      </c>
      <c r="R1615" s="38">
        <v>0</v>
      </c>
    </row>
    <row r="1616" spans="1:18" hidden="1">
      <c r="A1616" t="s">
        <v>76</v>
      </c>
      <c r="B1616" t="s">
        <v>17</v>
      </c>
      <c r="C1616">
        <v>0</v>
      </c>
      <c r="D1616">
        <v>0</v>
      </c>
      <c r="E1616" s="29">
        <v>0</v>
      </c>
      <c r="F1616">
        <v>0</v>
      </c>
      <c r="G1616">
        <v>0</v>
      </c>
      <c r="H1616">
        <v>0</v>
      </c>
      <c r="I1616" s="29">
        <v>0</v>
      </c>
      <c r="J1616" s="29">
        <v>0</v>
      </c>
      <c r="K1616" s="9">
        <v>45333</v>
      </c>
      <c r="L1616">
        <f xml:space="preserve"> (交易處理資料__3[[#This Row],[售出工時]] * 60) / 5</f>
        <v>0</v>
      </c>
      <c r="M1616" t="str">
        <f>VLOOKUP(交易處理資料__3[[#This Row],[人員代號]],團隊分組!$B$1:$C$52,2,FALSE)</f>
        <v>快速保養團隊A</v>
      </c>
      <c r="N1616" t="str">
        <f>IF(交易處理資料__3[[#This Row],[上班時間]]=0,"否","是")</f>
        <v>否</v>
      </c>
      <c r="O1616" t="s">
        <v>76</v>
      </c>
      <c r="P1616" s="37">
        <v>0</v>
      </c>
      <c r="Q1616" s="37">
        <v>0</v>
      </c>
      <c r="R1616" s="37">
        <v>0</v>
      </c>
    </row>
    <row r="1617" spans="1:18" hidden="1">
      <c r="A1617" t="s">
        <v>76</v>
      </c>
      <c r="B1617" t="s">
        <v>18</v>
      </c>
      <c r="C1617">
        <v>0</v>
      </c>
      <c r="D1617">
        <v>0</v>
      </c>
      <c r="E1617" s="29">
        <v>0</v>
      </c>
      <c r="F1617">
        <v>0</v>
      </c>
      <c r="G1617">
        <v>0</v>
      </c>
      <c r="H1617">
        <v>0</v>
      </c>
      <c r="I1617" s="29">
        <v>0</v>
      </c>
      <c r="J1617" s="29">
        <v>0</v>
      </c>
      <c r="K1617" s="9">
        <v>45333</v>
      </c>
      <c r="L1617">
        <f xml:space="preserve"> (交易處理資料__3[[#This Row],[售出工時]] * 60) / 5</f>
        <v>0</v>
      </c>
      <c r="M1617" t="str">
        <f>VLOOKUP(交易處理資料__3[[#This Row],[人員代號]],團隊分組!$B$1:$C$52,2,FALSE)</f>
        <v>查修團隊B</v>
      </c>
      <c r="N1617" t="str">
        <f>IF(交易處理資料__3[[#This Row],[上班時間]]=0,"否","是")</f>
        <v>否</v>
      </c>
      <c r="O1617" t="s">
        <v>76</v>
      </c>
      <c r="P1617" s="38">
        <v>0</v>
      </c>
      <c r="Q1617" s="38">
        <v>0</v>
      </c>
      <c r="R1617" s="38">
        <v>0</v>
      </c>
    </row>
    <row r="1618" spans="1:18" hidden="1">
      <c r="A1618" t="s">
        <v>76</v>
      </c>
      <c r="B1618" t="s">
        <v>19</v>
      </c>
      <c r="C1618">
        <v>0</v>
      </c>
      <c r="D1618">
        <v>0</v>
      </c>
      <c r="E1618" s="29">
        <v>0</v>
      </c>
      <c r="F1618">
        <v>0</v>
      </c>
      <c r="G1618">
        <v>0</v>
      </c>
      <c r="H1618">
        <v>0</v>
      </c>
      <c r="I1618" s="29">
        <v>0</v>
      </c>
      <c r="J1618" s="29">
        <v>0</v>
      </c>
      <c r="K1618" s="9">
        <v>45333</v>
      </c>
      <c r="L1618">
        <f xml:space="preserve"> (交易處理資料__3[[#This Row],[售出工時]] * 60) / 5</f>
        <v>0</v>
      </c>
      <c r="M1618" t="str">
        <f>VLOOKUP(交易處理資料__3[[#This Row],[人員代號]],團隊分組!$B$1:$C$52,2,FALSE)</f>
        <v>查修團隊A</v>
      </c>
      <c r="N1618" t="str">
        <f>IF(交易處理資料__3[[#This Row],[上班時間]]=0,"否","是")</f>
        <v>否</v>
      </c>
      <c r="O1618" t="s">
        <v>76</v>
      </c>
      <c r="P1618" s="37">
        <v>0</v>
      </c>
      <c r="Q1618" s="37">
        <v>0</v>
      </c>
      <c r="R1618" s="37">
        <v>0</v>
      </c>
    </row>
    <row r="1619" spans="1:18" hidden="1">
      <c r="A1619" t="s">
        <v>76</v>
      </c>
      <c r="B1619" t="s">
        <v>20</v>
      </c>
      <c r="C1619">
        <v>0</v>
      </c>
      <c r="D1619">
        <v>0</v>
      </c>
      <c r="E1619" s="29">
        <v>0</v>
      </c>
      <c r="F1619">
        <v>0</v>
      </c>
      <c r="G1619">
        <v>0</v>
      </c>
      <c r="H1619">
        <v>0</v>
      </c>
      <c r="I1619" s="29">
        <v>0</v>
      </c>
      <c r="J1619" s="29">
        <v>0</v>
      </c>
      <c r="K1619" s="9">
        <v>45333</v>
      </c>
      <c r="L1619">
        <f xml:space="preserve"> (交易處理資料__3[[#This Row],[售出工時]] * 60) / 5</f>
        <v>0</v>
      </c>
      <c r="M1619" t="str">
        <f>VLOOKUP(交易處理資料__3[[#This Row],[人員代號]],團隊分組!$B$1:$C$52,2,FALSE)</f>
        <v>查修團隊B</v>
      </c>
      <c r="N1619" t="str">
        <f>IF(交易處理資料__3[[#This Row],[上班時間]]=0,"否","是")</f>
        <v>否</v>
      </c>
      <c r="O1619" t="s">
        <v>76</v>
      </c>
      <c r="P1619" s="38">
        <v>0</v>
      </c>
      <c r="Q1619" s="38">
        <v>0</v>
      </c>
      <c r="R1619" s="38">
        <v>0</v>
      </c>
    </row>
    <row r="1620" spans="1:18" hidden="1">
      <c r="A1620" t="s">
        <v>76</v>
      </c>
      <c r="B1620" t="s">
        <v>21</v>
      </c>
      <c r="C1620">
        <v>0</v>
      </c>
      <c r="D1620">
        <v>0</v>
      </c>
      <c r="E1620" s="29">
        <v>0</v>
      </c>
      <c r="F1620">
        <v>0</v>
      </c>
      <c r="G1620">
        <v>0</v>
      </c>
      <c r="H1620">
        <v>0</v>
      </c>
      <c r="I1620" s="29">
        <v>0</v>
      </c>
      <c r="J1620" s="29">
        <v>0</v>
      </c>
      <c r="K1620" s="9">
        <v>45333</v>
      </c>
      <c r="L1620">
        <f xml:space="preserve"> (交易處理資料__3[[#This Row],[售出工時]] * 60) / 5</f>
        <v>0</v>
      </c>
      <c r="M1620" t="str">
        <f>VLOOKUP(交易處理資料__3[[#This Row],[人員代號]],團隊分組!$B$1:$C$52,2,FALSE)</f>
        <v>查修團隊B</v>
      </c>
      <c r="N1620" t="str">
        <f>IF(交易處理資料__3[[#This Row],[上班時間]]=0,"否","是")</f>
        <v>否</v>
      </c>
      <c r="O1620" t="s">
        <v>76</v>
      </c>
      <c r="P1620" s="37">
        <v>0</v>
      </c>
      <c r="Q1620" s="37">
        <v>0</v>
      </c>
      <c r="R1620" s="37">
        <v>0</v>
      </c>
    </row>
    <row r="1621" spans="1:18" hidden="1">
      <c r="A1621" t="s">
        <v>76</v>
      </c>
      <c r="B1621" t="s">
        <v>22</v>
      </c>
      <c r="C1621">
        <v>0</v>
      </c>
      <c r="D1621">
        <v>0</v>
      </c>
      <c r="E1621" s="29">
        <v>0</v>
      </c>
      <c r="F1621">
        <v>0</v>
      </c>
      <c r="G1621">
        <v>0</v>
      </c>
      <c r="H1621">
        <v>0</v>
      </c>
      <c r="I1621" s="29">
        <v>0</v>
      </c>
      <c r="J1621" s="29">
        <v>0</v>
      </c>
      <c r="K1621" s="9">
        <v>45333</v>
      </c>
      <c r="L1621">
        <f xml:space="preserve"> (交易處理資料__3[[#This Row],[售出工時]] * 60) / 5</f>
        <v>0</v>
      </c>
      <c r="M1621" t="str">
        <f>VLOOKUP(交易處理資料__3[[#This Row],[人員代號]],團隊分組!$B$1:$C$52,2,FALSE)</f>
        <v>快速保養團隊A</v>
      </c>
      <c r="N1621" t="str">
        <f>IF(交易處理資料__3[[#This Row],[上班時間]]=0,"否","是")</f>
        <v>否</v>
      </c>
      <c r="O1621" t="s">
        <v>76</v>
      </c>
      <c r="P1621" s="38">
        <v>0</v>
      </c>
      <c r="Q1621" s="38">
        <v>0</v>
      </c>
      <c r="R1621" s="38">
        <v>0</v>
      </c>
    </row>
    <row r="1622" spans="1:18" hidden="1">
      <c r="A1622" t="s">
        <v>76</v>
      </c>
      <c r="B1622" t="s">
        <v>23</v>
      </c>
      <c r="C1622">
        <v>0</v>
      </c>
      <c r="D1622">
        <v>0</v>
      </c>
      <c r="E1622" s="29">
        <v>0</v>
      </c>
      <c r="F1622">
        <v>0</v>
      </c>
      <c r="G1622">
        <v>0</v>
      </c>
      <c r="H1622">
        <v>0</v>
      </c>
      <c r="I1622" s="29">
        <v>0</v>
      </c>
      <c r="J1622" s="29">
        <v>0</v>
      </c>
      <c r="K1622" s="9">
        <v>45333</v>
      </c>
      <c r="L1622">
        <f xml:space="preserve"> (交易處理資料__3[[#This Row],[售出工時]] * 60) / 5</f>
        <v>0</v>
      </c>
      <c r="M1622" t="str">
        <f>VLOOKUP(交易處理資料__3[[#This Row],[人員代號]],團隊分組!$B$1:$C$52,2,FALSE)</f>
        <v>快速保養團隊B</v>
      </c>
      <c r="N1622" t="str">
        <f>IF(交易處理資料__3[[#This Row],[上班時間]]=0,"否","是")</f>
        <v>否</v>
      </c>
      <c r="O1622" t="s">
        <v>76</v>
      </c>
      <c r="P1622" s="37">
        <v>0</v>
      </c>
      <c r="Q1622" s="37">
        <v>0</v>
      </c>
      <c r="R1622" s="37">
        <v>0</v>
      </c>
    </row>
    <row r="1623" spans="1:18" hidden="1">
      <c r="A1623" t="s">
        <v>76</v>
      </c>
      <c r="B1623" t="s">
        <v>24</v>
      </c>
      <c r="C1623">
        <v>0</v>
      </c>
      <c r="D1623">
        <v>0</v>
      </c>
      <c r="E1623" s="29">
        <v>0</v>
      </c>
      <c r="F1623">
        <v>0</v>
      </c>
      <c r="G1623">
        <v>0</v>
      </c>
      <c r="H1623">
        <v>0</v>
      </c>
      <c r="I1623" s="29">
        <v>0</v>
      </c>
      <c r="J1623" s="29">
        <v>0</v>
      </c>
      <c r="K1623" s="9">
        <v>45333</v>
      </c>
      <c r="L1623">
        <f xml:space="preserve"> (交易處理資料__3[[#This Row],[售出工時]] * 60) / 5</f>
        <v>0</v>
      </c>
      <c r="M1623" t="str">
        <f>VLOOKUP(交易處理資料__3[[#This Row],[人員代號]],團隊分組!$B$1:$C$52,2,FALSE)</f>
        <v>快速保養團隊A</v>
      </c>
      <c r="N1623" t="str">
        <f>IF(交易處理資料__3[[#This Row],[上班時間]]=0,"否","是")</f>
        <v>否</v>
      </c>
      <c r="O1623" t="s">
        <v>76</v>
      </c>
      <c r="P1623" s="38">
        <v>0</v>
      </c>
      <c r="Q1623" s="38">
        <v>0</v>
      </c>
      <c r="R1623" s="38">
        <v>0</v>
      </c>
    </row>
    <row r="1624" spans="1:18" hidden="1">
      <c r="A1624" t="s">
        <v>76</v>
      </c>
      <c r="B1624" t="s">
        <v>25</v>
      </c>
      <c r="C1624">
        <v>0</v>
      </c>
      <c r="D1624">
        <v>0</v>
      </c>
      <c r="E1624" s="29">
        <v>0</v>
      </c>
      <c r="F1624">
        <v>0</v>
      </c>
      <c r="G1624">
        <v>0</v>
      </c>
      <c r="H1624">
        <v>0</v>
      </c>
      <c r="I1624" s="29">
        <v>0</v>
      </c>
      <c r="J1624" s="29">
        <v>0</v>
      </c>
      <c r="K1624" s="9">
        <v>45333</v>
      </c>
      <c r="L1624">
        <f xml:space="preserve"> (交易處理資料__3[[#This Row],[售出工時]] * 60) / 5</f>
        <v>0</v>
      </c>
      <c r="M1624" t="str">
        <f>VLOOKUP(交易處理資料__3[[#This Row],[人員代號]],團隊分組!$B$1:$C$52,2,FALSE)</f>
        <v>查修團隊A</v>
      </c>
      <c r="N1624" t="str">
        <f>IF(交易處理資料__3[[#This Row],[上班時間]]=0,"否","是")</f>
        <v>否</v>
      </c>
      <c r="O1624" t="s">
        <v>76</v>
      </c>
      <c r="P1624" s="37">
        <v>0</v>
      </c>
      <c r="Q1624" s="37">
        <v>0</v>
      </c>
      <c r="R1624" s="37">
        <v>0</v>
      </c>
    </row>
    <row r="1625" spans="1:18" hidden="1">
      <c r="A1625" t="s">
        <v>76</v>
      </c>
      <c r="B1625" t="s">
        <v>26</v>
      </c>
      <c r="C1625">
        <v>0</v>
      </c>
      <c r="D1625">
        <v>0</v>
      </c>
      <c r="E1625" s="29">
        <v>0</v>
      </c>
      <c r="F1625">
        <v>0</v>
      </c>
      <c r="G1625">
        <v>0</v>
      </c>
      <c r="H1625">
        <v>0</v>
      </c>
      <c r="I1625" s="29">
        <v>0</v>
      </c>
      <c r="J1625" s="29">
        <v>0</v>
      </c>
      <c r="K1625" s="9">
        <v>45333</v>
      </c>
      <c r="L1625">
        <f xml:space="preserve"> (交易處理資料__3[[#This Row],[售出工時]] * 60) / 5</f>
        <v>0</v>
      </c>
      <c r="M1625" t="str">
        <f>VLOOKUP(交易處理資料__3[[#This Row],[人員代號]],團隊分組!$B$1:$C$52,2,FALSE)</f>
        <v>查修團隊B</v>
      </c>
      <c r="N1625" t="str">
        <f>IF(交易處理資料__3[[#This Row],[上班時間]]=0,"否","是")</f>
        <v>否</v>
      </c>
      <c r="O1625" t="s">
        <v>76</v>
      </c>
      <c r="P1625" s="38">
        <v>0</v>
      </c>
      <c r="Q1625" s="38">
        <v>0</v>
      </c>
      <c r="R1625" s="38">
        <v>0</v>
      </c>
    </row>
    <row r="1626" spans="1:18" hidden="1">
      <c r="A1626" t="s">
        <v>76</v>
      </c>
      <c r="B1626" t="s">
        <v>27</v>
      </c>
      <c r="C1626">
        <v>0</v>
      </c>
      <c r="D1626">
        <v>0</v>
      </c>
      <c r="E1626" s="29">
        <v>0</v>
      </c>
      <c r="F1626">
        <v>0</v>
      </c>
      <c r="G1626">
        <v>0</v>
      </c>
      <c r="H1626">
        <v>0</v>
      </c>
      <c r="I1626" s="29">
        <v>0</v>
      </c>
      <c r="J1626" s="29">
        <v>0</v>
      </c>
      <c r="K1626" s="9">
        <v>45333</v>
      </c>
      <c r="L1626">
        <f xml:space="preserve"> (交易處理資料__3[[#This Row],[售出工時]] * 60) / 5</f>
        <v>0</v>
      </c>
      <c r="M1626" t="str">
        <f>VLOOKUP(交易處理資料__3[[#This Row],[人員代號]],團隊分組!$B$1:$C$52,2,FALSE)</f>
        <v>快速保養團隊B</v>
      </c>
      <c r="N1626" t="str">
        <f>IF(交易處理資料__3[[#This Row],[上班時間]]=0,"否","是")</f>
        <v>否</v>
      </c>
      <c r="O1626" t="s">
        <v>76</v>
      </c>
      <c r="P1626" s="37">
        <v>0</v>
      </c>
      <c r="Q1626" s="37">
        <v>0</v>
      </c>
      <c r="R1626" s="37">
        <v>0</v>
      </c>
    </row>
    <row r="1627" spans="1:18" hidden="1">
      <c r="A1627" t="s">
        <v>76</v>
      </c>
      <c r="B1627" t="s">
        <v>28</v>
      </c>
      <c r="C1627">
        <v>0</v>
      </c>
      <c r="D1627">
        <v>0</v>
      </c>
      <c r="E1627" s="29">
        <v>0</v>
      </c>
      <c r="F1627">
        <v>0</v>
      </c>
      <c r="G1627">
        <v>0</v>
      </c>
      <c r="H1627">
        <v>0</v>
      </c>
      <c r="I1627" s="29">
        <v>0</v>
      </c>
      <c r="J1627" s="29">
        <v>0</v>
      </c>
      <c r="K1627" s="9">
        <v>45333</v>
      </c>
      <c r="L1627">
        <f xml:space="preserve"> (交易處理資料__3[[#This Row],[售出工時]] * 60) / 5</f>
        <v>0</v>
      </c>
      <c r="M1627" t="str">
        <f>VLOOKUP(交易處理資料__3[[#This Row],[人員代號]],團隊分組!$B$1:$C$52,2,FALSE)</f>
        <v>快速保養團隊A</v>
      </c>
      <c r="N1627" t="str">
        <f>IF(交易處理資料__3[[#This Row],[上班時間]]=0,"否","是")</f>
        <v>否</v>
      </c>
      <c r="O1627" t="s">
        <v>76</v>
      </c>
      <c r="P1627" s="38">
        <v>0</v>
      </c>
      <c r="Q1627" s="38">
        <v>0</v>
      </c>
      <c r="R1627" s="38">
        <v>0</v>
      </c>
    </row>
    <row r="1628" spans="1:18" hidden="1">
      <c r="A1628" t="s">
        <v>76</v>
      </c>
      <c r="B1628" t="s">
        <v>29</v>
      </c>
      <c r="C1628">
        <v>0</v>
      </c>
      <c r="D1628">
        <v>0</v>
      </c>
      <c r="E1628" s="29">
        <v>0</v>
      </c>
      <c r="F1628">
        <v>0</v>
      </c>
      <c r="G1628">
        <v>0</v>
      </c>
      <c r="H1628">
        <v>0</v>
      </c>
      <c r="I1628" s="29">
        <v>0</v>
      </c>
      <c r="J1628" s="29">
        <v>0</v>
      </c>
      <c r="K1628" s="9">
        <v>45333</v>
      </c>
      <c r="L1628">
        <f xml:space="preserve"> (交易處理資料__3[[#This Row],[售出工時]] * 60) / 5</f>
        <v>0</v>
      </c>
      <c r="M1628" t="str">
        <f>VLOOKUP(交易處理資料__3[[#This Row],[人員代號]],團隊分組!$B$1:$C$52,2,FALSE)</f>
        <v>查修團隊B</v>
      </c>
      <c r="N1628" t="str">
        <f>IF(交易處理資料__3[[#This Row],[上班時間]]=0,"否","是")</f>
        <v>否</v>
      </c>
      <c r="O1628" t="s">
        <v>76</v>
      </c>
      <c r="P1628" s="37">
        <v>0</v>
      </c>
      <c r="Q1628" s="37">
        <v>0</v>
      </c>
      <c r="R1628" s="37">
        <v>0</v>
      </c>
    </row>
    <row r="1629" spans="1:18" hidden="1">
      <c r="A1629" t="s">
        <v>76</v>
      </c>
      <c r="B1629" t="s">
        <v>30</v>
      </c>
      <c r="C1629">
        <v>0</v>
      </c>
      <c r="D1629">
        <v>0</v>
      </c>
      <c r="E1629" s="29">
        <v>0</v>
      </c>
      <c r="F1629">
        <v>0</v>
      </c>
      <c r="G1629">
        <v>0</v>
      </c>
      <c r="H1629">
        <v>0</v>
      </c>
      <c r="I1629" s="29">
        <v>0</v>
      </c>
      <c r="J1629" s="29">
        <v>0</v>
      </c>
      <c r="K1629" s="9">
        <v>45333</v>
      </c>
      <c r="L1629">
        <f xml:space="preserve"> (交易處理資料__3[[#This Row],[售出工時]] * 60) / 5</f>
        <v>0</v>
      </c>
      <c r="M1629" t="str">
        <f>VLOOKUP(交易處理資料__3[[#This Row],[人員代號]],團隊分組!$B$1:$C$52,2,FALSE)</f>
        <v>快速保養團隊B</v>
      </c>
      <c r="N1629" t="str">
        <f>IF(交易處理資料__3[[#This Row],[上班時間]]=0,"否","是")</f>
        <v>否</v>
      </c>
      <c r="O1629" t="s">
        <v>76</v>
      </c>
      <c r="P1629" s="38">
        <v>0</v>
      </c>
      <c r="Q1629" s="38">
        <v>0</v>
      </c>
      <c r="R1629" s="38">
        <v>0</v>
      </c>
    </row>
    <row r="1630" spans="1:18" hidden="1">
      <c r="A1630" t="s">
        <v>76</v>
      </c>
      <c r="B1630" t="s">
        <v>32</v>
      </c>
      <c r="C1630">
        <v>0</v>
      </c>
      <c r="D1630">
        <v>0</v>
      </c>
      <c r="E1630" s="29">
        <v>0</v>
      </c>
      <c r="F1630">
        <v>0</v>
      </c>
      <c r="G1630">
        <v>0</v>
      </c>
      <c r="H1630">
        <v>0</v>
      </c>
      <c r="I1630" s="29">
        <v>0</v>
      </c>
      <c r="J1630" s="29">
        <v>0</v>
      </c>
      <c r="K1630" s="9">
        <v>45333</v>
      </c>
      <c r="L1630">
        <f xml:space="preserve"> (交易處理資料__3[[#This Row],[售出工時]] * 60) / 5</f>
        <v>0</v>
      </c>
      <c r="M1630" t="str">
        <f>VLOOKUP(交易處理資料__3[[#This Row],[人員代號]],團隊分組!$B$1:$C$52,2,FALSE)</f>
        <v>快速保養團隊B</v>
      </c>
      <c r="N1630" t="str">
        <f>IF(交易處理資料__3[[#This Row],[上班時間]]=0,"否","是")</f>
        <v>否</v>
      </c>
      <c r="O1630" t="s">
        <v>76</v>
      </c>
      <c r="P1630" s="37">
        <v>0</v>
      </c>
      <c r="Q1630" s="37">
        <v>0</v>
      </c>
      <c r="R1630" s="37">
        <v>0</v>
      </c>
    </row>
    <row r="1631" spans="1:18" hidden="1">
      <c r="A1631" t="s">
        <v>76</v>
      </c>
      <c r="B1631" t="s">
        <v>33</v>
      </c>
      <c r="C1631">
        <v>0</v>
      </c>
      <c r="D1631">
        <v>0</v>
      </c>
      <c r="E1631" s="29">
        <v>0</v>
      </c>
      <c r="F1631">
        <v>0</v>
      </c>
      <c r="G1631">
        <v>0</v>
      </c>
      <c r="H1631">
        <v>0</v>
      </c>
      <c r="I1631" s="29">
        <v>0</v>
      </c>
      <c r="J1631" s="29">
        <v>0</v>
      </c>
      <c r="K1631" s="9">
        <v>45333</v>
      </c>
      <c r="L1631">
        <f xml:space="preserve"> (交易處理資料__3[[#This Row],[售出工時]] * 60) / 5</f>
        <v>0</v>
      </c>
      <c r="M1631" t="str">
        <f>VLOOKUP(交易處理資料__3[[#This Row],[人員代號]],團隊分組!$B$1:$C$52,2,FALSE)</f>
        <v>快速保養團隊B</v>
      </c>
      <c r="N1631" t="str">
        <f>IF(交易處理資料__3[[#This Row],[上班時間]]=0,"否","是")</f>
        <v>否</v>
      </c>
      <c r="O1631" t="s">
        <v>76</v>
      </c>
      <c r="P1631" s="38">
        <v>0</v>
      </c>
      <c r="Q1631" s="38">
        <v>0</v>
      </c>
      <c r="R1631" s="38">
        <v>0</v>
      </c>
    </row>
    <row r="1632" spans="1:18" hidden="1">
      <c r="A1632" t="s">
        <v>76</v>
      </c>
      <c r="B1632" t="s">
        <v>34</v>
      </c>
      <c r="C1632">
        <v>0</v>
      </c>
      <c r="D1632">
        <v>0</v>
      </c>
      <c r="E1632" s="29">
        <v>0</v>
      </c>
      <c r="F1632">
        <v>0</v>
      </c>
      <c r="G1632">
        <v>0</v>
      </c>
      <c r="H1632">
        <v>0</v>
      </c>
      <c r="I1632" s="29">
        <v>0</v>
      </c>
      <c r="J1632" s="29">
        <v>0</v>
      </c>
      <c r="K1632" s="9">
        <v>45333</v>
      </c>
      <c r="L1632">
        <f xml:space="preserve"> (交易處理資料__3[[#This Row],[售出工時]] * 60) / 5</f>
        <v>0</v>
      </c>
      <c r="M1632" t="str">
        <f>VLOOKUP(交易處理資料__3[[#This Row],[人員代號]],團隊分組!$B$1:$C$52,2,FALSE)</f>
        <v>快速保養團隊A</v>
      </c>
      <c r="N1632" t="str">
        <f>IF(交易處理資料__3[[#This Row],[上班時間]]=0,"否","是")</f>
        <v>否</v>
      </c>
      <c r="O1632" t="s">
        <v>76</v>
      </c>
      <c r="P1632" s="37">
        <v>0</v>
      </c>
      <c r="Q1632" s="37">
        <v>0</v>
      </c>
      <c r="R1632" s="37">
        <v>0</v>
      </c>
    </row>
    <row r="1633" spans="1:18" hidden="1">
      <c r="A1633" t="s">
        <v>76</v>
      </c>
      <c r="B1633" t="s">
        <v>35</v>
      </c>
      <c r="C1633">
        <v>0</v>
      </c>
      <c r="D1633">
        <v>0</v>
      </c>
      <c r="E1633" s="29">
        <v>0</v>
      </c>
      <c r="F1633">
        <v>0</v>
      </c>
      <c r="G1633">
        <v>0</v>
      </c>
      <c r="H1633">
        <v>0</v>
      </c>
      <c r="I1633" s="29">
        <v>0</v>
      </c>
      <c r="J1633" s="29">
        <v>0</v>
      </c>
      <c r="K1633" s="9">
        <v>45333</v>
      </c>
      <c r="L1633">
        <f xml:space="preserve"> (交易處理資料__3[[#This Row],[售出工時]] * 60) / 5</f>
        <v>0</v>
      </c>
      <c r="M1633" t="str">
        <f>VLOOKUP(交易處理資料__3[[#This Row],[人員代號]],團隊分組!$B$1:$C$52,2,FALSE)</f>
        <v>查修團隊B</v>
      </c>
      <c r="N1633" t="str">
        <f>IF(交易處理資料__3[[#This Row],[上班時間]]=0,"否","是")</f>
        <v>否</v>
      </c>
      <c r="O1633" t="s">
        <v>76</v>
      </c>
      <c r="P1633" s="38">
        <v>0</v>
      </c>
      <c r="Q1633" s="38">
        <v>0</v>
      </c>
      <c r="R1633" s="38">
        <v>0</v>
      </c>
    </row>
    <row r="1634" spans="1:18" hidden="1">
      <c r="A1634" t="s">
        <v>76</v>
      </c>
      <c r="B1634" t="s">
        <v>36</v>
      </c>
      <c r="C1634">
        <v>0</v>
      </c>
      <c r="D1634">
        <v>0</v>
      </c>
      <c r="E1634" s="29">
        <v>0</v>
      </c>
      <c r="F1634">
        <v>0</v>
      </c>
      <c r="G1634">
        <v>0</v>
      </c>
      <c r="H1634">
        <v>0</v>
      </c>
      <c r="I1634" s="29">
        <v>0</v>
      </c>
      <c r="J1634" s="29">
        <v>0</v>
      </c>
      <c r="K1634" s="9">
        <v>45333</v>
      </c>
      <c r="L1634">
        <f xml:space="preserve"> (交易處理資料__3[[#This Row],[售出工時]] * 60) / 5</f>
        <v>0</v>
      </c>
      <c r="M1634" t="str">
        <f>VLOOKUP(交易處理資料__3[[#This Row],[人員代號]],團隊分組!$B$1:$C$52,2,FALSE)</f>
        <v>查修團隊B</v>
      </c>
      <c r="N1634" t="str">
        <f>IF(交易處理資料__3[[#This Row],[上班時間]]=0,"否","是")</f>
        <v>否</v>
      </c>
      <c r="O1634" t="s">
        <v>76</v>
      </c>
      <c r="P1634" s="37">
        <v>0</v>
      </c>
      <c r="Q1634" s="37">
        <v>0</v>
      </c>
      <c r="R1634" s="37">
        <v>0</v>
      </c>
    </row>
    <row r="1635" spans="1:18" hidden="1">
      <c r="A1635" t="s">
        <v>76</v>
      </c>
      <c r="B1635" t="s">
        <v>37</v>
      </c>
      <c r="C1635">
        <v>0</v>
      </c>
      <c r="D1635">
        <v>0</v>
      </c>
      <c r="E1635" s="29">
        <v>0</v>
      </c>
      <c r="F1635">
        <v>0</v>
      </c>
      <c r="G1635">
        <v>0</v>
      </c>
      <c r="H1635">
        <v>0</v>
      </c>
      <c r="I1635" s="29">
        <v>0</v>
      </c>
      <c r="J1635" s="29">
        <v>0</v>
      </c>
      <c r="K1635" s="9">
        <v>45333</v>
      </c>
      <c r="L1635">
        <f xml:space="preserve"> (交易處理資料__3[[#This Row],[售出工時]] * 60) / 5</f>
        <v>0</v>
      </c>
      <c r="M1635" t="str">
        <f>VLOOKUP(交易處理資料__3[[#This Row],[人員代號]],團隊分組!$B$1:$C$52,2,FALSE)</f>
        <v>查修團隊A</v>
      </c>
      <c r="N1635" t="str">
        <f>IF(交易處理資料__3[[#This Row],[上班時間]]=0,"否","是")</f>
        <v>否</v>
      </c>
      <c r="O1635" t="s">
        <v>76</v>
      </c>
      <c r="P1635" s="38">
        <v>0</v>
      </c>
      <c r="Q1635" s="38">
        <v>0</v>
      </c>
      <c r="R1635" s="38">
        <v>0</v>
      </c>
    </row>
    <row r="1636" spans="1:18" hidden="1">
      <c r="A1636" t="s">
        <v>76</v>
      </c>
      <c r="B1636" t="s">
        <v>38</v>
      </c>
      <c r="C1636">
        <v>0</v>
      </c>
      <c r="D1636">
        <v>0</v>
      </c>
      <c r="E1636" s="29">
        <v>0</v>
      </c>
      <c r="F1636">
        <v>0</v>
      </c>
      <c r="G1636">
        <v>0</v>
      </c>
      <c r="H1636">
        <v>0</v>
      </c>
      <c r="I1636" s="29">
        <v>0</v>
      </c>
      <c r="J1636" s="29">
        <v>0</v>
      </c>
      <c r="K1636" s="9">
        <v>45333</v>
      </c>
      <c r="L1636">
        <f xml:space="preserve"> (交易處理資料__3[[#This Row],[售出工時]] * 60) / 5</f>
        <v>0</v>
      </c>
      <c r="M1636" t="str">
        <f>VLOOKUP(交易處理資料__3[[#This Row],[人員代號]],團隊分組!$B$1:$C$52,2,FALSE)</f>
        <v>快速保養團隊A</v>
      </c>
      <c r="N1636" t="str">
        <f>IF(交易處理資料__3[[#This Row],[上班時間]]=0,"否","是")</f>
        <v>否</v>
      </c>
      <c r="O1636" t="s">
        <v>76</v>
      </c>
      <c r="P1636" s="37">
        <v>0</v>
      </c>
      <c r="Q1636" s="37">
        <v>0</v>
      </c>
      <c r="R1636" s="37">
        <v>0</v>
      </c>
    </row>
    <row r="1637" spans="1:18" hidden="1">
      <c r="A1637" t="s">
        <v>76</v>
      </c>
      <c r="B1637" t="s">
        <v>39</v>
      </c>
      <c r="C1637">
        <v>0</v>
      </c>
      <c r="D1637">
        <v>0</v>
      </c>
      <c r="E1637" s="29">
        <v>0</v>
      </c>
      <c r="F1637">
        <v>0</v>
      </c>
      <c r="G1637">
        <v>0</v>
      </c>
      <c r="H1637">
        <v>0</v>
      </c>
      <c r="I1637" s="29">
        <v>0</v>
      </c>
      <c r="J1637" s="29">
        <v>0</v>
      </c>
      <c r="K1637" s="9">
        <v>45333</v>
      </c>
      <c r="L1637">
        <f xml:space="preserve"> (交易處理資料__3[[#This Row],[售出工時]] * 60) / 5</f>
        <v>0</v>
      </c>
      <c r="M1637" t="str">
        <f>VLOOKUP(交易處理資料__3[[#This Row],[人員代號]],團隊分組!$B$1:$C$52,2,FALSE)</f>
        <v>查修團隊A</v>
      </c>
      <c r="N1637" t="str">
        <f>IF(交易處理資料__3[[#This Row],[上班時間]]=0,"否","是")</f>
        <v>否</v>
      </c>
      <c r="O1637" t="s">
        <v>76</v>
      </c>
      <c r="P1637" s="38">
        <v>0</v>
      </c>
      <c r="Q1637" s="38">
        <v>0</v>
      </c>
      <c r="R1637" s="38">
        <v>0</v>
      </c>
    </row>
    <row r="1638" spans="1:18" hidden="1">
      <c r="A1638" t="s">
        <v>76</v>
      </c>
      <c r="B1638" t="s">
        <v>40</v>
      </c>
      <c r="C1638">
        <v>0</v>
      </c>
      <c r="D1638">
        <v>0</v>
      </c>
      <c r="E1638" s="29">
        <v>0</v>
      </c>
      <c r="F1638">
        <v>0</v>
      </c>
      <c r="G1638">
        <v>0</v>
      </c>
      <c r="H1638">
        <v>0</v>
      </c>
      <c r="I1638" s="29">
        <v>0</v>
      </c>
      <c r="J1638" s="29">
        <v>0</v>
      </c>
      <c r="K1638" s="9">
        <v>45333</v>
      </c>
      <c r="L1638">
        <f xml:space="preserve"> (交易處理資料__3[[#This Row],[售出工時]] * 60) / 5</f>
        <v>0</v>
      </c>
      <c r="M1638" t="str">
        <f>VLOOKUP(交易處理資料__3[[#This Row],[人員代號]],團隊分組!$B$1:$C$52,2,FALSE)</f>
        <v>查修團隊A</v>
      </c>
      <c r="N1638" t="str">
        <f>IF(交易處理資料__3[[#This Row],[上班時間]]=0,"否","是")</f>
        <v>否</v>
      </c>
      <c r="O1638" t="s">
        <v>76</v>
      </c>
      <c r="P1638" s="37">
        <v>0</v>
      </c>
      <c r="Q1638" s="37">
        <v>0</v>
      </c>
      <c r="R1638" s="37">
        <v>0</v>
      </c>
    </row>
    <row r="1639" spans="1:18" hidden="1">
      <c r="A1639" t="s">
        <v>76</v>
      </c>
      <c r="B1639" t="s">
        <v>41</v>
      </c>
      <c r="C1639">
        <v>0</v>
      </c>
      <c r="D1639">
        <v>0</v>
      </c>
      <c r="E1639" s="29">
        <v>0</v>
      </c>
      <c r="F1639">
        <v>0</v>
      </c>
      <c r="G1639">
        <v>0</v>
      </c>
      <c r="H1639">
        <v>0</v>
      </c>
      <c r="I1639" s="29">
        <v>0</v>
      </c>
      <c r="J1639" s="29">
        <v>0</v>
      </c>
      <c r="K1639" s="9">
        <v>45333</v>
      </c>
      <c r="L1639">
        <f xml:space="preserve"> (交易處理資料__3[[#This Row],[售出工時]] * 60) / 5</f>
        <v>0</v>
      </c>
      <c r="M1639" t="str">
        <f>VLOOKUP(交易處理資料__3[[#This Row],[人員代號]],團隊分組!$B$1:$C$52,2,FALSE)</f>
        <v>快速保養團隊A</v>
      </c>
      <c r="N1639" t="str">
        <f>IF(交易處理資料__3[[#This Row],[上班時間]]=0,"否","是")</f>
        <v>否</v>
      </c>
      <c r="O1639" t="s">
        <v>76</v>
      </c>
      <c r="P1639" s="38">
        <v>0</v>
      </c>
      <c r="Q1639" s="38">
        <v>0</v>
      </c>
      <c r="R1639" s="38">
        <v>0</v>
      </c>
    </row>
    <row r="1640" spans="1:18" hidden="1">
      <c r="A1640" t="s">
        <v>76</v>
      </c>
      <c r="B1640" t="s">
        <v>42</v>
      </c>
      <c r="C1640">
        <v>0</v>
      </c>
      <c r="D1640">
        <v>0</v>
      </c>
      <c r="E1640" s="29">
        <v>0</v>
      </c>
      <c r="F1640">
        <v>0</v>
      </c>
      <c r="G1640">
        <v>0</v>
      </c>
      <c r="H1640">
        <v>0</v>
      </c>
      <c r="I1640" s="29">
        <v>0</v>
      </c>
      <c r="J1640" s="29">
        <v>0</v>
      </c>
      <c r="K1640" s="9">
        <v>45333</v>
      </c>
      <c r="L1640">
        <f xml:space="preserve"> (交易處理資料__3[[#This Row],[售出工時]] * 60) / 5</f>
        <v>0</v>
      </c>
      <c r="M1640" t="str">
        <f>VLOOKUP(交易處理資料__3[[#This Row],[人員代號]],團隊分組!$B$1:$C$52,2,FALSE)</f>
        <v>快速保養團隊A</v>
      </c>
      <c r="N1640" t="str">
        <f>IF(交易處理資料__3[[#This Row],[上班時間]]=0,"否","是")</f>
        <v>否</v>
      </c>
      <c r="O1640" t="s">
        <v>76</v>
      </c>
      <c r="P1640" s="37">
        <v>0</v>
      </c>
      <c r="Q1640" s="37">
        <v>0</v>
      </c>
      <c r="R1640" s="37">
        <v>0</v>
      </c>
    </row>
    <row r="1641" spans="1:18" hidden="1">
      <c r="A1641" t="s">
        <v>76</v>
      </c>
      <c r="B1641" t="s">
        <v>43</v>
      </c>
      <c r="C1641">
        <v>0</v>
      </c>
      <c r="D1641">
        <v>0</v>
      </c>
      <c r="E1641" s="29">
        <v>0</v>
      </c>
      <c r="F1641">
        <v>0</v>
      </c>
      <c r="G1641">
        <v>0</v>
      </c>
      <c r="H1641">
        <v>0</v>
      </c>
      <c r="I1641" s="29">
        <v>0</v>
      </c>
      <c r="J1641" s="29">
        <v>0</v>
      </c>
      <c r="K1641" s="9">
        <v>45333</v>
      </c>
      <c r="L1641">
        <f xml:space="preserve"> (交易處理資料__3[[#This Row],[售出工時]] * 60) / 5</f>
        <v>0</v>
      </c>
      <c r="M1641" t="str">
        <f>VLOOKUP(交易處理資料__3[[#This Row],[人員代號]],團隊分組!$B$1:$C$52,2,FALSE)</f>
        <v>查修團隊B</v>
      </c>
      <c r="N1641" t="str">
        <f>IF(交易處理資料__3[[#This Row],[上班時間]]=0,"否","是")</f>
        <v>否</v>
      </c>
      <c r="O1641" t="s">
        <v>76</v>
      </c>
      <c r="P1641" s="38">
        <v>0</v>
      </c>
      <c r="Q1641" s="38">
        <v>0</v>
      </c>
      <c r="R1641" s="38">
        <v>0</v>
      </c>
    </row>
    <row r="1642" spans="1:18" hidden="1">
      <c r="A1642" t="s">
        <v>76</v>
      </c>
      <c r="B1642" t="s">
        <v>44</v>
      </c>
      <c r="C1642">
        <v>0</v>
      </c>
      <c r="D1642">
        <v>0</v>
      </c>
      <c r="E1642" s="29">
        <v>0</v>
      </c>
      <c r="F1642">
        <v>0</v>
      </c>
      <c r="G1642">
        <v>0</v>
      </c>
      <c r="H1642">
        <v>0</v>
      </c>
      <c r="I1642" s="29">
        <v>0</v>
      </c>
      <c r="J1642" s="29">
        <v>0</v>
      </c>
      <c r="K1642" s="9">
        <v>45333</v>
      </c>
      <c r="L1642">
        <f xml:space="preserve"> (交易處理資料__3[[#This Row],[售出工時]] * 60) / 5</f>
        <v>0</v>
      </c>
      <c r="M1642" t="str">
        <f>VLOOKUP(交易處理資料__3[[#This Row],[人員代號]],團隊分組!$B$1:$C$52,2,FALSE)</f>
        <v>快速保養團隊B</v>
      </c>
      <c r="N1642" t="str">
        <f>IF(交易處理資料__3[[#This Row],[上班時間]]=0,"否","是")</f>
        <v>否</v>
      </c>
      <c r="O1642" t="s">
        <v>76</v>
      </c>
      <c r="P1642" s="37">
        <v>0</v>
      </c>
      <c r="Q1642" s="37">
        <v>0</v>
      </c>
      <c r="R1642" s="37">
        <v>0</v>
      </c>
    </row>
    <row r="1643" spans="1:18" hidden="1">
      <c r="A1643" t="s">
        <v>76</v>
      </c>
      <c r="B1643" t="s">
        <v>45</v>
      </c>
      <c r="C1643">
        <v>0</v>
      </c>
      <c r="D1643">
        <v>0</v>
      </c>
      <c r="E1643" s="29">
        <v>0</v>
      </c>
      <c r="F1643">
        <v>0</v>
      </c>
      <c r="G1643">
        <v>0</v>
      </c>
      <c r="H1643">
        <v>0</v>
      </c>
      <c r="I1643" s="29">
        <v>0</v>
      </c>
      <c r="J1643" s="29">
        <v>0</v>
      </c>
      <c r="K1643" s="9">
        <v>45333</v>
      </c>
      <c r="L1643">
        <f xml:space="preserve"> (交易處理資料__3[[#This Row],[售出工時]] * 60) / 5</f>
        <v>0</v>
      </c>
      <c r="M1643" t="str">
        <f>VLOOKUP(交易處理資料__3[[#This Row],[人員代號]],團隊分組!$B$1:$C$52,2,FALSE)</f>
        <v>快速保養團隊A</v>
      </c>
      <c r="N1643" t="str">
        <f>IF(交易處理資料__3[[#This Row],[上班時間]]=0,"否","是")</f>
        <v>否</v>
      </c>
      <c r="O1643" t="s">
        <v>76</v>
      </c>
      <c r="P1643" s="38">
        <v>0</v>
      </c>
      <c r="Q1643" s="38">
        <v>0</v>
      </c>
      <c r="R1643" s="38">
        <v>0</v>
      </c>
    </row>
    <row r="1644" spans="1:18" hidden="1">
      <c r="A1644" t="s">
        <v>76</v>
      </c>
      <c r="B1644" t="s">
        <v>46</v>
      </c>
      <c r="C1644">
        <v>0</v>
      </c>
      <c r="D1644">
        <v>0</v>
      </c>
      <c r="E1644" s="29">
        <v>0</v>
      </c>
      <c r="F1644">
        <v>0</v>
      </c>
      <c r="G1644">
        <v>0</v>
      </c>
      <c r="H1644">
        <v>0</v>
      </c>
      <c r="I1644" s="29">
        <v>0</v>
      </c>
      <c r="J1644" s="29">
        <v>0</v>
      </c>
      <c r="K1644" s="9">
        <v>45333</v>
      </c>
      <c r="L1644">
        <f xml:space="preserve"> (交易處理資料__3[[#This Row],[售出工時]] * 60) / 5</f>
        <v>0</v>
      </c>
      <c r="M1644" t="str">
        <f>VLOOKUP(交易處理資料__3[[#This Row],[人員代號]],團隊分組!$B$1:$C$52,2,FALSE)</f>
        <v>查修團隊B</v>
      </c>
      <c r="N1644" t="str">
        <f>IF(交易處理資料__3[[#This Row],[上班時間]]=0,"否","是")</f>
        <v>否</v>
      </c>
      <c r="O1644" t="s">
        <v>76</v>
      </c>
      <c r="P1644" s="37">
        <v>0</v>
      </c>
      <c r="Q1644" s="37">
        <v>0</v>
      </c>
      <c r="R1644" s="37">
        <v>0</v>
      </c>
    </row>
    <row r="1645" spans="1:18" hidden="1">
      <c r="A1645" t="s">
        <v>76</v>
      </c>
      <c r="B1645" t="s">
        <v>47</v>
      </c>
      <c r="C1645">
        <v>0</v>
      </c>
      <c r="D1645">
        <v>0</v>
      </c>
      <c r="E1645" s="29">
        <v>0</v>
      </c>
      <c r="F1645">
        <v>0</v>
      </c>
      <c r="G1645">
        <v>0</v>
      </c>
      <c r="H1645">
        <v>0</v>
      </c>
      <c r="I1645" s="29">
        <v>0</v>
      </c>
      <c r="J1645" s="29">
        <v>0</v>
      </c>
      <c r="K1645" s="9">
        <v>45333</v>
      </c>
      <c r="L1645">
        <f xml:space="preserve"> (交易處理資料__3[[#This Row],[售出工時]] * 60) / 5</f>
        <v>0</v>
      </c>
      <c r="M1645" t="str">
        <f>VLOOKUP(交易處理資料__3[[#This Row],[人員代號]],團隊分組!$B$1:$C$52,2,FALSE)</f>
        <v>查修團隊B</v>
      </c>
      <c r="N1645" t="str">
        <f>IF(交易處理資料__3[[#This Row],[上班時間]]=0,"否","是")</f>
        <v>否</v>
      </c>
      <c r="O1645" t="s">
        <v>76</v>
      </c>
      <c r="P1645" s="38">
        <v>0</v>
      </c>
      <c r="Q1645" s="38">
        <v>0</v>
      </c>
      <c r="R1645" s="38">
        <v>0</v>
      </c>
    </row>
    <row r="1646" spans="1:18" hidden="1">
      <c r="A1646" t="s">
        <v>76</v>
      </c>
      <c r="B1646" t="s">
        <v>48</v>
      </c>
      <c r="C1646">
        <v>0</v>
      </c>
      <c r="D1646">
        <v>0</v>
      </c>
      <c r="E1646" s="29">
        <v>0</v>
      </c>
      <c r="F1646">
        <v>0</v>
      </c>
      <c r="G1646">
        <v>0</v>
      </c>
      <c r="H1646">
        <v>0</v>
      </c>
      <c r="I1646" s="29">
        <v>0</v>
      </c>
      <c r="J1646" s="29">
        <v>0</v>
      </c>
      <c r="K1646" s="9">
        <v>45333</v>
      </c>
      <c r="L1646">
        <f xml:space="preserve"> (交易處理資料__3[[#This Row],[售出工時]] * 60) / 5</f>
        <v>0</v>
      </c>
      <c r="M1646" t="str">
        <f>VLOOKUP(交易處理資料__3[[#This Row],[人員代號]],團隊分組!$B$1:$C$52,2,FALSE)</f>
        <v>查修團隊A</v>
      </c>
      <c r="N1646" t="str">
        <f>IF(交易處理資料__3[[#This Row],[上班時間]]=0,"否","是")</f>
        <v>否</v>
      </c>
      <c r="O1646" t="s">
        <v>76</v>
      </c>
      <c r="P1646" s="37">
        <v>0</v>
      </c>
      <c r="Q1646" s="37">
        <v>0</v>
      </c>
      <c r="R1646" s="37">
        <v>0</v>
      </c>
    </row>
    <row r="1647" spans="1:18" hidden="1">
      <c r="A1647" t="s">
        <v>76</v>
      </c>
      <c r="B1647" t="s">
        <v>49</v>
      </c>
      <c r="C1647">
        <v>0</v>
      </c>
      <c r="D1647">
        <v>0</v>
      </c>
      <c r="E1647" s="29">
        <v>0</v>
      </c>
      <c r="F1647">
        <v>0</v>
      </c>
      <c r="G1647">
        <v>0</v>
      </c>
      <c r="H1647">
        <v>0</v>
      </c>
      <c r="I1647" s="29">
        <v>0</v>
      </c>
      <c r="J1647" s="29">
        <v>0</v>
      </c>
      <c r="K1647" s="9">
        <v>45333</v>
      </c>
      <c r="L1647">
        <f xml:space="preserve"> (交易處理資料__3[[#This Row],[售出工時]] * 60) / 5</f>
        <v>0</v>
      </c>
      <c r="M1647" t="str">
        <f>VLOOKUP(交易處理資料__3[[#This Row],[人員代號]],團隊分組!$B$1:$C$52,2,FALSE)</f>
        <v>查修團隊A</v>
      </c>
      <c r="N1647" t="str">
        <f>IF(交易處理資料__3[[#This Row],[上班時間]]=0,"否","是")</f>
        <v>否</v>
      </c>
      <c r="O1647" t="s">
        <v>76</v>
      </c>
      <c r="P1647" s="38">
        <v>0</v>
      </c>
      <c r="Q1647" s="38">
        <v>0</v>
      </c>
      <c r="R1647" s="38">
        <v>0</v>
      </c>
    </row>
    <row r="1648" spans="1:18" hidden="1">
      <c r="A1648" t="s">
        <v>76</v>
      </c>
      <c r="B1648" t="s">
        <v>50</v>
      </c>
      <c r="C1648">
        <v>0</v>
      </c>
      <c r="D1648">
        <v>0</v>
      </c>
      <c r="E1648" s="29">
        <v>0</v>
      </c>
      <c r="F1648">
        <v>0</v>
      </c>
      <c r="G1648">
        <v>0</v>
      </c>
      <c r="H1648">
        <v>0</v>
      </c>
      <c r="I1648" s="29">
        <v>0</v>
      </c>
      <c r="J1648" s="29">
        <v>0</v>
      </c>
      <c r="K1648" s="9">
        <v>45333</v>
      </c>
      <c r="L1648">
        <f xml:space="preserve"> (交易處理資料__3[[#This Row],[售出工時]] * 60) / 5</f>
        <v>0</v>
      </c>
      <c r="M1648" t="str">
        <f>VLOOKUP(交易處理資料__3[[#This Row],[人員代號]],團隊分組!$B$1:$C$52,2,FALSE)</f>
        <v>快速保養團隊B</v>
      </c>
      <c r="N1648" t="str">
        <f>IF(交易處理資料__3[[#This Row],[上班時間]]=0,"否","是")</f>
        <v>否</v>
      </c>
      <c r="O1648" t="s">
        <v>76</v>
      </c>
      <c r="P1648" s="37">
        <v>0</v>
      </c>
      <c r="Q1648" s="37">
        <v>0</v>
      </c>
      <c r="R1648" s="37">
        <v>0</v>
      </c>
    </row>
    <row r="1649" spans="1:18" hidden="1">
      <c r="A1649" t="s">
        <v>76</v>
      </c>
      <c r="B1649" t="s">
        <v>51</v>
      </c>
      <c r="C1649">
        <v>0</v>
      </c>
      <c r="D1649">
        <v>0</v>
      </c>
      <c r="E1649" s="29">
        <v>0</v>
      </c>
      <c r="F1649">
        <v>0</v>
      </c>
      <c r="G1649">
        <v>0</v>
      </c>
      <c r="H1649">
        <v>0</v>
      </c>
      <c r="I1649" s="29">
        <v>0</v>
      </c>
      <c r="J1649" s="29">
        <v>0</v>
      </c>
      <c r="K1649" s="9">
        <v>45333</v>
      </c>
      <c r="L1649">
        <f xml:space="preserve"> (交易處理資料__3[[#This Row],[售出工時]] * 60) / 5</f>
        <v>0</v>
      </c>
      <c r="M1649" t="str">
        <f>VLOOKUP(交易處理資料__3[[#This Row],[人員代號]],團隊分組!$B$1:$C$52,2,FALSE)</f>
        <v>無效數據</v>
      </c>
      <c r="N1649" t="str">
        <f>IF(交易處理資料__3[[#This Row],[上班時間]]=0,"否","是")</f>
        <v>否</v>
      </c>
      <c r="O1649" t="s">
        <v>76</v>
      </c>
      <c r="P1649" s="38">
        <v>0</v>
      </c>
      <c r="Q1649" s="38">
        <v>0</v>
      </c>
      <c r="R1649" s="38">
        <v>0</v>
      </c>
    </row>
    <row r="1650" spans="1:18" hidden="1">
      <c r="A1650" t="s">
        <v>76</v>
      </c>
      <c r="B1650" t="s">
        <v>52</v>
      </c>
      <c r="C1650">
        <v>0</v>
      </c>
      <c r="D1650">
        <v>0</v>
      </c>
      <c r="E1650" s="29">
        <v>0</v>
      </c>
      <c r="F1650">
        <v>0</v>
      </c>
      <c r="G1650">
        <v>0</v>
      </c>
      <c r="H1650">
        <v>0</v>
      </c>
      <c r="I1650" s="29">
        <v>0</v>
      </c>
      <c r="J1650" s="29">
        <v>0</v>
      </c>
      <c r="K1650" s="9">
        <v>45333</v>
      </c>
      <c r="L1650">
        <f xml:space="preserve"> (交易處理資料__3[[#This Row],[售出工時]] * 60) / 5</f>
        <v>0</v>
      </c>
      <c r="M1650" t="str">
        <f>VLOOKUP(交易處理資料__3[[#This Row],[人員代號]],團隊分組!$B$1:$C$52,2,FALSE)</f>
        <v>查修團隊B</v>
      </c>
      <c r="N1650" t="str">
        <f>IF(交易處理資料__3[[#This Row],[上班時間]]=0,"否","是")</f>
        <v>否</v>
      </c>
      <c r="O1650" t="s">
        <v>76</v>
      </c>
      <c r="P1650" s="37">
        <v>0</v>
      </c>
      <c r="Q1650" s="37">
        <v>0</v>
      </c>
      <c r="R1650" s="37">
        <v>0</v>
      </c>
    </row>
    <row r="1651" spans="1:18" hidden="1">
      <c r="A1651" t="s">
        <v>76</v>
      </c>
      <c r="B1651" t="s">
        <v>53</v>
      </c>
      <c r="C1651">
        <v>0</v>
      </c>
      <c r="D1651">
        <v>0</v>
      </c>
      <c r="E1651" s="29">
        <v>0</v>
      </c>
      <c r="F1651">
        <v>0</v>
      </c>
      <c r="G1651">
        <v>0</v>
      </c>
      <c r="H1651">
        <v>0</v>
      </c>
      <c r="I1651" s="29">
        <v>0</v>
      </c>
      <c r="J1651" s="29">
        <v>0</v>
      </c>
      <c r="K1651" s="9">
        <v>45333</v>
      </c>
      <c r="L1651">
        <f xml:space="preserve"> (交易處理資料__3[[#This Row],[售出工時]] * 60) / 5</f>
        <v>0</v>
      </c>
      <c r="M1651" t="str">
        <f>VLOOKUP(交易處理資料__3[[#This Row],[人員代號]],團隊分組!$B$1:$C$52,2,FALSE)</f>
        <v>查修團隊A</v>
      </c>
      <c r="N1651" t="str">
        <f>IF(交易處理資料__3[[#This Row],[上班時間]]=0,"否","是")</f>
        <v>否</v>
      </c>
      <c r="O1651" t="s">
        <v>76</v>
      </c>
      <c r="P1651" s="38">
        <v>0</v>
      </c>
      <c r="Q1651" s="38">
        <v>0</v>
      </c>
      <c r="R1651" s="38">
        <v>0</v>
      </c>
    </row>
    <row r="1652" spans="1:18" hidden="1">
      <c r="A1652" s="10" t="s">
        <v>74</v>
      </c>
      <c r="B1652" t="s">
        <v>1</v>
      </c>
      <c r="C1652">
        <v>0</v>
      </c>
      <c r="D1652">
        <v>0</v>
      </c>
      <c r="E1652" s="29">
        <v>0</v>
      </c>
      <c r="F1652">
        <v>0</v>
      </c>
      <c r="G1652">
        <v>0</v>
      </c>
      <c r="H1652">
        <v>0</v>
      </c>
      <c r="I1652" s="29">
        <v>0</v>
      </c>
      <c r="J1652" s="29">
        <v>0</v>
      </c>
      <c r="K1652" s="9">
        <v>45334</v>
      </c>
      <c r="L1652">
        <f xml:space="preserve"> (交易處理資料__3[[#This Row],[售出工時]] * 60) / 5</f>
        <v>0</v>
      </c>
      <c r="M1652" t="str">
        <f>VLOOKUP(交易處理資料__3[[#This Row],[人員代號]],團隊分組!$B$1:$C$52,2,FALSE)</f>
        <v>噴漆維修組</v>
      </c>
      <c r="N1652" t="str">
        <f>IF(交易處理資料__3[[#This Row],[上班時間]]=0,"否","是")</f>
        <v>否</v>
      </c>
      <c r="O1652" s="10" t="s">
        <v>74</v>
      </c>
      <c r="P1652" s="37">
        <v>0</v>
      </c>
      <c r="Q1652" s="37">
        <v>0</v>
      </c>
      <c r="R1652" s="37">
        <v>0</v>
      </c>
    </row>
    <row r="1653" spans="1:18" hidden="1">
      <c r="A1653" s="10" t="s">
        <v>74</v>
      </c>
      <c r="B1653" t="s">
        <v>2</v>
      </c>
      <c r="C1653">
        <v>0</v>
      </c>
      <c r="D1653">
        <v>0</v>
      </c>
      <c r="E1653" s="29">
        <v>0</v>
      </c>
      <c r="F1653">
        <v>0</v>
      </c>
      <c r="G1653">
        <v>0</v>
      </c>
      <c r="H1653">
        <v>0</v>
      </c>
      <c r="I1653" s="29">
        <v>0</v>
      </c>
      <c r="J1653" s="29">
        <v>0</v>
      </c>
      <c r="K1653" s="9">
        <v>45334</v>
      </c>
      <c r="L1653">
        <f xml:space="preserve"> (交易處理資料__3[[#This Row],[售出工時]] * 60) / 5</f>
        <v>0</v>
      </c>
      <c r="M1653" t="str">
        <f>VLOOKUP(交易處理資料__3[[#This Row],[人員代號]],團隊分組!$B$1:$C$52,2,FALSE)</f>
        <v>噴漆維修組</v>
      </c>
      <c r="N1653" t="str">
        <f>IF(交易處理資料__3[[#This Row],[上班時間]]=0,"否","是")</f>
        <v>否</v>
      </c>
      <c r="O1653" s="10" t="s">
        <v>74</v>
      </c>
      <c r="P1653" s="38">
        <v>0</v>
      </c>
      <c r="Q1653" s="38">
        <v>0</v>
      </c>
      <c r="R1653" s="38">
        <v>0</v>
      </c>
    </row>
    <row r="1654" spans="1:18" hidden="1">
      <c r="A1654" s="10" t="s">
        <v>74</v>
      </c>
      <c r="B1654" t="s">
        <v>3</v>
      </c>
      <c r="C1654">
        <v>0</v>
      </c>
      <c r="D1654">
        <v>0</v>
      </c>
      <c r="E1654" s="29">
        <v>0</v>
      </c>
      <c r="F1654">
        <v>0</v>
      </c>
      <c r="G1654">
        <v>0</v>
      </c>
      <c r="H1654">
        <v>0</v>
      </c>
      <c r="I1654" s="29">
        <v>0</v>
      </c>
      <c r="J1654" s="29">
        <v>0</v>
      </c>
      <c r="K1654" s="9">
        <v>45334</v>
      </c>
      <c r="L1654">
        <f xml:space="preserve"> (交易處理資料__3[[#This Row],[售出工時]] * 60) / 5</f>
        <v>0</v>
      </c>
      <c r="M1654" t="str">
        <f>VLOOKUP(交易處理資料__3[[#This Row],[人員代號]],團隊分組!$B$1:$C$52,2,FALSE)</f>
        <v>噴漆維修組</v>
      </c>
      <c r="N1654" t="str">
        <f>IF(交易處理資料__3[[#This Row],[上班時間]]=0,"否","是")</f>
        <v>否</v>
      </c>
      <c r="O1654" s="10" t="s">
        <v>74</v>
      </c>
      <c r="P1654" s="37">
        <v>0</v>
      </c>
      <c r="Q1654" s="37">
        <v>0</v>
      </c>
      <c r="R1654" s="37">
        <v>0</v>
      </c>
    </row>
    <row r="1655" spans="1:18" hidden="1">
      <c r="A1655" s="10" t="s">
        <v>74</v>
      </c>
      <c r="B1655" t="s">
        <v>4</v>
      </c>
      <c r="C1655">
        <v>0</v>
      </c>
      <c r="D1655">
        <v>0</v>
      </c>
      <c r="E1655" s="29">
        <v>0</v>
      </c>
      <c r="F1655">
        <v>0</v>
      </c>
      <c r="G1655">
        <v>0</v>
      </c>
      <c r="H1655">
        <v>0</v>
      </c>
      <c r="I1655" s="29">
        <v>0</v>
      </c>
      <c r="J1655" s="29">
        <v>0</v>
      </c>
      <c r="K1655" s="9">
        <v>45334</v>
      </c>
      <c r="L1655">
        <f xml:space="preserve"> (交易處理資料__3[[#This Row],[售出工時]] * 60) / 5</f>
        <v>0</v>
      </c>
      <c r="M1655" t="str">
        <f>VLOOKUP(交易處理資料__3[[#This Row],[人員代號]],團隊分組!$B$1:$C$52,2,FALSE)</f>
        <v>噴漆維修組</v>
      </c>
      <c r="N1655" t="str">
        <f>IF(交易處理資料__3[[#This Row],[上班時間]]=0,"否","是")</f>
        <v>否</v>
      </c>
      <c r="O1655" s="10" t="s">
        <v>74</v>
      </c>
      <c r="P1655" s="38">
        <v>0</v>
      </c>
      <c r="Q1655" s="38">
        <v>0</v>
      </c>
      <c r="R1655" s="38">
        <v>0</v>
      </c>
    </row>
    <row r="1656" spans="1:18" hidden="1">
      <c r="A1656" s="10" t="s">
        <v>74</v>
      </c>
      <c r="B1656" t="s">
        <v>5</v>
      </c>
      <c r="C1656">
        <v>0</v>
      </c>
      <c r="D1656">
        <v>0</v>
      </c>
      <c r="E1656" s="29">
        <v>0</v>
      </c>
      <c r="F1656">
        <v>0</v>
      </c>
      <c r="G1656">
        <v>0</v>
      </c>
      <c r="H1656">
        <v>0</v>
      </c>
      <c r="I1656" s="29">
        <v>0</v>
      </c>
      <c r="J1656" s="29">
        <v>0</v>
      </c>
      <c r="K1656" s="9">
        <v>45334</v>
      </c>
      <c r="L1656">
        <f xml:space="preserve"> (交易處理資料__3[[#This Row],[售出工時]] * 60) / 5</f>
        <v>0</v>
      </c>
      <c r="M1656" t="str">
        <f>VLOOKUP(交易處理資料__3[[#This Row],[人員代號]],團隊分組!$B$1:$C$52,2,FALSE)</f>
        <v>噴漆維修組</v>
      </c>
      <c r="N1656" t="str">
        <f>IF(交易處理資料__3[[#This Row],[上班時間]]=0,"否","是")</f>
        <v>否</v>
      </c>
      <c r="O1656" s="10" t="s">
        <v>74</v>
      </c>
      <c r="P1656" s="37">
        <v>0</v>
      </c>
      <c r="Q1656" s="37">
        <v>0</v>
      </c>
      <c r="R1656" s="37">
        <v>0</v>
      </c>
    </row>
    <row r="1657" spans="1:18" hidden="1">
      <c r="A1657" s="10" t="s">
        <v>74</v>
      </c>
      <c r="B1657" t="s">
        <v>6</v>
      </c>
      <c r="C1657">
        <v>0</v>
      </c>
      <c r="D1657">
        <v>0</v>
      </c>
      <c r="E1657" s="29">
        <v>0</v>
      </c>
      <c r="F1657">
        <v>0</v>
      </c>
      <c r="G1657">
        <v>0</v>
      </c>
      <c r="H1657">
        <v>0</v>
      </c>
      <c r="I1657" s="29">
        <v>0</v>
      </c>
      <c r="J1657" s="29">
        <v>0</v>
      </c>
      <c r="K1657" s="9">
        <v>45334</v>
      </c>
      <c r="L1657">
        <f xml:space="preserve"> (交易處理資料__3[[#This Row],[售出工時]] * 60) / 5</f>
        <v>0</v>
      </c>
      <c r="M1657" t="str">
        <f>VLOOKUP(交易處理資料__3[[#This Row],[人員代號]],團隊分組!$B$1:$C$52,2,FALSE)</f>
        <v>噴漆維修組</v>
      </c>
      <c r="N1657" t="str">
        <f>IF(交易處理資料__3[[#This Row],[上班時間]]=0,"否","是")</f>
        <v>否</v>
      </c>
      <c r="O1657" s="10" t="s">
        <v>74</v>
      </c>
      <c r="P1657" s="38">
        <v>0</v>
      </c>
      <c r="Q1657" s="38">
        <v>0</v>
      </c>
      <c r="R1657" s="38">
        <v>0</v>
      </c>
    </row>
    <row r="1658" spans="1:18">
      <c r="A1658" s="10" t="s">
        <v>74</v>
      </c>
      <c r="B1658" t="s">
        <v>7</v>
      </c>
      <c r="C1658">
        <v>0</v>
      </c>
      <c r="D1658">
        <v>0</v>
      </c>
      <c r="E1658" s="29">
        <v>0</v>
      </c>
      <c r="F1658">
        <v>0</v>
      </c>
      <c r="G1658">
        <v>0</v>
      </c>
      <c r="H1658">
        <v>0</v>
      </c>
      <c r="I1658" s="29">
        <v>0</v>
      </c>
      <c r="J1658" s="29">
        <v>0</v>
      </c>
      <c r="K1658" s="9">
        <v>45334</v>
      </c>
      <c r="L1658">
        <f xml:space="preserve"> (交易處理資料__3[[#This Row],[售出工時]] * 60) / 5</f>
        <v>0</v>
      </c>
      <c r="M1658" t="str">
        <f>VLOOKUP(交易處理資料__3[[#This Row],[人員代號]],團隊分組!$B$1:$C$52,2,FALSE)</f>
        <v>噴漆維修組</v>
      </c>
      <c r="N1658" t="str">
        <f>IF(交易處理資料__3[[#This Row],[上班時間]]=0,"否","是")</f>
        <v>否</v>
      </c>
      <c r="O1658" s="10" t="s">
        <v>74</v>
      </c>
      <c r="P1658" s="37">
        <v>0</v>
      </c>
      <c r="Q1658" s="37">
        <v>0</v>
      </c>
      <c r="R1658" s="37">
        <v>0</v>
      </c>
    </row>
    <row r="1659" spans="1:18" hidden="1">
      <c r="A1659" s="10" t="s">
        <v>74</v>
      </c>
      <c r="B1659" t="s">
        <v>8</v>
      </c>
      <c r="C1659">
        <v>0</v>
      </c>
      <c r="D1659">
        <v>0</v>
      </c>
      <c r="E1659" s="29">
        <v>0</v>
      </c>
      <c r="F1659">
        <v>0</v>
      </c>
      <c r="G1659">
        <v>0</v>
      </c>
      <c r="H1659">
        <v>0</v>
      </c>
      <c r="I1659" s="29">
        <v>0</v>
      </c>
      <c r="J1659" s="29">
        <v>0</v>
      </c>
      <c r="K1659" s="9">
        <v>45334</v>
      </c>
      <c r="L1659">
        <f xml:space="preserve"> (交易處理資料__3[[#This Row],[售出工時]] * 60) / 5</f>
        <v>0</v>
      </c>
      <c r="M1659" t="str">
        <f>VLOOKUP(交易處理資料__3[[#This Row],[人員代號]],團隊分組!$B$1:$C$52,2,FALSE)</f>
        <v>噴漆維修組</v>
      </c>
      <c r="N1659" t="str">
        <f>IF(交易處理資料__3[[#This Row],[上班時間]]=0,"否","是")</f>
        <v>否</v>
      </c>
      <c r="O1659" s="10" t="s">
        <v>74</v>
      </c>
      <c r="P1659" s="38">
        <v>0</v>
      </c>
      <c r="Q1659" s="38">
        <v>0</v>
      </c>
      <c r="R1659" s="38">
        <v>0</v>
      </c>
    </row>
    <row r="1660" spans="1:18" hidden="1">
      <c r="A1660" s="10" t="s">
        <v>74</v>
      </c>
      <c r="B1660" t="s">
        <v>9</v>
      </c>
      <c r="C1660">
        <v>0</v>
      </c>
      <c r="D1660">
        <v>0</v>
      </c>
      <c r="E1660" s="29">
        <v>0</v>
      </c>
      <c r="F1660">
        <v>0</v>
      </c>
      <c r="G1660">
        <v>0</v>
      </c>
      <c r="H1660">
        <v>0</v>
      </c>
      <c r="I1660" s="29">
        <v>0</v>
      </c>
      <c r="J1660" s="29">
        <v>0</v>
      </c>
      <c r="K1660" s="9">
        <v>45334</v>
      </c>
      <c r="L1660">
        <f xml:space="preserve"> (交易處理資料__3[[#This Row],[售出工時]] * 60) / 5</f>
        <v>0</v>
      </c>
      <c r="M1660" t="str">
        <f>VLOOKUP(交易處理資料__3[[#This Row],[人員代號]],團隊分組!$B$1:$C$52,2,FALSE)</f>
        <v>噴漆維修組</v>
      </c>
      <c r="N1660" t="str">
        <f>IF(交易處理資料__3[[#This Row],[上班時間]]=0,"否","是")</f>
        <v>否</v>
      </c>
      <c r="O1660" s="10" t="s">
        <v>74</v>
      </c>
      <c r="P1660" s="37">
        <v>0</v>
      </c>
      <c r="Q1660" s="37">
        <v>0</v>
      </c>
      <c r="R1660" s="37">
        <v>0</v>
      </c>
    </row>
    <row r="1661" spans="1:18" hidden="1">
      <c r="A1661" t="s">
        <v>75</v>
      </c>
      <c r="B1661" t="s">
        <v>11</v>
      </c>
      <c r="C1661">
        <v>0</v>
      </c>
      <c r="D1661">
        <v>0</v>
      </c>
      <c r="E1661" s="29">
        <v>0</v>
      </c>
      <c r="F1661">
        <v>0</v>
      </c>
      <c r="G1661">
        <v>0</v>
      </c>
      <c r="H1661">
        <v>0</v>
      </c>
      <c r="I1661" s="29">
        <v>0</v>
      </c>
      <c r="J1661" s="29">
        <v>0</v>
      </c>
      <c r="K1661" s="9">
        <v>45334</v>
      </c>
      <c r="L1661">
        <f xml:space="preserve"> (交易處理資料__3[[#This Row],[售出工時]] * 60) / 5</f>
        <v>0</v>
      </c>
      <c r="M1661" t="str">
        <f>VLOOKUP(交易處理資料__3[[#This Row],[人員代號]],團隊分組!$B$1:$C$52,2,FALSE)</f>
        <v>鈑金維修組</v>
      </c>
      <c r="N1661" t="str">
        <f>IF(交易處理資料__3[[#This Row],[上班時間]]=0,"否","是")</f>
        <v>否</v>
      </c>
      <c r="O1661" t="s">
        <v>75</v>
      </c>
      <c r="P1661" s="38">
        <v>0</v>
      </c>
      <c r="Q1661" s="38">
        <v>0</v>
      </c>
      <c r="R1661" s="38">
        <v>0</v>
      </c>
    </row>
    <row r="1662" spans="1:18" hidden="1">
      <c r="A1662" t="s">
        <v>75</v>
      </c>
      <c r="B1662" t="s">
        <v>12</v>
      </c>
      <c r="C1662">
        <v>0</v>
      </c>
      <c r="D1662">
        <v>0</v>
      </c>
      <c r="E1662" s="29">
        <v>0</v>
      </c>
      <c r="F1662">
        <v>0</v>
      </c>
      <c r="G1662">
        <v>0</v>
      </c>
      <c r="H1662">
        <v>0</v>
      </c>
      <c r="I1662" s="29">
        <v>0</v>
      </c>
      <c r="J1662" s="29">
        <v>0</v>
      </c>
      <c r="K1662" s="9">
        <v>45334</v>
      </c>
      <c r="L1662">
        <f xml:space="preserve"> (交易處理資料__3[[#This Row],[售出工時]] * 60) / 5</f>
        <v>0</v>
      </c>
      <c r="M1662" t="str">
        <f>VLOOKUP(交易處理資料__3[[#This Row],[人員代號]],團隊分組!$B$1:$C$52,2,FALSE)</f>
        <v>鈑金維修組</v>
      </c>
      <c r="N1662" t="str">
        <f>IF(交易處理資料__3[[#This Row],[上班時間]]=0,"否","是")</f>
        <v>否</v>
      </c>
      <c r="O1662" t="s">
        <v>75</v>
      </c>
      <c r="P1662" s="37">
        <v>0</v>
      </c>
      <c r="Q1662" s="37">
        <v>0</v>
      </c>
      <c r="R1662" s="37">
        <v>0</v>
      </c>
    </row>
    <row r="1663" spans="1:18" hidden="1">
      <c r="A1663" t="s">
        <v>75</v>
      </c>
      <c r="B1663" t="s">
        <v>13</v>
      </c>
      <c r="C1663">
        <v>0</v>
      </c>
      <c r="D1663">
        <v>0</v>
      </c>
      <c r="E1663" s="29">
        <v>0</v>
      </c>
      <c r="F1663">
        <v>0</v>
      </c>
      <c r="G1663">
        <v>0</v>
      </c>
      <c r="H1663">
        <v>0</v>
      </c>
      <c r="I1663" s="29">
        <v>0</v>
      </c>
      <c r="J1663" s="29">
        <v>0</v>
      </c>
      <c r="K1663" s="9">
        <v>45334</v>
      </c>
      <c r="L1663">
        <f xml:space="preserve"> (交易處理資料__3[[#This Row],[售出工時]] * 60) / 5</f>
        <v>0</v>
      </c>
      <c r="M1663" t="str">
        <f>VLOOKUP(交易處理資料__3[[#This Row],[人員代號]],團隊分組!$B$1:$C$52,2,FALSE)</f>
        <v>鈑金維修組</v>
      </c>
      <c r="N1663" t="str">
        <f>IF(交易處理資料__3[[#This Row],[上班時間]]=0,"否","是")</f>
        <v>否</v>
      </c>
      <c r="O1663" t="s">
        <v>75</v>
      </c>
      <c r="P1663" s="38">
        <v>0</v>
      </c>
      <c r="Q1663" s="38">
        <v>0</v>
      </c>
      <c r="R1663" s="38">
        <v>0</v>
      </c>
    </row>
    <row r="1664" spans="1:18" hidden="1">
      <c r="A1664" t="s">
        <v>75</v>
      </c>
      <c r="B1664" t="s">
        <v>14</v>
      </c>
      <c r="C1664">
        <v>0</v>
      </c>
      <c r="D1664">
        <v>0</v>
      </c>
      <c r="E1664" s="29">
        <v>0</v>
      </c>
      <c r="F1664">
        <v>0</v>
      </c>
      <c r="G1664">
        <v>0</v>
      </c>
      <c r="H1664">
        <v>0</v>
      </c>
      <c r="I1664" s="29">
        <v>0</v>
      </c>
      <c r="J1664" s="29">
        <v>0</v>
      </c>
      <c r="K1664" s="9">
        <v>45334</v>
      </c>
      <c r="L1664">
        <f xml:space="preserve"> (交易處理資料__3[[#This Row],[售出工時]] * 60) / 5</f>
        <v>0</v>
      </c>
      <c r="M1664" t="str">
        <f>VLOOKUP(交易處理資料__3[[#This Row],[人員代號]],團隊分組!$B$1:$C$52,2,FALSE)</f>
        <v>鈑金維修組</v>
      </c>
      <c r="N1664" t="str">
        <f>IF(交易處理資料__3[[#This Row],[上班時間]]=0,"否","是")</f>
        <v>否</v>
      </c>
      <c r="O1664" t="s">
        <v>75</v>
      </c>
      <c r="P1664" s="37">
        <v>0</v>
      </c>
      <c r="Q1664" s="37">
        <v>0</v>
      </c>
      <c r="R1664" s="37">
        <v>0</v>
      </c>
    </row>
    <row r="1665" spans="1:18" hidden="1">
      <c r="A1665" t="s">
        <v>75</v>
      </c>
      <c r="B1665" t="s">
        <v>15</v>
      </c>
      <c r="C1665">
        <v>0</v>
      </c>
      <c r="D1665">
        <v>0</v>
      </c>
      <c r="E1665" s="29">
        <v>0</v>
      </c>
      <c r="F1665">
        <v>0</v>
      </c>
      <c r="G1665">
        <v>0</v>
      </c>
      <c r="H1665">
        <v>0</v>
      </c>
      <c r="I1665" s="29">
        <v>0</v>
      </c>
      <c r="J1665" s="29">
        <v>0</v>
      </c>
      <c r="K1665" s="9">
        <v>45334</v>
      </c>
      <c r="L1665">
        <f xml:space="preserve"> (交易處理資料__3[[#This Row],[售出工時]] * 60) / 5</f>
        <v>0</v>
      </c>
      <c r="M1665" t="str">
        <f>VLOOKUP(交易處理資料__3[[#This Row],[人員代號]],團隊分組!$B$1:$C$52,2,FALSE)</f>
        <v>鈑金維修組</v>
      </c>
      <c r="N1665" t="str">
        <f>IF(交易處理資料__3[[#This Row],[上班時間]]=0,"否","是")</f>
        <v>否</v>
      </c>
      <c r="O1665" t="s">
        <v>75</v>
      </c>
      <c r="P1665" s="38">
        <v>0</v>
      </c>
      <c r="Q1665" s="38">
        <v>0</v>
      </c>
      <c r="R1665" s="38">
        <v>0</v>
      </c>
    </row>
    <row r="1666" spans="1:18" hidden="1">
      <c r="A1666" t="s">
        <v>76</v>
      </c>
      <c r="B1666" t="s">
        <v>17</v>
      </c>
      <c r="C1666">
        <v>0</v>
      </c>
      <c r="D1666">
        <v>0</v>
      </c>
      <c r="E1666" s="29">
        <v>0</v>
      </c>
      <c r="F1666">
        <v>0</v>
      </c>
      <c r="G1666">
        <v>0</v>
      </c>
      <c r="H1666">
        <v>0</v>
      </c>
      <c r="I1666" s="29">
        <v>0</v>
      </c>
      <c r="J1666" s="29">
        <v>0</v>
      </c>
      <c r="K1666" s="9">
        <v>45334</v>
      </c>
      <c r="L1666">
        <f xml:space="preserve"> (交易處理資料__3[[#This Row],[售出工時]] * 60) / 5</f>
        <v>0</v>
      </c>
      <c r="M1666" t="str">
        <f>VLOOKUP(交易處理資料__3[[#This Row],[人員代號]],團隊分組!$B$1:$C$52,2,FALSE)</f>
        <v>快速保養團隊A</v>
      </c>
      <c r="N1666" t="str">
        <f>IF(交易處理資料__3[[#This Row],[上班時間]]=0,"否","是")</f>
        <v>否</v>
      </c>
      <c r="O1666" t="s">
        <v>76</v>
      </c>
      <c r="P1666" s="37">
        <v>0</v>
      </c>
      <c r="Q1666" s="37">
        <v>0</v>
      </c>
      <c r="R1666" s="37">
        <v>0</v>
      </c>
    </row>
    <row r="1667" spans="1:18" hidden="1">
      <c r="A1667" t="s">
        <v>76</v>
      </c>
      <c r="B1667" t="s">
        <v>18</v>
      </c>
      <c r="C1667">
        <v>0</v>
      </c>
      <c r="D1667">
        <v>0</v>
      </c>
      <c r="E1667" s="29">
        <v>0</v>
      </c>
      <c r="F1667">
        <v>0</v>
      </c>
      <c r="G1667">
        <v>0</v>
      </c>
      <c r="H1667">
        <v>0</v>
      </c>
      <c r="I1667" s="29">
        <v>0</v>
      </c>
      <c r="J1667" s="29">
        <v>0</v>
      </c>
      <c r="K1667" s="9">
        <v>45334</v>
      </c>
      <c r="L1667">
        <f xml:space="preserve"> (交易處理資料__3[[#This Row],[售出工時]] * 60) / 5</f>
        <v>0</v>
      </c>
      <c r="M1667" t="str">
        <f>VLOOKUP(交易處理資料__3[[#This Row],[人員代號]],團隊分組!$B$1:$C$52,2,FALSE)</f>
        <v>查修團隊B</v>
      </c>
      <c r="N1667" t="str">
        <f>IF(交易處理資料__3[[#This Row],[上班時間]]=0,"否","是")</f>
        <v>否</v>
      </c>
      <c r="O1667" t="s">
        <v>76</v>
      </c>
      <c r="P1667" s="38">
        <v>0</v>
      </c>
      <c r="Q1667" s="38">
        <v>0</v>
      </c>
      <c r="R1667" s="38">
        <v>0</v>
      </c>
    </row>
    <row r="1668" spans="1:18" hidden="1">
      <c r="A1668" t="s">
        <v>76</v>
      </c>
      <c r="B1668" t="s">
        <v>19</v>
      </c>
      <c r="C1668">
        <v>0</v>
      </c>
      <c r="D1668">
        <v>0</v>
      </c>
      <c r="E1668" s="29">
        <v>0</v>
      </c>
      <c r="F1668">
        <v>0</v>
      </c>
      <c r="G1668">
        <v>0</v>
      </c>
      <c r="H1668">
        <v>0</v>
      </c>
      <c r="I1668" s="29">
        <v>0</v>
      </c>
      <c r="J1668" s="29">
        <v>0</v>
      </c>
      <c r="K1668" s="9">
        <v>45334</v>
      </c>
      <c r="L1668">
        <f xml:space="preserve"> (交易處理資料__3[[#This Row],[售出工時]] * 60) / 5</f>
        <v>0</v>
      </c>
      <c r="M1668" t="str">
        <f>VLOOKUP(交易處理資料__3[[#This Row],[人員代號]],團隊分組!$B$1:$C$52,2,FALSE)</f>
        <v>查修團隊A</v>
      </c>
      <c r="N1668" t="str">
        <f>IF(交易處理資料__3[[#This Row],[上班時間]]=0,"否","是")</f>
        <v>否</v>
      </c>
      <c r="O1668" t="s">
        <v>76</v>
      </c>
      <c r="P1668" s="37">
        <v>0</v>
      </c>
      <c r="Q1668" s="37">
        <v>0</v>
      </c>
      <c r="R1668" s="37">
        <v>0</v>
      </c>
    </row>
    <row r="1669" spans="1:18" hidden="1">
      <c r="A1669" t="s">
        <v>76</v>
      </c>
      <c r="B1669" t="s">
        <v>20</v>
      </c>
      <c r="C1669">
        <v>0</v>
      </c>
      <c r="D1669">
        <v>0</v>
      </c>
      <c r="E1669" s="29">
        <v>0</v>
      </c>
      <c r="F1669">
        <v>0</v>
      </c>
      <c r="G1669">
        <v>0</v>
      </c>
      <c r="H1669">
        <v>0</v>
      </c>
      <c r="I1669" s="29">
        <v>0</v>
      </c>
      <c r="J1669" s="29">
        <v>0</v>
      </c>
      <c r="K1669" s="9">
        <v>45334</v>
      </c>
      <c r="L1669">
        <f xml:space="preserve"> (交易處理資料__3[[#This Row],[售出工時]] * 60) / 5</f>
        <v>0</v>
      </c>
      <c r="M1669" t="str">
        <f>VLOOKUP(交易處理資料__3[[#This Row],[人員代號]],團隊分組!$B$1:$C$52,2,FALSE)</f>
        <v>查修團隊B</v>
      </c>
      <c r="N1669" t="str">
        <f>IF(交易處理資料__3[[#This Row],[上班時間]]=0,"否","是")</f>
        <v>否</v>
      </c>
      <c r="O1669" t="s">
        <v>76</v>
      </c>
      <c r="P1669" s="38">
        <v>0</v>
      </c>
      <c r="Q1669" s="38">
        <v>0</v>
      </c>
      <c r="R1669" s="38">
        <v>0</v>
      </c>
    </row>
    <row r="1670" spans="1:18" hidden="1">
      <c r="A1670" t="s">
        <v>76</v>
      </c>
      <c r="B1670" t="s">
        <v>21</v>
      </c>
      <c r="C1670">
        <v>0</v>
      </c>
      <c r="D1670">
        <v>0</v>
      </c>
      <c r="E1670" s="29">
        <v>0</v>
      </c>
      <c r="F1670">
        <v>0</v>
      </c>
      <c r="G1670">
        <v>0</v>
      </c>
      <c r="H1670">
        <v>0</v>
      </c>
      <c r="I1670" s="29">
        <v>0</v>
      </c>
      <c r="J1670" s="29">
        <v>0</v>
      </c>
      <c r="K1670" s="9">
        <v>45334</v>
      </c>
      <c r="L1670">
        <f xml:space="preserve"> (交易處理資料__3[[#This Row],[售出工時]] * 60) / 5</f>
        <v>0</v>
      </c>
      <c r="M1670" t="str">
        <f>VLOOKUP(交易處理資料__3[[#This Row],[人員代號]],團隊分組!$B$1:$C$52,2,FALSE)</f>
        <v>查修團隊B</v>
      </c>
      <c r="N1670" t="str">
        <f>IF(交易處理資料__3[[#This Row],[上班時間]]=0,"否","是")</f>
        <v>否</v>
      </c>
      <c r="O1670" t="s">
        <v>76</v>
      </c>
      <c r="P1670" s="37">
        <v>0</v>
      </c>
      <c r="Q1670" s="37">
        <v>0</v>
      </c>
      <c r="R1670" s="37">
        <v>0</v>
      </c>
    </row>
    <row r="1671" spans="1:18" hidden="1">
      <c r="A1671" t="s">
        <v>76</v>
      </c>
      <c r="B1671" t="s">
        <v>22</v>
      </c>
      <c r="C1671">
        <v>0</v>
      </c>
      <c r="D1671">
        <v>0</v>
      </c>
      <c r="E1671" s="29">
        <v>0</v>
      </c>
      <c r="F1671">
        <v>0</v>
      </c>
      <c r="G1671">
        <v>0</v>
      </c>
      <c r="H1671">
        <v>0</v>
      </c>
      <c r="I1671" s="29">
        <v>0</v>
      </c>
      <c r="J1671" s="29">
        <v>0</v>
      </c>
      <c r="K1671" s="9">
        <v>45334</v>
      </c>
      <c r="L1671">
        <f xml:space="preserve"> (交易處理資料__3[[#This Row],[售出工時]] * 60) / 5</f>
        <v>0</v>
      </c>
      <c r="M1671" t="str">
        <f>VLOOKUP(交易處理資料__3[[#This Row],[人員代號]],團隊分組!$B$1:$C$52,2,FALSE)</f>
        <v>快速保養團隊A</v>
      </c>
      <c r="N1671" t="str">
        <f>IF(交易處理資料__3[[#This Row],[上班時間]]=0,"否","是")</f>
        <v>否</v>
      </c>
      <c r="O1671" t="s">
        <v>76</v>
      </c>
      <c r="P1671" s="38">
        <v>0</v>
      </c>
      <c r="Q1671" s="38">
        <v>0</v>
      </c>
      <c r="R1671" s="38">
        <v>0</v>
      </c>
    </row>
    <row r="1672" spans="1:18" hidden="1">
      <c r="A1672" t="s">
        <v>76</v>
      </c>
      <c r="B1672" t="s">
        <v>23</v>
      </c>
      <c r="C1672">
        <v>0</v>
      </c>
      <c r="D1672">
        <v>0</v>
      </c>
      <c r="E1672" s="29">
        <v>0</v>
      </c>
      <c r="F1672">
        <v>0</v>
      </c>
      <c r="G1672">
        <v>0</v>
      </c>
      <c r="H1672">
        <v>0</v>
      </c>
      <c r="I1672" s="29">
        <v>0</v>
      </c>
      <c r="J1672" s="29">
        <v>0</v>
      </c>
      <c r="K1672" s="9">
        <v>45334</v>
      </c>
      <c r="L1672">
        <f xml:space="preserve"> (交易處理資料__3[[#This Row],[售出工時]] * 60) / 5</f>
        <v>0</v>
      </c>
      <c r="M1672" t="str">
        <f>VLOOKUP(交易處理資料__3[[#This Row],[人員代號]],團隊分組!$B$1:$C$52,2,FALSE)</f>
        <v>快速保養團隊B</v>
      </c>
      <c r="N1672" t="str">
        <f>IF(交易處理資料__3[[#This Row],[上班時間]]=0,"否","是")</f>
        <v>否</v>
      </c>
      <c r="O1672" t="s">
        <v>76</v>
      </c>
      <c r="P1672" s="37">
        <v>0</v>
      </c>
      <c r="Q1672" s="37">
        <v>0</v>
      </c>
      <c r="R1672" s="37">
        <v>0</v>
      </c>
    </row>
    <row r="1673" spans="1:18" hidden="1">
      <c r="A1673" t="s">
        <v>76</v>
      </c>
      <c r="B1673" t="s">
        <v>24</v>
      </c>
      <c r="C1673">
        <v>0</v>
      </c>
      <c r="D1673">
        <v>0</v>
      </c>
      <c r="E1673" s="29">
        <v>0</v>
      </c>
      <c r="F1673">
        <v>0</v>
      </c>
      <c r="G1673">
        <v>0</v>
      </c>
      <c r="H1673">
        <v>0</v>
      </c>
      <c r="I1673" s="29">
        <v>0</v>
      </c>
      <c r="J1673" s="29">
        <v>0</v>
      </c>
      <c r="K1673" s="9">
        <v>45334</v>
      </c>
      <c r="L1673">
        <f xml:space="preserve"> (交易處理資料__3[[#This Row],[售出工時]] * 60) / 5</f>
        <v>0</v>
      </c>
      <c r="M1673" t="str">
        <f>VLOOKUP(交易處理資料__3[[#This Row],[人員代號]],團隊分組!$B$1:$C$52,2,FALSE)</f>
        <v>快速保養團隊A</v>
      </c>
      <c r="N1673" t="str">
        <f>IF(交易處理資料__3[[#This Row],[上班時間]]=0,"否","是")</f>
        <v>否</v>
      </c>
      <c r="O1673" t="s">
        <v>76</v>
      </c>
      <c r="P1673" s="38">
        <v>0</v>
      </c>
      <c r="Q1673" s="38">
        <v>0</v>
      </c>
      <c r="R1673" s="38">
        <v>0</v>
      </c>
    </row>
    <row r="1674" spans="1:18" hidden="1">
      <c r="A1674" t="s">
        <v>76</v>
      </c>
      <c r="B1674" t="s">
        <v>25</v>
      </c>
      <c r="C1674">
        <v>0</v>
      </c>
      <c r="D1674">
        <v>0</v>
      </c>
      <c r="E1674" s="29">
        <v>0</v>
      </c>
      <c r="F1674">
        <v>0</v>
      </c>
      <c r="G1674">
        <v>0</v>
      </c>
      <c r="H1674">
        <v>0</v>
      </c>
      <c r="I1674" s="29">
        <v>0</v>
      </c>
      <c r="J1674" s="29">
        <v>0</v>
      </c>
      <c r="K1674" s="9">
        <v>45334</v>
      </c>
      <c r="L1674">
        <f xml:space="preserve"> (交易處理資料__3[[#This Row],[售出工時]] * 60) / 5</f>
        <v>0</v>
      </c>
      <c r="M1674" t="str">
        <f>VLOOKUP(交易處理資料__3[[#This Row],[人員代號]],團隊分組!$B$1:$C$52,2,FALSE)</f>
        <v>查修團隊A</v>
      </c>
      <c r="N1674" t="str">
        <f>IF(交易處理資料__3[[#This Row],[上班時間]]=0,"否","是")</f>
        <v>否</v>
      </c>
      <c r="O1674" t="s">
        <v>76</v>
      </c>
      <c r="P1674" s="37">
        <v>0</v>
      </c>
      <c r="Q1674" s="37">
        <v>0</v>
      </c>
      <c r="R1674" s="37">
        <v>0</v>
      </c>
    </row>
    <row r="1675" spans="1:18" hidden="1">
      <c r="A1675" t="s">
        <v>76</v>
      </c>
      <c r="B1675" t="s">
        <v>26</v>
      </c>
      <c r="C1675">
        <v>0</v>
      </c>
      <c r="D1675">
        <v>0</v>
      </c>
      <c r="E1675" s="29">
        <v>0</v>
      </c>
      <c r="F1675">
        <v>0</v>
      </c>
      <c r="G1675">
        <v>0</v>
      </c>
      <c r="H1675">
        <v>0</v>
      </c>
      <c r="I1675" s="29">
        <v>0</v>
      </c>
      <c r="J1675" s="29">
        <v>0</v>
      </c>
      <c r="K1675" s="9">
        <v>45334</v>
      </c>
      <c r="L1675">
        <f xml:space="preserve"> (交易處理資料__3[[#This Row],[售出工時]] * 60) / 5</f>
        <v>0</v>
      </c>
      <c r="M1675" t="str">
        <f>VLOOKUP(交易處理資料__3[[#This Row],[人員代號]],團隊分組!$B$1:$C$52,2,FALSE)</f>
        <v>查修團隊B</v>
      </c>
      <c r="N1675" t="str">
        <f>IF(交易處理資料__3[[#This Row],[上班時間]]=0,"否","是")</f>
        <v>否</v>
      </c>
      <c r="O1675" t="s">
        <v>76</v>
      </c>
      <c r="P1675" s="38">
        <v>0</v>
      </c>
      <c r="Q1675" s="38">
        <v>0</v>
      </c>
      <c r="R1675" s="38">
        <v>0</v>
      </c>
    </row>
    <row r="1676" spans="1:18" hidden="1">
      <c r="A1676" t="s">
        <v>76</v>
      </c>
      <c r="B1676" t="s">
        <v>27</v>
      </c>
      <c r="C1676">
        <v>0</v>
      </c>
      <c r="D1676">
        <v>0</v>
      </c>
      <c r="E1676" s="29">
        <v>0</v>
      </c>
      <c r="F1676">
        <v>0</v>
      </c>
      <c r="G1676">
        <v>0</v>
      </c>
      <c r="H1676">
        <v>0</v>
      </c>
      <c r="I1676" s="29">
        <v>0</v>
      </c>
      <c r="J1676" s="29">
        <v>0</v>
      </c>
      <c r="K1676" s="9">
        <v>45334</v>
      </c>
      <c r="L1676">
        <f xml:space="preserve"> (交易處理資料__3[[#This Row],[售出工時]] * 60) / 5</f>
        <v>0</v>
      </c>
      <c r="M1676" t="str">
        <f>VLOOKUP(交易處理資料__3[[#This Row],[人員代號]],團隊分組!$B$1:$C$52,2,FALSE)</f>
        <v>快速保養團隊B</v>
      </c>
      <c r="N1676" t="str">
        <f>IF(交易處理資料__3[[#This Row],[上班時間]]=0,"否","是")</f>
        <v>否</v>
      </c>
      <c r="O1676" t="s">
        <v>76</v>
      </c>
      <c r="P1676" s="37">
        <v>0</v>
      </c>
      <c r="Q1676" s="37">
        <v>0</v>
      </c>
      <c r="R1676" s="37">
        <v>0</v>
      </c>
    </row>
    <row r="1677" spans="1:18" hidden="1">
      <c r="A1677" t="s">
        <v>76</v>
      </c>
      <c r="B1677" t="s">
        <v>28</v>
      </c>
      <c r="C1677">
        <v>0</v>
      </c>
      <c r="D1677">
        <v>0</v>
      </c>
      <c r="E1677" s="29">
        <v>0</v>
      </c>
      <c r="F1677">
        <v>0</v>
      </c>
      <c r="G1677">
        <v>0</v>
      </c>
      <c r="H1677">
        <v>0</v>
      </c>
      <c r="I1677" s="29">
        <v>0</v>
      </c>
      <c r="J1677" s="29">
        <v>0</v>
      </c>
      <c r="K1677" s="9">
        <v>45334</v>
      </c>
      <c r="L1677">
        <f xml:space="preserve"> (交易處理資料__3[[#This Row],[售出工時]] * 60) / 5</f>
        <v>0</v>
      </c>
      <c r="M1677" t="str">
        <f>VLOOKUP(交易處理資料__3[[#This Row],[人員代號]],團隊分組!$B$1:$C$52,2,FALSE)</f>
        <v>快速保養團隊A</v>
      </c>
      <c r="N1677" t="str">
        <f>IF(交易處理資料__3[[#This Row],[上班時間]]=0,"否","是")</f>
        <v>否</v>
      </c>
      <c r="O1677" t="s">
        <v>76</v>
      </c>
      <c r="P1677" s="38">
        <v>0</v>
      </c>
      <c r="Q1677" s="38">
        <v>0</v>
      </c>
      <c r="R1677" s="38">
        <v>0</v>
      </c>
    </row>
    <row r="1678" spans="1:18" hidden="1">
      <c r="A1678" t="s">
        <v>76</v>
      </c>
      <c r="B1678" t="s">
        <v>29</v>
      </c>
      <c r="C1678">
        <v>0</v>
      </c>
      <c r="D1678">
        <v>0</v>
      </c>
      <c r="E1678" s="29">
        <v>0</v>
      </c>
      <c r="F1678">
        <v>0</v>
      </c>
      <c r="G1678">
        <v>0</v>
      </c>
      <c r="H1678">
        <v>0</v>
      </c>
      <c r="I1678" s="29">
        <v>0</v>
      </c>
      <c r="J1678" s="29">
        <v>0</v>
      </c>
      <c r="K1678" s="9">
        <v>45334</v>
      </c>
      <c r="L1678">
        <f xml:space="preserve"> (交易處理資料__3[[#This Row],[售出工時]] * 60) / 5</f>
        <v>0</v>
      </c>
      <c r="M1678" t="str">
        <f>VLOOKUP(交易處理資料__3[[#This Row],[人員代號]],團隊分組!$B$1:$C$52,2,FALSE)</f>
        <v>查修團隊B</v>
      </c>
      <c r="N1678" t="str">
        <f>IF(交易處理資料__3[[#This Row],[上班時間]]=0,"否","是")</f>
        <v>否</v>
      </c>
      <c r="O1678" t="s">
        <v>76</v>
      </c>
      <c r="P1678" s="37">
        <v>0</v>
      </c>
      <c r="Q1678" s="37">
        <v>0</v>
      </c>
      <c r="R1678" s="37">
        <v>0</v>
      </c>
    </row>
    <row r="1679" spans="1:18" hidden="1">
      <c r="A1679" t="s">
        <v>76</v>
      </c>
      <c r="B1679" t="s">
        <v>30</v>
      </c>
      <c r="C1679">
        <v>0</v>
      </c>
      <c r="D1679">
        <v>0</v>
      </c>
      <c r="E1679" s="29">
        <v>0</v>
      </c>
      <c r="F1679">
        <v>0</v>
      </c>
      <c r="G1679">
        <v>0</v>
      </c>
      <c r="H1679">
        <v>0</v>
      </c>
      <c r="I1679" s="29">
        <v>0</v>
      </c>
      <c r="J1679" s="29">
        <v>0</v>
      </c>
      <c r="K1679" s="9">
        <v>45334</v>
      </c>
      <c r="L1679">
        <f xml:space="preserve"> (交易處理資料__3[[#This Row],[售出工時]] * 60) / 5</f>
        <v>0</v>
      </c>
      <c r="M1679" t="str">
        <f>VLOOKUP(交易處理資料__3[[#This Row],[人員代號]],團隊分組!$B$1:$C$52,2,FALSE)</f>
        <v>快速保養團隊B</v>
      </c>
      <c r="N1679" t="str">
        <f>IF(交易處理資料__3[[#This Row],[上班時間]]=0,"否","是")</f>
        <v>否</v>
      </c>
      <c r="O1679" t="s">
        <v>76</v>
      </c>
      <c r="P1679" s="38">
        <v>0</v>
      </c>
      <c r="Q1679" s="38">
        <v>0</v>
      </c>
      <c r="R1679" s="38">
        <v>0</v>
      </c>
    </row>
    <row r="1680" spans="1:18" hidden="1">
      <c r="A1680" t="s">
        <v>76</v>
      </c>
      <c r="B1680" t="s">
        <v>32</v>
      </c>
      <c r="C1680">
        <v>0</v>
      </c>
      <c r="D1680">
        <v>0</v>
      </c>
      <c r="E1680" s="29">
        <v>0</v>
      </c>
      <c r="F1680">
        <v>0</v>
      </c>
      <c r="G1680">
        <v>0</v>
      </c>
      <c r="H1680">
        <v>0</v>
      </c>
      <c r="I1680" s="29">
        <v>0</v>
      </c>
      <c r="J1680" s="29">
        <v>0</v>
      </c>
      <c r="K1680" s="9">
        <v>45334</v>
      </c>
      <c r="L1680">
        <f xml:space="preserve"> (交易處理資料__3[[#This Row],[售出工時]] * 60) / 5</f>
        <v>0</v>
      </c>
      <c r="M1680" t="str">
        <f>VLOOKUP(交易處理資料__3[[#This Row],[人員代號]],團隊分組!$B$1:$C$52,2,FALSE)</f>
        <v>快速保養團隊B</v>
      </c>
      <c r="N1680" t="str">
        <f>IF(交易處理資料__3[[#This Row],[上班時間]]=0,"否","是")</f>
        <v>否</v>
      </c>
      <c r="O1680" t="s">
        <v>76</v>
      </c>
      <c r="P1680" s="37">
        <v>0</v>
      </c>
      <c r="Q1680" s="37">
        <v>0</v>
      </c>
      <c r="R1680" s="37">
        <v>0</v>
      </c>
    </row>
    <row r="1681" spans="1:18" hidden="1">
      <c r="A1681" t="s">
        <v>76</v>
      </c>
      <c r="B1681" t="s">
        <v>33</v>
      </c>
      <c r="C1681">
        <v>0</v>
      </c>
      <c r="D1681">
        <v>0</v>
      </c>
      <c r="E1681" s="29">
        <v>0</v>
      </c>
      <c r="F1681">
        <v>0</v>
      </c>
      <c r="G1681">
        <v>0</v>
      </c>
      <c r="H1681">
        <v>0</v>
      </c>
      <c r="I1681" s="29">
        <v>0</v>
      </c>
      <c r="J1681" s="29">
        <v>0</v>
      </c>
      <c r="K1681" s="9">
        <v>45334</v>
      </c>
      <c r="L1681">
        <f xml:space="preserve"> (交易處理資料__3[[#This Row],[售出工時]] * 60) / 5</f>
        <v>0</v>
      </c>
      <c r="M1681" t="str">
        <f>VLOOKUP(交易處理資料__3[[#This Row],[人員代號]],團隊分組!$B$1:$C$52,2,FALSE)</f>
        <v>快速保養團隊B</v>
      </c>
      <c r="N1681" t="str">
        <f>IF(交易處理資料__3[[#This Row],[上班時間]]=0,"否","是")</f>
        <v>否</v>
      </c>
      <c r="O1681" t="s">
        <v>76</v>
      </c>
      <c r="P1681" s="38">
        <v>0</v>
      </c>
      <c r="Q1681" s="38">
        <v>0</v>
      </c>
      <c r="R1681" s="38">
        <v>0</v>
      </c>
    </row>
    <row r="1682" spans="1:18" hidden="1">
      <c r="A1682" t="s">
        <v>76</v>
      </c>
      <c r="B1682" t="s">
        <v>34</v>
      </c>
      <c r="C1682">
        <v>0</v>
      </c>
      <c r="D1682">
        <v>0</v>
      </c>
      <c r="E1682" s="29">
        <v>0</v>
      </c>
      <c r="F1682">
        <v>0</v>
      </c>
      <c r="G1682">
        <v>0</v>
      </c>
      <c r="H1682">
        <v>0</v>
      </c>
      <c r="I1682" s="29">
        <v>0</v>
      </c>
      <c r="J1682" s="29">
        <v>0</v>
      </c>
      <c r="K1682" s="9">
        <v>45334</v>
      </c>
      <c r="L1682">
        <f xml:space="preserve"> (交易處理資料__3[[#This Row],[售出工時]] * 60) / 5</f>
        <v>0</v>
      </c>
      <c r="M1682" t="str">
        <f>VLOOKUP(交易處理資料__3[[#This Row],[人員代號]],團隊分組!$B$1:$C$52,2,FALSE)</f>
        <v>快速保養團隊A</v>
      </c>
      <c r="N1682" t="str">
        <f>IF(交易處理資料__3[[#This Row],[上班時間]]=0,"否","是")</f>
        <v>否</v>
      </c>
      <c r="O1682" t="s">
        <v>76</v>
      </c>
      <c r="P1682" s="37">
        <v>0</v>
      </c>
      <c r="Q1682" s="37">
        <v>0</v>
      </c>
      <c r="R1682" s="37">
        <v>0</v>
      </c>
    </row>
    <row r="1683" spans="1:18" hidden="1">
      <c r="A1683" t="s">
        <v>76</v>
      </c>
      <c r="B1683" t="s">
        <v>35</v>
      </c>
      <c r="C1683">
        <v>0</v>
      </c>
      <c r="D1683">
        <v>0</v>
      </c>
      <c r="E1683" s="29">
        <v>0</v>
      </c>
      <c r="F1683">
        <v>0</v>
      </c>
      <c r="G1683">
        <v>0</v>
      </c>
      <c r="H1683">
        <v>0</v>
      </c>
      <c r="I1683" s="29">
        <v>0</v>
      </c>
      <c r="J1683" s="29">
        <v>0</v>
      </c>
      <c r="K1683" s="9">
        <v>45334</v>
      </c>
      <c r="L1683">
        <f xml:space="preserve"> (交易處理資料__3[[#This Row],[售出工時]] * 60) / 5</f>
        <v>0</v>
      </c>
      <c r="M1683" t="str">
        <f>VLOOKUP(交易處理資料__3[[#This Row],[人員代號]],團隊分組!$B$1:$C$52,2,FALSE)</f>
        <v>查修團隊B</v>
      </c>
      <c r="N1683" t="str">
        <f>IF(交易處理資料__3[[#This Row],[上班時間]]=0,"否","是")</f>
        <v>否</v>
      </c>
      <c r="O1683" t="s">
        <v>76</v>
      </c>
      <c r="P1683" s="38">
        <v>0</v>
      </c>
      <c r="Q1683" s="38">
        <v>0</v>
      </c>
      <c r="R1683" s="38">
        <v>0</v>
      </c>
    </row>
    <row r="1684" spans="1:18" hidden="1">
      <c r="A1684" t="s">
        <v>76</v>
      </c>
      <c r="B1684" t="s">
        <v>36</v>
      </c>
      <c r="C1684">
        <v>0</v>
      </c>
      <c r="D1684">
        <v>0</v>
      </c>
      <c r="E1684" s="29">
        <v>0</v>
      </c>
      <c r="F1684">
        <v>0</v>
      </c>
      <c r="G1684">
        <v>0</v>
      </c>
      <c r="H1684">
        <v>0</v>
      </c>
      <c r="I1684" s="29">
        <v>0</v>
      </c>
      <c r="J1684" s="29">
        <v>0</v>
      </c>
      <c r="K1684" s="9">
        <v>45334</v>
      </c>
      <c r="L1684">
        <f xml:space="preserve"> (交易處理資料__3[[#This Row],[售出工時]] * 60) / 5</f>
        <v>0</v>
      </c>
      <c r="M1684" t="str">
        <f>VLOOKUP(交易處理資料__3[[#This Row],[人員代號]],團隊分組!$B$1:$C$52,2,FALSE)</f>
        <v>查修團隊B</v>
      </c>
      <c r="N1684" t="str">
        <f>IF(交易處理資料__3[[#This Row],[上班時間]]=0,"否","是")</f>
        <v>否</v>
      </c>
      <c r="O1684" t="s">
        <v>76</v>
      </c>
      <c r="P1684" s="37">
        <v>0</v>
      </c>
      <c r="Q1684" s="37">
        <v>0</v>
      </c>
      <c r="R1684" s="37">
        <v>0</v>
      </c>
    </row>
    <row r="1685" spans="1:18" hidden="1">
      <c r="A1685" t="s">
        <v>76</v>
      </c>
      <c r="B1685" t="s">
        <v>37</v>
      </c>
      <c r="C1685">
        <v>0</v>
      </c>
      <c r="D1685">
        <v>0</v>
      </c>
      <c r="E1685" s="29">
        <v>0</v>
      </c>
      <c r="F1685">
        <v>0</v>
      </c>
      <c r="G1685">
        <v>0</v>
      </c>
      <c r="H1685">
        <v>0</v>
      </c>
      <c r="I1685" s="29">
        <v>0</v>
      </c>
      <c r="J1685" s="29">
        <v>0</v>
      </c>
      <c r="K1685" s="9">
        <v>45334</v>
      </c>
      <c r="L1685">
        <f xml:space="preserve"> (交易處理資料__3[[#This Row],[售出工時]] * 60) / 5</f>
        <v>0</v>
      </c>
      <c r="M1685" t="str">
        <f>VLOOKUP(交易處理資料__3[[#This Row],[人員代號]],團隊分組!$B$1:$C$52,2,FALSE)</f>
        <v>查修團隊A</v>
      </c>
      <c r="N1685" t="str">
        <f>IF(交易處理資料__3[[#This Row],[上班時間]]=0,"否","是")</f>
        <v>否</v>
      </c>
      <c r="O1685" t="s">
        <v>76</v>
      </c>
      <c r="P1685" s="38">
        <v>0</v>
      </c>
      <c r="Q1685" s="38">
        <v>0</v>
      </c>
      <c r="R1685" s="38">
        <v>0</v>
      </c>
    </row>
    <row r="1686" spans="1:18" hidden="1">
      <c r="A1686" t="s">
        <v>76</v>
      </c>
      <c r="B1686" t="s">
        <v>38</v>
      </c>
      <c r="C1686">
        <v>0</v>
      </c>
      <c r="D1686">
        <v>0</v>
      </c>
      <c r="E1686" s="29">
        <v>0</v>
      </c>
      <c r="F1686">
        <v>0</v>
      </c>
      <c r="G1686">
        <v>0</v>
      </c>
      <c r="H1686">
        <v>0</v>
      </c>
      <c r="I1686" s="29">
        <v>0</v>
      </c>
      <c r="J1686" s="29">
        <v>0</v>
      </c>
      <c r="K1686" s="9">
        <v>45334</v>
      </c>
      <c r="L1686">
        <f xml:space="preserve"> (交易處理資料__3[[#This Row],[售出工時]] * 60) / 5</f>
        <v>0</v>
      </c>
      <c r="M1686" t="str">
        <f>VLOOKUP(交易處理資料__3[[#This Row],[人員代號]],團隊分組!$B$1:$C$52,2,FALSE)</f>
        <v>快速保養團隊A</v>
      </c>
      <c r="N1686" t="str">
        <f>IF(交易處理資料__3[[#This Row],[上班時間]]=0,"否","是")</f>
        <v>否</v>
      </c>
      <c r="O1686" t="s">
        <v>76</v>
      </c>
      <c r="P1686" s="37">
        <v>0</v>
      </c>
      <c r="Q1686" s="37">
        <v>0</v>
      </c>
      <c r="R1686" s="37">
        <v>0</v>
      </c>
    </row>
    <row r="1687" spans="1:18" hidden="1">
      <c r="A1687" t="s">
        <v>76</v>
      </c>
      <c r="B1687" t="s">
        <v>39</v>
      </c>
      <c r="C1687">
        <v>0</v>
      </c>
      <c r="D1687">
        <v>0</v>
      </c>
      <c r="E1687" s="29">
        <v>0</v>
      </c>
      <c r="F1687">
        <v>0</v>
      </c>
      <c r="G1687">
        <v>0</v>
      </c>
      <c r="H1687">
        <v>0</v>
      </c>
      <c r="I1687" s="29">
        <v>0</v>
      </c>
      <c r="J1687" s="29">
        <v>0</v>
      </c>
      <c r="K1687" s="9">
        <v>45334</v>
      </c>
      <c r="L1687">
        <f xml:space="preserve"> (交易處理資料__3[[#This Row],[售出工時]] * 60) / 5</f>
        <v>0</v>
      </c>
      <c r="M1687" t="str">
        <f>VLOOKUP(交易處理資料__3[[#This Row],[人員代號]],團隊分組!$B$1:$C$52,2,FALSE)</f>
        <v>查修團隊A</v>
      </c>
      <c r="N1687" t="str">
        <f>IF(交易處理資料__3[[#This Row],[上班時間]]=0,"否","是")</f>
        <v>否</v>
      </c>
      <c r="O1687" t="s">
        <v>76</v>
      </c>
      <c r="P1687" s="38">
        <v>0</v>
      </c>
      <c r="Q1687" s="38">
        <v>0</v>
      </c>
      <c r="R1687" s="38">
        <v>0</v>
      </c>
    </row>
    <row r="1688" spans="1:18" hidden="1">
      <c r="A1688" t="s">
        <v>76</v>
      </c>
      <c r="B1688" t="s">
        <v>40</v>
      </c>
      <c r="C1688">
        <v>0</v>
      </c>
      <c r="D1688">
        <v>0</v>
      </c>
      <c r="E1688" s="29">
        <v>0</v>
      </c>
      <c r="F1688">
        <v>0</v>
      </c>
      <c r="G1688">
        <v>0</v>
      </c>
      <c r="H1688">
        <v>0</v>
      </c>
      <c r="I1688" s="29">
        <v>0</v>
      </c>
      <c r="J1688" s="29">
        <v>0</v>
      </c>
      <c r="K1688" s="9">
        <v>45334</v>
      </c>
      <c r="L1688">
        <f xml:space="preserve"> (交易處理資料__3[[#This Row],[售出工時]] * 60) / 5</f>
        <v>0</v>
      </c>
      <c r="M1688" t="str">
        <f>VLOOKUP(交易處理資料__3[[#This Row],[人員代號]],團隊分組!$B$1:$C$52,2,FALSE)</f>
        <v>查修團隊A</v>
      </c>
      <c r="N1688" t="str">
        <f>IF(交易處理資料__3[[#This Row],[上班時間]]=0,"否","是")</f>
        <v>否</v>
      </c>
      <c r="O1688" t="s">
        <v>76</v>
      </c>
      <c r="P1688" s="37">
        <v>0</v>
      </c>
      <c r="Q1688" s="37">
        <v>0</v>
      </c>
      <c r="R1688" s="37">
        <v>0</v>
      </c>
    </row>
    <row r="1689" spans="1:18" hidden="1">
      <c r="A1689" t="s">
        <v>76</v>
      </c>
      <c r="B1689" t="s">
        <v>41</v>
      </c>
      <c r="C1689">
        <v>0</v>
      </c>
      <c r="D1689">
        <v>0</v>
      </c>
      <c r="E1689" s="29">
        <v>0</v>
      </c>
      <c r="F1689">
        <v>0</v>
      </c>
      <c r="G1689">
        <v>0</v>
      </c>
      <c r="H1689">
        <v>0</v>
      </c>
      <c r="I1689" s="29">
        <v>0</v>
      </c>
      <c r="J1689" s="29">
        <v>0</v>
      </c>
      <c r="K1689" s="9">
        <v>45334</v>
      </c>
      <c r="L1689">
        <f xml:space="preserve"> (交易處理資料__3[[#This Row],[售出工時]] * 60) / 5</f>
        <v>0</v>
      </c>
      <c r="M1689" t="str">
        <f>VLOOKUP(交易處理資料__3[[#This Row],[人員代號]],團隊分組!$B$1:$C$52,2,FALSE)</f>
        <v>快速保養團隊A</v>
      </c>
      <c r="N1689" t="str">
        <f>IF(交易處理資料__3[[#This Row],[上班時間]]=0,"否","是")</f>
        <v>否</v>
      </c>
      <c r="O1689" t="s">
        <v>76</v>
      </c>
      <c r="P1689" s="38">
        <v>0</v>
      </c>
      <c r="Q1689" s="38">
        <v>0</v>
      </c>
      <c r="R1689" s="38">
        <v>0</v>
      </c>
    </row>
    <row r="1690" spans="1:18" hidden="1">
      <c r="A1690" t="s">
        <v>76</v>
      </c>
      <c r="B1690" t="s">
        <v>42</v>
      </c>
      <c r="C1690">
        <v>0</v>
      </c>
      <c r="D1690">
        <v>0</v>
      </c>
      <c r="E1690" s="29">
        <v>0</v>
      </c>
      <c r="F1690">
        <v>0</v>
      </c>
      <c r="G1690">
        <v>0</v>
      </c>
      <c r="H1690">
        <v>0</v>
      </c>
      <c r="I1690" s="29">
        <v>0</v>
      </c>
      <c r="J1690" s="29">
        <v>0</v>
      </c>
      <c r="K1690" s="9">
        <v>45334</v>
      </c>
      <c r="L1690">
        <f xml:space="preserve"> (交易處理資料__3[[#This Row],[售出工時]] * 60) / 5</f>
        <v>0</v>
      </c>
      <c r="M1690" t="str">
        <f>VLOOKUP(交易處理資料__3[[#This Row],[人員代號]],團隊分組!$B$1:$C$52,2,FALSE)</f>
        <v>快速保養團隊A</v>
      </c>
      <c r="N1690" t="str">
        <f>IF(交易處理資料__3[[#This Row],[上班時間]]=0,"否","是")</f>
        <v>否</v>
      </c>
      <c r="O1690" t="s">
        <v>76</v>
      </c>
      <c r="P1690" s="37">
        <v>0</v>
      </c>
      <c r="Q1690" s="37">
        <v>0</v>
      </c>
      <c r="R1690" s="37">
        <v>0</v>
      </c>
    </row>
    <row r="1691" spans="1:18" hidden="1">
      <c r="A1691" t="s">
        <v>76</v>
      </c>
      <c r="B1691" t="s">
        <v>43</v>
      </c>
      <c r="C1691">
        <v>0</v>
      </c>
      <c r="D1691">
        <v>0</v>
      </c>
      <c r="E1691" s="29">
        <v>0</v>
      </c>
      <c r="F1691">
        <v>0</v>
      </c>
      <c r="G1691">
        <v>0</v>
      </c>
      <c r="H1691">
        <v>0</v>
      </c>
      <c r="I1691" s="29">
        <v>0</v>
      </c>
      <c r="J1691" s="29">
        <v>0</v>
      </c>
      <c r="K1691" s="9">
        <v>45334</v>
      </c>
      <c r="L1691">
        <f xml:space="preserve"> (交易處理資料__3[[#This Row],[售出工時]] * 60) / 5</f>
        <v>0</v>
      </c>
      <c r="M1691" t="str">
        <f>VLOOKUP(交易處理資料__3[[#This Row],[人員代號]],團隊分組!$B$1:$C$52,2,FALSE)</f>
        <v>查修團隊B</v>
      </c>
      <c r="N1691" t="str">
        <f>IF(交易處理資料__3[[#This Row],[上班時間]]=0,"否","是")</f>
        <v>否</v>
      </c>
      <c r="O1691" t="s">
        <v>76</v>
      </c>
      <c r="P1691" s="38">
        <v>0</v>
      </c>
      <c r="Q1691" s="38">
        <v>0</v>
      </c>
      <c r="R1691" s="38">
        <v>0</v>
      </c>
    </row>
    <row r="1692" spans="1:18" hidden="1">
      <c r="A1692" t="s">
        <v>76</v>
      </c>
      <c r="B1692" t="s">
        <v>44</v>
      </c>
      <c r="C1692">
        <v>0</v>
      </c>
      <c r="D1692">
        <v>0</v>
      </c>
      <c r="E1692" s="29">
        <v>0</v>
      </c>
      <c r="F1692">
        <v>0</v>
      </c>
      <c r="G1692">
        <v>0</v>
      </c>
      <c r="H1692">
        <v>0</v>
      </c>
      <c r="I1692" s="29">
        <v>0</v>
      </c>
      <c r="J1692" s="29">
        <v>0</v>
      </c>
      <c r="K1692" s="9">
        <v>45334</v>
      </c>
      <c r="L1692">
        <f xml:space="preserve"> (交易處理資料__3[[#This Row],[售出工時]] * 60) / 5</f>
        <v>0</v>
      </c>
      <c r="M1692" t="str">
        <f>VLOOKUP(交易處理資料__3[[#This Row],[人員代號]],團隊分組!$B$1:$C$52,2,FALSE)</f>
        <v>快速保養團隊B</v>
      </c>
      <c r="N1692" t="str">
        <f>IF(交易處理資料__3[[#This Row],[上班時間]]=0,"否","是")</f>
        <v>否</v>
      </c>
      <c r="O1692" t="s">
        <v>76</v>
      </c>
      <c r="P1692" s="37">
        <v>0</v>
      </c>
      <c r="Q1692" s="37">
        <v>0</v>
      </c>
      <c r="R1692" s="37">
        <v>0</v>
      </c>
    </row>
    <row r="1693" spans="1:18" hidden="1">
      <c r="A1693" t="s">
        <v>76</v>
      </c>
      <c r="B1693" t="s">
        <v>45</v>
      </c>
      <c r="C1693">
        <v>0</v>
      </c>
      <c r="D1693">
        <v>0</v>
      </c>
      <c r="E1693" s="29">
        <v>0</v>
      </c>
      <c r="F1693">
        <v>0</v>
      </c>
      <c r="G1693">
        <v>0</v>
      </c>
      <c r="H1693">
        <v>0</v>
      </c>
      <c r="I1693" s="29">
        <v>0</v>
      </c>
      <c r="J1693" s="29">
        <v>0</v>
      </c>
      <c r="K1693" s="9">
        <v>45334</v>
      </c>
      <c r="L1693">
        <f xml:space="preserve"> (交易處理資料__3[[#This Row],[售出工時]] * 60) / 5</f>
        <v>0</v>
      </c>
      <c r="M1693" t="str">
        <f>VLOOKUP(交易處理資料__3[[#This Row],[人員代號]],團隊分組!$B$1:$C$52,2,FALSE)</f>
        <v>快速保養團隊A</v>
      </c>
      <c r="N1693" t="str">
        <f>IF(交易處理資料__3[[#This Row],[上班時間]]=0,"否","是")</f>
        <v>否</v>
      </c>
      <c r="O1693" t="s">
        <v>76</v>
      </c>
      <c r="P1693" s="38">
        <v>0</v>
      </c>
      <c r="Q1693" s="38">
        <v>0</v>
      </c>
      <c r="R1693" s="38">
        <v>0</v>
      </c>
    </row>
    <row r="1694" spans="1:18" hidden="1">
      <c r="A1694" t="s">
        <v>76</v>
      </c>
      <c r="B1694" t="s">
        <v>46</v>
      </c>
      <c r="C1694">
        <v>0</v>
      </c>
      <c r="D1694">
        <v>0</v>
      </c>
      <c r="E1694" s="29">
        <v>0</v>
      </c>
      <c r="F1694">
        <v>0</v>
      </c>
      <c r="G1694">
        <v>0</v>
      </c>
      <c r="H1694">
        <v>0</v>
      </c>
      <c r="I1694" s="29">
        <v>0</v>
      </c>
      <c r="J1694" s="29">
        <v>0</v>
      </c>
      <c r="K1694" s="9">
        <v>45334</v>
      </c>
      <c r="L1694">
        <f xml:space="preserve"> (交易處理資料__3[[#This Row],[售出工時]] * 60) / 5</f>
        <v>0</v>
      </c>
      <c r="M1694" t="str">
        <f>VLOOKUP(交易處理資料__3[[#This Row],[人員代號]],團隊分組!$B$1:$C$52,2,FALSE)</f>
        <v>查修團隊B</v>
      </c>
      <c r="N1694" t="str">
        <f>IF(交易處理資料__3[[#This Row],[上班時間]]=0,"否","是")</f>
        <v>否</v>
      </c>
      <c r="O1694" t="s">
        <v>76</v>
      </c>
      <c r="P1694" s="37">
        <v>0</v>
      </c>
      <c r="Q1694" s="37">
        <v>0</v>
      </c>
      <c r="R1694" s="37">
        <v>0</v>
      </c>
    </row>
    <row r="1695" spans="1:18" hidden="1">
      <c r="A1695" t="s">
        <v>76</v>
      </c>
      <c r="B1695" t="s">
        <v>47</v>
      </c>
      <c r="C1695">
        <v>0</v>
      </c>
      <c r="D1695">
        <v>0</v>
      </c>
      <c r="E1695" s="29">
        <v>0</v>
      </c>
      <c r="F1695">
        <v>0</v>
      </c>
      <c r="G1695">
        <v>0</v>
      </c>
      <c r="H1695">
        <v>0</v>
      </c>
      <c r="I1695" s="29">
        <v>0</v>
      </c>
      <c r="J1695" s="29">
        <v>0</v>
      </c>
      <c r="K1695" s="9">
        <v>45334</v>
      </c>
      <c r="L1695">
        <f xml:space="preserve"> (交易處理資料__3[[#This Row],[售出工時]] * 60) / 5</f>
        <v>0</v>
      </c>
      <c r="M1695" t="str">
        <f>VLOOKUP(交易處理資料__3[[#This Row],[人員代號]],團隊分組!$B$1:$C$52,2,FALSE)</f>
        <v>查修團隊B</v>
      </c>
      <c r="N1695" t="str">
        <f>IF(交易處理資料__3[[#This Row],[上班時間]]=0,"否","是")</f>
        <v>否</v>
      </c>
      <c r="O1695" t="s">
        <v>76</v>
      </c>
      <c r="P1695" s="38">
        <v>0</v>
      </c>
      <c r="Q1695" s="38">
        <v>0</v>
      </c>
      <c r="R1695" s="38">
        <v>0</v>
      </c>
    </row>
    <row r="1696" spans="1:18" hidden="1">
      <c r="A1696" t="s">
        <v>76</v>
      </c>
      <c r="B1696" t="s">
        <v>48</v>
      </c>
      <c r="C1696">
        <v>0</v>
      </c>
      <c r="D1696">
        <v>0</v>
      </c>
      <c r="E1696" s="29">
        <v>0</v>
      </c>
      <c r="F1696">
        <v>0</v>
      </c>
      <c r="G1696">
        <v>0</v>
      </c>
      <c r="H1696">
        <v>0</v>
      </c>
      <c r="I1696" s="29">
        <v>0</v>
      </c>
      <c r="J1696" s="29">
        <v>0</v>
      </c>
      <c r="K1696" s="9">
        <v>45334</v>
      </c>
      <c r="L1696">
        <f xml:space="preserve"> (交易處理資料__3[[#This Row],[售出工時]] * 60) / 5</f>
        <v>0</v>
      </c>
      <c r="M1696" t="str">
        <f>VLOOKUP(交易處理資料__3[[#This Row],[人員代號]],團隊分組!$B$1:$C$52,2,FALSE)</f>
        <v>查修團隊A</v>
      </c>
      <c r="N1696" t="str">
        <f>IF(交易處理資料__3[[#This Row],[上班時間]]=0,"否","是")</f>
        <v>否</v>
      </c>
      <c r="O1696" t="s">
        <v>76</v>
      </c>
      <c r="P1696" s="37">
        <v>0</v>
      </c>
      <c r="Q1696" s="37">
        <v>0</v>
      </c>
      <c r="R1696" s="37">
        <v>0</v>
      </c>
    </row>
    <row r="1697" spans="1:18" hidden="1">
      <c r="A1697" t="s">
        <v>76</v>
      </c>
      <c r="B1697" t="s">
        <v>49</v>
      </c>
      <c r="C1697">
        <v>0</v>
      </c>
      <c r="D1697">
        <v>0</v>
      </c>
      <c r="E1697" s="29">
        <v>0</v>
      </c>
      <c r="F1697">
        <v>0</v>
      </c>
      <c r="G1697">
        <v>0</v>
      </c>
      <c r="H1697">
        <v>0</v>
      </c>
      <c r="I1697" s="29">
        <v>0</v>
      </c>
      <c r="J1697" s="29">
        <v>0</v>
      </c>
      <c r="K1697" s="9">
        <v>45334</v>
      </c>
      <c r="L1697">
        <f xml:space="preserve"> (交易處理資料__3[[#This Row],[售出工時]] * 60) / 5</f>
        <v>0</v>
      </c>
      <c r="M1697" t="str">
        <f>VLOOKUP(交易處理資料__3[[#This Row],[人員代號]],團隊分組!$B$1:$C$52,2,FALSE)</f>
        <v>查修團隊A</v>
      </c>
      <c r="N1697" t="str">
        <f>IF(交易處理資料__3[[#This Row],[上班時間]]=0,"否","是")</f>
        <v>否</v>
      </c>
      <c r="O1697" t="s">
        <v>76</v>
      </c>
      <c r="P1697" s="38">
        <v>0</v>
      </c>
      <c r="Q1697" s="38">
        <v>0</v>
      </c>
      <c r="R1697" s="38">
        <v>0</v>
      </c>
    </row>
    <row r="1698" spans="1:18" hidden="1">
      <c r="A1698" t="s">
        <v>76</v>
      </c>
      <c r="B1698" t="s">
        <v>50</v>
      </c>
      <c r="C1698">
        <v>0</v>
      </c>
      <c r="D1698">
        <v>0</v>
      </c>
      <c r="E1698" s="29">
        <v>0</v>
      </c>
      <c r="F1698">
        <v>0</v>
      </c>
      <c r="G1698">
        <v>0</v>
      </c>
      <c r="H1698">
        <v>0</v>
      </c>
      <c r="I1698" s="29">
        <v>0</v>
      </c>
      <c r="J1698" s="29">
        <v>0</v>
      </c>
      <c r="K1698" s="9">
        <v>45334</v>
      </c>
      <c r="L1698">
        <f xml:space="preserve"> (交易處理資料__3[[#This Row],[售出工時]] * 60) / 5</f>
        <v>0</v>
      </c>
      <c r="M1698" t="str">
        <f>VLOOKUP(交易處理資料__3[[#This Row],[人員代號]],團隊分組!$B$1:$C$52,2,FALSE)</f>
        <v>快速保養團隊B</v>
      </c>
      <c r="N1698" t="str">
        <f>IF(交易處理資料__3[[#This Row],[上班時間]]=0,"否","是")</f>
        <v>否</v>
      </c>
      <c r="O1698" t="s">
        <v>76</v>
      </c>
      <c r="P1698" s="37">
        <v>0</v>
      </c>
      <c r="Q1698" s="37">
        <v>0</v>
      </c>
      <c r="R1698" s="37">
        <v>0</v>
      </c>
    </row>
    <row r="1699" spans="1:18" hidden="1">
      <c r="A1699" t="s">
        <v>76</v>
      </c>
      <c r="B1699" t="s">
        <v>51</v>
      </c>
      <c r="C1699">
        <v>0</v>
      </c>
      <c r="D1699">
        <v>0</v>
      </c>
      <c r="E1699" s="29">
        <v>0</v>
      </c>
      <c r="F1699">
        <v>0</v>
      </c>
      <c r="G1699">
        <v>0</v>
      </c>
      <c r="H1699">
        <v>0</v>
      </c>
      <c r="I1699" s="29">
        <v>0</v>
      </c>
      <c r="J1699" s="29">
        <v>0</v>
      </c>
      <c r="K1699" s="9">
        <v>45334</v>
      </c>
      <c r="L1699">
        <f xml:space="preserve"> (交易處理資料__3[[#This Row],[售出工時]] * 60) / 5</f>
        <v>0</v>
      </c>
      <c r="M1699" t="str">
        <f>VLOOKUP(交易處理資料__3[[#This Row],[人員代號]],團隊分組!$B$1:$C$52,2,FALSE)</f>
        <v>無效數據</v>
      </c>
      <c r="N1699" t="str">
        <f>IF(交易處理資料__3[[#This Row],[上班時間]]=0,"否","是")</f>
        <v>否</v>
      </c>
      <c r="O1699" t="s">
        <v>76</v>
      </c>
      <c r="P1699" s="38">
        <v>0</v>
      </c>
      <c r="Q1699" s="38">
        <v>0</v>
      </c>
      <c r="R1699" s="38">
        <v>0</v>
      </c>
    </row>
    <row r="1700" spans="1:18" hidden="1">
      <c r="A1700" t="s">
        <v>76</v>
      </c>
      <c r="B1700" t="s">
        <v>52</v>
      </c>
      <c r="C1700">
        <v>0</v>
      </c>
      <c r="D1700">
        <v>0</v>
      </c>
      <c r="E1700" s="29">
        <v>0</v>
      </c>
      <c r="F1700">
        <v>0</v>
      </c>
      <c r="G1700">
        <v>0</v>
      </c>
      <c r="H1700">
        <v>0</v>
      </c>
      <c r="I1700" s="29">
        <v>0</v>
      </c>
      <c r="J1700" s="29">
        <v>0</v>
      </c>
      <c r="K1700" s="9">
        <v>45334</v>
      </c>
      <c r="L1700">
        <f xml:space="preserve"> (交易處理資料__3[[#This Row],[售出工時]] * 60) / 5</f>
        <v>0</v>
      </c>
      <c r="M1700" t="str">
        <f>VLOOKUP(交易處理資料__3[[#This Row],[人員代號]],團隊分組!$B$1:$C$52,2,FALSE)</f>
        <v>查修團隊B</v>
      </c>
      <c r="N1700" t="str">
        <f>IF(交易處理資料__3[[#This Row],[上班時間]]=0,"否","是")</f>
        <v>否</v>
      </c>
      <c r="O1700" t="s">
        <v>76</v>
      </c>
      <c r="P1700" s="37">
        <v>0</v>
      </c>
      <c r="Q1700" s="37">
        <v>0</v>
      </c>
      <c r="R1700" s="37">
        <v>0</v>
      </c>
    </row>
    <row r="1701" spans="1:18" hidden="1">
      <c r="A1701" t="s">
        <v>76</v>
      </c>
      <c r="B1701" t="s">
        <v>53</v>
      </c>
      <c r="C1701">
        <v>0</v>
      </c>
      <c r="D1701">
        <v>0</v>
      </c>
      <c r="E1701" s="29">
        <v>0</v>
      </c>
      <c r="F1701">
        <v>0</v>
      </c>
      <c r="G1701">
        <v>0</v>
      </c>
      <c r="H1701">
        <v>0</v>
      </c>
      <c r="I1701" s="29">
        <v>0</v>
      </c>
      <c r="J1701" s="29">
        <v>0</v>
      </c>
      <c r="K1701" s="9">
        <v>45334</v>
      </c>
      <c r="L1701">
        <f xml:space="preserve"> (交易處理資料__3[[#This Row],[售出工時]] * 60) / 5</f>
        <v>0</v>
      </c>
      <c r="M1701" t="str">
        <f>VLOOKUP(交易處理資料__3[[#This Row],[人員代號]],團隊分組!$B$1:$C$52,2,FALSE)</f>
        <v>查修團隊A</v>
      </c>
      <c r="N1701" t="str">
        <f>IF(交易處理資料__3[[#This Row],[上班時間]]=0,"否","是")</f>
        <v>否</v>
      </c>
      <c r="O1701" t="s">
        <v>76</v>
      </c>
      <c r="P1701" s="38">
        <v>0</v>
      </c>
      <c r="Q1701" s="38">
        <v>0</v>
      </c>
      <c r="R1701" s="38">
        <v>0</v>
      </c>
    </row>
    <row r="1702" spans="1:18" hidden="1">
      <c r="A1702" s="10" t="s">
        <v>74</v>
      </c>
      <c r="B1702" t="s">
        <v>1</v>
      </c>
      <c r="C1702">
        <v>0</v>
      </c>
      <c r="D1702">
        <v>0</v>
      </c>
      <c r="E1702" s="29">
        <v>0</v>
      </c>
      <c r="F1702">
        <v>0</v>
      </c>
      <c r="G1702">
        <v>0</v>
      </c>
      <c r="H1702">
        <v>0</v>
      </c>
      <c r="I1702" s="29">
        <v>0</v>
      </c>
      <c r="J1702" s="29">
        <v>0</v>
      </c>
      <c r="K1702" s="9">
        <v>45335</v>
      </c>
      <c r="L1702">
        <f xml:space="preserve"> (交易處理資料__3[[#This Row],[售出工時]] * 60) / 5</f>
        <v>0</v>
      </c>
      <c r="M1702" t="str">
        <f>VLOOKUP(交易處理資料__3[[#This Row],[人員代號]],團隊分組!$B$1:$C$52,2,FALSE)</f>
        <v>噴漆維修組</v>
      </c>
      <c r="N1702" t="str">
        <f>IF(交易處理資料__3[[#This Row],[上班時間]]=0,"否","是")</f>
        <v>否</v>
      </c>
      <c r="O1702" s="10" t="s">
        <v>74</v>
      </c>
      <c r="P1702" s="37">
        <v>0</v>
      </c>
      <c r="Q1702" s="37">
        <v>0</v>
      </c>
      <c r="R1702" s="37">
        <v>0</v>
      </c>
    </row>
    <row r="1703" spans="1:18" hidden="1">
      <c r="A1703" s="10" t="s">
        <v>74</v>
      </c>
      <c r="B1703" t="s">
        <v>2</v>
      </c>
      <c r="C1703">
        <v>0</v>
      </c>
      <c r="D1703">
        <v>0</v>
      </c>
      <c r="E1703" s="29">
        <v>0</v>
      </c>
      <c r="F1703">
        <v>0</v>
      </c>
      <c r="G1703">
        <v>0</v>
      </c>
      <c r="H1703">
        <v>0</v>
      </c>
      <c r="I1703" s="29">
        <v>0</v>
      </c>
      <c r="J1703" s="29">
        <v>0</v>
      </c>
      <c r="K1703" s="9">
        <v>45335</v>
      </c>
      <c r="L1703">
        <f xml:space="preserve"> (交易處理資料__3[[#This Row],[售出工時]] * 60) / 5</f>
        <v>0</v>
      </c>
      <c r="M1703" t="str">
        <f>VLOOKUP(交易處理資料__3[[#This Row],[人員代號]],團隊分組!$B$1:$C$52,2,FALSE)</f>
        <v>噴漆維修組</v>
      </c>
      <c r="N1703" t="str">
        <f>IF(交易處理資料__3[[#This Row],[上班時間]]=0,"否","是")</f>
        <v>否</v>
      </c>
      <c r="O1703" s="10" t="s">
        <v>74</v>
      </c>
      <c r="P1703" s="38">
        <v>0</v>
      </c>
      <c r="Q1703" s="38">
        <v>0</v>
      </c>
      <c r="R1703" s="38">
        <v>0</v>
      </c>
    </row>
    <row r="1704" spans="1:18" hidden="1">
      <c r="A1704" s="10" t="s">
        <v>74</v>
      </c>
      <c r="B1704" t="s">
        <v>3</v>
      </c>
      <c r="C1704">
        <v>0</v>
      </c>
      <c r="D1704">
        <v>0</v>
      </c>
      <c r="E1704" s="29">
        <v>0</v>
      </c>
      <c r="F1704">
        <v>0</v>
      </c>
      <c r="G1704">
        <v>0</v>
      </c>
      <c r="H1704">
        <v>0</v>
      </c>
      <c r="I1704" s="29">
        <v>0</v>
      </c>
      <c r="J1704" s="29">
        <v>0</v>
      </c>
      <c r="K1704" s="9">
        <v>45335</v>
      </c>
      <c r="L1704">
        <f xml:space="preserve"> (交易處理資料__3[[#This Row],[售出工時]] * 60) / 5</f>
        <v>0</v>
      </c>
      <c r="M1704" t="str">
        <f>VLOOKUP(交易處理資料__3[[#This Row],[人員代號]],團隊分組!$B$1:$C$52,2,FALSE)</f>
        <v>噴漆維修組</v>
      </c>
      <c r="N1704" t="str">
        <f>IF(交易處理資料__3[[#This Row],[上班時間]]=0,"否","是")</f>
        <v>否</v>
      </c>
      <c r="O1704" s="10" t="s">
        <v>74</v>
      </c>
      <c r="P1704" s="37">
        <v>0</v>
      </c>
      <c r="Q1704" s="37">
        <v>0</v>
      </c>
      <c r="R1704" s="37">
        <v>0</v>
      </c>
    </row>
    <row r="1705" spans="1:18" hidden="1">
      <c r="A1705" s="10" t="s">
        <v>74</v>
      </c>
      <c r="B1705" t="s">
        <v>4</v>
      </c>
      <c r="C1705">
        <v>0</v>
      </c>
      <c r="D1705">
        <v>0</v>
      </c>
      <c r="E1705" s="29">
        <v>0</v>
      </c>
      <c r="F1705">
        <v>0</v>
      </c>
      <c r="G1705">
        <v>0</v>
      </c>
      <c r="H1705">
        <v>0</v>
      </c>
      <c r="I1705" s="29">
        <v>0</v>
      </c>
      <c r="J1705" s="29">
        <v>0</v>
      </c>
      <c r="K1705" s="9">
        <v>45335</v>
      </c>
      <c r="L1705">
        <f xml:space="preserve"> (交易處理資料__3[[#This Row],[售出工時]] * 60) / 5</f>
        <v>0</v>
      </c>
      <c r="M1705" t="str">
        <f>VLOOKUP(交易處理資料__3[[#This Row],[人員代號]],團隊分組!$B$1:$C$52,2,FALSE)</f>
        <v>噴漆維修組</v>
      </c>
      <c r="N1705" t="str">
        <f>IF(交易處理資料__3[[#This Row],[上班時間]]=0,"否","是")</f>
        <v>否</v>
      </c>
      <c r="O1705" s="10" t="s">
        <v>74</v>
      </c>
      <c r="P1705" s="38">
        <v>0</v>
      </c>
      <c r="Q1705" s="38">
        <v>0</v>
      </c>
      <c r="R1705" s="38">
        <v>0</v>
      </c>
    </row>
    <row r="1706" spans="1:18" hidden="1">
      <c r="A1706" s="10" t="s">
        <v>74</v>
      </c>
      <c r="B1706" t="s">
        <v>5</v>
      </c>
      <c r="C1706">
        <v>0</v>
      </c>
      <c r="D1706">
        <v>0</v>
      </c>
      <c r="E1706" s="29">
        <v>0</v>
      </c>
      <c r="F1706">
        <v>0</v>
      </c>
      <c r="G1706">
        <v>0</v>
      </c>
      <c r="H1706">
        <v>0</v>
      </c>
      <c r="I1706" s="29">
        <v>0</v>
      </c>
      <c r="J1706" s="29">
        <v>0</v>
      </c>
      <c r="K1706" s="9">
        <v>45335</v>
      </c>
      <c r="L1706">
        <f xml:space="preserve"> (交易處理資料__3[[#This Row],[售出工時]] * 60) / 5</f>
        <v>0</v>
      </c>
      <c r="M1706" t="str">
        <f>VLOOKUP(交易處理資料__3[[#This Row],[人員代號]],團隊分組!$B$1:$C$52,2,FALSE)</f>
        <v>噴漆維修組</v>
      </c>
      <c r="N1706" t="str">
        <f>IF(交易處理資料__3[[#This Row],[上班時間]]=0,"否","是")</f>
        <v>否</v>
      </c>
      <c r="O1706" s="10" t="s">
        <v>74</v>
      </c>
      <c r="P1706" s="37">
        <v>0</v>
      </c>
      <c r="Q1706" s="37">
        <v>0</v>
      </c>
      <c r="R1706" s="37">
        <v>0</v>
      </c>
    </row>
    <row r="1707" spans="1:18" hidden="1">
      <c r="A1707" s="10" t="s">
        <v>74</v>
      </c>
      <c r="B1707" t="s">
        <v>6</v>
      </c>
      <c r="C1707">
        <v>0</v>
      </c>
      <c r="D1707">
        <v>0</v>
      </c>
      <c r="E1707" s="29">
        <v>0</v>
      </c>
      <c r="F1707">
        <v>0</v>
      </c>
      <c r="G1707">
        <v>0</v>
      </c>
      <c r="H1707">
        <v>0</v>
      </c>
      <c r="I1707" s="29">
        <v>0</v>
      </c>
      <c r="J1707" s="29">
        <v>0</v>
      </c>
      <c r="K1707" s="9">
        <v>45335</v>
      </c>
      <c r="L1707">
        <f xml:space="preserve"> (交易處理資料__3[[#This Row],[售出工時]] * 60) / 5</f>
        <v>0</v>
      </c>
      <c r="M1707" t="str">
        <f>VLOOKUP(交易處理資料__3[[#This Row],[人員代號]],團隊分組!$B$1:$C$52,2,FALSE)</f>
        <v>噴漆維修組</v>
      </c>
      <c r="N1707" t="str">
        <f>IF(交易處理資料__3[[#This Row],[上班時間]]=0,"否","是")</f>
        <v>否</v>
      </c>
      <c r="O1707" s="10" t="s">
        <v>74</v>
      </c>
      <c r="P1707" s="38">
        <v>0</v>
      </c>
      <c r="Q1707" s="38">
        <v>0</v>
      </c>
      <c r="R1707" s="38">
        <v>0</v>
      </c>
    </row>
    <row r="1708" spans="1:18">
      <c r="A1708" s="10" t="s">
        <v>74</v>
      </c>
      <c r="B1708" t="s">
        <v>7</v>
      </c>
      <c r="C1708">
        <v>0</v>
      </c>
      <c r="D1708">
        <v>0</v>
      </c>
      <c r="E1708" s="29">
        <v>0</v>
      </c>
      <c r="F1708">
        <v>0</v>
      </c>
      <c r="G1708">
        <v>0</v>
      </c>
      <c r="H1708">
        <v>0</v>
      </c>
      <c r="I1708" s="29">
        <v>0</v>
      </c>
      <c r="J1708" s="29">
        <v>0</v>
      </c>
      <c r="K1708" s="9">
        <v>45335</v>
      </c>
      <c r="L1708">
        <f xml:space="preserve"> (交易處理資料__3[[#This Row],[售出工時]] * 60) / 5</f>
        <v>0</v>
      </c>
      <c r="M1708" t="str">
        <f>VLOOKUP(交易處理資料__3[[#This Row],[人員代號]],團隊分組!$B$1:$C$52,2,FALSE)</f>
        <v>噴漆維修組</v>
      </c>
      <c r="N1708" t="str">
        <f>IF(交易處理資料__3[[#This Row],[上班時間]]=0,"否","是")</f>
        <v>否</v>
      </c>
      <c r="O1708" s="10" t="s">
        <v>74</v>
      </c>
      <c r="P1708" s="37">
        <v>0</v>
      </c>
      <c r="Q1708" s="37">
        <v>0</v>
      </c>
      <c r="R1708" s="37">
        <v>0</v>
      </c>
    </row>
    <row r="1709" spans="1:18" hidden="1">
      <c r="A1709" s="10" t="s">
        <v>74</v>
      </c>
      <c r="B1709" t="s">
        <v>8</v>
      </c>
      <c r="C1709">
        <v>0</v>
      </c>
      <c r="D1709">
        <v>0</v>
      </c>
      <c r="E1709" s="29">
        <v>0</v>
      </c>
      <c r="F1709">
        <v>0</v>
      </c>
      <c r="G1709">
        <v>0</v>
      </c>
      <c r="H1709">
        <v>0</v>
      </c>
      <c r="I1709" s="29">
        <v>0</v>
      </c>
      <c r="J1709" s="29">
        <v>0</v>
      </c>
      <c r="K1709" s="9">
        <v>45335</v>
      </c>
      <c r="L1709">
        <f xml:space="preserve"> (交易處理資料__3[[#This Row],[售出工時]] * 60) / 5</f>
        <v>0</v>
      </c>
      <c r="M1709" t="str">
        <f>VLOOKUP(交易處理資料__3[[#This Row],[人員代號]],團隊分組!$B$1:$C$52,2,FALSE)</f>
        <v>噴漆維修組</v>
      </c>
      <c r="N1709" t="str">
        <f>IF(交易處理資料__3[[#This Row],[上班時間]]=0,"否","是")</f>
        <v>否</v>
      </c>
      <c r="O1709" s="10" t="s">
        <v>74</v>
      </c>
      <c r="P1709" s="38">
        <v>0</v>
      </c>
      <c r="Q1709" s="38">
        <v>0</v>
      </c>
      <c r="R1709" s="38">
        <v>0</v>
      </c>
    </row>
    <row r="1710" spans="1:18" hidden="1">
      <c r="A1710" s="10" t="s">
        <v>74</v>
      </c>
      <c r="B1710" t="s">
        <v>9</v>
      </c>
      <c r="C1710">
        <v>0</v>
      </c>
      <c r="D1710">
        <v>0</v>
      </c>
      <c r="E1710" s="29">
        <v>0</v>
      </c>
      <c r="F1710">
        <v>0</v>
      </c>
      <c r="G1710">
        <v>0</v>
      </c>
      <c r="H1710">
        <v>0</v>
      </c>
      <c r="I1710" s="29">
        <v>0</v>
      </c>
      <c r="J1710" s="29">
        <v>0</v>
      </c>
      <c r="K1710" s="9">
        <v>45335</v>
      </c>
      <c r="L1710">
        <f xml:space="preserve"> (交易處理資料__3[[#This Row],[售出工時]] * 60) / 5</f>
        <v>0</v>
      </c>
      <c r="M1710" t="str">
        <f>VLOOKUP(交易處理資料__3[[#This Row],[人員代號]],團隊分組!$B$1:$C$52,2,FALSE)</f>
        <v>噴漆維修組</v>
      </c>
      <c r="N1710" t="str">
        <f>IF(交易處理資料__3[[#This Row],[上班時間]]=0,"否","是")</f>
        <v>否</v>
      </c>
      <c r="O1710" s="10" t="s">
        <v>74</v>
      </c>
      <c r="P1710" s="37">
        <v>0</v>
      </c>
      <c r="Q1710" s="37">
        <v>0</v>
      </c>
      <c r="R1710" s="37">
        <v>0</v>
      </c>
    </row>
    <row r="1711" spans="1:18" hidden="1">
      <c r="A1711" t="s">
        <v>75</v>
      </c>
      <c r="B1711" t="s">
        <v>11</v>
      </c>
      <c r="C1711">
        <v>0</v>
      </c>
      <c r="D1711">
        <v>0</v>
      </c>
      <c r="E1711" s="29">
        <v>0</v>
      </c>
      <c r="F1711">
        <v>0</v>
      </c>
      <c r="G1711">
        <v>0</v>
      </c>
      <c r="H1711">
        <v>0</v>
      </c>
      <c r="I1711" s="29">
        <v>0</v>
      </c>
      <c r="J1711" s="29">
        <v>0</v>
      </c>
      <c r="K1711" s="9">
        <v>45335</v>
      </c>
      <c r="L1711">
        <f xml:space="preserve"> (交易處理資料__3[[#This Row],[售出工時]] * 60) / 5</f>
        <v>0</v>
      </c>
      <c r="M1711" t="str">
        <f>VLOOKUP(交易處理資料__3[[#This Row],[人員代號]],團隊分組!$B$1:$C$52,2,FALSE)</f>
        <v>鈑金維修組</v>
      </c>
      <c r="N1711" t="str">
        <f>IF(交易處理資料__3[[#This Row],[上班時間]]=0,"否","是")</f>
        <v>否</v>
      </c>
      <c r="O1711" t="s">
        <v>75</v>
      </c>
      <c r="P1711" s="38">
        <v>0</v>
      </c>
      <c r="Q1711" s="38">
        <v>0</v>
      </c>
      <c r="R1711" s="38">
        <v>0</v>
      </c>
    </row>
    <row r="1712" spans="1:18" hidden="1">
      <c r="A1712" t="s">
        <v>75</v>
      </c>
      <c r="B1712" t="s">
        <v>12</v>
      </c>
      <c r="C1712">
        <v>0</v>
      </c>
      <c r="D1712">
        <v>0</v>
      </c>
      <c r="E1712" s="29">
        <v>0</v>
      </c>
      <c r="F1712">
        <v>0</v>
      </c>
      <c r="G1712">
        <v>0</v>
      </c>
      <c r="H1712">
        <v>0</v>
      </c>
      <c r="I1712" s="29">
        <v>0</v>
      </c>
      <c r="J1712" s="29">
        <v>0</v>
      </c>
      <c r="K1712" s="9">
        <v>45335</v>
      </c>
      <c r="L1712">
        <f xml:space="preserve"> (交易處理資料__3[[#This Row],[售出工時]] * 60) / 5</f>
        <v>0</v>
      </c>
      <c r="M1712" t="str">
        <f>VLOOKUP(交易處理資料__3[[#This Row],[人員代號]],團隊分組!$B$1:$C$52,2,FALSE)</f>
        <v>鈑金維修組</v>
      </c>
      <c r="N1712" t="str">
        <f>IF(交易處理資料__3[[#This Row],[上班時間]]=0,"否","是")</f>
        <v>否</v>
      </c>
      <c r="O1712" t="s">
        <v>75</v>
      </c>
      <c r="P1712" s="37">
        <v>0</v>
      </c>
      <c r="Q1712" s="37">
        <v>0</v>
      </c>
      <c r="R1712" s="37">
        <v>0</v>
      </c>
    </row>
    <row r="1713" spans="1:18" hidden="1">
      <c r="A1713" t="s">
        <v>75</v>
      </c>
      <c r="B1713" t="s">
        <v>13</v>
      </c>
      <c r="C1713">
        <v>0</v>
      </c>
      <c r="D1713">
        <v>0</v>
      </c>
      <c r="E1713" s="29">
        <v>0</v>
      </c>
      <c r="F1713">
        <v>0</v>
      </c>
      <c r="G1713">
        <v>0</v>
      </c>
      <c r="H1713">
        <v>0</v>
      </c>
      <c r="I1713" s="29">
        <v>0</v>
      </c>
      <c r="J1713" s="29">
        <v>0</v>
      </c>
      <c r="K1713" s="9">
        <v>45335</v>
      </c>
      <c r="L1713">
        <f xml:space="preserve"> (交易處理資料__3[[#This Row],[售出工時]] * 60) / 5</f>
        <v>0</v>
      </c>
      <c r="M1713" t="str">
        <f>VLOOKUP(交易處理資料__3[[#This Row],[人員代號]],團隊分組!$B$1:$C$52,2,FALSE)</f>
        <v>鈑金維修組</v>
      </c>
      <c r="N1713" t="str">
        <f>IF(交易處理資料__3[[#This Row],[上班時間]]=0,"否","是")</f>
        <v>否</v>
      </c>
      <c r="O1713" t="s">
        <v>75</v>
      </c>
      <c r="P1713" s="38">
        <v>0</v>
      </c>
      <c r="Q1713" s="38">
        <v>0</v>
      </c>
      <c r="R1713" s="38">
        <v>0</v>
      </c>
    </row>
    <row r="1714" spans="1:18" hidden="1">
      <c r="A1714" t="s">
        <v>75</v>
      </c>
      <c r="B1714" t="s">
        <v>14</v>
      </c>
      <c r="C1714">
        <v>0</v>
      </c>
      <c r="D1714">
        <v>0</v>
      </c>
      <c r="E1714" s="29">
        <v>0</v>
      </c>
      <c r="F1714">
        <v>0</v>
      </c>
      <c r="G1714">
        <v>0</v>
      </c>
      <c r="H1714">
        <v>0</v>
      </c>
      <c r="I1714" s="29">
        <v>0</v>
      </c>
      <c r="J1714" s="29">
        <v>0</v>
      </c>
      <c r="K1714" s="9">
        <v>45335</v>
      </c>
      <c r="L1714">
        <f xml:space="preserve"> (交易處理資料__3[[#This Row],[售出工時]] * 60) / 5</f>
        <v>0</v>
      </c>
      <c r="M1714" t="str">
        <f>VLOOKUP(交易處理資料__3[[#This Row],[人員代號]],團隊分組!$B$1:$C$52,2,FALSE)</f>
        <v>鈑金維修組</v>
      </c>
      <c r="N1714" t="str">
        <f>IF(交易處理資料__3[[#This Row],[上班時間]]=0,"否","是")</f>
        <v>否</v>
      </c>
      <c r="O1714" t="s">
        <v>75</v>
      </c>
      <c r="P1714" s="37">
        <v>0</v>
      </c>
      <c r="Q1714" s="37">
        <v>0</v>
      </c>
      <c r="R1714" s="37">
        <v>0</v>
      </c>
    </row>
    <row r="1715" spans="1:18" hidden="1">
      <c r="A1715" t="s">
        <v>75</v>
      </c>
      <c r="B1715" t="s">
        <v>15</v>
      </c>
      <c r="C1715">
        <v>0</v>
      </c>
      <c r="D1715">
        <v>0</v>
      </c>
      <c r="E1715" s="29">
        <v>0</v>
      </c>
      <c r="F1715">
        <v>0</v>
      </c>
      <c r="G1715">
        <v>0</v>
      </c>
      <c r="H1715">
        <v>0</v>
      </c>
      <c r="I1715" s="29">
        <v>0</v>
      </c>
      <c r="J1715" s="29">
        <v>0</v>
      </c>
      <c r="K1715" s="9">
        <v>45335</v>
      </c>
      <c r="L1715">
        <f xml:space="preserve"> (交易處理資料__3[[#This Row],[售出工時]] * 60) / 5</f>
        <v>0</v>
      </c>
      <c r="M1715" t="str">
        <f>VLOOKUP(交易處理資料__3[[#This Row],[人員代號]],團隊分組!$B$1:$C$52,2,FALSE)</f>
        <v>鈑金維修組</v>
      </c>
      <c r="N1715" t="str">
        <f>IF(交易處理資料__3[[#This Row],[上班時間]]=0,"否","是")</f>
        <v>否</v>
      </c>
      <c r="O1715" t="s">
        <v>75</v>
      </c>
      <c r="P1715" s="38">
        <v>0</v>
      </c>
      <c r="Q1715" s="38">
        <v>0</v>
      </c>
      <c r="R1715" s="38">
        <v>0</v>
      </c>
    </row>
    <row r="1716" spans="1:18" hidden="1">
      <c r="A1716" t="s">
        <v>76</v>
      </c>
      <c r="B1716" t="s">
        <v>17</v>
      </c>
      <c r="C1716">
        <v>0</v>
      </c>
      <c r="D1716">
        <v>0</v>
      </c>
      <c r="E1716" s="29">
        <v>0</v>
      </c>
      <c r="F1716">
        <v>0</v>
      </c>
      <c r="G1716">
        <v>0</v>
      </c>
      <c r="H1716">
        <v>0</v>
      </c>
      <c r="I1716" s="29">
        <v>0</v>
      </c>
      <c r="J1716" s="29">
        <v>0</v>
      </c>
      <c r="K1716" s="9">
        <v>45335</v>
      </c>
      <c r="L1716">
        <f xml:space="preserve"> (交易處理資料__3[[#This Row],[售出工時]] * 60) / 5</f>
        <v>0</v>
      </c>
      <c r="M1716" t="str">
        <f>VLOOKUP(交易處理資料__3[[#This Row],[人員代號]],團隊分組!$B$1:$C$52,2,FALSE)</f>
        <v>快速保養團隊A</v>
      </c>
      <c r="N1716" t="str">
        <f>IF(交易處理資料__3[[#This Row],[上班時間]]=0,"否","是")</f>
        <v>否</v>
      </c>
      <c r="O1716" t="s">
        <v>76</v>
      </c>
      <c r="P1716" s="37">
        <v>0</v>
      </c>
      <c r="Q1716" s="37">
        <v>0</v>
      </c>
      <c r="R1716" s="37">
        <v>0</v>
      </c>
    </row>
    <row r="1717" spans="1:18" hidden="1">
      <c r="A1717" t="s">
        <v>76</v>
      </c>
      <c r="B1717" t="s">
        <v>18</v>
      </c>
      <c r="C1717">
        <v>0</v>
      </c>
      <c r="D1717">
        <v>0</v>
      </c>
      <c r="E1717" s="29">
        <v>0</v>
      </c>
      <c r="F1717">
        <v>0</v>
      </c>
      <c r="G1717">
        <v>0</v>
      </c>
      <c r="H1717">
        <v>0</v>
      </c>
      <c r="I1717" s="29">
        <v>0</v>
      </c>
      <c r="J1717" s="29">
        <v>0</v>
      </c>
      <c r="K1717" s="9">
        <v>45335</v>
      </c>
      <c r="L1717">
        <f xml:space="preserve"> (交易處理資料__3[[#This Row],[售出工時]] * 60) / 5</f>
        <v>0</v>
      </c>
      <c r="M1717" t="str">
        <f>VLOOKUP(交易處理資料__3[[#This Row],[人員代號]],團隊分組!$B$1:$C$52,2,FALSE)</f>
        <v>查修團隊B</v>
      </c>
      <c r="N1717" t="str">
        <f>IF(交易處理資料__3[[#This Row],[上班時間]]=0,"否","是")</f>
        <v>否</v>
      </c>
      <c r="O1717" t="s">
        <v>76</v>
      </c>
      <c r="P1717" s="38">
        <v>0</v>
      </c>
      <c r="Q1717" s="38">
        <v>0</v>
      </c>
      <c r="R1717" s="38">
        <v>0</v>
      </c>
    </row>
    <row r="1718" spans="1:18" hidden="1">
      <c r="A1718" t="s">
        <v>76</v>
      </c>
      <c r="B1718" t="s">
        <v>19</v>
      </c>
      <c r="C1718">
        <v>0</v>
      </c>
      <c r="D1718">
        <v>0</v>
      </c>
      <c r="E1718" s="29">
        <v>0</v>
      </c>
      <c r="F1718">
        <v>0</v>
      </c>
      <c r="G1718">
        <v>0</v>
      </c>
      <c r="H1718">
        <v>0</v>
      </c>
      <c r="I1718" s="29">
        <v>0</v>
      </c>
      <c r="J1718" s="29">
        <v>0</v>
      </c>
      <c r="K1718" s="9">
        <v>45335</v>
      </c>
      <c r="L1718">
        <f xml:space="preserve"> (交易處理資料__3[[#This Row],[售出工時]] * 60) / 5</f>
        <v>0</v>
      </c>
      <c r="M1718" t="str">
        <f>VLOOKUP(交易處理資料__3[[#This Row],[人員代號]],團隊分組!$B$1:$C$52,2,FALSE)</f>
        <v>查修團隊A</v>
      </c>
      <c r="N1718" t="str">
        <f>IF(交易處理資料__3[[#This Row],[上班時間]]=0,"否","是")</f>
        <v>否</v>
      </c>
      <c r="O1718" t="s">
        <v>76</v>
      </c>
      <c r="P1718" s="37">
        <v>0</v>
      </c>
      <c r="Q1718" s="37">
        <v>0</v>
      </c>
      <c r="R1718" s="37">
        <v>0</v>
      </c>
    </row>
    <row r="1719" spans="1:18" hidden="1">
      <c r="A1719" t="s">
        <v>76</v>
      </c>
      <c r="B1719" t="s">
        <v>20</v>
      </c>
      <c r="C1719">
        <v>0</v>
      </c>
      <c r="D1719">
        <v>0</v>
      </c>
      <c r="E1719" s="29">
        <v>0</v>
      </c>
      <c r="F1719">
        <v>0</v>
      </c>
      <c r="G1719">
        <v>0</v>
      </c>
      <c r="H1719">
        <v>0</v>
      </c>
      <c r="I1719" s="29">
        <v>0</v>
      </c>
      <c r="J1719" s="29">
        <v>0</v>
      </c>
      <c r="K1719" s="9">
        <v>45335</v>
      </c>
      <c r="L1719">
        <f xml:space="preserve"> (交易處理資料__3[[#This Row],[售出工時]] * 60) / 5</f>
        <v>0</v>
      </c>
      <c r="M1719" t="str">
        <f>VLOOKUP(交易處理資料__3[[#This Row],[人員代號]],團隊分組!$B$1:$C$52,2,FALSE)</f>
        <v>查修團隊B</v>
      </c>
      <c r="N1719" t="str">
        <f>IF(交易處理資料__3[[#This Row],[上班時間]]=0,"否","是")</f>
        <v>否</v>
      </c>
      <c r="O1719" t="s">
        <v>76</v>
      </c>
      <c r="P1719" s="38">
        <v>0</v>
      </c>
      <c r="Q1719" s="38">
        <v>0</v>
      </c>
      <c r="R1719" s="38">
        <v>0</v>
      </c>
    </row>
    <row r="1720" spans="1:18" hidden="1">
      <c r="A1720" t="s">
        <v>76</v>
      </c>
      <c r="B1720" t="s">
        <v>21</v>
      </c>
      <c r="C1720">
        <v>0</v>
      </c>
      <c r="D1720">
        <v>0</v>
      </c>
      <c r="E1720" s="29">
        <v>0</v>
      </c>
      <c r="F1720">
        <v>0</v>
      </c>
      <c r="G1720">
        <v>0</v>
      </c>
      <c r="H1720">
        <v>0</v>
      </c>
      <c r="I1720" s="29">
        <v>0</v>
      </c>
      <c r="J1720" s="29">
        <v>0</v>
      </c>
      <c r="K1720" s="9">
        <v>45335</v>
      </c>
      <c r="L1720">
        <f xml:space="preserve"> (交易處理資料__3[[#This Row],[售出工時]] * 60) / 5</f>
        <v>0</v>
      </c>
      <c r="M1720" t="str">
        <f>VLOOKUP(交易處理資料__3[[#This Row],[人員代號]],團隊分組!$B$1:$C$52,2,FALSE)</f>
        <v>查修團隊B</v>
      </c>
      <c r="N1720" t="str">
        <f>IF(交易處理資料__3[[#This Row],[上班時間]]=0,"否","是")</f>
        <v>否</v>
      </c>
      <c r="O1720" t="s">
        <v>76</v>
      </c>
      <c r="P1720" s="37">
        <v>0</v>
      </c>
      <c r="Q1720" s="37">
        <v>0</v>
      </c>
      <c r="R1720" s="37">
        <v>0</v>
      </c>
    </row>
    <row r="1721" spans="1:18" hidden="1">
      <c r="A1721" t="s">
        <v>76</v>
      </c>
      <c r="B1721" t="s">
        <v>22</v>
      </c>
      <c r="C1721">
        <v>0</v>
      </c>
      <c r="D1721">
        <v>0</v>
      </c>
      <c r="E1721" s="29">
        <v>0</v>
      </c>
      <c r="F1721">
        <v>0</v>
      </c>
      <c r="G1721">
        <v>0</v>
      </c>
      <c r="H1721">
        <v>0</v>
      </c>
      <c r="I1721" s="29">
        <v>0</v>
      </c>
      <c r="J1721" s="29">
        <v>0</v>
      </c>
      <c r="K1721" s="9">
        <v>45335</v>
      </c>
      <c r="L1721">
        <f xml:space="preserve"> (交易處理資料__3[[#This Row],[售出工時]] * 60) / 5</f>
        <v>0</v>
      </c>
      <c r="M1721" t="str">
        <f>VLOOKUP(交易處理資料__3[[#This Row],[人員代號]],團隊分組!$B$1:$C$52,2,FALSE)</f>
        <v>快速保養團隊A</v>
      </c>
      <c r="N1721" t="str">
        <f>IF(交易處理資料__3[[#This Row],[上班時間]]=0,"否","是")</f>
        <v>否</v>
      </c>
      <c r="O1721" t="s">
        <v>76</v>
      </c>
      <c r="P1721" s="38">
        <v>0</v>
      </c>
      <c r="Q1721" s="38">
        <v>0</v>
      </c>
      <c r="R1721" s="38">
        <v>0</v>
      </c>
    </row>
    <row r="1722" spans="1:18" hidden="1">
      <c r="A1722" t="s">
        <v>76</v>
      </c>
      <c r="B1722" t="s">
        <v>23</v>
      </c>
      <c r="C1722">
        <v>0</v>
      </c>
      <c r="D1722">
        <v>0</v>
      </c>
      <c r="E1722" s="29">
        <v>0</v>
      </c>
      <c r="F1722">
        <v>0</v>
      </c>
      <c r="G1722">
        <v>0</v>
      </c>
      <c r="H1722">
        <v>0</v>
      </c>
      <c r="I1722" s="29">
        <v>0</v>
      </c>
      <c r="J1722" s="29">
        <v>0</v>
      </c>
      <c r="K1722" s="9">
        <v>45335</v>
      </c>
      <c r="L1722">
        <f xml:space="preserve"> (交易處理資料__3[[#This Row],[售出工時]] * 60) / 5</f>
        <v>0</v>
      </c>
      <c r="M1722" t="str">
        <f>VLOOKUP(交易處理資料__3[[#This Row],[人員代號]],團隊分組!$B$1:$C$52,2,FALSE)</f>
        <v>快速保養團隊B</v>
      </c>
      <c r="N1722" t="str">
        <f>IF(交易處理資料__3[[#This Row],[上班時間]]=0,"否","是")</f>
        <v>否</v>
      </c>
      <c r="O1722" t="s">
        <v>76</v>
      </c>
      <c r="P1722" s="37">
        <v>0</v>
      </c>
      <c r="Q1722" s="37">
        <v>0</v>
      </c>
      <c r="R1722" s="37">
        <v>0</v>
      </c>
    </row>
    <row r="1723" spans="1:18" hidden="1">
      <c r="A1723" t="s">
        <v>76</v>
      </c>
      <c r="B1723" t="s">
        <v>24</v>
      </c>
      <c r="C1723">
        <v>0</v>
      </c>
      <c r="D1723">
        <v>0</v>
      </c>
      <c r="E1723" s="29">
        <v>0</v>
      </c>
      <c r="F1723">
        <v>0</v>
      </c>
      <c r="G1723">
        <v>0</v>
      </c>
      <c r="H1723">
        <v>0</v>
      </c>
      <c r="I1723" s="29">
        <v>0</v>
      </c>
      <c r="J1723" s="29">
        <v>0</v>
      </c>
      <c r="K1723" s="9">
        <v>45335</v>
      </c>
      <c r="L1723">
        <f xml:space="preserve"> (交易處理資料__3[[#This Row],[售出工時]] * 60) / 5</f>
        <v>0</v>
      </c>
      <c r="M1723" t="str">
        <f>VLOOKUP(交易處理資料__3[[#This Row],[人員代號]],團隊分組!$B$1:$C$52,2,FALSE)</f>
        <v>快速保養團隊A</v>
      </c>
      <c r="N1723" t="str">
        <f>IF(交易處理資料__3[[#This Row],[上班時間]]=0,"否","是")</f>
        <v>否</v>
      </c>
      <c r="O1723" t="s">
        <v>76</v>
      </c>
      <c r="P1723" s="38">
        <v>0</v>
      </c>
      <c r="Q1723" s="38">
        <v>0</v>
      </c>
      <c r="R1723" s="38">
        <v>0</v>
      </c>
    </row>
    <row r="1724" spans="1:18" hidden="1">
      <c r="A1724" t="s">
        <v>76</v>
      </c>
      <c r="B1724" t="s">
        <v>25</v>
      </c>
      <c r="C1724">
        <v>0</v>
      </c>
      <c r="D1724">
        <v>0</v>
      </c>
      <c r="E1724" s="29">
        <v>0</v>
      </c>
      <c r="F1724">
        <v>0</v>
      </c>
      <c r="G1724">
        <v>0</v>
      </c>
      <c r="H1724">
        <v>0</v>
      </c>
      <c r="I1724" s="29">
        <v>0</v>
      </c>
      <c r="J1724" s="29">
        <v>0</v>
      </c>
      <c r="K1724" s="9">
        <v>45335</v>
      </c>
      <c r="L1724">
        <f xml:space="preserve"> (交易處理資料__3[[#This Row],[售出工時]] * 60) / 5</f>
        <v>0</v>
      </c>
      <c r="M1724" t="str">
        <f>VLOOKUP(交易處理資料__3[[#This Row],[人員代號]],團隊分組!$B$1:$C$52,2,FALSE)</f>
        <v>查修團隊A</v>
      </c>
      <c r="N1724" t="str">
        <f>IF(交易處理資料__3[[#This Row],[上班時間]]=0,"否","是")</f>
        <v>否</v>
      </c>
      <c r="O1724" t="s">
        <v>76</v>
      </c>
      <c r="P1724" s="37">
        <v>0</v>
      </c>
      <c r="Q1724" s="37">
        <v>0</v>
      </c>
      <c r="R1724" s="37">
        <v>0</v>
      </c>
    </row>
    <row r="1725" spans="1:18" hidden="1">
      <c r="A1725" t="s">
        <v>76</v>
      </c>
      <c r="B1725" t="s">
        <v>26</v>
      </c>
      <c r="C1725">
        <v>0</v>
      </c>
      <c r="D1725">
        <v>0</v>
      </c>
      <c r="E1725" s="29">
        <v>0</v>
      </c>
      <c r="F1725">
        <v>0</v>
      </c>
      <c r="G1725">
        <v>0</v>
      </c>
      <c r="H1725">
        <v>0</v>
      </c>
      <c r="I1725" s="29">
        <v>0</v>
      </c>
      <c r="J1725" s="29">
        <v>0</v>
      </c>
      <c r="K1725" s="9">
        <v>45335</v>
      </c>
      <c r="L1725">
        <f xml:space="preserve"> (交易處理資料__3[[#This Row],[售出工時]] * 60) / 5</f>
        <v>0</v>
      </c>
      <c r="M1725" t="str">
        <f>VLOOKUP(交易處理資料__3[[#This Row],[人員代號]],團隊分組!$B$1:$C$52,2,FALSE)</f>
        <v>查修團隊B</v>
      </c>
      <c r="N1725" t="str">
        <f>IF(交易處理資料__3[[#This Row],[上班時間]]=0,"否","是")</f>
        <v>否</v>
      </c>
      <c r="O1725" t="s">
        <v>76</v>
      </c>
      <c r="P1725" s="38">
        <v>0</v>
      </c>
      <c r="Q1725" s="38">
        <v>0</v>
      </c>
      <c r="R1725" s="38">
        <v>0</v>
      </c>
    </row>
    <row r="1726" spans="1:18" hidden="1">
      <c r="A1726" t="s">
        <v>76</v>
      </c>
      <c r="B1726" t="s">
        <v>27</v>
      </c>
      <c r="C1726">
        <v>0</v>
      </c>
      <c r="D1726">
        <v>0</v>
      </c>
      <c r="E1726" s="29">
        <v>0</v>
      </c>
      <c r="F1726">
        <v>0</v>
      </c>
      <c r="G1726">
        <v>0</v>
      </c>
      <c r="H1726">
        <v>0</v>
      </c>
      <c r="I1726" s="29">
        <v>0</v>
      </c>
      <c r="J1726" s="29">
        <v>0</v>
      </c>
      <c r="K1726" s="9">
        <v>45335</v>
      </c>
      <c r="L1726">
        <f xml:space="preserve"> (交易處理資料__3[[#This Row],[售出工時]] * 60) / 5</f>
        <v>0</v>
      </c>
      <c r="M1726" t="str">
        <f>VLOOKUP(交易處理資料__3[[#This Row],[人員代號]],團隊分組!$B$1:$C$52,2,FALSE)</f>
        <v>快速保養團隊B</v>
      </c>
      <c r="N1726" t="str">
        <f>IF(交易處理資料__3[[#This Row],[上班時間]]=0,"否","是")</f>
        <v>否</v>
      </c>
      <c r="O1726" t="s">
        <v>76</v>
      </c>
      <c r="P1726" s="37">
        <v>0</v>
      </c>
      <c r="Q1726" s="37">
        <v>0</v>
      </c>
      <c r="R1726" s="37">
        <v>0</v>
      </c>
    </row>
    <row r="1727" spans="1:18" hidden="1">
      <c r="A1727" t="s">
        <v>76</v>
      </c>
      <c r="B1727" t="s">
        <v>28</v>
      </c>
      <c r="C1727">
        <v>0</v>
      </c>
      <c r="D1727">
        <v>0</v>
      </c>
      <c r="E1727" s="29">
        <v>0</v>
      </c>
      <c r="F1727">
        <v>0</v>
      </c>
      <c r="G1727">
        <v>0</v>
      </c>
      <c r="H1727">
        <v>0</v>
      </c>
      <c r="I1727" s="29">
        <v>0</v>
      </c>
      <c r="J1727" s="29">
        <v>0</v>
      </c>
      <c r="K1727" s="9">
        <v>45335</v>
      </c>
      <c r="L1727">
        <f xml:space="preserve"> (交易處理資料__3[[#This Row],[售出工時]] * 60) / 5</f>
        <v>0</v>
      </c>
      <c r="M1727" t="str">
        <f>VLOOKUP(交易處理資料__3[[#This Row],[人員代號]],團隊分組!$B$1:$C$52,2,FALSE)</f>
        <v>快速保養團隊A</v>
      </c>
      <c r="N1727" t="str">
        <f>IF(交易處理資料__3[[#This Row],[上班時間]]=0,"否","是")</f>
        <v>否</v>
      </c>
      <c r="O1727" t="s">
        <v>76</v>
      </c>
      <c r="P1727" s="38">
        <v>0</v>
      </c>
      <c r="Q1727" s="38">
        <v>0</v>
      </c>
      <c r="R1727" s="38">
        <v>0</v>
      </c>
    </row>
    <row r="1728" spans="1:18" hidden="1">
      <c r="A1728" t="s">
        <v>76</v>
      </c>
      <c r="B1728" t="s">
        <v>29</v>
      </c>
      <c r="C1728">
        <v>0</v>
      </c>
      <c r="D1728">
        <v>0</v>
      </c>
      <c r="E1728" s="29">
        <v>0</v>
      </c>
      <c r="F1728">
        <v>0</v>
      </c>
      <c r="G1728">
        <v>0</v>
      </c>
      <c r="H1728">
        <v>0</v>
      </c>
      <c r="I1728" s="29">
        <v>0</v>
      </c>
      <c r="J1728" s="29">
        <v>0</v>
      </c>
      <c r="K1728" s="9">
        <v>45335</v>
      </c>
      <c r="L1728">
        <f xml:space="preserve"> (交易處理資料__3[[#This Row],[售出工時]] * 60) / 5</f>
        <v>0</v>
      </c>
      <c r="M1728" t="str">
        <f>VLOOKUP(交易處理資料__3[[#This Row],[人員代號]],團隊分組!$B$1:$C$52,2,FALSE)</f>
        <v>查修團隊B</v>
      </c>
      <c r="N1728" t="str">
        <f>IF(交易處理資料__3[[#This Row],[上班時間]]=0,"否","是")</f>
        <v>否</v>
      </c>
      <c r="O1728" t="s">
        <v>76</v>
      </c>
      <c r="P1728" s="37">
        <v>0</v>
      </c>
      <c r="Q1728" s="37">
        <v>0</v>
      </c>
      <c r="R1728" s="37">
        <v>0</v>
      </c>
    </row>
    <row r="1729" spans="1:18" hidden="1">
      <c r="A1729" t="s">
        <v>76</v>
      </c>
      <c r="B1729" t="s">
        <v>30</v>
      </c>
      <c r="C1729">
        <v>0</v>
      </c>
      <c r="D1729">
        <v>0</v>
      </c>
      <c r="E1729" s="29">
        <v>0</v>
      </c>
      <c r="F1729">
        <v>0</v>
      </c>
      <c r="G1729">
        <v>0</v>
      </c>
      <c r="H1729">
        <v>0</v>
      </c>
      <c r="I1729" s="29">
        <v>0</v>
      </c>
      <c r="J1729" s="29">
        <v>0</v>
      </c>
      <c r="K1729" s="9">
        <v>45335</v>
      </c>
      <c r="L1729">
        <f xml:space="preserve"> (交易處理資料__3[[#This Row],[售出工時]] * 60) / 5</f>
        <v>0</v>
      </c>
      <c r="M1729" t="str">
        <f>VLOOKUP(交易處理資料__3[[#This Row],[人員代號]],團隊分組!$B$1:$C$52,2,FALSE)</f>
        <v>快速保養團隊B</v>
      </c>
      <c r="N1729" t="str">
        <f>IF(交易處理資料__3[[#This Row],[上班時間]]=0,"否","是")</f>
        <v>否</v>
      </c>
      <c r="O1729" t="s">
        <v>76</v>
      </c>
      <c r="P1729" s="38">
        <v>0</v>
      </c>
      <c r="Q1729" s="38">
        <v>0</v>
      </c>
      <c r="R1729" s="38">
        <v>0</v>
      </c>
    </row>
    <row r="1730" spans="1:18" hidden="1">
      <c r="A1730" t="s">
        <v>76</v>
      </c>
      <c r="B1730" t="s">
        <v>32</v>
      </c>
      <c r="C1730">
        <v>0</v>
      </c>
      <c r="D1730">
        <v>0</v>
      </c>
      <c r="E1730" s="29">
        <v>0</v>
      </c>
      <c r="F1730">
        <v>0</v>
      </c>
      <c r="G1730">
        <v>0</v>
      </c>
      <c r="H1730">
        <v>0</v>
      </c>
      <c r="I1730" s="29">
        <v>0</v>
      </c>
      <c r="J1730" s="29">
        <v>0</v>
      </c>
      <c r="K1730" s="9">
        <v>45335</v>
      </c>
      <c r="L1730">
        <f xml:space="preserve"> (交易處理資料__3[[#This Row],[售出工時]] * 60) / 5</f>
        <v>0</v>
      </c>
      <c r="M1730" t="str">
        <f>VLOOKUP(交易處理資料__3[[#This Row],[人員代號]],團隊分組!$B$1:$C$52,2,FALSE)</f>
        <v>快速保養團隊B</v>
      </c>
      <c r="N1730" t="str">
        <f>IF(交易處理資料__3[[#This Row],[上班時間]]=0,"否","是")</f>
        <v>否</v>
      </c>
      <c r="O1730" t="s">
        <v>76</v>
      </c>
      <c r="P1730" s="37">
        <v>0</v>
      </c>
      <c r="Q1730" s="37">
        <v>0</v>
      </c>
      <c r="R1730" s="37">
        <v>0</v>
      </c>
    </row>
    <row r="1731" spans="1:18" hidden="1">
      <c r="A1731" t="s">
        <v>76</v>
      </c>
      <c r="B1731" t="s">
        <v>33</v>
      </c>
      <c r="C1731">
        <v>0</v>
      </c>
      <c r="D1731">
        <v>0</v>
      </c>
      <c r="E1731" s="29">
        <v>0</v>
      </c>
      <c r="F1731">
        <v>0</v>
      </c>
      <c r="G1731">
        <v>0</v>
      </c>
      <c r="H1731">
        <v>0</v>
      </c>
      <c r="I1731" s="29">
        <v>0</v>
      </c>
      <c r="J1731" s="29">
        <v>0</v>
      </c>
      <c r="K1731" s="9">
        <v>45335</v>
      </c>
      <c r="L1731">
        <f xml:space="preserve"> (交易處理資料__3[[#This Row],[售出工時]] * 60) / 5</f>
        <v>0</v>
      </c>
      <c r="M1731" t="str">
        <f>VLOOKUP(交易處理資料__3[[#This Row],[人員代號]],團隊分組!$B$1:$C$52,2,FALSE)</f>
        <v>快速保養團隊B</v>
      </c>
      <c r="N1731" t="str">
        <f>IF(交易處理資料__3[[#This Row],[上班時間]]=0,"否","是")</f>
        <v>否</v>
      </c>
      <c r="O1731" t="s">
        <v>76</v>
      </c>
      <c r="P1731" s="38">
        <v>0</v>
      </c>
      <c r="Q1731" s="38">
        <v>0</v>
      </c>
      <c r="R1731" s="38">
        <v>0</v>
      </c>
    </row>
    <row r="1732" spans="1:18" hidden="1">
      <c r="A1732" t="s">
        <v>76</v>
      </c>
      <c r="B1732" t="s">
        <v>34</v>
      </c>
      <c r="C1732">
        <v>0</v>
      </c>
      <c r="D1732">
        <v>0</v>
      </c>
      <c r="E1732" s="29">
        <v>0</v>
      </c>
      <c r="F1732">
        <v>0</v>
      </c>
      <c r="G1732">
        <v>0</v>
      </c>
      <c r="H1732">
        <v>0</v>
      </c>
      <c r="I1732" s="29">
        <v>0</v>
      </c>
      <c r="J1732" s="29">
        <v>0</v>
      </c>
      <c r="K1732" s="9">
        <v>45335</v>
      </c>
      <c r="L1732">
        <f xml:space="preserve"> (交易處理資料__3[[#This Row],[售出工時]] * 60) / 5</f>
        <v>0</v>
      </c>
      <c r="M1732" t="str">
        <f>VLOOKUP(交易處理資料__3[[#This Row],[人員代號]],團隊分組!$B$1:$C$52,2,FALSE)</f>
        <v>快速保養團隊A</v>
      </c>
      <c r="N1732" t="str">
        <f>IF(交易處理資料__3[[#This Row],[上班時間]]=0,"否","是")</f>
        <v>否</v>
      </c>
      <c r="O1732" t="s">
        <v>76</v>
      </c>
      <c r="P1732" s="37">
        <v>0</v>
      </c>
      <c r="Q1732" s="37">
        <v>0</v>
      </c>
      <c r="R1732" s="37">
        <v>0</v>
      </c>
    </row>
    <row r="1733" spans="1:18" hidden="1">
      <c r="A1733" t="s">
        <v>76</v>
      </c>
      <c r="B1733" t="s">
        <v>35</v>
      </c>
      <c r="C1733">
        <v>0</v>
      </c>
      <c r="D1733">
        <v>0</v>
      </c>
      <c r="E1733" s="29">
        <v>0</v>
      </c>
      <c r="F1733">
        <v>0</v>
      </c>
      <c r="G1733">
        <v>0</v>
      </c>
      <c r="H1733">
        <v>0</v>
      </c>
      <c r="I1733" s="29">
        <v>0</v>
      </c>
      <c r="J1733" s="29">
        <v>0</v>
      </c>
      <c r="K1733" s="9">
        <v>45335</v>
      </c>
      <c r="L1733">
        <f xml:space="preserve"> (交易處理資料__3[[#This Row],[售出工時]] * 60) / 5</f>
        <v>0</v>
      </c>
      <c r="M1733" t="str">
        <f>VLOOKUP(交易處理資料__3[[#This Row],[人員代號]],團隊分組!$B$1:$C$52,2,FALSE)</f>
        <v>查修團隊B</v>
      </c>
      <c r="N1733" t="str">
        <f>IF(交易處理資料__3[[#This Row],[上班時間]]=0,"否","是")</f>
        <v>否</v>
      </c>
      <c r="O1733" t="s">
        <v>76</v>
      </c>
      <c r="P1733" s="38">
        <v>0</v>
      </c>
      <c r="Q1733" s="38">
        <v>0</v>
      </c>
      <c r="R1733" s="38">
        <v>0</v>
      </c>
    </row>
    <row r="1734" spans="1:18" hidden="1">
      <c r="A1734" t="s">
        <v>76</v>
      </c>
      <c r="B1734" t="s">
        <v>36</v>
      </c>
      <c r="C1734">
        <v>0</v>
      </c>
      <c r="D1734">
        <v>0</v>
      </c>
      <c r="E1734" s="29">
        <v>0</v>
      </c>
      <c r="F1734">
        <v>0</v>
      </c>
      <c r="G1734">
        <v>0</v>
      </c>
      <c r="H1734">
        <v>0</v>
      </c>
      <c r="I1734" s="29">
        <v>0</v>
      </c>
      <c r="J1734" s="29">
        <v>0</v>
      </c>
      <c r="K1734" s="9">
        <v>45335</v>
      </c>
      <c r="L1734">
        <f xml:space="preserve"> (交易處理資料__3[[#This Row],[售出工時]] * 60) / 5</f>
        <v>0</v>
      </c>
      <c r="M1734" t="str">
        <f>VLOOKUP(交易處理資料__3[[#This Row],[人員代號]],團隊分組!$B$1:$C$52,2,FALSE)</f>
        <v>查修團隊B</v>
      </c>
      <c r="N1734" t="str">
        <f>IF(交易處理資料__3[[#This Row],[上班時間]]=0,"否","是")</f>
        <v>否</v>
      </c>
      <c r="O1734" t="s">
        <v>76</v>
      </c>
      <c r="P1734" s="37">
        <v>0</v>
      </c>
      <c r="Q1734" s="37">
        <v>0</v>
      </c>
      <c r="R1734" s="37">
        <v>0</v>
      </c>
    </row>
    <row r="1735" spans="1:18" hidden="1">
      <c r="A1735" t="s">
        <v>76</v>
      </c>
      <c r="B1735" t="s">
        <v>37</v>
      </c>
      <c r="C1735">
        <v>0</v>
      </c>
      <c r="D1735">
        <v>0</v>
      </c>
      <c r="E1735" s="29">
        <v>0</v>
      </c>
      <c r="F1735">
        <v>0</v>
      </c>
      <c r="G1735">
        <v>0</v>
      </c>
      <c r="H1735">
        <v>0</v>
      </c>
      <c r="I1735" s="29">
        <v>0</v>
      </c>
      <c r="J1735" s="29">
        <v>0</v>
      </c>
      <c r="K1735" s="9">
        <v>45335</v>
      </c>
      <c r="L1735">
        <f xml:space="preserve"> (交易處理資料__3[[#This Row],[售出工時]] * 60) / 5</f>
        <v>0</v>
      </c>
      <c r="M1735" t="str">
        <f>VLOOKUP(交易處理資料__3[[#This Row],[人員代號]],團隊分組!$B$1:$C$52,2,FALSE)</f>
        <v>查修團隊A</v>
      </c>
      <c r="N1735" t="str">
        <f>IF(交易處理資料__3[[#This Row],[上班時間]]=0,"否","是")</f>
        <v>否</v>
      </c>
      <c r="O1735" t="s">
        <v>76</v>
      </c>
      <c r="P1735" s="38">
        <v>0</v>
      </c>
      <c r="Q1735" s="38">
        <v>0</v>
      </c>
      <c r="R1735" s="38">
        <v>0</v>
      </c>
    </row>
    <row r="1736" spans="1:18" hidden="1">
      <c r="A1736" t="s">
        <v>76</v>
      </c>
      <c r="B1736" t="s">
        <v>38</v>
      </c>
      <c r="C1736">
        <v>0</v>
      </c>
      <c r="D1736">
        <v>0</v>
      </c>
      <c r="E1736" s="29">
        <v>0</v>
      </c>
      <c r="F1736">
        <v>0</v>
      </c>
      <c r="G1736">
        <v>0</v>
      </c>
      <c r="H1736">
        <v>0</v>
      </c>
      <c r="I1736" s="29">
        <v>0</v>
      </c>
      <c r="J1736" s="29">
        <v>0</v>
      </c>
      <c r="K1736" s="9">
        <v>45335</v>
      </c>
      <c r="L1736">
        <f xml:space="preserve"> (交易處理資料__3[[#This Row],[售出工時]] * 60) / 5</f>
        <v>0</v>
      </c>
      <c r="M1736" t="str">
        <f>VLOOKUP(交易處理資料__3[[#This Row],[人員代號]],團隊分組!$B$1:$C$52,2,FALSE)</f>
        <v>快速保養團隊A</v>
      </c>
      <c r="N1736" t="str">
        <f>IF(交易處理資料__3[[#This Row],[上班時間]]=0,"否","是")</f>
        <v>否</v>
      </c>
      <c r="O1736" t="s">
        <v>76</v>
      </c>
      <c r="P1736" s="37">
        <v>0</v>
      </c>
      <c r="Q1736" s="37">
        <v>0</v>
      </c>
      <c r="R1736" s="37">
        <v>0</v>
      </c>
    </row>
    <row r="1737" spans="1:18" hidden="1">
      <c r="A1737" t="s">
        <v>76</v>
      </c>
      <c r="B1737" t="s">
        <v>39</v>
      </c>
      <c r="C1737">
        <v>0</v>
      </c>
      <c r="D1737">
        <v>0</v>
      </c>
      <c r="E1737" s="29">
        <v>0</v>
      </c>
      <c r="F1737">
        <v>0</v>
      </c>
      <c r="G1737">
        <v>0</v>
      </c>
      <c r="H1737">
        <v>0</v>
      </c>
      <c r="I1737" s="29">
        <v>0</v>
      </c>
      <c r="J1737" s="29">
        <v>0</v>
      </c>
      <c r="K1737" s="9">
        <v>45335</v>
      </c>
      <c r="L1737">
        <f xml:space="preserve"> (交易處理資料__3[[#This Row],[售出工時]] * 60) / 5</f>
        <v>0</v>
      </c>
      <c r="M1737" t="str">
        <f>VLOOKUP(交易處理資料__3[[#This Row],[人員代號]],團隊分組!$B$1:$C$52,2,FALSE)</f>
        <v>查修團隊A</v>
      </c>
      <c r="N1737" t="str">
        <f>IF(交易處理資料__3[[#This Row],[上班時間]]=0,"否","是")</f>
        <v>否</v>
      </c>
      <c r="O1737" t="s">
        <v>76</v>
      </c>
      <c r="P1737" s="38">
        <v>0</v>
      </c>
      <c r="Q1737" s="38">
        <v>0</v>
      </c>
      <c r="R1737" s="38">
        <v>0</v>
      </c>
    </row>
    <row r="1738" spans="1:18" hidden="1">
      <c r="A1738" t="s">
        <v>76</v>
      </c>
      <c r="B1738" t="s">
        <v>40</v>
      </c>
      <c r="C1738">
        <v>0</v>
      </c>
      <c r="D1738">
        <v>0</v>
      </c>
      <c r="E1738" s="29">
        <v>0</v>
      </c>
      <c r="F1738">
        <v>0</v>
      </c>
      <c r="G1738">
        <v>0</v>
      </c>
      <c r="H1738">
        <v>0</v>
      </c>
      <c r="I1738" s="29">
        <v>0</v>
      </c>
      <c r="J1738" s="29">
        <v>0</v>
      </c>
      <c r="K1738" s="9">
        <v>45335</v>
      </c>
      <c r="L1738">
        <f xml:space="preserve"> (交易處理資料__3[[#This Row],[售出工時]] * 60) / 5</f>
        <v>0</v>
      </c>
      <c r="M1738" t="str">
        <f>VLOOKUP(交易處理資料__3[[#This Row],[人員代號]],團隊分組!$B$1:$C$52,2,FALSE)</f>
        <v>查修團隊A</v>
      </c>
      <c r="N1738" t="str">
        <f>IF(交易處理資料__3[[#This Row],[上班時間]]=0,"否","是")</f>
        <v>否</v>
      </c>
      <c r="O1738" t="s">
        <v>76</v>
      </c>
      <c r="P1738" s="37">
        <v>0</v>
      </c>
      <c r="Q1738" s="37">
        <v>0</v>
      </c>
      <c r="R1738" s="37">
        <v>0</v>
      </c>
    </row>
    <row r="1739" spans="1:18" hidden="1">
      <c r="A1739" t="s">
        <v>76</v>
      </c>
      <c r="B1739" t="s">
        <v>41</v>
      </c>
      <c r="C1739">
        <v>0</v>
      </c>
      <c r="D1739">
        <v>0</v>
      </c>
      <c r="E1739" s="29">
        <v>0</v>
      </c>
      <c r="F1739">
        <v>0</v>
      </c>
      <c r="G1739">
        <v>0</v>
      </c>
      <c r="H1739">
        <v>0</v>
      </c>
      <c r="I1739" s="29">
        <v>0</v>
      </c>
      <c r="J1739" s="29">
        <v>0</v>
      </c>
      <c r="K1739" s="9">
        <v>45335</v>
      </c>
      <c r="L1739">
        <f xml:space="preserve"> (交易處理資料__3[[#This Row],[售出工時]] * 60) / 5</f>
        <v>0</v>
      </c>
      <c r="M1739" t="str">
        <f>VLOOKUP(交易處理資料__3[[#This Row],[人員代號]],團隊分組!$B$1:$C$52,2,FALSE)</f>
        <v>快速保養團隊A</v>
      </c>
      <c r="N1739" t="str">
        <f>IF(交易處理資料__3[[#This Row],[上班時間]]=0,"否","是")</f>
        <v>否</v>
      </c>
      <c r="O1739" t="s">
        <v>76</v>
      </c>
      <c r="P1739" s="38">
        <v>0</v>
      </c>
      <c r="Q1739" s="38">
        <v>0</v>
      </c>
      <c r="R1739" s="38">
        <v>0</v>
      </c>
    </row>
    <row r="1740" spans="1:18" hidden="1">
      <c r="A1740" t="s">
        <v>76</v>
      </c>
      <c r="B1740" t="s">
        <v>42</v>
      </c>
      <c r="C1740">
        <v>0</v>
      </c>
      <c r="D1740">
        <v>0</v>
      </c>
      <c r="E1740" s="29">
        <v>0</v>
      </c>
      <c r="F1740">
        <v>0</v>
      </c>
      <c r="G1740">
        <v>0</v>
      </c>
      <c r="H1740">
        <v>0</v>
      </c>
      <c r="I1740" s="29">
        <v>0</v>
      </c>
      <c r="J1740" s="29">
        <v>0</v>
      </c>
      <c r="K1740" s="9">
        <v>45335</v>
      </c>
      <c r="L1740">
        <f xml:space="preserve"> (交易處理資料__3[[#This Row],[售出工時]] * 60) / 5</f>
        <v>0</v>
      </c>
      <c r="M1740" t="str">
        <f>VLOOKUP(交易處理資料__3[[#This Row],[人員代號]],團隊分組!$B$1:$C$52,2,FALSE)</f>
        <v>快速保養團隊A</v>
      </c>
      <c r="N1740" t="str">
        <f>IF(交易處理資料__3[[#This Row],[上班時間]]=0,"否","是")</f>
        <v>否</v>
      </c>
      <c r="O1740" t="s">
        <v>76</v>
      </c>
      <c r="P1740" s="37">
        <v>0</v>
      </c>
      <c r="Q1740" s="37">
        <v>0</v>
      </c>
      <c r="R1740" s="37">
        <v>0</v>
      </c>
    </row>
    <row r="1741" spans="1:18" hidden="1">
      <c r="A1741" t="s">
        <v>76</v>
      </c>
      <c r="B1741" t="s">
        <v>43</v>
      </c>
      <c r="C1741">
        <v>0</v>
      </c>
      <c r="D1741">
        <v>0</v>
      </c>
      <c r="E1741" s="29">
        <v>0</v>
      </c>
      <c r="F1741">
        <v>0</v>
      </c>
      <c r="G1741">
        <v>0</v>
      </c>
      <c r="H1741">
        <v>0</v>
      </c>
      <c r="I1741" s="29">
        <v>0</v>
      </c>
      <c r="J1741" s="29">
        <v>0</v>
      </c>
      <c r="K1741" s="9">
        <v>45335</v>
      </c>
      <c r="L1741">
        <f xml:space="preserve"> (交易處理資料__3[[#This Row],[售出工時]] * 60) / 5</f>
        <v>0</v>
      </c>
      <c r="M1741" t="str">
        <f>VLOOKUP(交易處理資料__3[[#This Row],[人員代號]],團隊分組!$B$1:$C$52,2,FALSE)</f>
        <v>查修團隊B</v>
      </c>
      <c r="N1741" t="str">
        <f>IF(交易處理資料__3[[#This Row],[上班時間]]=0,"否","是")</f>
        <v>否</v>
      </c>
      <c r="O1741" t="s">
        <v>76</v>
      </c>
      <c r="P1741" s="38">
        <v>0</v>
      </c>
      <c r="Q1741" s="38">
        <v>0</v>
      </c>
      <c r="R1741" s="38">
        <v>0</v>
      </c>
    </row>
    <row r="1742" spans="1:18" hidden="1">
      <c r="A1742" t="s">
        <v>76</v>
      </c>
      <c r="B1742" t="s">
        <v>44</v>
      </c>
      <c r="C1742">
        <v>0</v>
      </c>
      <c r="D1742">
        <v>0</v>
      </c>
      <c r="E1742" s="29">
        <v>0</v>
      </c>
      <c r="F1742">
        <v>0</v>
      </c>
      <c r="G1742">
        <v>0</v>
      </c>
      <c r="H1742">
        <v>0</v>
      </c>
      <c r="I1742" s="29">
        <v>0</v>
      </c>
      <c r="J1742" s="29">
        <v>0</v>
      </c>
      <c r="K1742" s="9">
        <v>45335</v>
      </c>
      <c r="L1742">
        <f xml:space="preserve"> (交易處理資料__3[[#This Row],[售出工時]] * 60) / 5</f>
        <v>0</v>
      </c>
      <c r="M1742" t="str">
        <f>VLOOKUP(交易處理資料__3[[#This Row],[人員代號]],團隊分組!$B$1:$C$52,2,FALSE)</f>
        <v>快速保養團隊B</v>
      </c>
      <c r="N1742" t="str">
        <f>IF(交易處理資料__3[[#This Row],[上班時間]]=0,"否","是")</f>
        <v>否</v>
      </c>
      <c r="O1742" t="s">
        <v>76</v>
      </c>
      <c r="P1742" s="37">
        <v>0</v>
      </c>
      <c r="Q1742" s="37">
        <v>0</v>
      </c>
      <c r="R1742" s="37">
        <v>0</v>
      </c>
    </row>
    <row r="1743" spans="1:18" hidden="1">
      <c r="A1743" t="s">
        <v>76</v>
      </c>
      <c r="B1743" t="s">
        <v>45</v>
      </c>
      <c r="C1743">
        <v>0</v>
      </c>
      <c r="D1743">
        <v>0</v>
      </c>
      <c r="E1743" s="29">
        <v>0</v>
      </c>
      <c r="F1743">
        <v>0</v>
      </c>
      <c r="G1743">
        <v>0</v>
      </c>
      <c r="H1743">
        <v>0</v>
      </c>
      <c r="I1743" s="29">
        <v>0</v>
      </c>
      <c r="J1743" s="29">
        <v>0</v>
      </c>
      <c r="K1743" s="9">
        <v>45335</v>
      </c>
      <c r="L1743">
        <f xml:space="preserve"> (交易處理資料__3[[#This Row],[售出工時]] * 60) / 5</f>
        <v>0</v>
      </c>
      <c r="M1743" t="str">
        <f>VLOOKUP(交易處理資料__3[[#This Row],[人員代號]],團隊分組!$B$1:$C$52,2,FALSE)</f>
        <v>快速保養團隊A</v>
      </c>
      <c r="N1743" t="str">
        <f>IF(交易處理資料__3[[#This Row],[上班時間]]=0,"否","是")</f>
        <v>否</v>
      </c>
      <c r="O1743" t="s">
        <v>76</v>
      </c>
      <c r="P1743" s="38">
        <v>0</v>
      </c>
      <c r="Q1743" s="38">
        <v>0</v>
      </c>
      <c r="R1743" s="38">
        <v>0</v>
      </c>
    </row>
    <row r="1744" spans="1:18" hidden="1">
      <c r="A1744" t="s">
        <v>76</v>
      </c>
      <c r="B1744" t="s">
        <v>46</v>
      </c>
      <c r="C1744">
        <v>0</v>
      </c>
      <c r="D1744">
        <v>0</v>
      </c>
      <c r="E1744" s="29">
        <v>0</v>
      </c>
      <c r="F1744">
        <v>0</v>
      </c>
      <c r="G1744">
        <v>0</v>
      </c>
      <c r="H1744">
        <v>0</v>
      </c>
      <c r="I1744" s="29">
        <v>0</v>
      </c>
      <c r="J1744" s="29">
        <v>0</v>
      </c>
      <c r="K1744" s="9">
        <v>45335</v>
      </c>
      <c r="L1744">
        <f xml:space="preserve"> (交易處理資料__3[[#This Row],[售出工時]] * 60) / 5</f>
        <v>0</v>
      </c>
      <c r="M1744" t="str">
        <f>VLOOKUP(交易處理資料__3[[#This Row],[人員代號]],團隊分組!$B$1:$C$52,2,FALSE)</f>
        <v>查修團隊B</v>
      </c>
      <c r="N1744" t="str">
        <f>IF(交易處理資料__3[[#This Row],[上班時間]]=0,"否","是")</f>
        <v>否</v>
      </c>
      <c r="O1744" t="s">
        <v>76</v>
      </c>
      <c r="P1744" s="37">
        <v>0</v>
      </c>
      <c r="Q1744" s="37">
        <v>0</v>
      </c>
      <c r="R1744" s="37">
        <v>0</v>
      </c>
    </row>
    <row r="1745" spans="1:18" hidden="1">
      <c r="A1745" t="s">
        <v>76</v>
      </c>
      <c r="B1745" t="s">
        <v>47</v>
      </c>
      <c r="C1745">
        <v>0</v>
      </c>
      <c r="D1745">
        <v>0</v>
      </c>
      <c r="E1745" s="29">
        <v>0</v>
      </c>
      <c r="F1745">
        <v>0</v>
      </c>
      <c r="G1745">
        <v>0</v>
      </c>
      <c r="H1745">
        <v>0</v>
      </c>
      <c r="I1745" s="29">
        <v>0</v>
      </c>
      <c r="J1745" s="29">
        <v>0</v>
      </c>
      <c r="K1745" s="9">
        <v>45335</v>
      </c>
      <c r="L1745">
        <f xml:space="preserve"> (交易處理資料__3[[#This Row],[售出工時]] * 60) / 5</f>
        <v>0</v>
      </c>
      <c r="M1745" t="str">
        <f>VLOOKUP(交易處理資料__3[[#This Row],[人員代號]],團隊分組!$B$1:$C$52,2,FALSE)</f>
        <v>查修團隊B</v>
      </c>
      <c r="N1745" t="str">
        <f>IF(交易處理資料__3[[#This Row],[上班時間]]=0,"否","是")</f>
        <v>否</v>
      </c>
      <c r="O1745" t="s">
        <v>76</v>
      </c>
      <c r="P1745" s="38">
        <v>0</v>
      </c>
      <c r="Q1745" s="38">
        <v>0</v>
      </c>
      <c r="R1745" s="38">
        <v>0</v>
      </c>
    </row>
    <row r="1746" spans="1:18" hidden="1">
      <c r="A1746" t="s">
        <v>76</v>
      </c>
      <c r="B1746" t="s">
        <v>48</v>
      </c>
      <c r="C1746">
        <v>0</v>
      </c>
      <c r="D1746">
        <v>0</v>
      </c>
      <c r="E1746" s="29">
        <v>0</v>
      </c>
      <c r="F1746">
        <v>0</v>
      </c>
      <c r="G1746">
        <v>0</v>
      </c>
      <c r="H1746">
        <v>0</v>
      </c>
      <c r="I1746" s="29">
        <v>0</v>
      </c>
      <c r="J1746" s="29">
        <v>0</v>
      </c>
      <c r="K1746" s="9">
        <v>45335</v>
      </c>
      <c r="L1746">
        <f xml:space="preserve"> (交易處理資料__3[[#This Row],[售出工時]] * 60) / 5</f>
        <v>0</v>
      </c>
      <c r="M1746" t="str">
        <f>VLOOKUP(交易處理資料__3[[#This Row],[人員代號]],團隊分組!$B$1:$C$52,2,FALSE)</f>
        <v>查修團隊A</v>
      </c>
      <c r="N1746" t="str">
        <f>IF(交易處理資料__3[[#This Row],[上班時間]]=0,"否","是")</f>
        <v>否</v>
      </c>
      <c r="O1746" t="s">
        <v>76</v>
      </c>
      <c r="P1746" s="37">
        <v>0</v>
      </c>
      <c r="Q1746" s="37">
        <v>0</v>
      </c>
      <c r="R1746" s="37">
        <v>0</v>
      </c>
    </row>
    <row r="1747" spans="1:18" hidden="1">
      <c r="A1747" t="s">
        <v>76</v>
      </c>
      <c r="B1747" t="s">
        <v>49</v>
      </c>
      <c r="C1747">
        <v>0</v>
      </c>
      <c r="D1747">
        <v>0</v>
      </c>
      <c r="E1747" s="29">
        <v>0</v>
      </c>
      <c r="F1747">
        <v>0</v>
      </c>
      <c r="G1747">
        <v>0</v>
      </c>
      <c r="H1747">
        <v>0</v>
      </c>
      <c r="I1747" s="29">
        <v>0</v>
      </c>
      <c r="J1747" s="29">
        <v>0</v>
      </c>
      <c r="K1747" s="9">
        <v>45335</v>
      </c>
      <c r="L1747">
        <f xml:space="preserve"> (交易處理資料__3[[#This Row],[售出工時]] * 60) / 5</f>
        <v>0</v>
      </c>
      <c r="M1747" t="str">
        <f>VLOOKUP(交易處理資料__3[[#This Row],[人員代號]],團隊分組!$B$1:$C$52,2,FALSE)</f>
        <v>查修團隊A</v>
      </c>
      <c r="N1747" t="str">
        <f>IF(交易處理資料__3[[#This Row],[上班時間]]=0,"否","是")</f>
        <v>否</v>
      </c>
      <c r="O1747" t="s">
        <v>76</v>
      </c>
      <c r="P1747" s="38">
        <v>0</v>
      </c>
      <c r="Q1747" s="38">
        <v>0</v>
      </c>
      <c r="R1747" s="38">
        <v>0</v>
      </c>
    </row>
    <row r="1748" spans="1:18" hidden="1">
      <c r="A1748" t="s">
        <v>76</v>
      </c>
      <c r="B1748" t="s">
        <v>50</v>
      </c>
      <c r="C1748">
        <v>0</v>
      </c>
      <c r="D1748">
        <v>0</v>
      </c>
      <c r="E1748" s="29">
        <v>0</v>
      </c>
      <c r="F1748">
        <v>0</v>
      </c>
      <c r="G1748">
        <v>0</v>
      </c>
      <c r="H1748">
        <v>0</v>
      </c>
      <c r="I1748" s="29">
        <v>0</v>
      </c>
      <c r="J1748" s="29">
        <v>0</v>
      </c>
      <c r="K1748" s="9">
        <v>45335</v>
      </c>
      <c r="L1748">
        <f xml:space="preserve"> (交易處理資料__3[[#This Row],[售出工時]] * 60) / 5</f>
        <v>0</v>
      </c>
      <c r="M1748" t="str">
        <f>VLOOKUP(交易處理資料__3[[#This Row],[人員代號]],團隊分組!$B$1:$C$52,2,FALSE)</f>
        <v>快速保養團隊B</v>
      </c>
      <c r="N1748" t="str">
        <f>IF(交易處理資料__3[[#This Row],[上班時間]]=0,"否","是")</f>
        <v>否</v>
      </c>
      <c r="O1748" t="s">
        <v>76</v>
      </c>
      <c r="P1748" s="37">
        <v>0</v>
      </c>
      <c r="Q1748" s="37">
        <v>0</v>
      </c>
      <c r="R1748" s="37">
        <v>0</v>
      </c>
    </row>
    <row r="1749" spans="1:18" hidden="1">
      <c r="A1749" t="s">
        <v>76</v>
      </c>
      <c r="B1749" t="s">
        <v>51</v>
      </c>
      <c r="C1749">
        <v>0</v>
      </c>
      <c r="D1749">
        <v>0</v>
      </c>
      <c r="E1749" s="29">
        <v>0</v>
      </c>
      <c r="F1749">
        <v>0</v>
      </c>
      <c r="G1749">
        <v>0</v>
      </c>
      <c r="H1749">
        <v>0</v>
      </c>
      <c r="I1749" s="29">
        <v>0</v>
      </c>
      <c r="J1749" s="29">
        <v>0</v>
      </c>
      <c r="K1749" s="9">
        <v>45335</v>
      </c>
      <c r="L1749">
        <f xml:space="preserve"> (交易處理資料__3[[#This Row],[售出工時]] * 60) / 5</f>
        <v>0</v>
      </c>
      <c r="M1749" t="str">
        <f>VLOOKUP(交易處理資料__3[[#This Row],[人員代號]],團隊分組!$B$1:$C$52,2,FALSE)</f>
        <v>無效數據</v>
      </c>
      <c r="N1749" t="str">
        <f>IF(交易處理資料__3[[#This Row],[上班時間]]=0,"否","是")</f>
        <v>否</v>
      </c>
      <c r="O1749" t="s">
        <v>76</v>
      </c>
      <c r="P1749" s="38">
        <v>0</v>
      </c>
      <c r="Q1749" s="38">
        <v>0</v>
      </c>
      <c r="R1749" s="38">
        <v>0</v>
      </c>
    </row>
    <row r="1750" spans="1:18" hidden="1">
      <c r="A1750" t="s">
        <v>76</v>
      </c>
      <c r="B1750" t="s">
        <v>52</v>
      </c>
      <c r="C1750">
        <v>0</v>
      </c>
      <c r="D1750">
        <v>0</v>
      </c>
      <c r="E1750" s="29">
        <v>0</v>
      </c>
      <c r="F1750">
        <v>0</v>
      </c>
      <c r="G1750">
        <v>0</v>
      </c>
      <c r="H1750">
        <v>0</v>
      </c>
      <c r="I1750" s="29">
        <v>0</v>
      </c>
      <c r="J1750" s="29">
        <v>0</v>
      </c>
      <c r="K1750" s="9">
        <v>45335</v>
      </c>
      <c r="L1750">
        <f xml:space="preserve"> (交易處理資料__3[[#This Row],[售出工時]] * 60) / 5</f>
        <v>0</v>
      </c>
      <c r="M1750" t="str">
        <f>VLOOKUP(交易處理資料__3[[#This Row],[人員代號]],團隊分組!$B$1:$C$52,2,FALSE)</f>
        <v>查修團隊B</v>
      </c>
      <c r="N1750" t="str">
        <f>IF(交易處理資料__3[[#This Row],[上班時間]]=0,"否","是")</f>
        <v>否</v>
      </c>
      <c r="O1750" t="s">
        <v>76</v>
      </c>
      <c r="P1750" s="37">
        <v>0</v>
      </c>
      <c r="Q1750" s="37">
        <v>0</v>
      </c>
      <c r="R1750" s="37">
        <v>0</v>
      </c>
    </row>
    <row r="1751" spans="1:18" hidden="1">
      <c r="A1751" t="s">
        <v>76</v>
      </c>
      <c r="B1751" t="s">
        <v>53</v>
      </c>
      <c r="C1751">
        <v>0</v>
      </c>
      <c r="D1751">
        <v>0</v>
      </c>
      <c r="E1751" s="29">
        <v>0</v>
      </c>
      <c r="F1751">
        <v>0</v>
      </c>
      <c r="G1751">
        <v>0</v>
      </c>
      <c r="H1751">
        <v>0</v>
      </c>
      <c r="I1751" s="29">
        <v>0</v>
      </c>
      <c r="J1751" s="29">
        <v>0</v>
      </c>
      <c r="K1751" s="9">
        <v>45335</v>
      </c>
      <c r="L1751">
        <f xml:space="preserve"> (交易處理資料__3[[#This Row],[售出工時]] * 60) / 5</f>
        <v>0</v>
      </c>
      <c r="M1751" t="str">
        <f>VLOOKUP(交易處理資料__3[[#This Row],[人員代號]],團隊分組!$B$1:$C$52,2,FALSE)</f>
        <v>查修團隊A</v>
      </c>
      <c r="N1751" t="str">
        <f>IF(交易處理資料__3[[#This Row],[上班時間]]=0,"否","是")</f>
        <v>否</v>
      </c>
      <c r="O1751" t="s">
        <v>76</v>
      </c>
      <c r="P1751" s="38">
        <v>0</v>
      </c>
      <c r="Q1751" s="38">
        <v>0</v>
      </c>
      <c r="R1751" s="38">
        <v>0</v>
      </c>
    </row>
    <row r="1752" spans="1:18" hidden="1">
      <c r="A1752" s="10" t="s">
        <v>74</v>
      </c>
      <c r="B1752" t="s">
        <v>1</v>
      </c>
      <c r="C1752">
        <v>0</v>
      </c>
      <c r="D1752">
        <v>0</v>
      </c>
      <c r="E1752" s="29">
        <v>0</v>
      </c>
      <c r="F1752">
        <v>0</v>
      </c>
      <c r="G1752">
        <v>0</v>
      </c>
      <c r="H1752">
        <v>0</v>
      </c>
      <c r="I1752" s="29">
        <v>0</v>
      </c>
      <c r="J1752" s="29">
        <v>0</v>
      </c>
      <c r="K1752" s="9">
        <v>45336</v>
      </c>
      <c r="L1752">
        <f xml:space="preserve"> (交易處理資料__3[[#This Row],[售出工時]] * 60) / 5</f>
        <v>0</v>
      </c>
      <c r="M1752" t="str">
        <f>VLOOKUP(交易處理資料__3[[#This Row],[人員代號]],團隊分組!$B$1:$C$52,2,FALSE)</f>
        <v>噴漆維修組</v>
      </c>
      <c r="N1752" t="str">
        <f>IF(交易處理資料__3[[#This Row],[上班時間]]=0,"否","是")</f>
        <v>否</v>
      </c>
      <c r="O1752" s="10" t="s">
        <v>74</v>
      </c>
      <c r="P1752" s="37">
        <v>0</v>
      </c>
      <c r="Q1752" s="37">
        <v>0</v>
      </c>
      <c r="R1752" s="37">
        <v>0</v>
      </c>
    </row>
    <row r="1753" spans="1:18" hidden="1">
      <c r="A1753" s="10" t="s">
        <v>74</v>
      </c>
      <c r="B1753" t="s">
        <v>2</v>
      </c>
      <c r="C1753">
        <v>0</v>
      </c>
      <c r="D1753">
        <v>0</v>
      </c>
      <c r="E1753" s="29">
        <v>0</v>
      </c>
      <c r="F1753">
        <v>0</v>
      </c>
      <c r="G1753">
        <v>0</v>
      </c>
      <c r="H1753">
        <v>0</v>
      </c>
      <c r="I1753" s="29">
        <v>0</v>
      </c>
      <c r="J1753" s="29">
        <v>0</v>
      </c>
      <c r="K1753" s="9">
        <v>45336</v>
      </c>
      <c r="L1753">
        <f xml:space="preserve"> (交易處理資料__3[[#This Row],[售出工時]] * 60) / 5</f>
        <v>0</v>
      </c>
      <c r="M1753" t="str">
        <f>VLOOKUP(交易處理資料__3[[#This Row],[人員代號]],團隊分組!$B$1:$C$52,2,FALSE)</f>
        <v>噴漆維修組</v>
      </c>
      <c r="N1753" t="str">
        <f>IF(交易處理資料__3[[#This Row],[上班時間]]=0,"否","是")</f>
        <v>否</v>
      </c>
      <c r="O1753" s="10" t="s">
        <v>74</v>
      </c>
      <c r="P1753" s="38">
        <v>0</v>
      </c>
      <c r="Q1753" s="38">
        <v>0</v>
      </c>
      <c r="R1753" s="38">
        <v>0</v>
      </c>
    </row>
    <row r="1754" spans="1:18" hidden="1">
      <c r="A1754" s="10" t="s">
        <v>74</v>
      </c>
      <c r="B1754" t="s">
        <v>3</v>
      </c>
      <c r="C1754">
        <v>0</v>
      </c>
      <c r="D1754">
        <v>0</v>
      </c>
      <c r="E1754" s="29">
        <v>0</v>
      </c>
      <c r="F1754">
        <v>0</v>
      </c>
      <c r="G1754">
        <v>0</v>
      </c>
      <c r="H1754">
        <v>0</v>
      </c>
      <c r="I1754" s="29">
        <v>0</v>
      </c>
      <c r="J1754" s="29">
        <v>0</v>
      </c>
      <c r="K1754" s="9">
        <v>45336</v>
      </c>
      <c r="L1754">
        <f xml:space="preserve"> (交易處理資料__3[[#This Row],[售出工時]] * 60) / 5</f>
        <v>0</v>
      </c>
      <c r="M1754" t="str">
        <f>VLOOKUP(交易處理資料__3[[#This Row],[人員代號]],團隊分組!$B$1:$C$52,2,FALSE)</f>
        <v>噴漆維修組</v>
      </c>
      <c r="N1754" t="str">
        <f>IF(交易處理資料__3[[#This Row],[上班時間]]=0,"否","是")</f>
        <v>否</v>
      </c>
      <c r="O1754" s="10" t="s">
        <v>74</v>
      </c>
      <c r="P1754" s="37">
        <v>0</v>
      </c>
      <c r="Q1754" s="37">
        <v>0</v>
      </c>
      <c r="R1754" s="37">
        <v>0</v>
      </c>
    </row>
    <row r="1755" spans="1:18" hidden="1">
      <c r="A1755" s="10" t="s">
        <v>74</v>
      </c>
      <c r="B1755" t="s">
        <v>4</v>
      </c>
      <c r="C1755">
        <v>0</v>
      </c>
      <c r="D1755">
        <v>0</v>
      </c>
      <c r="E1755" s="29">
        <v>0</v>
      </c>
      <c r="F1755">
        <v>0</v>
      </c>
      <c r="G1755">
        <v>0</v>
      </c>
      <c r="H1755">
        <v>0</v>
      </c>
      <c r="I1755" s="29">
        <v>0</v>
      </c>
      <c r="J1755" s="29">
        <v>0</v>
      </c>
      <c r="K1755" s="9">
        <v>45336</v>
      </c>
      <c r="L1755">
        <f xml:space="preserve"> (交易處理資料__3[[#This Row],[售出工時]] * 60) / 5</f>
        <v>0</v>
      </c>
      <c r="M1755" t="str">
        <f>VLOOKUP(交易處理資料__3[[#This Row],[人員代號]],團隊分組!$B$1:$C$52,2,FALSE)</f>
        <v>噴漆維修組</v>
      </c>
      <c r="N1755" t="str">
        <f>IF(交易處理資料__3[[#This Row],[上班時間]]=0,"否","是")</f>
        <v>否</v>
      </c>
      <c r="O1755" s="10" t="s">
        <v>74</v>
      </c>
      <c r="P1755" s="38">
        <v>0</v>
      </c>
      <c r="Q1755" s="38">
        <v>0</v>
      </c>
      <c r="R1755" s="38">
        <v>0</v>
      </c>
    </row>
    <row r="1756" spans="1:18" hidden="1">
      <c r="A1756" s="10" t="s">
        <v>74</v>
      </c>
      <c r="B1756" t="s">
        <v>5</v>
      </c>
      <c r="C1756">
        <v>0</v>
      </c>
      <c r="D1756">
        <v>0</v>
      </c>
      <c r="E1756" s="29">
        <v>0</v>
      </c>
      <c r="F1756">
        <v>0</v>
      </c>
      <c r="G1756">
        <v>0</v>
      </c>
      <c r="H1756">
        <v>0</v>
      </c>
      <c r="I1756" s="29">
        <v>0</v>
      </c>
      <c r="J1756" s="29">
        <v>0</v>
      </c>
      <c r="K1756" s="9">
        <v>45336</v>
      </c>
      <c r="L1756">
        <f xml:space="preserve"> (交易處理資料__3[[#This Row],[售出工時]] * 60) / 5</f>
        <v>0</v>
      </c>
      <c r="M1756" t="str">
        <f>VLOOKUP(交易處理資料__3[[#This Row],[人員代號]],團隊分組!$B$1:$C$52,2,FALSE)</f>
        <v>噴漆維修組</v>
      </c>
      <c r="N1756" t="str">
        <f>IF(交易處理資料__3[[#This Row],[上班時間]]=0,"否","是")</f>
        <v>否</v>
      </c>
      <c r="O1756" s="10" t="s">
        <v>74</v>
      </c>
      <c r="P1756" s="37">
        <v>0</v>
      </c>
      <c r="Q1756" s="37">
        <v>0</v>
      </c>
      <c r="R1756" s="37">
        <v>0</v>
      </c>
    </row>
    <row r="1757" spans="1:18" hidden="1">
      <c r="A1757" s="10" t="s">
        <v>74</v>
      </c>
      <c r="B1757" t="s">
        <v>6</v>
      </c>
      <c r="C1757">
        <v>0</v>
      </c>
      <c r="D1757">
        <v>0</v>
      </c>
      <c r="E1757" s="29">
        <v>0</v>
      </c>
      <c r="F1757">
        <v>0</v>
      </c>
      <c r="G1757">
        <v>0</v>
      </c>
      <c r="H1757">
        <v>0</v>
      </c>
      <c r="I1757" s="29">
        <v>0</v>
      </c>
      <c r="J1757" s="29">
        <v>0</v>
      </c>
      <c r="K1757" s="9">
        <v>45336</v>
      </c>
      <c r="L1757">
        <f xml:space="preserve"> (交易處理資料__3[[#This Row],[售出工時]] * 60) / 5</f>
        <v>0</v>
      </c>
      <c r="M1757" t="str">
        <f>VLOOKUP(交易處理資料__3[[#This Row],[人員代號]],團隊分組!$B$1:$C$52,2,FALSE)</f>
        <v>噴漆維修組</v>
      </c>
      <c r="N1757" t="str">
        <f>IF(交易處理資料__3[[#This Row],[上班時間]]=0,"否","是")</f>
        <v>否</v>
      </c>
      <c r="O1757" s="10" t="s">
        <v>74</v>
      </c>
      <c r="P1757" s="38">
        <v>0</v>
      </c>
      <c r="Q1757" s="38">
        <v>0</v>
      </c>
      <c r="R1757" s="38">
        <v>0</v>
      </c>
    </row>
    <row r="1758" spans="1:18">
      <c r="A1758" s="10" t="s">
        <v>74</v>
      </c>
      <c r="B1758" t="s">
        <v>7</v>
      </c>
      <c r="C1758">
        <v>0</v>
      </c>
      <c r="D1758">
        <v>0</v>
      </c>
      <c r="E1758" s="29">
        <v>0</v>
      </c>
      <c r="F1758">
        <v>0</v>
      </c>
      <c r="G1758">
        <v>0</v>
      </c>
      <c r="H1758">
        <v>0</v>
      </c>
      <c r="I1758" s="29">
        <v>0</v>
      </c>
      <c r="J1758" s="29">
        <v>0</v>
      </c>
      <c r="K1758" s="9">
        <v>45336</v>
      </c>
      <c r="L1758">
        <f xml:space="preserve"> (交易處理資料__3[[#This Row],[售出工時]] * 60) / 5</f>
        <v>0</v>
      </c>
      <c r="M1758" t="str">
        <f>VLOOKUP(交易處理資料__3[[#This Row],[人員代號]],團隊分組!$B$1:$C$52,2,FALSE)</f>
        <v>噴漆維修組</v>
      </c>
      <c r="N1758" t="str">
        <f>IF(交易處理資料__3[[#This Row],[上班時間]]=0,"否","是")</f>
        <v>否</v>
      </c>
      <c r="O1758" s="10" t="s">
        <v>74</v>
      </c>
      <c r="P1758" s="37">
        <v>0</v>
      </c>
      <c r="Q1758" s="37">
        <v>0</v>
      </c>
      <c r="R1758" s="37">
        <v>0</v>
      </c>
    </row>
    <row r="1759" spans="1:18" hidden="1">
      <c r="A1759" s="10" t="s">
        <v>74</v>
      </c>
      <c r="B1759" t="s">
        <v>8</v>
      </c>
      <c r="C1759">
        <v>0</v>
      </c>
      <c r="D1759">
        <v>0</v>
      </c>
      <c r="E1759" s="29">
        <v>0</v>
      </c>
      <c r="F1759">
        <v>0</v>
      </c>
      <c r="G1759">
        <v>0</v>
      </c>
      <c r="H1759">
        <v>0</v>
      </c>
      <c r="I1759" s="29">
        <v>0</v>
      </c>
      <c r="J1759" s="29">
        <v>0</v>
      </c>
      <c r="K1759" s="9">
        <v>45336</v>
      </c>
      <c r="L1759">
        <f xml:space="preserve"> (交易處理資料__3[[#This Row],[售出工時]] * 60) / 5</f>
        <v>0</v>
      </c>
      <c r="M1759" t="str">
        <f>VLOOKUP(交易處理資料__3[[#This Row],[人員代號]],團隊分組!$B$1:$C$52,2,FALSE)</f>
        <v>噴漆維修組</v>
      </c>
      <c r="N1759" t="str">
        <f>IF(交易處理資料__3[[#This Row],[上班時間]]=0,"否","是")</f>
        <v>否</v>
      </c>
      <c r="O1759" s="10" t="s">
        <v>74</v>
      </c>
      <c r="P1759" s="38">
        <v>0</v>
      </c>
      <c r="Q1759" s="38">
        <v>0</v>
      </c>
      <c r="R1759" s="38">
        <v>0</v>
      </c>
    </row>
    <row r="1760" spans="1:18" hidden="1">
      <c r="A1760" s="10" t="s">
        <v>74</v>
      </c>
      <c r="B1760" t="s">
        <v>9</v>
      </c>
      <c r="C1760">
        <v>0</v>
      </c>
      <c r="D1760">
        <v>0</v>
      </c>
      <c r="E1760" s="29">
        <v>0</v>
      </c>
      <c r="F1760">
        <v>0</v>
      </c>
      <c r="G1760">
        <v>0</v>
      </c>
      <c r="H1760">
        <v>0</v>
      </c>
      <c r="I1760" s="29">
        <v>0</v>
      </c>
      <c r="J1760" s="29">
        <v>0</v>
      </c>
      <c r="K1760" s="9">
        <v>45336</v>
      </c>
      <c r="L1760">
        <f xml:space="preserve"> (交易處理資料__3[[#This Row],[售出工時]] * 60) / 5</f>
        <v>0</v>
      </c>
      <c r="M1760" t="str">
        <f>VLOOKUP(交易處理資料__3[[#This Row],[人員代號]],團隊分組!$B$1:$C$52,2,FALSE)</f>
        <v>噴漆維修組</v>
      </c>
      <c r="N1760" t="str">
        <f>IF(交易處理資料__3[[#This Row],[上班時間]]=0,"否","是")</f>
        <v>否</v>
      </c>
      <c r="O1760" s="10" t="s">
        <v>74</v>
      </c>
      <c r="P1760" s="37">
        <v>0</v>
      </c>
      <c r="Q1760" s="37">
        <v>0</v>
      </c>
      <c r="R1760" s="37">
        <v>0</v>
      </c>
    </row>
    <row r="1761" spans="1:18" hidden="1">
      <c r="A1761" t="s">
        <v>75</v>
      </c>
      <c r="B1761" t="s">
        <v>11</v>
      </c>
      <c r="C1761">
        <v>0</v>
      </c>
      <c r="D1761">
        <v>0</v>
      </c>
      <c r="E1761" s="29">
        <v>0</v>
      </c>
      <c r="F1761">
        <v>0</v>
      </c>
      <c r="G1761">
        <v>0</v>
      </c>
      <c r="H1761">
        <v>0</v>
      </c>
      <c r="I1761" s="29">
        <v>0</v>
      </c>
      <c r="J1761" s="29">
        <v>0</v>
      </c>
      <c r="K1761" s="9">
        <v>45336</v>
      </c>
      <c r="L1761">
        <f xml:space="preserve"> (交易處理資料__3[[#This Row],[售出工時]] * 60) / 5</f>
        <v>0</v>
      </c>
      <c r="M1761" t="str">
        <f>VLOOKUP(交易處理資料__3[[#This Row],[人員代號]],團隊分組!$B$1:$C$52,2,FALSE)</f>
        <v>鈑金維修組</v>
      </c>
      <c r="N1761" t="str">
        <f>IF(交易處理資料__3[[#This Row],[上班時間]]=0,"否","是")</f>
        <v>否</v>
      </c>
      <c r="O1761" t="s">
        <v>75</v>
      </c>
      <c r="P1761" s="38">
        <v>0</v>
      </c>
      <c r="Q1761" s="38">
        <v>0</v>
      </c>
      <c r="R1761" s="38">
        <v>0</v>
      </c>
    </row>
    <row r="1762" spans="1:18" hidden="1">
      <c r="A1762" t="s">
        <v>75</v>
      </c>
      <c r="B1762" t="s">
        <v>12</v>
      </c>
      <c r="C1762">
        <v>0</v>
      </c>
      <c r="D1762">
        <v>0</v>
      </c>
      <c r="E1762" s="29">
        <v>0</v>
      </c>
      <c r="F1762">
        <v>0</v>
      </c>
      <c r="G1762">
        <v>0</v>
      </c>
      <c r="H1762">
        <v>0</v>
      </c>
      <c r="I1762" s="29">
        <v>0</v>
      </c>
      <c r="J1762" s="29">
        <v>0</v>
      </c>
      <c r="K1762" s="9">
        <v>45336</v>
      </c>
      <c r="L1762">
        <f xml:space="preserve"> (交易處理資料__3[[#This Row],[售出工時]] * 60) / 5</f>
        <v>0</v>
      </c>
      <c r="M1762" t="str">
        <f>VLOOKUP(交易處理資料__3[[#This Row],[人員代號]],團隊分組!$B$1:$C$52,2,FALSE)</f>
        <v>鈑金維修組</v>
      </c>
      <c r="N1762" t="str">
        <f>IF(交易處理資料__3[[#This Row],[上班時間]]=0,"否","是")</f>
        <v>否</v>
      </c>
      <c r="O1762" t="s">
        <v>75</v>
      </c>
      <c r="P1762" s="37">
        <v>0</v>
      </c>
      <c r="Q1762" s="37">
        <v>0</v>
      </c>
      <c r="R1762" s="37">
        <v>0</v>
      </c>
    </row>
    <row r="1763" spans="1:18" hidden="1">
      <c r="A1763" t="s">
        <v>75</v>
      </c>
      <c r="B1763" t="s">
        <v>13</v>
      </c>
      <c r="C1763">
        <v>0</v>
      </c>
      <c r="D1763">
        <v>0</v>
      </c>
      <c r="E1763" s="29">
        <v>0</v>
      </c>
      <c r="F1763">
        <v>0</v>
      </c>
      <c r="G1763">
        <v>0</v>
      </c>
      <c r="H1763">
        <v>0</v>
      </c>
      <c r="I1763" s="29">
        <v>0</v>
      </c>
      <c r="J1763" s="29">
        <v>0</v>
      </c>
      <c r="K1763" s="9">
        <v>45336</v>
      </c>
      <c r="L1763">
        <f xml:space="preserve"> (交易處理資料__3[[#This Row],[售出工時]] * 60) / 5</f>
        <v>0</v>
      </c>
      <c r="M1763" t="str">
        <f>VLOOKUP(交易處理資料__3[[#This Row],[人員代號]],團隊分組!$B$1:$C$52,2,FALSE)</f>
        <v>鈑金維修組</v>
      </c>
      <c r="N1763" t="str">
        <f>IF(交易處理資料__3[[#This Row],[上班時間]]=0,"否","是")</f>
        <v>否</v>
      </c>
      <c r="O1763" t="s">
        <v>75</v>
      </c>
      <c r="P1763" s="38">
        <v>0</v>
      </c>
      <c r="Q1763" s="38">
        <v>0</v>
      </c>
      <c r="R1763" s="38">
        <v>0</v>
      </c>
    </row>
    <row r="1764" spans="1:18" hidden="1">
      <c r="A1764" t="s">
        <v>75</v>
      </c>
      <c r="B1764" t="s">
        <v>14</v>
      </c>
      <c r="C1764">
        <v>0</v>
      </c>
      <c r="D1764">
        <v>0</v>
      </c>
      <c r="E1764" s="29">
        <v>0</v>
      </c>
      <c r="F1764">
        <v>0</v>
      </c>
      <c r="G1764">
        <v>0</v>
      </c>
      <c r="H1764">
        <v>0</v>
      </c>
      <c r="I1764" s="29">
        <v>0</v>
      </c>
      <c r="J1764" s="29">
        <v>0</v>
      </c>
      <c r="K1764" s="9">
        <v>45336</v>
      </c>
      <c r="L1764">
        <f xml:space="preserve"> (交易處理資料__3[[#This Row],[售出工時]] * 60) / 5</f>
        <v>0</v>
      </c>
      <c r="M1764" t="str">
        <f>VLOOKUP(交易處理資料__3[[#This Row],[人員代號]],團隊分組!$B$1:$C$52,2,FALSE)</f>
        <v>鈑金維修組</v>
      </c>
      <c r="N1764" t="str">
        <f>IF(交易處理資料__3[[#This Row],[上班時間]]=0,"否","是")</f>
        <v>否</v>
      </c>
      <c r="O1764" t="s">
        <v>75</v>
      </c>
      <c r="P1764" s="37">
        <v>0</v>
      </c>
      <c r="Q1764" s="37">
        <v>0</v>
      </c>
      <c r="R1764" s="37">
        <v>0</v>
      </c>
    </row>
    <row r="1765" spans="1:18" hidden="1">
      <c r="A1765" t="s">
        <v>75</v>
      </c>
      <c r="B1765" t="s">
        <v>15</v>
      </c>
      <c r="C1765">
        <v>0</v>
      </c>
      <c r="D1765">
        <v>0</v>
      </c>
      <c r="E1765" s="29">
        <v>0</v>
      </c>
      <c r="F1765">
        <v>0</v>
      </c>
      <c r="G1765">
        <v>0</v>
      </c>
      <c r="H1765">
        <v>0</v>
      </c>
      <c r="I1765" s="29">
        <v>0</v>
      </c>
      <c r="J1765" s="29">
        <v>0</v>
      </c>
      <c r="K1765" s="9">
        <v>45336</v>
      </c>
      <c r="L1765">
        <f xml:space="preserve"> (交易處理資料__3[[#This Row],[售出工時]] * 60) / 5</f>
        <v>0</v>
      </c>
      <c r="M1765" t="str">
        <f>VLOOKUP(交易處理資料__3[[#This Row],[人員代號]],團隊分組!$B$1:$C$52,2,FALSE)</f>
        <v>鈑金維修組</v>
      </c>
      <c r="N1765" t="str">
        <f>IF(交易處理資料__3[[#This Row],[上班時間]]=0,"否","是")</f>
        <v>否</v>
      </c>
      <c r="O1765" t="s">
        <v>75</v>
      </c>
      <c r="P1765" s="38">
        <v>0</v>
      </c>
      <c r="Q1765" s="38">
        <v>0</v>
      </c>
      <c r="R1765" s="38">
        <v>0</v>
      </c>
    </row>
    <row r="1766" spans="1:18" hidden="1">
      <c r="A1766" t="s">
        <v>76</v>
      </c>
      <c r="B1766" t="s">
        <v>17</v>
      </c>
      <c r="C1766">
        <v>0</v>
      </c>
      <c r="D1766">
        <v>0</v>
      </c>
      <c r="E1766" s="29">
        <v>0</v>
      </c>
      <c r="F1766">
        <v>0</v>
      </c>
      <c r="G1766">
        <v>0</v>
      </c>
      <c r="H1766">
        <v>0</v>
      </c>
      <c r="I1766" s="29">
        <v>0</v>
      </c>
      <c r="J1766" s="29">
        <v>0</v>
      </c>
      <c r="K1766" s="9">
        <v>45336</v>
      </c>
      <c r="L1766">
        <f xml:space="preserve"> (交易處理資料__3[[#This Row],[售出工時]] * 60) / 5</f>
        <v>0</v>
      </c>
      <c r="M1766" t="str">
        <f>VLOOKUP(交易處理資料__3[[#This Row],[人員代號]],團隊分組!$B$1:$C$52,2,FALSE)</f>
        <v>快速保養團隊A</v>
      </c>
      <c r="N1766" t="str">
        <f>IF(交易處理資料__3[[#This Row],[上班時間]]=0,"否","是")</f>
        <v>否</v>
      </c>
      <c r="O1766" t="s">
        <v>76</v>
      </c>
      <c r="P1766" s="37">
        <v>0</v>
      </c>
      <c r="Q1766" s="37">
        <v>0</v>
      </c>
      <c r="R1766" s="37">
        <v>0</v>
      </c>
    </row>
    <row r="1767" spans="1:18" hidden="1">
      <c r="A1767" t="s">
        <v>76</v>
      </c>
      <c r="B1767" t="s">
        <v>18</v>
      </c>
      <c r="C1767">
        <v>0</v>
      </c>
      <c r="D1767">
        <v>0</v>
      </c>
      <c r="E1767" s="29">
        <v>0</v>
      </c>
      <c r="F1767">
        <v>0</v>
      </c>
      <c r="G1767">
        <v>0</v>
      </c>
      <c r="H1767">
        <v>0</v>
      </c>
      <c r="I1767" s="29">
        <v>0</v>
      </c>
      <c r="J1767" s="29">
        <v>0</v>
      </c>
      <c r="K1767" s="9">
        <v>45336</v>
      </c>
      <c r="L1767">
        <f xml:space="preserve"> (交易處理資料__3[[#This Row],[售出工時]] * 60) / 5</f>
        <v>0</v>
      </c>
      <c r="M1767" t="str">
        <f>VLOOKUP(交易處理資料__3[[#This Row],[人員代號]],團隊分組!$B$1:$C$52,2,FALSE)</f>
        <v>查修團隊B</v>
      </c>
      <c r="N1767" t="str">
        <f>IF(交易處理資料__3[[#This Row],[上班時間]]=0,"否","是")</f>
        <v>否</v>
      </c>
      <c r="O1767" t="s">
        <v>76</v>
      </c>
      <c r="P1767" s="38">
        <v>0</v>
      </c>
      <c r="Q1767" s="38">
        <v>0</v>
      </c>
      <c r="R1767" s="38">
        <v>0</v>
      </c>
    </row>
    <row r="1768" spans="1:18" hidden="1">
      <c r="A1768" t="s">
        <v>76</v>
      </c>
      <c r="B1768" t="s">
        <v>19</v>
      </c>
      <c r="C1768">
        <v>0</v>
      </c>
      <c r="D1768">
        <v>0</v>
      </c>
      <c r="E1768" s="29">
        <v>0</v>
      </c>
      <c r="F1768">
        <v>0</v>
      </c>
      <c r="G1768">
        <v>0</v>
      </c>
      <c r="H1768">
        <v>0</v>
      </c>
      <c r="I1768" s="29">
        <v>0</v>
      </c>
      <c r="J1768" s="29">
        <v>0</v>
      </c>
      <c r="K1768" s="9">
        <v>45336</v>
      </c>
      <c r="L1768">
        <f xml:space="preserve"> (交易處理資料__3[[#This Row],[售出工時]] * 60) / 5</f>
        <v>0</v>
      </c>
      <c r="M1768" t="str">
        <f>VLOOKUP(交易處理資料__3[[#This Row],[人員代號]],團隊分組!$B$1:$C$52,2,FALSE)</f>
        <v>查修團隊A</v>
      </c>
      <c r="N1768" t="str">
        <f>IF(交易處理資料__3[[#This Row],[上班時間]]=0,"否","是")</f>
        <v>否</v>
      </c>
      <c r="O1768" t="s">
        <v>76</v>
      </c>
      <c r="P1768" s="37">
        <v>0</v>
      </c>
      <c r="Q1768" s="37">
        <v>0</v>
      </c>
      <c r="R1768" s="37">
        <v>0</v>
      </c>
    </row>
    <row r="1769" spans="1:18" hidden="1">
      <c r="A1769" t="s">
        <v>76</v>
      </c>
      <c r="B1769" t="s">
        <v>20</v>
      </c>
      <c r="C1769">
        <v>0</v>
      </c>
      <c r="D1769">
        <v>0</v>
      </c>
      <c r="E1769" s="29">
        <v>0</v>
      </c>
      <c r="F1769">
        <v>0</v>
      </c>
      <c r="G1769">
        <v>0</v>
      </c>
      <c r="H1769">
        <v>0</v>
      </c>
      <c r="I1769" s="29">
        <v>0</v>
      </c>
      <c r="J1769" s="29">
        <v>0</v>
      </c>
      <c r="K1769" s="9">
        <v>45336</v>
      </c>
      <c r="L1769">
        <f xml:space="preserve"> (交易處理資料__3[[#This Row],[售出工時]] * 60) / 5</f>
        <v>0</v>
      </c>
      <c r="M1769" t="str">
        <f>VLOOKUP(交易處理資料__3[[#This Row],[人員代號]],團隊分組!$B$1:$C$52,2,FALSE)</f>
        <v>查修團隊B</v>
      </c>
      <c r="N1769" t="str">
        <f>IF(交易處理資料__3[[#This Row],[上班時間]]=0,"否","是")</f>
        <v>否</v>
      </c>
      <c r="O1769" t="s">
        <v>76</v>
      </c>
      <c r="P1769" s="38">
        <v>0</v>
      </c>
      <c r="Q1769" s="38">
        <v>0</v>
      </c>
      <c r="R1769" s="38">
        <v>0</v>
      </c>
    </row>
    <row r="1770" spans="1:18" hidden="1">
      <c r="A1770" t="s">
        <v>76</v>
      </c>
      <c r="B1770" t="s">
        <v>21</v>
      </c>
      <c r="C1770">
        <v>0</v>
      </c>
      <c r="D1770">
        <v>0</v>
      </c>
      <c r="E1770" s="29">
        <v>0</v>
      </c>
      <c r="F1770">
        <v>0</v>
      </c>
      <c r="G1770">
        <v>0</v>
      </c>
      <c r="H1770">
        <v>0</v>
      </c>
      <c r="I1770" s="29">
        <v>0</v>
      </c>
      <c r="J1770" s="29">
        <v>0</v>
      </c>
      <c r="K1770" s="9">
        <v>45336</v>
      </c>
      <c r="L1770">
        <f xml:space="preserve"> (交易處理資料__3[[#This Row],[售出工時]] * 60) / 5</f>
        <v>0</v>
      </c>
      <c r="M1770" t="str">
        <f>VLOOKUP(交易處理資料__3[[#This Row],[人員代號]],團隊分組!$B$1:$C$52,2,FALSE)</f>
        <v>查修團隊B</v>
      </c>
      <c r="N1770" t="str">
        <f>IF(交易處理資料__3[[#This Row],[上班時間]]=0,"否","是")</f>
        <v>否</v>
      </c>
      <c r="O1770" t="s">
        <v>76</v>
      </c>
      <c r="P1770" s="37">
        <v>0</v>
      </c>
      <c r="Q1770" s="37">
        <v>0</v>
      </c>
      <c r="R1770" s="37">
        <v>0</v>
      </c>
    </row>
    <row r="1771" spans="1:18" hidden="1">
      <c r="A1771" t="s">
        <v>76</v>
      </c>
      <c r="B1771" t="s">
        <v>22</v>
      </c>
      <c r="C1771">
        <v>0</v>
      </c>
      <c r="D1771">
        <v>0</v>
      </c>
      <c r="E1771" s="29">
        <v>0</v>
      </c>
      <c r="F1771">
        <v>0</v>
      </c>
      <c r="G1771">
        <v>0</v>
      </c>
      <c r="H1771">
        <v>0</v>
      </c>
      <c r="I1771" s="29">
        <v>0</v>
      </c>
      <c r="J1771" s="29">
        <v>0</v>
      </c>
      <c r="K1771" s="9">
        <v>45336</v>
      </c>
      <c r="L1771">
        <f xml:space="preserve"> (交易處理資料__3[[#This Row],[售出工時]] * 60) / 5</f>
        <v>0</v>
      </c>
      <c r="M1771" t="str">
        <f>VLOOKUP(交易處理資料__3[[#This Row],[人員代號]],團隊分組!$B$1:$C$52,2,FALSE)</f>
        <v>快速保養團隊A</v>
      </c>
      <c r="N1771" t="str">
        <f>IF(交易處理資料__3[[#This Row],[上班時間]]=0,"否","是")</f>
        <v>否</v>
      </c>
      <c r="O1771" t="s">
        <v>76</v>
      </c>
      <c r="P1771" s="38">
        <v>0</v>
      </c>
      <c r="Q1771" s="38">
        <v>0</v>
      </c>
      <c r="R1771" s="38">
        <v>0</v>
      </c>
    </row>
    <row r="1772" spans="1:18" hidden="1">
      <c r="A1772" t="s">
        <v>76</v>
      </c>
      <c r="B1772" t="s">
        <v>23</v>
      </c>
      <c r="C1772">
        <v>0</v>
      </c>
      <c r="D1772">
        <v>0</v>
      </c>
      <c r="E1772" s="29">
        <v>0</v>
      </c>
      <c r="F1772">
        <v>0</v>
      </c>
      <c r="G1772">
        <v>0</v>
      </c>
      <c r="H1772">
        <v>0</v>
      </c>
      <c r="I1772" s="29">
        <v>0</v>
      </c>
      <c r="J1772" s="29">
        <v>0</v>
      </c>
      <c r="K1772" s="9">
        <v>45336</v>
      </c>
      <c r="L1772">
        <f xml:space="preserve"> (交易處理資料__3[[#This Row],[售出工時]] * 60) / 5</f>
        <v>0</v>
      </c>
      <c r="M1772" t="str">
        <f>VLOOKUP(交易處理資料__3[[#This Row],[人員代號]],團隊分組!$B$1:$C$52,2,FALSE)</f>
        <v>快速保養團隊B</v>
      </c>
      <c r="N1772" t="str">
        <f>IF(交易處理資料__3[[#This Row],[上班時間]]=0,"否","是")</f>
        <v>否</v>
      </c>
      <c r="O1772" t="s">
        <v>76</v>
      </c>
      <c r="P1772" s="37">
        <v>0</v>
      </c>
      <c r="Q1772" s="37">
        <v>0</v>
      </c>
      <c r="R1772" s="37">
        <v>0</v>
      </c>
    </row>
    <row r="1773" spans="1:18" hidden="1">
      <c r="A1773" t="s">
        <v>76</v>
      </c>
      <c r="B1773" t="s">
        <v>24</v>
      </c>
      <c r="C1773">
        <v>0</v>
      </c>
      <c r="D1773">
        <v>0</v>
      </c>
      <c r="E1773" s="29">
        <v>0</v>
      </c>
      <c r="F1773">
        <v>0</v>
      </c>
      <c r="G1773">
        <v>0</v>
      </c>
      <c r="H1773">
        <v>0</v>
      </c>
      <c r="I1773" s="29">
        <v>0</v>
      </c>
      <c r="J1773" s="29">
        <v>0</v>
      </c>
      <c r="K1773" s="9">
        <v>45336</v>
      </c>
      <c r="L1773">
        <f xml:space="preserve"> (交易處理資料__3[[#This Row],[售出工時]] * 60) / 5</f>
        <v>0</v>
      </c>
      <c r="M1773" t="str">
        <f>VLOOKUP(交易處理資料__3[[#This Row],[人員代號]],團隊分組!$B$1:$C$52,2,FALSE)</f>
        <v>快速保養團隊A</v>
      </c>
      <c r="N1773" t="str">
        <f>IF(交易處理資料__3[[#This Row],[上班時間]]=0,"否","是")</f>
        <v>否</v>
      </c>
      <c r="O1773" t="s">
        <v>76</v>
      </c>
      <c r="P1773" s="38">
        <v>0</v>
      </c>
      <c r="Q1773" s="38">
        <v>0</v>
      </c>
      <c r="R1773" s="38">
        <v>0</v>
      </c>
    </row>
    <row r="1774" spans="1:18" hidden="1">
      <c r="A1774" t="s">
        <v>76</v>
      </c>
      <c r="B1774" t="s">
        <v>25</v>
      </c>
      <c r="C1774">
        <v>0</v>
      </c>
      <c r="D1774">
        <v>0</v>
      </c>
      <c r="E1774" s="29">
        <v>0</v>
      </c>
      <c r="F1774">
        <v>0</v>
      </c>
      <c r="G1774">
        <v>0</v>
      </c>
      <c r="H1774">
        <v>0</v>
      </c>
      <c r="I1774" s="29">
        <v>0</v>
      </c>
      <c r="J1774" s="29">
        <v>0</v>
      </c>
      <c r="K1774" s="9">
        <v>45336</v>
      </c>
      <c r="L1774">
        <f xml:space="preserve"> (交易處理資料__3[[#This Row],[售出工時]] * 60) / 5</f>
        <v>0</v>
      </c>
      <c r="M1774" t="str">
        <f>VLOOKUP(交易處理資料__3[[#This Row],[人員代號]],團隊分組!$B$1:$C$52,2,FALSE)</f>
        <v>查修團隊A</v>
      </c>
      <c r="N1774" t="str">
        <f>IF(交易處理資料__3[[#This Row],[上班時間]]=0,"否","是")</f>
        <v>否</v>
      </c>
      <c r="O1774" t="s">
        <v>76</v>
      </c>
      <c r="P1774" s="37">
        <v>0</v>
      </c>
      <c r="Q1774" s="37">
        <v>0</v>
      </c>
      <c r="R1774" s="37">
        <v>0</v>
      </c>
    </row>
    <row r="1775" spans="1:18" hidden="1">
      <c r="A1775" t="s">
        <v>76</v>
      </c>
      <c r="B1775" t="s">
        <v>26</v>
      </c>
      <c r="C1775">
        <v>0</v>
      </c>
      <c r="D1775">
        <v>0</v>
      </c>
      <c r="E1775" s="29">
        <v>0</v>
      </c>
      <c r="F1775">
        <v>0</v>
      </c>
      <c r="G1775">
        <v>0</v>
      </c>
      <c r="H1775">
        <v>0</v>
      </c>
      <c r="I1775" s="29">
        <v>0</v>
      </c>
      <c r="J1775" s="29">
        <v>0</v>
      </c>
      <c r="K1775" s="9">
        <v>45336</v>
      </c>
      <c r="L1775">
        <f xml:space="preserve"> (交易處理資料__3[[#This Row],[售出工時]] * 60) / 5</f>
        <v>0</v>
      </c>
      <c r="M1775" t="str">
        <f>VLOOKUP(交易處理資料__3[[#This Row],[人員代號]],團隊分組!$B$1:$C$52,2,FALSE)</f>
        <v>查修團隊B</v>
      </c>
      <c r="N1775" t="str">
        <f>IF(交易處理資料__3[[#This Row],[上班時間]]=0,"否","是")</f>
        <v>否</v>
      </c>
      <c r="O1775" t="s">
        <v>76</v>
      </c>
      <c r="P1775" s="38">
        <v>0</v>
      </c>
      <c r="Q1775" s="38">
        <v>0</v>
      </c>
      <c r="R1775" s="38">
        <v>0</v>
      </c>
    </row>
    <row r="1776" spans="1:18" hidden="1">
      <c r="A1776" t="s">
        <v>76</v>
      </c>
      <c r="B1776" t="s">
        <v>27</v>
      </c>
      <c r="C1776">
        <v>0</v>
      </c>
      <c r="D1776">
        <v>0</v>
      </c>
      <c r="E1776" s="29">
        <v>0</v>
      </c>
      <c r="F1776">
        <v>0</v>
      </c>
      <c r="G1776">
        <v>0</v>
      </c>
      <c r="H1776">
        <v>0</v>
      </c>
      <c r="I1776" s="29">
        <v>0</v>
      </c>
      <c r="J1776" s="29">
        <v>0</v>
      </c>
      <c r="K1776" s="9">
        <v>45336</v>
      </c>
      <c r="L1776">
        <f xml:space="preserve"> (交易處理資料__3[[#This Row],[售出工時]] * 60) / 5</f>
        <v>0</v>
      </c>
      <c r="M1776" t="str">
        <f>VLOOKUP(交易處理資料__3[[#This Row],[人員代號]],團隊分組!$B$1:$C$52,2,FALSE)</f>
        <v>快速保養團隊B</v>
      </c>
      <c r="N1776" t="str">
        <f>IF(交易處理資料__3[[#This Row],[上班時間]]=0,"否","是")</f>
        <v>否</v>
      </c>
      <c r="O1776" t="s">
        <v>76</v>
      </c>
      <c r="P1776" s="37">
        <v>0</v>
      </c>
      <c r="Q1776" s="37">
        <v>0</v>
      </c>
      <c r="R1776" s="37">
        <v>0</v>
      </c>
    </row>
    <row r="1777" spans="1:18" hidden="1">
      <c r="A1777" t="s">
        <v>76</v>
      </c>
      <c r="B1777" t="s">
        <v>28</v>
      </c>
      <c r="C1777">
        <v>0</v>
      </c>
      <c r="D1777">
        <v>0</v>
      </c>
      <c r="E1777" s="29">
        <v>0</v>
      </c>
      <c r="F1777">
        <v>0</v>
      </c>
      <c r="G1777">
        <v>0</v>
      </c>
      <c r="H1777">
        <v>0</v>
      </c>
      <c r="I1777" s="29">
        <v>0</v>
      </c>
      <c r="J1777" s="29">
        <v>0</v>
      </c>
      <c r="K1777" s="9">
        <v>45336</v>
      </c>
      <c r="L1777">
        <f xml:space="preserve"> (交易處理資料__3[[#This Row],[售出工時]] * 60) / 5</f>
        <v>0</v>
      </c>
      <c r="M1777" t="str">
        <f>VLOOKUP(交易處理資料__3[[#This Row],[人員代號]],團隊分組!$B$1:$C$52,2,FALSE)</f>
        <v>快速保養團隊A</v>
      </c>
      <c r="N1777" t="str">
        <f>IF(交易處理資料__3[[#This Row],[上班時間]]=0,"否","是")</f>
        <v>否</v>
      </c>
      <c r="O1777" t="s">
        <v>76</v>
      </c>
      <c r="P1777" s="38">
        <v>0</v>
      </c>
      <c r="Q1777" s="38">
        <v>0</v>
      </c>
      <c r="R1777" s="38">
        <v>0</v>
      </c>
    </row>
    <row r="1778" spans="1:18" hidden="1">
      <c r="A1778" t="s">
        <v>76</v>
      </c>
      <c r="B1778" t="s">
        <v>29</v>
      </c>
      <c r="C1778">
        <v>0</v>
      </c>
      <c r="D1778">
        <v>0</v>
      </c>
      <c r="E1778" s="29">
        <v>0</v>
      </c>
      <c r="F1778">
        <v>0</v>
      </c>
      <c r="G1778">
        <v>0</v>
      </c>
      <c r="H1778">
        <v>0</v>
      </c>
      <c r="I1778" s="29">
        <v>0</v>
      </c>
      <c r="J1778" s="29">
        <v>0</v>
      </c>
      <c r="K1778" s="9">
        <v>45336</v>
      </c>
      <c r="L1778">
        <f xml:space="preserve"> (交易處理資料__3[[#This Row],[售出工時]] * 60) / 5</f>
        <v>0</v>
      </c>
      <c r="M1778" t="str">
        <f>VLOOKUP(交易處理資料__3[[#This Row],[人員代號]],團隊分組!$B$1:$C$52,2,FALSE)</f>
        <v>查修團隊B</v>
      </c>
      <c r="N1778" t="str">
        <f>IF(交易處理資料__3[[#This Row],[上班時間]]=0,"否","是")</f>
        <v>否</v>
      </c>
      <c r="O1778" t="s">
        <v>76</v>
      </c>
      <c r="P1778" s="37">
        <v>0</v>
      </c>
      <c r="Q1778" s="37">
        <v>0</v>
      </c>
      <c r="R1778" s="37">
        <v>0</v>
      </c>
    </row>
    <row r="1779" spans="1:18" hidden="1">
      <c r="A1779" t="s">
        <v>76</v>
      </c>
      <c r="B1779" t="s">
        <v>30</v>
      </c>
      <c r="C1779">
        <v>0</v>
      </c>
      <c r="D1779">
        <v>0</v>
      </c>
      <c r="E1779" s="29">
        <v>0</v>
      </c>
      <c r="F1779">
        <v>0</v>
      </c>
      <c r="G1779">
        <v>0</v>
      </c>
      <c r="H1779">
        <v>0</v>
      </c>
      <c r="I1779" s="29">
        <v>0</v>
      </c>
      <c r="J1779" s="29">
        <v>0</v>
      </c>
      <c r="K1779" s="9">
        <v>45336</v>
      </c>
      <c r="L1779">
        <f xml:space="preserve"> (交易處理資料__3[[#This Row],[售出工時]] * 60) / 5</f>
        <v>0</v>
      </c>
      <c r="M1779" t="str">
        <f>VLOOKUP(交易處理資料__3[[#This Row],[人員代號]],團隊分組!$B$1:$C$52,2,FALSE)</f>
        <v>快速保養團隊B</v>
      </c>
      <c r="N1779" t="str">
        <f>IF(交易處理資料__3[[#This Row],[上班時間]]=0,"否","是")</f>
        <v>否</v>
      </c>
      <c r="O1779" t="s">
        <v>76</v>
      </c>
      <c r="P1779" s="38">
        <v>0</v>
      </c>
      <c r="Q1779" s="38">
        <v>0</v>
      </c>
      <c r="R1779" s="38">
        <v>0</v>
      </c>
    </row>
    <row r="1780" spans="1:18" hidden="1">
      <c r="A1780" t="s">
        <v>76</v>
      </c>
      <c r="B1780" t="s">
        <v>32</v>
      </c>
      <c r="C1780">
        <v>0</v>
      </c>
      <c r="D1780">
        <v>0</v>
      </c>
      <c r="E1780" s="29">
        <v>0</v>
      </c>
      <c r="F1780">
        <v>0</v>
      </c>
      <c r="G1780">
        <v>0</v>
      </c>
      <c r="H1780">
        <v>0</v>
      </c>
      <c r="I1780" s="29">
        <v>0</v>
      </c>
      <c r="J1780" s="29">
        <v>0</v>
      </c>
      <c r="K1780" s="9">
        <v>45336</v>
      </c>
      <c r="L1780">
        <f xml:space="preserve"> (交易處理資料__3[[#This Row],[售出工時]] * 60) / 5</f>
        <v>0</v>
      </c>
      <c r="M1780" t="str">
        <f>VLOOKUP(交易處理資料__3[[#This Row],[人員代號]],團隊分組!$B$1:$C$52,2,FALSE)</f>
        <v>快速保養團隊B</v>
      </c>
      <c r="N1780" t="str">
        <f>IF(交易處理資料__3[[#This Row],[上班時間]]=0,"否","是")</f>
        <v>否</v>
      </c>
      <c r="O1780" t="s">
        <v>76</v>
      </c>
      <c r="P1780" s="37">
        <v>0</v>
      </c>
      <c r="Q1780" s="37">
        <v>0</v>
      </c>
      <c r="R1780" s="37">
        <v>0</v>
      </c>
    </row>
    <row r="1781" spans="1:18" hidden="1">
      <c r="A1781" t="s">
        <v>76</v>
      </c>
      <c r="B1781" t="s">
        <v>33</v>
      </c>
      <c r="C1781">
        <v>0</v>
      </c>
      <c r="D1781">
        <v>0</v>
      </c>
      <c r="E1781" s="29">
        <v>0</v>
      </c>
      <c r="F1781">
        <v>0</v>
      </c>
      <c r="G1781">
        <v>0</v>
      </c>
      <c r="H1781">
        <v>0</v>
      </c>
      <c r="I1781" s="29">
        <v>0</v>
      </c>
      <c r="J1781" s="29">
        <v>0</v>
      </c>
      <c r="K1781" s="9">
        <v>45336</v>
      </c>
      <c r="L1781">
        <f xml:space="preserve"> (交易處理資料__3[[#This Row],[售出工時]] * 60) / 5</f>
        <v>0</v>
      </c>
      <c r="M1781" t="str">
        <f>VLOOKUP(交易處理資料__3[[#This Row],[人員代號]],團隊分組!$B$1:$C$52,2,FALSE)</f>
        <v>快速保養團隊B</v>
      </c>
      <c r="N1781" t="str">
        <f>IF(交易處理資料__3[[#This Row],[上班時間]]=0,"否","是")</f>
        <v>否</v>
      </c>
      <c r="O1781" t="s">
        <v>76</v>
      </c>
      <c r="P1781" s="38">
        <v>0</v>
      </c>
      <c r="Q1781" s="38">
        <v>0</v>
      </c>
      <c r="R1781" s="38">
        <v>0</v>
      </c>
    </row>
    <row r="1782" spans="1:18" hidden="1">
      <c r="A1782" t="s">
        <v>76</v>
      </c>
      <c r="B1782" t="s">
        <v>34</v>
      </c>
      <c r="C1782">
        <v>0</v>
      </c>
      <c r="D1782">
        <v>0</v>
      </c>
      <c r="E1782" s="29">
        <v>0</v>
      </c>
      <c r="F1782">
        <v>0</v>
      </c>
      <c r="G1782">
        <v>0</v>
      </c>
      <c r="H1782">
        <v>0</v>
      </c>
      <c r="I1782" s="29">
        <v>0</v>
      </c>
      <c r="J1782" s="29">
        <v>0</v>
      </c>
      <c r="K1782" s="9">
        <v>45336</v>
      </c>
      <c r="L1782">
        <f xml:space="preserve"> (交易處理資料__3[[#This Row],[售出工時]] * 60) / 5</f>
        <v>0</v>
      </c>
      <c r="M1782" t="str">
        <f>VLOOKUP(交易處理資料__3[[#This Row],[人員代號]],團隊分組!$B$1:$C$52,2,FALSE)</f>
        <v>快速保養團隊A</v>
      </c>
      <c r="N1782" t="str">
        <f>IF(交易處理資料__3[[#This Row],[上班時間]]=0,"否","是")</f>
        <v>否</v>
      </c>
      <c r="O1782" t="s">
        <v>76</v>
      </c>
      <c r="P1782" s="37">
        <v>0</v>
      </c>
      <c r="Q1782" s="37">
        <v>0</v>
      </c>
      <c r="R1782" s="37">
        <v>0</v>
      </c>
    </row>
    <row r="1783" spans="1:18" hidden="1">
      <c r="A1783" t="s">
        <v>76</v>
      </c>
      <c r="B1783" t="s">
        <v>35</v>
      </c>
      <c r="C1783">
        <v>0</v>
      </c>
      <c r="D1783">
        <v>0</v>
      </c>
      <c r="E1783" s="29">
        <v>0</v>
      </c>
      <c r="F1783">
        <v>0</v>
      </c>
      <c r="G1783">
        <v>0</v>
      </c>
      <c r="H1783">
        <v>0</v>
      </c>
      <c r="I1783" s="29">
        <v>0</v>
      </c>
      <c r="J1783" s="29">
        <v>0</v>
      </c>
      <c r="K1783" s="9">
        <v>45336</v>
      </c>
      <c r="L1783">
        <f xml:space="preserve"> (交易處理資料__3[[#This Row],[售出工時]] * 60) / 5</f>
        <v>0</v>
      </c>
      <c r="M1783" t="str">
        <f>VLOOKUP(交易處理資料__3[[#This Row],[人員代號]],團隊分組!$B$1:$C$52,2,FALSE)</f>
        <v>查修團隊B</v>
      </c>
      <c r="N1783" t="str">
        <f>IF(交易處理資料__3[[#This Row],[上班時間]]=0,"否","是")</f>
        <v>否</v>
      </c>
      <c r="O1783" t="s">
        <v>76</v>
      </c>
      <c r="P1783" s="38">
        <v>0</v>
      </c>
      <c r="Q1783" s="38">
        <v>0</v>
      </c>
      <c r="R1783" s="38">
        <v>0</v>
      </c>
    </row>
    <row r="1784" spans="1:18" hidden="1">
      <c r="A1784" t="s">
        <v>76</v>
      </c>
      <c r="B1784" t="s">
        <v>36</v>
      </c>
      <c r="C1784">
        <v>0</v>
      </c>
      <c r="D1784">
        <v>0</v>
      </c>
      <c r="E1784" s="29">
        <v>0</v>
      </c>
      <c r="F1784">
        <v>0</v>
      </c>
      <c r="G1784">
        <v>0</v>
      </c>
      <c r="H1784">
        <v>0</v>
      </c>
      <c r="I1784" s="29">
        <v>0</v>
      </c>
      <c r="J1784" s="29">
        <v>0</v>
      </c>
      <c r="K1784" s="9">
        <v>45336</v>
      </c>
      <c r="L1784">
        <f xml:space="preserve"> (交易處理資料__3[[#This Row],[售出工時]] * 60) / 5</f>
        <v>0</v>
      </c>
      <c r="M1784" t="str">
        <f>VLOOKUP(交易處理資料__3[[#This Row],[人員代號]],團隊分組!$B$1:$C$52,2,FALSE)</f>
        <v>查修團隊B</v>
      </c>
      <c r="N1784" t="str">
        <f>IF(交易處理資料__3[[#This Row],[上班時間]]=0,"否","是")</f>
        <v>否</v>
      </c>
      <c r="O1784" t="s">
        <v>76</v>
      </c>
      <c r="P1784" s="37">
        <v>0</v>
      </c>
      <c r="Q1784" s="37">
        <v>0</v>
      </c>
      <c r="R1784" s="37">
        <v>0</v>
      </c>
    </row>
    <row r="1785" spans="1:18" hidden="1">
      <c r="A1785" t="s">
        <v>76</v>
      </c>
      <c r="B1785" t="s">
        <v>37</v>
      </c>
      <c r="C1785">
        <v>0</v>
      </c>
      <c r="D1785">
        <v>0</v>
      </c>
      <c r="E1785" s="29">
        <v>0</v>
      </c>
      <c r="F1785">
        <v>0</v>
      </c>
      <c r="G1785">
        <v>0</v>
      </c>
      <c r="H1785">
        <v>0</v>
      </c>
      <c r="I1785" s="29">
        <v>0</v>
      </c>
      <c r="J1785" s="29">
        <v>0</v>
      </c>
      <c r="K1785" s="9">
        <v>45336</v>
      </c>
      <c r="L1785">
        <f xml:space="preserve"> (交易處理資料__3[[#This Row],[售出工時]] * 60) / 5</f>
        <v>0</v>
      </c>
      <c r="M1785" t="str">
        <f>VLOOKUP(交易處理資料__3[[#This Row],[人員代號]],團隊分組!$B$1:$C$52,2,FALSE)</f>
        <v>查修團隊A</v>
      </c>
      <c r="N1785" t="str">
        <f>IF(交易處理資料__3[[#This Row],[上班時間]]=0,"否","是")</f>
        <v>否</v>
      </c>
      <c r="O1785" t="s">
        <v>76</v>
      </c>
      <c r="P1785" s="38">
        <v>0</v>
      </c>
      <c r="Q1785" s="38">
        <v>0</v>
      </c>
      <c r="R1785" s="38">
        <v>0</v>
      </c>
    </row>
    <row r="1786" spans="1:18" hidden="1">
      <c r="A1786" t="s">
        <v>76</v>
      </c>
      <c r="B1786" t="s">
        <v>38</v>
      </c>
      <c r="C1786">
        <v>0</v>
      </c>
      <c r="D1786">
        <v>0</v>
      </c>
      <c r="E1786" s="29">
        <v>0</v>
      </c>
      <c r="F1786">
        <v>0</v>
      </c>
      <c r="G1786">
        <v>0</v>
      </c>
      <c r="H1786">
        <v>0</v>
      </c>
      <c r="I1786" s="29">
        <v>0</v>
      </c>
      <c r="J1786" s="29">
        <v>0</v>
      </c>
      <c r="K1786" s="9">
        <v>45336</v>
      </c>
      <c r="L1786">
        <f xml:space="preserve"> (交易處理資料__3[[#This Row],[售出工時]] * 60) / 5</f>
        <v>0</v>
      </c>
      <c r="M1786" t="str">
        <f>VLOOKUP(交易處理資料__3[[#This Row],[人員代號]],團隊分組!$B$1:$C$52,2,FALSE)</f>
        <v>快速保養團隊A</v>
      </c>
      <c r="N1786" t="str">
        <f>IF(交易處理資料__3[[#This Row],[上班時間]]=0,"否","是")</f>
        <v>否</v>
      </c>
      <c r="O1786" t="s">
        <v>76</v>
      </c>
      <c r="P1786" s="37">
        <v>0</v>
      </c>
      <c r="Q1786" s="37">
        <v>0</v>
      </c>
      <c r="R1786" s="37">
        <v>0</v>
      </c>
    </row>
    <row r="1787" spans="1:18" hidden="1">
      <c r="A1787" t="s">
        <v>76</v>
      </c>
      <c r="B1787" t="s">
        <v>39</v>
      </c>
      <c r="C1787">
        <v>0</v>
      </c>
      <c r="D1787">
        <v>0</v>
      </c>
      <c r="E1787" s="29">
        <v>0</v>
      </c>
      <c r="F1787">
        <v>0</v>
      </c>
      <c r="G1787">
        <v>0</v>
      </c>
      <c r="H1787">
        <v>0</v>
      </c>
      <c r="I1787" s="29">
        <v>0</v>
      </c>
      <c r="J1787" s="29">
        <v>0</v>
      </c>
      <c r="K1787" s="9">
        <v>45336</v>
      </c>
      <c r="L1787">
        <f xml:space="preserve"> (交易處理資料__3[[#This Row],[售出工時]] * 60) / 5</f>
        <v>0</v>
      </c>
      <c r="M1787" t="str">
        <f>VLOOKUP(交易處理資料__3[[#This Row],[人員代號]],團隊分組!$B$1:$C$52,2,FALSE)</f>
        <v>查修團隊A</v>
      </c>
      <c r="N1787" t="str">
        <f>IF(交易處理資料__3[[#This Row],[上班時間]]=0,"否","是")</f>
        <v>否</v>
      </c>
      <c r="O1787" t="s">
        <v>76</v>
      </c>
      <c r="P1787" s="38">
        <v>0</v>
      </c>
      <c r="Q1787" s="38">
        <v>0</v>
      </c>
      <c r="R1787" s="38">
        <v>0</v>
      </c>
    </row>
    <row r="1788" spans="1:18" hidden="1">
      <c r="A1788" t="s">
        <v>76</v>
      </c>
      <c r="B1788" t="s">
        <v>40</v>
      </c>
      <c r="C1788">
        <v>0</v>
      </c>
      <c r="D1788">
        <v>0</v>
      </c>
      <c r="E1788" s="29">
        <v>0</v>
      </c>
      <c r="F1788">
        <v>0</v>
      </c>
      <c r="G1788">
        <v>0</v>
      </c>
      <c r="H1788">
        <v>0</v>
      </c>
      <c r="I1788" s="29">
        <v>0</v>
      </c>
      <c r="J1788" s="29">
        <v>0</v>
      </c>
      <c r="K1788" s="9">
        <v>45336</v>
      </c>
      <c r="L1788">
        <f xml:space="preserve"> (交易處理資料__3[[#This Row],[售出工時]] * 60) / 5</f>
        <v>0</v>
      </c>
      <c r="M1788" t="str">
        <f>VLOOKUP(交易處理資料__3[[#This Row],[人員代號]],團隊分組!$B$1:$C$52,2,FALSE)</f>
        <v>查修團隊A</v>
      </c>
      <c r="N1788" t="str">
        <f>IF(交易處理資料__3[[#This Row],[上班時間]]=0,"否","是")</f>
        <v>否</v>
      </c>
      <c r="O1788" t="s">
        <v>76</v>
      </c>
      <c r="P1788" s="37">
        <v>0</v>
      </c>
      <c r="Q1788" s="37">
        <v>0</v>
      </c>
      <c r="R1788" s="37">
        <v>0</v>
      </c>
    </row>
    <row r="1789" spans="1:18" hidden="1">
      <c r="A1789" t="s">
        <v>76</v>
      </c>
      <c r="B1789" t="s">
        <v>41</v>
      </c>
      <c r="C1789">
        <v>0</v>
      </c>
      <c r="D1789">
        <v>0</v>
      </c>
      <c r="E1789" s="29">
        <v>0</v>
      </c>
      <c r="F1789">
        <v>0</v>
      </c>
      <c r="G1789">
        <v>0</v>
      </c>
      <c r="H1789">
        <v>0</v>
      </c>
      <c r="I1789" s="29">
        <v>0</v>
      </c>
      <c r="J1789" s="29">
        <v>0</v>
      </c>
      <c r="K1789" s="9">
        <v>45336</v>
      </c>
      <c r="L1789">
        <f xml:space="preserve"> (交易處理資料__3[[#This Row],[售出工時]] * 60) / 5</f>
        <v>0</v>
      </c>
      <c r="M1789" t="str">
        <f>VLOOKUP(交易處理資料__3[[#This Row],[人員代號]],團隊分組!$B$1:$C$52,2,FALSE)</f>
        <v>快速保養團隊A</v>
      </c>
      <c r="N1789" t="str">
        <f>IF(交易處理資料__3[[#This Row],[上班時間]]=0,"否","是")</f>
        <v>否</v>
      </c>
      <c r="O1789" t="s">
        <v>76</v>
      </c>
      <c r="P1789" s="38">
        <v>0</v>
      </c>
      <c r="Q1789" s="38">
        <v>0</v>
      </c>
      <c r="R1789" s="38">
        <v>0</v>
      </c>
    </row>
    <row r="1790" spans="1:18" hidden="1">
      <c r="A1790" t="s">
        <v>76</v>
      </c>
      <c r="B1790" t="s">
        <v>42</v>
      </c>
      <c r="C1790">
        <v>0</v>
      </c>
      <c r="D1790">
        <v>0</v>
      </c>
      <c r="E1790" s="29">
        <v>0</v>
      </c>
      <c r="F1790">
        <v>0</v>
      </c>
      <c r="G1790">
        <v>0</v>
      </c>
      <c r="H1790">
        <v>0</v>
      </c>
      <c r="I1790" s="29">
        <v>0</v>
      </c>
      <c r="J1790" s="29">
        <v>0</v>
      </c>
      <c r="K1790" s="9">
        <v>45336</v>
      </c>
      <c r="L1790">
        <f xml:space="preserve"> (交易處理資料__3[[#This Row],[售出工時]] * 60) / 5</f>
        <v>0</v>
      </c>
      <c r="M1790" t="str">
        <f>VLOOKUP(交易處理資料__3[[#This Row],[人員代號]],團隊分組!$B$1:$C$52,2,FALSE)</f>
        <v>快速保養團隊A</v>
      </c>
      <c r="N1790" t="str">
        <f>IF(交易處理資料__3[[#This Row],[上班時間]]=0,"否","是")</f>
        <v>否</v>
      </c>
      <c r="O1790" t="s">
        <v>76</v>
      </c>
      <c r="P1790" s="37">
        <v>0</v>
      </c>
      <c r="Q1790" s="37">
        <v>0</v>
      </c>
      <c r="R1790" s="37">
        <v>0</v>
      </c>
    </row>
    <row r="1791" spans="1:18" hidden="1">
      <c r="A1791" t="s">
        <v>76</v>
      </c>
      <c r="B1791" t="s">
        <v>43</v>
      </c>
      <c r="C1791">
        <v>0</v>
      </c>
      <c r="D1791">
        <v>0</v>
      </c>
      <c r="E1791" s="29">
        <v>0</v>
      </c>
      <c r="F1791">
        <v>0</v>
      </c>
      <c r="G1791">
        <v>0</v>
      </c>
      <c r="H1791">
        <v>0</v>
      </c>
      <c r="I1791" s="29">
        <v>0</v>
      </c>
      <c r="J1791" s="29">
        <v>0</v>
      </c>
      <c r="K1791" s="9">
        <v>45336</v>
      </c>
      <c r="L1791">
        <f xml:space="preserve"> (交易處理資料__3[[#This Row],[售出工時]] * 60) / 5</f>
        <v>0</v>
      </c>
      <c r="M1791" t="str">
        <f>VLOOKUP(交易處理資料__3[[#This Row],[人員代號]],團隊分組!$B$1:$C$52,2,FALSE)</f>
        <v>查修團隊B</v>
      </c>
      <c r="N1791" t="str">
        <f>IF(交易處理資料__3[[#This Row],[上班時間]]=0,"否","是")</f>
        <v>否</v>
      </c>
      <c r="O1791" t="s">
        <v>76</v>
      </c>
      <c r="P1791" s="38">
        <v>0</v>
      </c>
      <c r="Q1791" s="38">
        <v>0</v>
      </c>
      <c r="R1791" s="38">
        <v>0</v>
      </c>
    </row>
    <row r="1792" spans="1:18" hidden="1">
      <c r="A1792" t="s">
        <v>76</v>
      </c>
      <c r="B1792" t="s">
        <v>44</v>
      </c>
      <c r="C1792">
        <v>0</v>
      </c>
      <c r="D1792">
        <v>0</v>
      </c>
      <c r="E1792" s="29">
        <v>0</v>
      </c>
      <c r="F1792">
        <v>0</v>
      </c>
      <c r="G1792">
        <v>0</v>
      </c>
      <c r="H1792">
        <v>0</v>
      </c>
      <c r="I1792" s="29">
        <v>0</v>
      </c>
      <c r="J1792" s="29">
        <v>0</v>
      </c>
      <c r="K1792" s="9">
        <v>45336</v>
      </c>
      <c r="L1792">
        <f xml:space="preserve"> (交易處理資料__3[[#This Row],[售出工時]] * 60) / 5</f>
        <v>0</v>
      </c>
      <c r="M1792" t="str">
        <f>VLOOKUP(交易處理資料__3[[#This Row],[人員代號]],團隊分組!$B$1:$C$52,2,FALSE)</f>
        <v>快速保養團隊B</v>
      </c>
      <c r="N1792" t="str">
        <f>IF(交易處理資料__3[[#This Row],[上班時間]]=0,"否","是")</f>
        <v>否</v>
      </c>
      <c r="O1792" t="s">
        <v>76</v>
      </c>
      <c r="P1792" s="37">
        <v>0</v>
      </c>
      <c r="Q1792" s="37">
        <v>0</v>
      </c>
      <c r="R1792" s="37">
        <v>0</v>
      </c>
    </row>
    <row r="1793" spans="1:18" hidden="1">
      <c r="A1793" t="s">
        <v>76</v>
      </c>
      <c r="B1793" t="s">
        <v>45</v>
      </c>
      <c r="C1793">
        <v>0</v>
      </c>
      <c r="D1793">
        <v>0</v>
      </c>
      <c r="E1793" s="29">
        <v>0</v>
      </c>
      <c r="F1793">
        <v>0</v>
      </c>
      <c r="G1793">
        <v>0</v>
      </c>
      <c r="H1793">
        <v>0</v>
      </c>
      <c r="I1793" s="29">
        <v>0</v>
      </c>
      <c r="J1793" s="29">
        <v>0</v>
      </c>
      <c r="K1793" s="9">
        <v>45336</v>
      </c>
      <c r="L1793">
        <f xml:space="preserve"> (交易處理資料__3[[#This Row],[售出工時]] * 60) / 5</f>
        <v>0</v>
      </c>
      <c r="M1793" t="str">
        <f>VLOOKUP(交易處理資料__3[[#This Row],[人員代號]],團隊分組!$B$1:$C$52,2,FALSE)</f>
        <v>快速保養團隊A</v>
      </c>
      <c r="N1793" t="str">
        <f>IF(交易處理資料__3[[#This Row],[上班時間]]=0,"否","是")</f>
        <v>否</v>
      </c>
      <c r="O1793" t="s">
        <v>76</v>
      </c>
      <c r="P1793" s="38">
        <v>0</v>
      </c>
      <c r="Q1793" s="38">
        <v>0</v>
      </c>
      <c r="R1793" s="38">
        <v>0</v>
      </c>
    </row>
    <row r="1794" spans="1:18" hidden="1">
      <c r="A1794" t="s">
        <v>76</v>
      </c>
      <c r="B1794" t="s">
        <v>46</v>
      </c>
      <c r="C1794">
        <v>0</v>
      </c>
      <c r="D1794">
        <v>0</v>
      </c>
      <c r="E1794" s="29">
        <v>0</v>
      </c>
      <c r="F1794">
        <v>0</v>
      </c>
      <c r="G1794">
        <v>0</v>
      </c>
      <c r="H1794">
        <v>0</v>
      </c>
      <c r="I1794" s="29">
        <v>0</v>
      </c>
      <c r="J1794" s="29">
        <v>0</v>
      </c>
      <c r="K1794" s="9">
        <v>45336</v>
      </c>
      <c r="L1794">
        <f xml:space="preserve"> (交易處理資料__3[[#This Row],[售出工時]] * 60) / 5</f>
        <v>0</v>
      </c>
      <c r="M1794" t="str">
        <f>VLOOKUP(交易處理資料__3[[#This Row],[人員代號]],團隊分組!$B$1:$C$52,2,FALSE)</f>
        <v>查修團隊B</v>
      </c>
      <c r="N1794" t="str">
        <f>IF(交易處理資料__3[[#This Row],[上班時間]]=0,"否","是")</f>
        <v>否</v>
      </c>
      <c r="O1794" t="s">
        <v>76</v>
      </c>
      <c r="P1794" s="37">
        <v>0</v>
      </c>
      <c r="Q1794" s="37">
        <v>0</v>
      </c>
      <c r="R1794" s="37">
        <v>0</v>
      </c>
    </row>
    <row r="1795" spans="1:18" hidden="1">
      <c r="A1795" t="s">
        <v>76</v>
      </c>
      <c r="B1795" t="s">
        <v>47</v>
      </c>
      <c r="C1795">
        <v>0</v>
      </c>
      <c r="D1795">
        <v>0</v>
      </c>
      <c r="E1795" s="29">
        <v>0</v>
      </c>
      <c r="F1795">
        <v>0</v>
      </c>
      <c r="G1795">
        <v>0</v>
      </c>
      <c r="H1795">
        <v>0</v>
      </c>
      <c r="I1795" s="29">
        <v>0</v>
      </c>
      <c r="J1795" s="29">
        <v>0</v>
      </c>
      <c r="K1795" s="9">
        <v>45336</v>
      </c>
      <c r="L1795">
        <f xml:space="preserve"> (交易處理資料__3[[#This Row],[售出工時]] * 60) / 5</f>
        <v>0</v>
      </c>
      <c r="M1795" t="str">
        <f>VLOOKUP(交易處理資料__3[[#This Row],[人員代號]],團隊分組!$B$1:$C$52,2,FALSE)</f>
        <v>查修團隊B</v>
      </c>
      <c r="N1795" t="str">
        <f>IF(交易處理資料__3[[#This Row],[上班時間]]=0,"否","是")</f>
        <v>否</v>
      </c>
      <c r="O1795" t="s">
        <v>76</v>
      </c>
      <c r="P1795" s="38">
        <v>0</v>
      </c>
      <c r="Q1795" s="38">
        <v>0</v>
      </c>
      <c r="R1795" s="38">
        <v>0</v>
      </c>
    </row>
    <row r="1796" spans="1:18" hidden="1">
      <c r="A1796" t="s">
        <v>76</v>
      </c>
      <c r="B1796" t="s">
        <v>48</v>
      </c>
      <c r="C1796">
        <v>0</v>
      </c>
      <c r="D1796">
        <v>0</v>
      </c>
      <c r="E1796" s="29">
        <v>0</v>
      </c>
      <c r="F1796">
        <v>0</v>
      </c>
      <c r="G1796">
        <v>0</v>
      </c>
      <c r="H1796">
        <v>0</v>
      </c>
      <c r="I1796" s="29">
        <v>0</v>
      </c>
      <c r="J1796" s="29">
        <v>0</v>
      </c>
      <c r="K1796" s="9">
        <v>45336</v>
      </c>
      <c r="L1796">
        <f xml:space="preserve"> (交易處理資料__3[[#This Row],[售出工時]] * 60) / 5</f>
        <v>0</v>
      </c>
      <c r="M1796" t="str">
        <f>VLOOKUP(交易處理資料__3[[#This Row],[人員代號]],團隊分組!$B$1:$C$52,2,FALSE)</f>
        <v>查修團隊A</v>
      </c>
      <c r="N1796" t="str">
        <f>IF(交易處理資料__3[[#This Row],[上班時間]]=0,"否","是")</f>
        <v>否</v>
      </c>
      <c r="O1796" t="s">
        <v>76</v>
      </c>
      <c r="P1796" s="37">
        <v>0</v>
      </c>
      <c r="Q1796" s="37">
        <v>0</v>
      </c>
      <c r="R1796" s="37">
        <v>0</v>
      </c>
    </row>
    <row r="1797" spans="1:18" hidden="1">
      <c r="A1797" t="s">
        <v>76</v>
      </c>
      <c r="B1797" t="s">
        <v>49</v>
      </c>
      <c r="C1797">
        <v>0</v>
      </c>
      <c r="D1797">
        <v>0</v>
      </c>
      <c r="E1797" s="29">
        <v>0</v>
      </c>
      <c r="F1797">
        <v>0</v>
      </c>
      <c r="G1797">
        <v>0</v>
      </c>
      <c r="H1797">
        <v>0</v>
      </c>
      <c r="I1797" s="29">
        <v>0</v>
      </c>
      <c r="J1797" s="29">
        <v>0</v>
      </c>
      <c r="K1797" s="9">
        <v>45336</v>
      </c>
      <c r="L1797">
        <f xml:space="preserve"> (交易處理資料__3[[#This Row],[售出工時]] * 60) / 5</f>
        <v>0</v>
      </c>
      <c r="M1797" t="str">
        <f>VLOOKUP(交易處理資料__3[[#This Row],[人員代號]],團隊分組!$B$1:$C$52,2,FALSE)</f>
        <v>查修團隊A</v>
      </c>
      <c r="N1797" t="str">
        <f>IF(交易處理資料__3[[#This Row],[上班時間]]=0,"否","是")</f>
        <v>否</v>
      </c>
      <c r="O1797" t="s">
        <v>76</v>
      </c>
      <c r="P1797" s="38">
        <v>0</v>
      </c>
      <c r="Q1797" s="38">
        <v>0</v>
      </c>
      <c r="R1797" s="38">
        <v>0</v>
      </c>
    </row>
    <row r="1798" spans="1:18" hidden="1">
      <c r="A1798" t="s">
        <v>76</v>
      </c>
      <c r="B1798" t="s">
        <v>50</v>
      </c>
      <c r="C1798">
        <v>0</v>
      </c>
      <c r="D1798">
        <v>0</v>
      </c>
      <c r="E1798" s="29">
        <v>0</v>
      </c>
      <c r="F1798">
        <v>0</v>
      </c>
      <c r="G1798">
        <v>0</v>
      </c>
      <c r="H1798">
        <v>0</v>
      </c>
      <c r="I1798" s="29">
        <v>0</v>
      </c>
      <c r="J1798" s="29">
        <v>0</v>
      </c>
      <c r="K1798" s="9">
        <v>45336</v>
      </c>
      <c r="L1798">
        <f xml:space="preserve"> (交易處理資料__3[[#This Row],[售出工時]] * 60) / 5</f>
        <v>0</v>
      </c>
      <c r="M1798" t="str">
        <f>VLOOKUP(交易處理資料__3[[#This Row],[人員代號]],團隊分組!$B$1:$C$52,2,FALSE)</f>
        <v>快速保養團隊B</v>
      </c>
      <c r="N1798" t="str">
        <f>IF(交易處理資料__3[[#This Row],[上班時間]]=0,"否","是")</f>
        <v>否</v>
      </c>
      <c r="O1798" t="s">
        <v>76</v>
      </c>
      <c r="P1798" s="37">
        <v>0</v>
      </c>
      <c r="Q1798" s="37">
        <v>0</v>
      </c>
      <c r="R1798" s="37">
        <v>0</v>
      </c>
    </row>
    <row r="1799" spans="1:18" hidden="1">
      <c r="A1799" t="s">
        <v>76</v>
      </c>
      <c r="B1799" t="s">
        <v>51</v>
      </c>
      <c r="C1799">
        <v>0</v>
      </c>
      <c r="D1799">
        <v>0</v>
      </c>
      <c r="E1799" s="29">
        <v>0</v>
      </c>
      <c r="F1799">
        <v>0</v>
      </c>
      <c r="G1799">
        <v>0</v>
      </c>
      <c r="H1799">
        <v>0</v>
      </c>
      <c r="I1799" s="29">
        <v>0</v>
      </c>
      <c r="J1799" s="29">
        <v>0</v>
      </c>
      <c r="K1799" s="9">
        <v>45336</v>
      </c>
      <c r="L1799">
        <f xml:space="preserve"> (交易處理資料__3[[#This Row],[售出工時]] * 60) / 5</f>
        <v>0</v>
      </c>
      <c r="M1799" t="str">
        <f>VLOOKUP(交易處理資料__3[[#This Row],[人員代號]],團隊分組!$B$1:$C$52,2,FALSE)</f>
        <v>無效數據</v>
      </c>
      <c r="N1799" t="str">
        <f>IF(交易處理資料__3[[#This Row],[上班時間]]=0,"否","是")</f>
        <v>否</v>
      </c>
      <c r="O1799" t="s">
        <v>76</v>
      </c>
      <c r="P1799" s="38">
        <v>0</v>
      </c>
      <c r="Q1799" s="38">
        <v>0</v>
      </c>
      <c r="R1799" s="38">
        <v>0</v>
      </c>
    </row>
    <row r="1800" spans="1:18" hidden="1">
      <c r="A1800" t="s">
        <v>76</v>
      </c>
      <c r="B1800" t="s">
        <v>52</v>
      </c>
      <c r="C1800">
        <v>0</v>
      </c>
      <c r="D1800">
        <v>0</v>
      </c>
      <c r="E1800" s="29">
        <v>0</v>
      </c>
      <c r="F1800">
        <v>0</v>
      </c>
      <c r="G1800">
        <v>0</v>
      </c>
      <c r="H1800">
        <v>0</v>
      </c>
      <c r="I1800" s="29">
        <v>0</v>
      </c>
      <c r="J1800" s="29">
        <v>0</v>
      </c>
      <c r="K1800" s="9">
        <v>45336</v>
      </c>
      <c r="L1800">
        <f xml:space="preserve"> (交易處理資料__3[[#This Row],[售出工時]] * 60) / 5</f>
        <v>0</v>
      </c>
      <c r="M1800" t="str">
        <f>VLOOKUP(交易處理資料__3[[#This Row],[人員代號]],團隊分組!$B$1:$C$52,2,FALSE)</f>
        <v>查修團隊B</v>
      </c>
      <c r="N1800" t="str">
        <f>IF(交易處理資料__3[[#This Row],[上班時間]]=0,"否","是")</f>
        <v>否</v>
      </c>
      <c r="O1800" t="s">
        <v>76</v>
      </c>
      <c r="P1800" s="37">
        <v>0</v>
      </c>
      <c r="Q1800" s="37">
        <v>0</v>
      </c>
      <c r="R1800" s="37">
        <v>0</v>
      </c>
    </row>
    <row r="1801" spans="1:18" hidden="1">
      <c r="A1801" t="s">
        <v>76</v>
      </c>
      <c r="B1801" t="s">
        <v>53</v>
      </c>
      <c r="C1801">
        <v>0</v>
      </c>
      <c r="D1801">
        <v>0</v>
      </c>
      <c r="E1801" s="29">
        <v>0</v>
      </c>
      <c r="F1801">
        <v>0</v>
      </c>
      <c r="G1801">
        <v>0</v>
      </c>
      <c r="H1801">
        <v>0</v>
      </c>
      <c r="I1801" s="29">
        <v>0</v>
      </c>
      <c r="J1801" s="29">
        <v>0</v>
      </c>
      <c r="K1801" s="9">
        <v>45336</v>
      </c>
      <c r="L1801">
        <f xml:space="preserve"> (交易處理資料__3[[#This Row],[售出工時]] * 60) / 5</f>
        <v>0</v>
      </c>
      <c r="M1801" t="str">
        <f>VLOOKUP(交易處理資料__3[[#This Row],[人員代號]],團隊分組!$B$1:$C$52,2,FALSE)</f>
        <v>查修團隊A</v>
      </c>
      <c r="N1801" t="str">
        <f>IF(交易處理資料__3[[#This Row],[上班時間]]=0,"否","是")</f>
        <v>否</v>
      </c>
      <c r="O1801" t="s">
        <v>76</v>
      </c>
      <c r="P1801" s="38">
        <v>0</v>
      </c>
      <c r="Q1801" s="38">
        <v>0</v>
      </c>
      <c r="R1801" s="38">
        <v>0</v>
      </c>
    </row>
    <row r="1802" spans="1:18" hidden="1">
      <c r="A1802" s="10" t="s">
        <v>74</v>
      </c>
      <c r="B1802" t="s">
        <v>2</v>
      </c>
      <c r="C1802">
        <v>0</v>
      </c>
      <c r="D1802">
        <v>0</v>
      </c>
      <c r="E1802" s="29">
        <v>0</v>
      </c>
      <c r="F1802">
        <v>0</v>
      </c>
      <c r="G1802">
        <v>7.86</v>
      </c>
      <c r="H1802">
        <v>7.86</v>
      </c>
      <c r="I1802" s="29">
        <v>0</v>
      </c>
      <c r="J1802" s="29">
        <v>0</v>
      </c>
      <c r="K1802" s="9">
        <v>45337</v>
      </c>
      <c r="L1802">
        <f xml:space="preserve"> (交易處理資料__3[[#This Row],[售出工時]] * 60) / 5</f>
        <v>0</v>
      </c>
      <c r="M1802" t="str">
        <f>VLOOKUP(交易處理資料__3[[#This Row],[人員代號]],團隊分組!$B$1:$C$52,2,FALSE)</f>
        <v>噴漆維修組</v>
      </c>
      <c r="N1802" t="str">
        <f>IF(交易處理資料__3[[#This Row],[上班時間]]=0,"否","是")</f>
        <v>是</v>
      </c>
      <c r="O1802" s="10" t="s">
        <v>74</v>
      </c>
      <c r="P1802" s="37">
        <v>0</v>
      </c>
      <c r="Q1802" s="37">
        <v>0</v>
      </c>
      <c r="R1802" s="37">
        <v>0</v>
      </c>
    </row>
    <row r="1803" spans="1:18" hidden="1">
      <c r="A1803" s="10" t="s">
        <v>74</v>
      </c>
      <c r="B1803" t="s">
        <v>3</v>
      </c>
      <c r="C1803">
        <v>0</v>
      </c>
      <c r="D1803">
        <v>0</v>
      </c>
      <c r="E1803" s="29">
        <v>0</v>
      </c>
      <c r="F1803">
        <v>0</v>
      </c>
      <c r="G1803">
        <v>7.86</v>
      </c>
      <c r="H1803">
        <v>7.86</v>
      </c>
      <c r="I1803" s="29">
        <v>0</v>
      </c>
      <c r="J1803" s="29">
        <v>0</v>
      </c>
      <c r="K1803" s="9">
        <v>45337</v>
      </c>
      <c r="L1803">
        <f xml:space="preserve"> (交易處理資料__3[[#This Row],[售出工時]] * 60) / 5</f>
        <v>0</v>
      </c>
      <c r="M1803" t="str">
        <f>VLOOKUP(交易處理資料__3[[#This Row],[人員代號]],團隊分組!$B$1:$C$52,2,FALSE)</f>
        <v>噴漆維修組</v>
      </c>
      <c r="N1803" t="str">
        <f>IF(交易處理資料__3[[#This Row],[上班時間]]=0,"否","是")</f>
        <v>是</v>
      </c>
      <c r="O1803" s="10" t="s">
        <v>74</v>
      </c>
      <c r="P1803" s="38">
        <v>0</v>
      </c>
      <c r="Q1803" s="38">
        <v>0</v>
      </c>
      <c r="R1803" s="38">
        <v>0</v>
      </c>
    </row>
    <row r="1804" spans="1:18" hidden="1">
      <c r="A1804" s="10" t="s">
        <v>74</v>
      </c>
      <c r="B1804" t="s">
        <v>5</v>
      </c>
      <c r="C1804">
        <v>0</v>
      </c>
      <c r="D1804">
        <v>0</v>
      </c>
      <c r="E1804" s="29">
        <v>0</v>
      </c>
      <c r="F1804">
        <v>0</v>
      </c>
      <c r="G1804">
        <v>7.86</v>
      </c>
      <c r="H1804">
        <v>7.86</v>
      </c>
      <c r="I1804" s="29">
        <v>0</v>
      </c>
      <c r="J1804" s="29">
        <v>0</v>
      </c>
      <c r="K1804" s="9">
        <v>45337</v>
      </c>
      <c r="L1804">
        <f xml:space="preserve"> (交易處理資料__3[[#This Row],[售出工時]] * 60) / 5</f>
        <v>0</v>
      </c>
      <c r="M1804" t="str">
        <f>VLOOKUP(交易處理資料__3[[#This Row],[人員代號]],團隊分組!$B$1:$C$52,2,FALSE)</f>
        <v>噴漆維修組</v>
      </c>
      <c r="N1804" t="str">
        <f>IF(交易處理資料__3[[#This Row],[上班時間]]=0,"否","是")</f>
        <v>是</v>
      </c>
      <c r="O1804" s="10" t="s">
        <v>74</v>
      </c>
      <c r="P1804" s="37">
        <v>0</v>
      </c>
      <c r="Q1804" s="37">
        <v>0</v>
      </c>
      <c r="R1804" s="37">
        <v>0</v>
      </c>
    </row>
    <row r="1805" spans="1:18" hidden="1">
      <c r="A1805" s="10" t="s">
        <v>74</v>
      </c>
      <c r="B1805" t="s">
        <v>6</v>
      </c>
      <c r="C1805">
        <v>0</v>
      </c>
      <c r="D1805">
        <v>0</v>
      </c>
      <c r="E1805" s="29">
        <v>0</v>
      </c>
      <c r="F1805">
        <v>0</v>
      </c>
      <c r="G1805">
        <v>7.86</v>
      </c>
      <c r="H1805">
        <v>7.86</v>
      </c>
      <c r="I1805" s="29">
        <v>0</v>
      </c>
      <c r="J1805" s="29">
        <v>0</v>
      </c>
      <c r="K1805" s="9">
        <v>45337</v>
      </c>
      <c r="L1805">
        <f xml:space="preserve"> (交易處理資料__3[[#This Row],[售出工時]] * 60) / 5</f>
        <v>0</v>
      </c>
      <c r="M1805" t="str">
        <f>VLOOKUP(交易處理資料__3[[#This Row],[人員代號]],團隊分組!$B$1:$C$52,2,FALSE)</f>
        <v>噴漆維修組</v>
      </c>
      <c r="N1805" t="str">
        <f>IF(交易處理資料__3[[#This Row],[上班時間]]=0,"否","是")</f>
        <v>是</v>
      </c>
      <c r="O1805" s="10" t="s">
        <v>74</v>
      </c>
      <c r="P1805" s="38">
        <v>0</v>
      </c>
      <c r="Q1805" s="38">
        <v>0</v>
      </c>
      <c r="R1805" s="38">
        <v>0</v>
      </c>
    </row>
    <row r="1806" spans="1:18" hidden="1">
      <c r="A1806" s="10" t="s">
        <v>74</v>
      </c>
      <c r="B1806" t="s">
        <v>9</v>
      </c>
      <c r="C1806">
        <v>2.27</v>
      </c>
      <c r="D1806">
        <v>3.47</v>
      </c>
      <c r="E1806" s="29">
        <v>0.65417867439999999</v>
      </c>
      <c r="F1806">
        <v>0</v>
      </c>
      <c r="G1806">
        <v>8.0500000000000007</v>
      </c>
      <c r="H1806">
        <v>8.0500000000000007</v>
      </c>
      <c r="I1806" s="29">
        <v>0</v>
      </c>
      <c r="J1806" s="29">
        <v>0.28199999999999997</v>
      </c>
      <c r="K1806" s="9">
        <v>45337</v>
      </c>
      <c r="L1806">
        <f xml:space="preserve"> (交易處理資料__3[[#This Row],[售出工時]] * 60) / 5</f>
        <v>27.24</v>
      </c>
      <c r="M1806" t="str">
        <f>VLOOKUP(交易處理資料__3[[#This Row],[人員代號]],團隊分組!$B$1:$C$52,2,FALSE)</f>
        <v>噴漆維修組</v>
      </c>
      <c r="N1806" t="str">
        <f>IF(交易處理資料__3[[#This Row],[上班時間]]=0,"否","是")</f>
        <v>是</v>
      </c>
      <c r="O1806" s="10" t="s">
        <v>74</v>
      </c>
      <c r="P1806" s="37">
        <v>0.65417867439999999</v>
      </c>
      <c r="Q1806" s="37">
        <v>0.28199999999999997</v>
      </c>
      <c r="R1806" s="37">
        <v>0</v>
      </c>
    </row>
    <row r="1807" spans="1:18" hidden="1">
      <c r="A1807" t="s">
        <v>75</v>
      </c>
      <c r="B1807" t="s">
        <v>11</v>
      </c>
      <c r="C1807">
        <v>7.1666666670000003</v>
      </c>
      <c r="D1807">
        <v>3.05</v>
      </c>
      <c r="E1807" s="29">
        <v>2.3497267759999998</v>
      </c>
      <c r="F1807">
        <v>0</v>
      </c>
      <c r="G1807">
        <v>7.95</v>
      </c>
      <c r="H1807">
        <v>7.95</v>
      </c>
      <c r="I1807" s="29">
        <v>0</v>
      </c>
      <c r="J1807" s="29">
        <v>0.90150000000000008</v>
      </c>
      <c r="K1807" s="9">
        <v>45337</v>
      </c>
      <c r="L1807">
        <f xml:space="preserve"> (交易處理資料__3[[#This Row],[售出工時]] * 60) / 5</f>
        <v>86.000000004</v>
      </c>
      <c r="M1807" t="str">
        <f>VLOOKUP(交易處理資料__3[[#This Row],[人員代號]],團隊分組!$B$1:$C$52,2,FALSE)</f>
        <v>鈑金維修組</v>
      </c>
      <c r="N1807" t="str">
        <f>IF(交易處理資料__3[[#This Row],[上班時間]]=0,"否","是")</f>
        <v>是</v>
      </c>
      <c r="O1807" t="s">
        <v>75</v>
      </c>
      <c r="P1807" s="38">
        <v>2.3497267759999998</v>
      </c>
      <c r="Q1807" s="38">
        <v>0.90150000000000008</v>
      </c>
      <c r="R1807" s="38">
        <v>0</v>
      </c>
    </row>
    <row r="1808" spans="1:18" hidden="1">
      <c r="A1808" t="s">
        <v>75</v>
      </c>
      <c r="B1808" t="s">
        <v>12</v>
      </c>
      <c r="C1808">
        <v>3.5833333330000001</v>
      </c>
      <c r="D1808">
        <v>0.28000000000000003</v>
      </c>
      <c r="E1808" s="29">
        <v>12.797619050000002</v>
      </c>
      <c r="F1808">
        <v>1.75</v>
      </c>
      <c r="G1808">
        <v>6.22</v>
      </c>
      <c r="H1808">
        <v>7.97</v>
      </c>
      <c r="I1808" s="29">
        <v>0.21960000000000002</v>
      </c>
      <c r="J1808" s="29">
        <v>0.4496</v>
      </c>
      <c r="K1808" s="9">
        <v>45337</v>
      </c>
      <c r="L1808">
        <f xml:space="preserve"> (交易處理資料__3[[#This Row],[售出工時]] * 60) / 5</f>
        <v>42.999999996</v>
      </c>
      <c r="M1808" t="str">
        <f>VLOOKUP(交易處理資料__3[[#This Row],[人員代號]],團隊分組!$B$1:$C$52,2,FALSE)</f>
        <v>鈑金維修組</v>
      </c>
      <c r="N1808" t="str">
        <f>IF(交易處理資料__3[[#This Row],[上班時間]]=0,"否","是")</f>
        <v>是</v>
      </c>
      <c r="O1808" t="s">
        <v>75</v>
      </c>
      <c r="P1808" s="37">
        <v>12.797619050000002</v>
      </c>
      <c r="Q1808" s="37">
        <v>0.4496</v>
      </c>
      <c r="R1808" s="37">
        <v>0.21960000000000002</v>
      </c>
    </row>
    <row r="1809" spans="1:18" hidden="1">
      <c r="A1809" t="s">
        <v>75</v>
      </c>
      <c r="B1809" t="s">
        <v>14</v>
      </c>
      <c r="C1809">
        <v>14.46</v>
      </c>
      <c r="D1809">
        <v>4.0999999999999996</v>
      </c>
      <c r="E1809" s="29">
        <v>3.5268292680000002</v>
      </c>
      <c r="F1809">
        <v>3.93</v>
      </c>
      <c r="G1809">
        <v>4.04</v>
      </c>
      <c r="H1809">
        <v>7.97</v>
      </c>
      <c r="I1809" s="29">
        <v>0.49310000000000004</v>
      </c>
      <c r="J1809" s="29">
        <v>1.8143</v>
      </c>
      <c r="K1809" s="9">
        <v>45337</v>
      </c>
      <c r="L1809">
        <f xml:space="preserve"> (交易處理資料__3[[#This Row],[售出工時]] * 60) / 5</f>
        <v>173.52</v>
      </c>
      <c r="M1809" t="str">
        <f>VLOOKUP(交易處理資料__3[[#This Row],[人員代號]],團隊分組!$B$1:$C$52,2,FALSE)</f>
        <v>鈑金維修組</v>
      </c>
      <c r="N1809" t="str">
        <f>IF(交易處理資料__3[[#This Row],[上班時間]]=0,"否","是")</f>
        <v>是</v>
      </c>
      <c r="O1809" t="s">
        <v>75</v>
      </c>
      <c r="P1809" s="38">
        <v>3.5268292680000002</v>
      </c>
      <c r="Q1809" s="38">
        <v>1.8143</v>
      </c>
      <c r="R1809" s="38">
        <v>0.49310000000000004</v>
      </c>
    </row>
    <row r="1810" spans="1:18" hidden="1">
      <c r="A1810" t="s">
        <v>76</v>
      </c>
      <c r="B1810" t="s">
        <v>17</v>
      </c>
      <c r="C1810">
        <v>4.556666667</v>
      </c>
      <c r="D1810">
        <v>4.67</v>
      </c>
      <c r="E1810" s="29">
        <v>0.97573162030000005</v>
      </c>
      <c r="F1810">
        <v>7</v>
      </c>
      <c r="G1810">
        <v>0.94</v>
      </c>
      <c r="H1810">
        <v>7.94</v>
      </c>
      <c r="I1810" s="29">
        <v>0.88159999999999994</v>
      </c>
      <c r="J1810" s="29">
        <v>0.57389999999999997</v>
      </c>
      <c r="K1810" s="9">
        <v>45337</v>
      </c>
      <c r="L1810">
        <f xml:space="preserve"> (交易處理資料__3[[#This Row],[售出工時]] * 60) / 5</f>
        <v>54.680000004</v>
      </c>
      <c r="M1810" t="str">
        <f>VLOOKUP(交易處理資料__3[[#This Row],[人員代號]],團隊分組!$B$1:$C$52,2,FALSE)</f>
        <v>快速保養團隊A</v>
      </c>
      <c r="N1810" t="str">
        <f>IF(交易處理資料__3[[#This Row],[上班時間]]=0,"否","是")</f>
        <v>是</v>
      </c>
      <c r="O1810" t="s">
        <v>76</v>
      </c>
      <c r="P1810" s="37">
        <v>0.97573162030000005</v>
      </c>
      <c r="Q1810" s="37">
        <v>0.57389999999999997</v>
      </c>
      <c r="R1810" s="37">
        <v>0.88159999999999994</v>
      </c>
    </row>
    <row r="1811" spans="1:18" hidden="1">
      <c r="A1811" t="s">
        <v>76</v>
      </c>
      <c r="B1811" t="s">
        <v>18</v>
      </c>
      <c r="C1811">
        <v>3.0833333330000001</v>
      </c>
      <c r="D1811">
        <v>5.08</v>
      </c>
      <c r="E1811" s="29">
        <v>0.60695538059999998</v>
      </c>
      <c r="F1811">
        <v>7.9</v>
      </c>
      <c r="G1811">
        <v>0.17</v>
      </c>
      <c r="H1811">
        <v>8.07</v>
      </c>
      <c r="I1811" s="29">
        <v>0.97889999999999999</v>
      </c>
      <c r="J1811" s="29">
        <v>0.3821</v>
      </c>
      <c r="K1811" s="9">
        <v>45337</v>
      </c>
      <c r="L1811">
        <f xml:space="preserve"> (交易處理資料__3[[#This Row],[售出工時]] * 60) / 5</f>
        <v>36.999999996</v>
      </c>
      <c r="M1811" t="str">
        <f>VLOOKUP(交易處理資料__3[[#This Row],[人員代號]],團隊分組!$B$1:$C$52,2,FALSE)</f>
        <v>查修團隊B</v>
      </c>
      <c r="N1811" t="str">
        <f>IF(交易處理資料__3[[#This Row],[上班時間]]=0,"否","是")</f>
        <v>是</v>
      </c>
      <c r="O1811" t="s">
        <v>76</v>
      </c>
      <c r="P1811" s="38">
        <v>0.60695538059999998</v>
      </c>
      <c r="Q1811" s="38">
        <v>0.3821</v>
      </c>
      <c r="R1811" s="38">
        <v>0.97889999999999999</v>
      </c>
    </row>
    <row r="1812" spans="1:18" hidden="1">
      <c r="A1812" t="s">
        <v>76</v>
      </c>
      <c r="B1812" t="s">
        <v>20</v>
      </c>
      <c r="C1812">
        <v>0</v>
      </c>
      <c r="D1812">
        <v>0</v>
      </c>
      <c r="E1812" s="29">
        <v>0</v>
      </c>
      <c r="F1812">
        <v>4.67</v>
      </c>
      <c r="G1812">
        <v>5.31</v>
      </c>
      <c r="H1812">
        <v>9.98</v>
      </c>
      <c r="I1812" s="29">
        <v>0.46789999999999998</v>
      </c>
      <c r="J1812" s="29">
        <v>0</v>
      </c>
      <c r="K1812" s="9">
        <v>45337</v>
      </c>
      <c r="L1812">
        <f xml:space="preserve"> (交易處理資料__3[[#This Row],[售出工時]] * 60) / 5</f>
        <v>0</v>
      </c>
      <c r="M1812" t="str">
        <f>VLOOKUP(交易處理資料__3[[#This Row],[人員代號]],團隊分組!$B$1:$C$52,2,FALSE)</f>
        <v>查修團隊B</v>
      </c>
      <c r="N1812" t="str">
        <f>IF(交易處理資料__3[[#This Row],[上班時間]]=0,"否","是")</f>
        <v>是</v>
      </c>
      <c r="O1812" t="s">
        <v>76</v>
      </c>
      <c r="P1812" s="37">
        <v>0</v>
      </c>
      <c r="Q1812" s="37">
        <v>0</v>
      </c>
      <c r="R1812" s="37">
        <v>0.46789999999999998</v>
      </c>
    </row>
    <row r="1813" spans="1:18" hidden="1">
      <c r="A1813" t="s">
        <v>76</v>
      </c>
      <c r="B1813" t="s">
        <v>21</v>
      </c>
      <c r="C1813">
        <v>0</v>
      </c>
      <c r="D1813">
        <v>0</v>
      </c>
      <c r="E1813" s="29">
        <v>0</v>
      </c>
      <c r="F1813">
        <v>6.01</v>
      </c>
      <c r="G1813">
        <v>2.72</v>
      </c>
      <c r="H1813">
        <v>8.73</v>
      </c>
      <c r="I1813" s="29">
        <v>0.68840000000000001</v>
      </c>
      <c r="J1813" s="29">
        <v>0</v>
      </c>
      <c r="K1813" s="9">
        <v>45337</v>
      </c>
      <c r="L1813">
        <f xml:space="preserve"> (交易處理資料__3[[#This Row],[售出工時]] * 60) / 5</f>
        <v>0</v>
      </c>
      <c r="M1813" t="str">
        <f>VLOOKUP(交易處理資料__3[[#This Row],[人員代號]],團隊分組!$B$1:$C$52,2,FALSE)</f>
        <v>查修團隊B</v>
      </c>
      <c r="N1813" t="str">
        <f>IF(交易處理資料__3[[#This Row],[上班時間]]=0,"否","是")</f>
        <v>是</v>
      </c>
      <c r="O1813" t="s">
        <v>76</v>
      </c>
      <c r="P1813" s="38">
        <v>0</v>
      </c>
      <c r="Q1813" s="38">
        <v>0</v>
      </c>
      <c r="R1813" s="38">
        <v>0.68840000000000001</v>
      </c>
    </row>
    <row r="1814" spans="1:18" hidden="1">
      <c r="A1814" t="s">
        <v>76</v>
      </c>
      <c r="B1814" t="s">
        <v>22</v>
      </c>
      <c r="C1814">
        <v>6.75</v>
      </c>
      <c r="D1814">
        <v>6.13</v>
      </c>
      <c r="E1814" s="29">
        <v>1.1011419250000001</v>
      </c>
      <c r="F1814">
        <v>6.13</v>
      </c>
      <c r="G1814">
        <v>1.78</v>
      </c>
      <c r="H1814">
        <v>7.91</v>
      </c>
      <c r="I1814" s="29">
        <v>0.77500000000000002</v>
      </c>
      <c r="J1814" s="29">
        <v>0.85340000000000005</v>
      </c>
      <c r="K1814" s="9">
        <v>45337</v>
      </c>
      <c r="L1814">
        <f xml:space="preserve"> (交易處理資料__3[[#This Row],[售出工時]] * 60) / 5</f>
        <v>81</v>
      </c>
      <c r="M1814" t="str">
        <f>VLOOKUP(交易處理資料__3[[#This Row],[人員代號]],團隊分組!$B$1:$C$52,2,FALSE)</f>
        <v>快速保養團隊A</v>
      </c>
      <c r="N1814" t="str">
        <f>IF(交易處理資料__3[[#This Row],[上班時間]]=0,"否","是")</f>
        <v>是</v>
      </c>
      <c r="O1814" t="s">
        <v>76</v>
      </c>
      <c r="P1814" s="37">
        <v>1.1011419250000001</v>
      </c>
      <c r="Q1814" s="37">
        <v>0.85340000000000005</v>
      </c>
      <c r="R1814" s="37">
        <v>0.77500000000000002</v>
      </c>
    </row>
    <row r="1815" spans="1:18" hidden="1">
      <c r="A1815" t="s">
        <v>76</v>
      </c>
      <c r="B1815" t="s">
        <v>23</v>
      </c>
      <c r="C1815">
        <v>1.1666666670000001</v>
      </c>
      <c r="D1815">
        <v>0.92</v>
      </c>
      <c r="E1815" s="29">
        <v>1.2681159420000001</v>
      </c>
      <c r="F1815">
        <v>6.91</v>
      </c>
      <c r="G1815">
        <v>0.82</v>
      </c>
      <c r="H1815">
        <v>7.73</v>
      </c>
      <c r="I1815" s="29">
        <v>0.89390000000000003</v>
      </c>
      <c r="J1815" s="29">
        <v>0.15090000000000001</v>
      </c>
      <c r="K1815" s="9">
        <v>45337</v>
      </c>
      <c r="L1815">
        <f xml:space="preserve"> (交易處理資料__3[[#This Row],[售出工時]] * 60) / 5</f>
        <v>14.000000004</v>
      </c>
      <c r="M1815" t="str">
        <f>VLOOKUP(交易處理資料__3[[#This Row],[人員代號]],團隊分組!$B$1:$C$52,2,FALSE)</f>
        <v>快速保養團隊B</v>
      </c>
      <c r="N1815" t="str">
        <f>IF(交易處理資料__3[[#This Row],[上班時間]]=0,"否","是")</f>
        <v>是</v>
      </c>
      <c r="O1815" t="s">
        <v>76</v>
      </c>
      <c r="P1815" s="38">
        <v>1.2681159420000001</v>
      </c>
      <c r="Q1815" s="38">
        <v>0.15090000000000001</v>
      </c>
      <c r="R1815" s="38">
        <v>0.89390000000000003</v>
      </c>
    </row>
    <row r="1816" spans="1:18" hidden="1">
      <c r="A1816" t="s">
        <v>76</v>
      </c>
      <c r="B1816" t="s">
        <v>24</v>
      </c>
      <c r="C1816">
        <v>8.61</v>
      </c>
      <c r="D1816">
        <v>7.06</v>
      </c>
      <c r="E1816" s="29">
        <v>1.2195467419999999</v>
      </c>
      <c r="F1816">
        <v>6.89</v>
      </c>
      <c r="G1816">
        <v>1.05</v>
      </c>
      <c r="H1816">
        <v>7.94</v>
      </c>
      <c r="I1816" s="29">
        <v>0.86780000000000002</v>
      </c>
      <c r="J1816" s="29">
        <v>1.0844</v>
      </c>
      <c r="K1816" s="9">
        <v>45337</v>
      </c>
      <c r="L1816">
        <f xml:space="preserve"> (交易處理資料__3[[#This Row],[售出工時]] * 60) / 5</f>
        <v>103.31999999999998</v>
      </c>
      <c r="M1816" t="str">
        <f>VLOOKUP(交易處理資料__3[[#This Row],[人員代號]],團隊分組!$B$1:$C$52,2,FALSE)</f>
        <v>快速保養團隊A</v>
      </c>
      <c r="N1816" t="str">
        <f>IF(交易處理資料__3[[#This Row],[上班時間]]=0,"否","是")</f>
        <v>是</v>
      </c>
      <c r="O1816" t="s">
        <v>76</v>
      </c>
      <c r="P1816" s="37">
        <v>1.2195467419999999</v>
      </c>
      <c r="Q1816" s="37">
        <v>1.0844</v>
      </c>
      <c r="R1816" s="37">
        <v>0.86780000000000002</v>
      </c>
    </row>
    <row r="1817" spans="1:18" hidden="1">
      <c r="A1817" t="s">
        <v>76</v>
      </c>
      <c r="B1817" t="s">
        <v>25</v>
      </c>
      <c r="C1817">
        <v>2.25</v>
      </c>
      <c r="D1817">
        <v>4.83</v>
      </c>
      <c r="E1817" s="29">
        <v>0.46583850929999998</v>
      </c>
      <c r="F1817">
        <v>6.76</v>
      </c>
      <c r="G1817">
        <v>1.27</v>
      </c>
      <c r="H1817">
        <v>8.0299999999999994</v>
      </c>
      <c r="I1817" s="29">
        <v>0.8418000000000001</v>
      </c>
      <c r="J1817" s="29">
        <v>0.2802</v>
      </c>
      <c r="K1817" s="9">
        <v>45337</v>
      </c>
      <c r="L1817">
        <f xml:space="preserve"> (交易處理資料__3[[#This Row],[售出工時]] * 60) / 5</f>
        <v>27</v>
      </c>
      <c r="M1817" t="str">
        <f>VLOOKUP(交易處理資料__3[[#This Row],[人員代號]],團隊分組!$B$1:$C$52,2,FALSE)</f>
        <v>查修團隊A</v>
      </c>
      <c r="N1817" t="str">
        <f>IF(交易處理資料__3[[#This Row],[上班時間]]=0,"否","是")</f>
        <v>是</v>
      </c>
      <c r="O1817" t="s">
        <v>76</v>
      </c>
      <c r="P1817" s="38">
        <v>0.46583850929999998</v>
      </c>
      <c r="Q1817" s="38">
        <v>0.2802</v>
      </c>
      <c r="R1817" s="38">
        <v>0.8418000000000001</v>
      </c>
    </row>
    <row r="1818" spans="1:18" hidden="1">
      <c r="A1818" t="s">
        <v>76</v>
      </c>
      <c r="B1818" t="s">
        <v>26</v>
      </c>
      <c r="C1818">
        <v>0</v>
      </c>
      <c r="D1818">
        <v>0</v>
      </c>
      <c r="E1818" s="29">
        <v>0</v>
      </c>
      <c r="F1818">
        <v>4.78</v>
      </c>
      <c r="G1818">
        <v>4.24</v>
      </c>
      <c r="H1818">
        <v>9.02</v>
      </c>
      <c r="I1818" s="29">
        <v>0.52990000000000004</v>
      </c>
      <c r="J1818" s="29">
        <v>0</v>
      </c>
      <c r="K1818" s="9">
        <v>45337</v>
      </c>
      <c r="L1818">
        <f xml:space="preserve"> (交易處理資料__3[[#This Row],[售出工時]] * 60) / 5</f>
        <v>0</v>
      </c>
      <c r="M1818" t="str">
        <f>VLOOKUP(交易處理資料__3[[#This Row],[人員代號]],團隊分組!$B$1:$C$52,2,FALSE)</f>
        <v>查修團隊B</v>
      </c>
      <c r="N1818" t="str">
        <f>IF(交易處理資料__3[[#This Row],[上班時間]]=0,"否","是")</f>
        <v>是</v>
      </c>
      <c r="O1818" t="s">
        <v>76</v>
      </c>
      <c r="P1818" s="37">
        <v>0</v>
      </c>
      <c r="Q1818" s="37">
        <v>0</v>
      </c>
      <c r="R1818" s="37">
        <v>0.52990000000000004</v>
      </c>
    </row>
    <row r="1819" spans="1:18" hidden="1">
      <c r="A1819" t="s">
        <v>76</v>
      </c>
      <c r="B1819" t="s">
        <v>27</v>
      </c>
      <c r="C1819">
        <v>2.1666666669999999</v>
      </c>
      <c r="D1819">
        <v>1.53</v>
      </c>
      <c r="E1819" s="29">
        <v>1.416122004</v>
      </c>
      <c r="F1819">
        <v>5.39</v>
      </c>
      <c r="G1819">
        <v>2.35</v>
      </c>
      <c r="H1819">
        <v>7.74</v>
      </c>
      <c r="I1819" s="29">
        <v>0.69640000000000002</v>
      </c>
      <c r="J1819" s="29">
        <v>0.27989999999999998</v>
      </c>
      <c r="K1819" s="9">
        <v>45337</v>
      </c>
      <c r="L1819">
        <f xml:space="preserve"> (交易處理資料__3[[#This Row],[售出工時]] * 60) / 5</f>
        <v>26.000000003999997</v>
      </c>
      <c r="M1819" t="str">
        <f>VLOOKUP(交易處理資料__3[[#This Row],[人員代號]],團隊分組!$B$1:$C$52,2,FALSE)</f>
        <v>快速保養團隊B</v>
      </c>
      <c r="N1819" t="str">
        <f>IF(交易處理資料__3[[#This Row],[上班時間]]=0,"否","是")</f>
        <v>是</v>
      </c>
      <c r="O1819" t="s">
        <v>76</v>
      </c>
      <c r="P1819" s="38">
        <v>1.416122004</v>
      </c>
      <c r="Q1819" s="38">
        <v>0.27989999999999998</v>
      </c>
      <c r="R1819" s="38">
        <v>0.69640000000000002</v>
      </c>
    </row>
    <row r="1820" spans="1:18" hidden="1">
      <c r="A1820" t="s">
        <v>76</v>
      </c>
      <c r="B1820" t="s">
        <v>28</v>
      </c>
      <c r="C1820">
        <v>7.3433333330000004</v>
      </c>
      <c r="D1820">
        <v>5.36</v>
      </c>
      <c r="E1820" s="29">
        <v>1.370024876</v>
      </c>
      <c r="F1820">
        <v>5.36</v>
      </c>
      <c r="G1820">
        <v>2.57</v>
      </c>
      <c r="H1820">
        <v>7.93</v>
      </c>
      <c r="I1820" s="29">
        <v>0.67590000000000006</v>
      </c>
      <c r="J1820" s="29">
        <v>0.92599999999999993</v>
      </c>
      <c r="K1820" s="9">
        <v>45337</v>
      </c>
      <c r="L1820">
        <f xml:space="preserve"> (交易處理資料__3[[#This Row],[售出工時]] * 60) / 5</f>
        <v>88.119999996000004</v>
      </c>
      <c r="M1820" t="str">
        <f>VLOOKUP(交易處理資料__3[[#This Row],[人員代號]],團隊分組!$B$1:$C$52,2,FALSE)</f>
        <v>快速保養團隊A</v>
      </c>
      <c r="N1820" t="str">
        <f>IF(交易處理資料__3[[#This Row],[上班時間]]=0,"否","是")</f>
        <v>是</v>
      </c>
      <c r="O1820" t="s">
        <v>76</v>
      </c>
      <c r="P1820" s="37">
        <v>1.370024876</v>
      </c>
      <c r="Q1820" s="37">
        <v>0.92599999999999993</v>
      </c>
      <c r="R1820" s="37">
        <v>0.67590000000000006</v>
      </c>
    </row>
    <row r="1821" spans="1:18" hidden="1">
      <c r="A1821" t="s">
        <v>76</v>
      </c>
      <c r="B1821" t="s">
        <v>29</v>
      </c>
      <c r="C1821">
        <v>0</v>
      </c>
      <c r="D1821">
        <v>0</v>
      </c>
      <c r="E1821" s="29">
        <v>0</v>
      </c>
      <c r="F1821">
        <v>5.38</v>
      </c>
      <c r="G1821">
        <v>2.7</v>
      </c>
      <c r="H1821">
        <v>8.08</v>
      </c>
      <c r="I1821" s="29">
        <v>0.66579999999999995</v>
      </c>
      <c r="J1821" s="29">
        <v>0</v>
      </c>
      <c r="K1821" s="9">
        <v>45337</v>
      </c>
      <c r="L1821">
        <f xml:space="preserve"> (交易處理資料__3[[#This Row],[售出工時]] * 60) / 5</f>
        <v>0</v>
      </c>
      <c r="M1821" t="str">
        <f>VLOOKUP(交易處理資料__3[[#This Row],[人員代號]],團隊分組!$B$1:$C$52,2,FALSE)</f>
        <v>查修團隊B</v>
      </c>
      <c r="N1821" t="str">
        <f>IF(交易處理資料__3[[#This Row],[上班時間]]=0,"否","是")</f>
        <v>是</v>
      </c>
      <c r="O1821" t="s">
        <v>76</v>
      </c>
      <c r="P1821" s="38">
        <v>0</v>
      </c>
      <c r="Q1821" s="38">
        <v>0</v>
      </c>
      <c r="R1821" s="38">
        <v>0.66579999999999995</v>
      </c>
    </row>
    <row r="1822" spans="1:18" hidden="1">
      <c r="A1822" t="s">
        <v>76</v>
      </c>
      <c r="B1822" t="s">
        <v>30</v>
      </c>
      <c r="C1822">
        <v>0</v>
      </c>
      <c r="D1822">
        <v>0</v>
      </c>
      <c r="E1822" s="29">
        <v>0</v>
      </c>
      <c r="F1822">
        <v>0</v>
      </c>
      <c r="G1822">
        <v>0</v>
      </c>
      <c r="H1822">
        <v>0</v>
      </c>
      <c r="I1822" s="29">
        <v>0</v>
      </c>
      <c r="J1822" s="29">
        <v>0</v>
      </c>
      <c r="K1822" s="9">
        <v>45337</v>
      </c>
      <c r="L1822">
        <f xml:space="preserve"> (交易處理資料__3[[#This Row],[售出工時]] * 60) / 5</f>
        <v>0</v>
      </c>
      <c r="M1822" t="str">
        <f>VLOOKUP(交易處理資料__3[[#This Row],[人員代號]],團隊分組!$B$1:$C$52,2,FALSE)</f>
        <v>快速保養團隊B</v>
      </c>
      <c r="N1822" t="str">
        <f>IF(交易處理資料__3[[#This Row],[上班時間]]=0,"否","是")</f>
        <v>否</v>
      </c>
      <c r="O1822" t="s">
        <v>76</v>
      </c>
      <c r="P1822" s="37">
        <v>0</v>
      </c>
      <c r="Q1822" s="37">
        <v>0</v>
      </c>
      <c r="R1822" s="37">
        <v>0</v>
      </c>
    </row>
    <row r="1823" spans="1:18" hidden="1">
      <c r="A1823" t="s">
        <v>76</v>
      </c>
      <c r="B1823" t="s">
        <v>32</v>
      </c>
      <c r="C1823">
        <v>0</v>
      </c>
      <c r="D1823">
        <v>0</v>
      </c>
      <c r="E1823" s="29">
        <v>0</v>
      </c>
      <c r="F1823">
        <v>7.02</v>
      </c>
      <c r="G1823">
        <v>0.71</v>
      </c>
      <c r="H1823">
        <v>7.73</v>
      </c>
      <c r="I1823" s="29">
        <v>0.9081999999999999</v>
      </c>
      <c r="J1823" s="29">
        <v>0</v>
      </c>
      <c r="K1823" s="9">
        <v>45337</v>
      </c>
      <c r="L1823">
        <f xml:space="preserve"> (交易處理資料__3[[#This Row],[售出工時]] * 60) / 5</f>
        <v>0</v>
      </c>
      <c r="M1823" t="str">
        <f>VLOOKUP(交易處理資料__3[[#This Row],[人員代號]],團隊分組!$B$1:$C$52,2,FALSE)</f>
        <v>快速保養團隊B</v>
      </c>
      <c r="N1823" t="str">
        <f>IF(交易處理資料__3[[#This Row],[上班時間]]=0,"否","是")</f>
        <v>是</v>
      </c>
      <c r="O1823" t="s">
        <v>76</v>
      </c>
      <c r="P1823" s="38">
        <v>0</v>
      </c>
      <c r="Q1823" s="38">
        <v>0</v>
      </c>
      <c r="R1823" s="38">
        <v>0.9081999999999999</v>
      </c>
    </row>
    <row r="1824" spans="1:18" hidden="1">
      <c r="A1824" t="s">
        <v>76</v>
      </c>
      <c r="B1824" t="s">
        <v>33</v>
      </c>
      <c r="C1824">
        <v>0</v>
      </c>
      <c r="D1824">
        <v>0</v>
      </c>
      <c r="E1824" s="29">
        <v>0</v>
      </c>
      <c r="F1824">
        <v>0</v>
      </c>
      <c r="G1824">
        <v>0</v>
      </c>
      <c r="H1824">
        <v>0</v>
      </c>
      <c r="I1824" s="29">
        <v>0</v>
      </c>
      <c r="J1824" s="29">
        <v>0</v>
      </c>
      <c r="K1824" s="9">
        <v>45337</v>
      </c>
      <c r="L1824">
        <f xml:space="preserve"> (交易處理資料__3[[#This Row],[售出工時]] * 60) / 5</f>
        <v>0</v>
      </c>
      <c r="M1824" t="str">
        <f>VLOOKUP(交易處理資料__3[[#This Row],[人員代號]],團隊分組!$B$1:$C$52,2,FALSE)</f>
        <v>快速保養團隊B</v>
      </c>
      <c r="N1824" t="str">
        <f>IF(交易處理資料__3[[#This Row],[上班時間]]=0,"否","是")</f>
        <v>否</v>
      </c>
      <c r="O1824" t="s">
        <v>76</v>
      </c>
      <c r="P1824" s="37">
        <v>0</v>
      </c>
      <c r="Q1824" s="37">
        <v>0</v>
      </c>
      <c r="R1824" s="37">
        <v>0</v>
      </c>
    </row>
    <row r="1825" spans="1:18" hidden="1">
      <c r="A1825" t="s">
        <v>76</v>
      </c>
      <c r="B1825" t="s">
        <v>34</v>
      </c>
      <c r="C1825">
        <v>4.5</v>
      </c>
      <c r="D1825">
        <v>1.75</v>
      </c>
      <c r="E1825" s="29">
        <v>2.5714285710000002</v>
      </c>
      <c r="F1825">
        <v>5.85</v>
      </c>
      <c r="G1825">
        <v>2.0699999999999998</v>
      </c>
      <c r="H1825">
        <v>7.92</v>
      </c>
      <c r="I1825" s="29">
        <v>0.73860000000000003</v>
      </c>
      <c r="J1825" s="29">
        <v>0.56820000000000004</v>
      </c>
      <c r="K1825" s="9">
        <v>45337</v>
      </c>
      <c r="L1825">
        <f xml:space="preserve"> (交易處理資料__3[[#This Row],[售出工時]] * 60) / 5</f>
        <v>54</v>
      </c>
      <c r="M1825" t="str">
        <f>VLOOKUP(交易處理資料__3[[#This Row],[人員代號]],團隊分組!$B$1:$C$52,2,FALSE)</f>
        <v>快速保養團隊A</v>
      </c>
      <c r="N1825" t="str">
        <f>IF(交易處理資料__3[[#This Row],[上班時間]]=0,"否","是")</f>
        <v>是</v>
      </c>
      <c r="O1825" t="s">
        <v>76</v>
      </c>
      <c r="P1825" s="38">
        <v>2.5714285710000002</v>
      </c>
      <c r="Q1825" s="38">
        <v>0.56820000000000004</v>
      </c>
      <c r="R1825" s="38">
        <v>0.73860000000000003</v>
      </c>
    </row>
    <row r="1826" spans="1:18" hidden="1">
      <c r="A1826" t="s">
        <v>76</v>
      </c>
      <c r="B1826" t="s">
        <v>35</v>
      </c>
      <c r="C1826">
        <v>2.39</v>
      </c>
      <c r="D1826">
        <v>3.9</v>
      </c>
      <c r="E1826" s="29">
        <v>0.61282051279999994</v>
      </c>
      <c r="F1826">
        <v>7.64</v>
      </c>
      <c r="G1826">
        <v>1.37</v>
      </c>
      <c r="H1826">
        <v>9.01</v>
      </c>
      <c r="I1826" s="29">
        <v>0.8479000000000001</v>
      </c>
      <c r="J1826" s="29">
        <v>0.26530000000000004</v>
      </c>
      <c r="K1826" s="9">
        <v>45337</v>
      </c>
      <c r="L1826">
        <f xml:space="preserve"> (交易處理資料__3[[#This Row],[售出工時]] * 60) / 5</f>
        <v>28.68</v>
      </c>
      <c r="M1826" t="str">
        <f>VLOOKUP(交易處理資料__3[[#This Row],[人員代號]],團隊分組!$B$1:$C$52,2,FALSE)</f>
        <v>查修團隊B</v>
      </c>
      <c r="N1826" t="str">
        <f>IF(交易處理資料__3[[#This Row],[上班時間]]=0,"否","是")</f>
        <v>是</v>
      </c>
      <c r="O1826" t="s">
        <v>76</v>
      </c>
      <c r="P1826" s="37">
        <v>0.61282051279999994</v>
      </c>
      <c r="Q1826" s="37">
        <v>0.26530000000000004</v>
      </c>
      <c r="R1826" s="37">
        <v>0.8479000000000001</v>
      </c>
    </row>
    <row r="1827" spans="1:18" hidden="1">
      <c r="A1827" t="s">
        <v>76</v>
      </c>
      <c r="B1827" t="s">
        <v>36</v>
      </c>
      <c r="C1827">
        <v>1.78</v>
      </c>
      <c r="D1827">
        <v>2.1</v>
      </c>
      <c r="E1827" s="29">
        <v>0.84761904759999995</v>
      </c>
      <c r="F1827">
        <v>9.34</v>
      </c>
      <c r="G1827">
        <v>0.28000000000000003</v>
      </c>
      <c r="H1827">
        <v>9.6199999999999992</v>
      </c>
      <c r="I1827" s="29">
        <v>0.97089999999999999</v>
      </c>
      <c r="J1827" s="29">
        <v>0.185</v>
      </c>
      <c r="K1827" s="9">
        <v>45337</v>
      </c>
      <c r="L1827">
        <f xml:space="preserve"> (交易處理資料__3[[#This Row],[售出工時]] * 60) / 5</f>
        <v>21.36</v>
      </c>
      <c r="M1827" t="str">
        <f>VLOOKUP(交易處理資料__3[[#This Row],[人員代號]],團隊分組!$B$1:$C$52,2,FALSE)</f>
        <v>查修團隊B</v>
      </c>
      <c r="N1827" t="str">
        <f>IF(交易處理資料__3[[#This Row],[上班時間]]=0,"否","是")</f>
        <v>是</v>
      </c>
      <c r="O1827" t="s">
        <v>76</v>
      </c>
      <c r="P1827" s="38">
        <v>0.84761904759999995</v>
      </c>
      <c r="Q1827" s="38">
        <v>0.185</v>
      </c>
      <c r="R1827" s="38">
        <v>0.97089999999999999</v>
      </c>
    </row>
    <row r="1828" spans="1:18" hidden="1">
      <c r="A1828" t="s">
        <v>76</v>
      </c>
      <c r="B1828" t="s">
        <v>37</v>
      </c>
      <c r="C1828">
        <v>1</v>
      </c>
      <c r="D1828">
        <v>0.67</v>
      </c>
      <c r="E1828" s="29">
        <v>1.4925373129999999</v>
      </c>
      <c r="F1828">
        <v>5.29</v>
      </c>
      <c r="G1828">
        <v>2.4300000000000002</v>
      </c>
      <c r="H1828">
        <v>7.72</v>
      </c>
      <c r="I1828" s="29">
        <v>0.68519999999999992</v>
      </c>
      <c r="J1828" s="29">
        <v>0.1295</v>
      </c>
      <c r="K1828" s="9">
        <v>45337</v>
      </c>
      <c r="L1828">
        <f xml:space="preserve"> (交易處理資料__3[[#This Row],[售出工時]] * 60) / 5</f>
        <v>12</v>
      </c>
      <c r="M1828" t="str">
        <f>VLOOKUP(交易處理資料__3[[#This Row],[人員代號]],團隊分組!$B$1:$C$52,2,FALSE)</f>
        <v>查修團隊A</v>
      </c>
      <c r="N1828" t="str">
        <f>IF(交易處理資料__3[[#This Row],[上班時間]]=0,"否","是")</f>
        <v>是</v>
      </c>
      <c r="O1828" t="s">
        <v>76</v>
      </c>
      <c r="P1828" s="37">
        <v>1.4925373129999999</v>
      </c>
      <c r="Q1828" s="37">
        <v>0.1295</v>
      </c>
      <c r="R1828" s="37">
        <v>0.68519999999999992</v>
      </c>
    </row>
    <row r="1829" spans="1:18" hidden="1">
      <c r="A1829" t="s">
        <v>76</v>
      </c>
      <c r="B1829" t="s">
        <v>38</v>
      </c>
      <c r="C1829">
        <v>8</v>
      </c>
      <c r="D1829">
        <v>4.07</v>
      </c>
      <c r="E1829" s="29">
        <v>1.9656019660000001</v>
      </c>
      <c r="F1829">
        <v>5.32</v>
      </c>
      <c r="G1829">
        <v>2.58</v>
      </c>
      <c r="H1829">
        <v>7.9</v>
      </c>
      <c r="I1829" s="29">
        <v>0.6734</v>
      </c>
      <c r="J1829" s="29">
        <v>1.0126999999999999</v>
      </c>
      <c r="K1829" s="9">
        <v>45337</v>
      </c>
      <c r="L1829">
        <f xml:space="preserve"> (交易處理資料__3[[#This Row],[售出工時]] * 60) / 5</f>
        <v>96</v>
      </c>
      <c r="M1829" t="str">
        <f>VLOOKUP(交易處理資料__3[[#This Row],[人員代號]],團隊分組!$B$1:$C$52,2,FALSE)</f>
        <v>快速保養團隊A</v>
      </c>
      <c r="N1829" t="str">
        <f>IF(交易處理資料__3[[#This Row],[上班時間]]=0,"否","是")</f>
        <v>是</v>
      </c>
      <c r="O1829" t="s">
        <v>76</v>
      </c>
      <c r="P1829" s="38">
        <v>1.9656019660000001</v>
      </c>
      <c r="Q1829" s="38">
        <v>1.0126999999999999</v>
      </c>
      <c r="R1829" s="38">
        <v>0.6734</v>
      </c>
    </row>
    <row r="1830" spans="1:18" hidden="1">
      <c r="A1830" t="s">
        <v>76</v>
      </c>
      <c r="B1830" t="s">
        <v>39</v>
      </c>
      <c r="C1830">
        <v>0.5</v>
      </c>
      <c r="D1830">
        <v>0.01</v>
      </c>
      <c r="E1830" s="29">
        <v>50</v>
      </c>
      <c r="F1830">
        <v>5.03</v>
      </c>
      <c r="G1830">
        <v>3</v>
      </c>
      <c r="H1830">
        <v>8.0299999999999994</v>
      </c>
      <c r="I1830" s="29">
        <v>0.62639999999999996</v>
      </c>
      <c r="J1830" s="29">
        <v>6.2300000000000001E-2</v>
      </c>
      <c r="K1830" s="9">
        <v>45337</v>
      </c>
      <c r="L1830">
        <f xml:space="preserve"> (交易處理資料__3[[#This Row],[售出工時]] * 60) / 5</f>
        <v>6</v>
      </c>
      <c r="M1830" t="str">
        <f>VLOOKUP(交易處理資料__3[[#This Row],[人員代號]],團隊分組!$B$1:$C$52,2,FALSE)</f>
        <v>查修團隊A</v>
      </c>
      <c r="N1830" t="str">
        <f>IF(交易處理資料__3[[#This Row],[上班時間]]=0,"否","是")</f>
        <v>是</v>
      </c>
      <c r="O1830" t="s">
        <v>76</v>
      </c>
      <c r="P1830" s="37">
        <v>50</v>
      </c>
      <c r="Q1830" s="37">
        <v>6.2300000000000001E-2</v>
      </c>
      <c r="R1830" s="37">
        <v>0.62639999999999996</v>
      </c>
    </row>
    <row r="1831" spans="1:18" hidden="1">
      <c r="A1831" t="s">
        <v>76</v>
      </c>
      <c r="B1831" t="s">
        <v>40</v>
      </c>
      <c r="C1831">
        <v>0</v>
      </c>
      <c r="D1831">
        <v>0</v>
      </c>
      <c r="E1831" s="29">
        <v>0</v>
      </c>
      <c r="F1831">
        <v>7.47</v>
      </c>
      <c r="G1831">
        <v>0.56999999999999995</v>
      </c>
      <c r="H1831">
        <v>8.0399999999999991</v>
      </c>
      <c r="I1831" s="29">
        <v>0.92909999999999993</v>
      </c>
      <c r="J1831" s="29">
        <v>0</v>
      </c>
      <c r="K1831" s="9">
        <v>45337</v>
      </c>
      <c r="L1831">
        <f xml:space="preserve"> (交易處理資料__3[[#This Row],[售出工時]] * 60) / 5</f>
        <v>0</v>
      </c>
      <c r="M1831" t="str">
        <f>VLOOKUP(交易處理資料__3[[#This Row],[人員代號]],團隊分組!$B$1:$C$52,2,FALSE)</f>
        <v>查修團隊A</v>
      </c>
      <c r="N1831" t="str">
        <f>IF(交易處理資料__3[[#This Row],[上班時間]]=0,"否","是")</f>
        <v>是</v>
      </c>
      <c r="O1831" t="s">
        <v>76</v>
      </c>
      <c r="P1831" s="38">
        <v>0</v>
      </c>
      <c r="Q1831" s="38">
        <v>0</v>
      </c>
      <c r="R1831" s="38">
        <v>0.92909999999999993</v>
      </c>
    </row>
    <row r="1832" spans="1:18" hidden="1">
      <c r="A1832" t="s">
        <v>76</v>
      </c>
      <c r="B1832" t="s">
        <v>41</v>
      </c>
      <c r="C1832">
        <v>8.0833333330000006</v>
      </c>
      <c r="D1832">
        <v>5.19</v>
      </c>
      <c r="E1832" s="29">
        <v>1.557482338</v>
      </c>
      <c r="F1832">
        <v>6.76</v>
      </c>
      <c r="G1832">
        <v>1.1399999999999999</v>
      </c>
      <c r="H1832">
        <v>7.9</v>
      </c>
      <c r="I1832" s="29">
        <v>0.85569999999999991</v>
      </c>
      <c r="J1832" s="29">
        <v>1.0231999999999999</v>
      </c>
      <c r="K1832" s="9">
        <v>45337</v>
      </c>
      <c r="L1832">
        <f xml:space="preserve"> (交易處理資料__3[[#This Row],[售出工時]] * 60) / 5</f>
        <v>96.999999996000014</v>
      </c>
      <c r="M1832" t="str">
        <f>VLOOKUP(交易處理資料__3[[#This Row],[人員代號]],團隊分組!$B$1:$C$52,2,FALSE)</f>
        <v>快速保養團隊A</v>
      </c>
      <c r="N1832" t="str">
        <f>IF(交易處理資料__3[[#This Row],[上班時間]]=0,"否","是")</f>
        <v>是</v>
      </c>
      <c r="O1832" t="s">
        <v>76</v>
      </c>
      <c r="P1832" s="37">
        <v>1.557482338</v>
      </c>
      <c r="Q1832" s="37">
        <v>1.0231999999999999</v>
      </c>
      <c r="R1832" s="37">
        <v>0.85569999999999991</v>
      </c>
    </row>
    <row r="1833" spans="1:18" hidden="1">
      <c r="A1833" t="s">
        <v>76</v>
      </c>
      <c r="B1833" t="s">
        <v>42</v>
      </c>
      <c r="C1833">
        <v>3.9166666669999999</v>
      </c>
      <c r="D1833">
        <v>1.72</v>
      </c>
      <c r="E1833" s="29">
        <v>2.2771317830000002</v>
      </c>
      <c r="F1833">
        <v>5.9</v>
      </c>
      <c r="G1833">
        <v>3.92</v>
      </c>
      <c r="H1833">
        <v>9.82</v>
      </c>
      <c r="I1833" s="29">
        <v>0.6008</v>
      </c>
      <c r="J1833" s="29">
        <v>0.39880000000000004</v>
      </c>
      <c r="K1833" s="9">
        <v>45337</v>
      </c>
      <c r="L1833">
        <f xml:space="preserve"> (交易處理資料__3[[#This Row],[售出工時]] * 60) / 5</f>
        <v>47.000000004</v>
      </c>
      <c r="M1833" t="str">
        <f>VLOOKUP(交易處理資料__3[[#This Row],[人員代號]],團隊分組!$B$1:$C$52,2,FALSE)</f>
        <v>快速保養團隊A</v>
      </c>
      <c r="N1833" t="str">
        <f>IF(交易處理資料__3[[#This Row],[上班時間]]=0,"否","是")</f>
        <v>是</v>
      </c>
      <c r="O1833" t="s">
        <v>76</v>
      </c>
      <c r="P1833" s="38">
        <v>2.2771317830000002</v>
      </c>
      <c r="Q1833" s="38">
        <v>0.39880000000000004</v>
      </c>
      <c r="R1833" s="38">
        <v>0.6008</v>
      </c>
    </row>
    <row r="1834" spans="1:18" hidden="1">
      <c r="A1834" t="s">
        <v>76</v>
      </c>
      <c r="B1834" t="s">
        <v>43</v>
      </c>
      <c r="C1834">
        <v>2.35</v>
      </c>
      <c r="D1834">
        <v>3.37</v>
      </c>
      <c r="E1834" s="29">
        <v>0.69732937689999996</v>
      </c>
      <c r="F1834">
        <v>9.58</v>
      </c>
      <c r="G1834">
        <v>0.33</v>
      </c>
      <c r="H1834">
        <v>9.91</v>
      </c>
      <c r="I1834" s="29">
        <v>0.9667</v>
      </c>
      <c r="J1834" s="29">
        <v>0.23710000000000001</v>
      </c>
      <c r="K1834" s="9">
        <v>45337</v>
      </c>
      <c r="L1834">
        <f xml:space="preserve"> (交易處理資料__3[[#This Row],[售出工時]] * 60) / 5</f>
        <v>28.2</v>
      </c>
      <c r="M1834" t="str">
        <f>VLOOKUP(交易處理資料__3[[#This Row],[人員代號]],團隊分組!$B$1:$C$52,2,FALSE)</f>
        <v>查修團隊B</v>
      </c>
      <c r="N1834" t="str">
        <f>IF(交易處理資料__3[[#This Row],[上班時間]]=0,"否","是")</f>
        <v>是</v>
      </c>
      <c r="O1834" t="s">
        <v>76</v>
      </c>
      <c r="P1834" s="37">
        <v>0.69732937689999996</v>
      </c>
      <c r="Q1834" s="37">
        <v>0.23710000000000001</v>
      </c>
      <c r="R1834" s="37">
        <v>0.9667</v>
      </c>
    </row>
    <row r="1835" spans="1:18" hidden="1">
      <c r="A1835" t="s">
        <v>76</v>
      </c>
      <c r="B1835" t="s">
        <v>44</v>
      </c>
      <c r="C1835">
        <v>4.0833333329999997</v>
      </c>
      <c r="D1835">
        <v>5.23</v>
      </c>
      <c r="E1835" s="29">
        <v>0.78075207140000003</v>
      </c>
      <c r="F1835">
        <v>7.45</v>
      </c>
      <c r="G1835">
        <v>0.32</v>
      </c>
      <c r="H1835">
        <v>7.77</v>
      </c>
      <c r="I1835" s="29">
        <v>0.95879999999999999</v>
      </c>
      <c r="J1835" s="29">
        <v>0.52549999999999997</v>
      </c>
      <c r="K1835" s="9">
        <v>45337</v>
      </c>
      <c r="L1835">
        <f xml:space="preserve"> (交易處理資料__3[[#This Row],[售出工時]] * 60) / 5</f>
        <v>48.999999996</v>
      </c>
      <c r="M1835" t="str">
        <f>VLOOKUP(交易處理資料__3[[#This Row],[人員代號]],團隊分組!$B$1:$C$52,2,FALSE)</f>
        <v>快速保養團隊B</v>
      </c>
      <c r="N1835" t="str">
        <f>IF(交易處理資料__3[[#This Row],[上班時間]]=0,"否","是")</f>
        <v>是</v>
      </c>
      <c r="O1835" t="s">
        <v>76</v>
      </c>
      <c r="P1835" s="38">
        <v>0.78075207140000003</v>
      </c>
      <c r="Q1835" s="38">
        <v>0.52549999999999997</v>
      </c>
      <c r="R1835" s="38">
        <v>0.95879999999999999</v>
      </c>
    </row>
    <row r="1836" spans="1:18" hidden="1">
      <c r="A1836" t="s">
        <v>76</v>
      </c>
      <c r="B1836" t="s">
        <v>45</v>
      </c>
      <c r="C1836">
        <v>9.9166666669999994</v>
      </c>
      <c r="D1836">
        <v>4.4000000000000004</v>
      </c>
      <c r="E1836" s="29">
        <v>2.2537878789999999</v>
      </c>
      <c r="F1836">
        <v>4.78</v>
      </c>
      <c r="G1836">
        <v>3.12</v>
      </c>
      <c r="H1836">
        <v>7.9</v>
      </c>
      <c r="I1836" s="29">
        <v>0.60509999999999997</v>
      </c>
      <c r="J1836" s="29">
        <v>1.2553000000000001</v>
      </c>
      <c r="K1836" s="9">
        <v>45337</v>
      </c>
      <c r="L1836">
        <f xml:space="preserve"> (交易處理資料__3[[#This Row],[售出工時]] * 60) / 5</f>
        <v>119.000000004</v>
      </c>
      <c r="M1836" t="str">
        <f>VLOOKUP(交易處理資料__3[[#This Row],[人員代號]],團隊分組!$B$1:$C$52,2,FALSE)</f>
        <v>快速保養團隊A</v>
      </c>
      <c r="N1836" t="str">
        <f>IF(交易處理資料__3[[#This Row],[上班時間]]=0,"否","是")</f>
        <v>是</v>
      </c>
      <c r="O1836" t="s">
        <v>76</v>
      </c>
      <c r="P1836" s="37">
        <v>2.2537878789999999</v>
      </c>
      <c r="Q1836" s="37">
        <v>1.2553000000000001</v>
      </c>
      <c r="R1836" s="37">
        <v>0.60509999999999997</v>
      </c>
    </row>
    <row r="1837" spans="1:18" hidden="1">
      <c r="A1837" t="s">
        <v>76</v>
      </c>
      <c r="B1837" t="s">
        <v>46</v>
      </c>
      <c r="C1837">
        <v>0</v>
      </c>
      <c r="D1837">
        <v>0</v>
      </c>
      <c r="E1837" s="29">
        <v>0</v>
      </c>
      <c r="F1837">
        <v>5.13</v>
      </c>
      <c r="G1837">
        <v>2.9</v>
      </c>
      <c r="H1837">
        <v>8.0299999999999994</v>
      </c>
      <c r="I1837" s="29">
        <v>0.63890000000000002</v>
      </c>
      <c r="J1837" s="29">
        <v>0</v>
      </c>
      <c r="K1837" s="9">
        <v>45337</v>
      </c>
      <c r="L1837">
        <f xml:space="preserve"> (交易處理資料__3[[#This Row],[售出工時]] * 60) / 5</f>
        <v>0</v>
      </c>
      <c r="M1837" t="str">
        <f>VLOOKUP(交易處理資料__3[[#This Row],[人員代號]],團隊分組!$B$1:$C$52,2,FALSE)</f>
        <v>查修團隊B</v>
      </c>
      <c r="N1837" t="str">
        <f>IF(交易處理資料__3[[#This Row],[上班時間]]=0,"否","是")</f>
        <v>是</v>
      </c>
      <c r="O1837" t="s">
        <v>76</v>
      </c>
      <c r="P1837" s="38">
        <v>0</v>
      </c>
      <c r="Q1837" s="38">
        <v>0</v>
      </c>
      <c r="R1837" s="38">
        <v>0.63890000000000002</v>
      </c>
    </row>
    <row r="1838" spans="1:18" hidden="1">
      <c r="A1838" t="s">
        <v>76</v>
      </c>
      <c r="B1838" t="s">
        <v>47</v>
      </c>
      <c r="C1838">
        <v>2</v>
      </c>
      <c r="D1838">
        <v>1.27</v>
      </c>
      <c r="E1838" s="29">
        <v>1.5748031499999999</v>
      </c>
      <c r="F1838">
        <v>3.87</v>
      </c>
      <c r="G1838">
        <v>4.17</v>
      </c>
      <c r="H1838">
        <v>8.0399999999999991</v>
      </c>
      <c r="I1838" s="29">
        <v>0.48130000000000001</v>
      </c>
      <c r="J1838" s="29">
        <v>0.24879999999999999</v>
      </c>
      <c r="K1838" s="9">
        <v>45337</v>
      </c>
      <c r="L1838">
        <f xml:space="preserve"> (交易處理資料__3[[#This Row],[售出工時]] * 60) / 5</f>
        <v>24</v>
      </c>
      <c r="M1838" t="str">
        <f>VLOOKUP(交易處理資料__3[[#This Row],[人員代號]],團隊分組!$B$1:$C$52,2,FALSE)</f>
        <v>查修團隊B</v>
      </c>
      <c r="N1838" t="str">
        <f>IF(交易處理資料__3[[#This Row],[上班時間]]=0,"否","是")</f>
        <v>是</v>
      </c>
      <c r="O1838" t="s">
        <v>76</v>
      </c>
      <c r="P1838" s="37">
        <v>1.5748031499999999</v>
      </c>
      <c r="Q1838" s="37">
        <v>0.24879999999999999</v>
      </c>
      <c r="R1838" s="37">
        <v>0.48130000000000001</v>
      </c>
    </row>
    <row r="1839" spans="1:18" hidden="1">
      <c r="A1839" t="s">
        <v>76</v>
      </c>
      <c r="B1839" t="s">
        <v>48</v>
      </c>
      <c r="C1839">
        <v>0</v>
      </c>
      <c r="D1839">
        <v>0</v>
      </c>
      <c r="E1839" s="29">
        <v>0</v>
      </c>
      <c r="F1839">
        <v>6.93</v>
      </c>
      <c r="G1839">
        <v>1.1399999999999999</v>
      </c>
      <c r="H1839">
        <v>8.07</v>
      </c>
      <c r="I1839" s="29">
        <v>0.85870000000000002</v>
      </c>
      <c r="J1839" s="29">
        <v>0</v>
      </c>
      <c r="K1839" s="9">
        <v>45337</v>
      </c>
      <c r="L1839">
        <f xml:space="preserve"> (交易處理資料__3[[#This Row],[售出工時]] * 60) / 5</f>
        <v>0</v>
      </c>
      <c r="M1839" t="str">
        <f>VLOOKUP(交易處理資料__3[[#This Row],[人員代號]],團隊分組!$B$1:$C$52,2,FALSE)</f>
        <v>查修團隊A</v>
      </c>
      <c r="N1839" t="str">
        <f>IF(交易處理資料__3[[#This Row],[上班時間]]=0,"否","是")</f>
        <v>是</v>
      </c>
      <c r="O1839" t="s">
        <v>76</v>
      </c>
      <c r="P1839" s="38">
        <v>0</v>
      </c>
      <c r="Q1839" s="38">
        <v>0</v>
      </c>
      <c r="R1839" s="38">
        <v>0.85870000000000002</v>
      </c>
    </row>
    <row r="1840" spans="1:18" hidden="1">
      <c r="A1840" t="s">
        <v>76</v>
      </c>
      <c r="B1840" t="s">
        <v>50</v>
      </c>
      <c r="C1840">
        <v>5.84</v>
      </c>
      <c r="D1840">
        <v>5.92</v>
      </c>
      <c r="E1840" s="29">
        <v>0.98648648650000004</v>
      </c>
      <c r="F1840">
        <v>7.46</v>
      </c>
      <c r="G1840">
        <v>0.31</v>
      </c>
      <c r="H1840">
        <v>7.77</v>
      </c>
      <c r="I1840" s="29">
        <v>0.96010000000000006</v>
      </c>
      <c r="J1840" s="29">
        <v>0.75159999999999993</v>
      </c>
      <c r="K1840" s="9">
        <v>45337</v>
      </c>
      <c r="L1840">
        <f xml:space="preserve"> (交易處理資料__3[[#This Row],[售出工時]] * 60) / 5</f>
        <v>70.08</v>
      </c>
      <c r="M1840" t="str">
        <f>VLOOKUP(交易處理資料__3[[#This Row],[人員代號]],團隊分組!$B$1:$C$52,2,FALSE)</f>
        <v>快速保養團隊B</v>
      </c>
      <c r="N1840" t="str">
        <f>IF(交易處理資料__3[[#This Row],[上班時間]]=0,"否","是")</f>
        <v>是</v>
      </c>
      <c r="O1840" t="s">
        <v>76</v>
      </c>
      <c r="P1840" s="37">
        <v>0.98648648650000004</v>
      </c>
      <c r="Q1840" s="37">
        <v>0.75159999999999993</v>
      </c>
      <c r="R1840" s="37">
        <v>0.96010000000000006</v>
      </c>
    </row>
    <row r="1841" spans="1:18" hidden="1">
      <c r="A1841" t="s">
        <v>76</v>
      </c>
      <c r="B1841" t="s">
        <v>51</v>
      </c>
      <c r="C1841">
        <v>0</v>
      </c>
      <c r="D1841">
        <v>0</v>
      </c>
      <c r="E1841" s="29">
        <v>0</v>
      </c>
      <c r="F1841">
        <v>0</v>
      </c>
      <c r="G1841">
        <v>0</v>
      </c>
      <c r="H1841">
        <v>0</v>
      </c>
      <c r="I1841" s="29">
        <v>0</v>
      </c>
      <c r="J1841" s="29">
        <v>0</v>
      </c>
      <c r="K1841" s="9">
        <v>45337</v>
      </c>
      <c r="L1841">
        <f xml:space="preserve"> (交易處理資料__3[[#This Row],[售出工時]] * 60) / 5</f>
        <v>0</v>
      </c>
      <c r="M1841" t="str">
        <f>VLOOKUP(交易處理資料__3[[#This Row],[人員代號]],團隊分組!$B$1:$C$52,2,FALSE)</f>
        <v>無效數據</v>
      </c>
      <c r="N1841" t="str">
        <f>IF(交易處理資料__3[[#This Row],[上班時間]]=0,"否","是")</f>
        <v>否</v>
      </c>
      <c r="O1841" t="s">
        <v>76</v>
      </c>
      <c r="P1841" s="38">
        <v>0</v>
      </c>
      <c r="Q1841" s="38">
        <v>0</v>
      </c>
      <c r="R1841" s="38">
        <v>0</v>
      </c>
    </row>
    <row r="1842" spans="1:18" hidden="1">
      <c r="A1842" t="s">
        <v>76</v>
      </c>
      <c r="B1842" t="s">
        <v>52</v>
      </c>
      <c r="C1842">
        <v>0.5</v>
      </c>
      <c r="D1842">
        <v>1.84</v>
      </c>
      <c r="E1842" s="29">
        <v>0.27173913039999997</v>
      </c>
      <c r="F1842">
        <v>6.78</v>
      </c>
      <c r="G1842">
        <v>1.22</v>
      </c>
      <c r="H1842">
        <v>8</v>
      </c>
      <c r="I1842" s="29">
        <v>0.84750000000000003</v>
      </c>
      <c r="J1842" s="29">
        <v>6.25E-2</v>
      </c>
      <c r="K1842" s="9">
        <v>45337</v>
      </c>
      <c r="L1842">
        <f xml:space="preserve"> (交易處理資料__3[[#This Row],[售出工時]] * 60) / 5</f>
        <v>6</v>
      </c>
      <c r="M1842" t="str">
        <f>VLOOKUP(交易處理資料__3[[#This Row],[人員代號]],團隊分組!$B$1:$C$52,2,FALSE)</f>
        <v>查修團隊B</v>
      </c>
      <c r="N1842" t="str">
        <f>IF(交易處理資料__3[[#This Row],[上班時間]]=0,"否","是")</f>
        <v>是</v>
      </c>
      <c r="O1842" t="s">
        <v>76</v>
      </c>
      <c r="P1842" s="37">
        <v>0.27173913039999997</v>
      </c>
      <c r="Q1842" s="37">
        <v>6.25E-2</v>
      </c>
      <c r="R1842" s="37">
        <v>0.84750000000000003</v>
      </c>
    </row>
    <row r="1843" spans="1:18" hidden="1">
      <c r="A1843" t="s">
        <v>76</v>
      </c>
      <c r="B1843" t="s">
        <v>53</v>
      </c>
      <c r="C1843">
        <v>3.3333333330000001</v>
      </c>
      <c r="D1843">
        <v>6.24</v>
      </c>
      <c r="E1843" s="29">
        <v>0.53418803420000005</v>
      </c>
      <c r="F1843">
        <v>9.23</v>
      </c>
      <c r="G1843">
        <v>0.21</v>
      </c>
      <c r="H1843">
        <v>9.44</v>
      </c>
      <c r="I1843" s="29">
        <v>0.9778</v>
      </c>
      <c r="J1843" s="29">
        <v>0.35310000000000002</v>
      </c>
      <c r="K1843" s="9">
        <v>45337</v>
      </c>
      <c r="L1843">
        <f xml:space="preserve"> (交易處理資料__3[[#This Row],[售出工時]] * 60) / 5</f>
        <v>39.999999996</v>
      </c>
      <c r="M1843" t="str">
        <f>VLOOKUP(交易處理資料__3[[#This Row],[人員代號]],團隊分組!$B$1:$C$52,2,FALSE)</f>
        <v>查修團隊A</v>
      </c>
      <c r="N1843" t="str">
        <f>IF(交易處理資料__3[[#This Row],[上班時間]]=0,"否","是")</f>
        <v>是</v>
      </c>
      <c r="O1843" t="s">
        <v>76</v>
      </c>
      <c r="P1843" s="38">
        <v>0.53418803420000005</v>
      </c>
      <c r="Q1843" s="38">
        <v>0.35310000000000002</v>
      </c>
      <c r="R1843" s="38">
        <v>0.9778</v>
      </c>
    </row>
    <row r="1844" spans="1:18" hidden="1">
      <c r="A1844" s="10" t="s">
        <v>74</v>
      </c>
      <c r="B1844" t="s">
        <v>1</v>
      </c>
      <c r="C1844">
        <v>0</v>
      </c>
      <c r="D1844">
        <v>0</v>
      </c>
      <c r="E1844" s="29">
        <v>0</v>
      </c>
      <c r="F1844">
        <v>7.08</v>
      </c>
      <c r="G1844">
        <v>1</v>
      </c>
      <c r="H1844">
        <v>8.08</v>
      </c>
      <c r="I1844" s="29">
        <v>0.87620000000000009</v>
      </c>
      <c r="J1844" s="29">
        <v>0</v>
      </c>
      <c r="K1844" s="9">
        <v>45338</v>
      </c>
      <c r="L1844">
        <f xml:space="preserve"> (交易處理資料__3[[#This Row],[售出工時]] * 60) / 5</f>
        <v>0</v>
      </c>
      <c r="M1844" t="str">
        <f>VLOOKUP(交易處理資料__3[[#This Row],[人員代號]],團隊分組!$B$1:$C$52,2,FALSE)</f>
        <v>噴漆維修組</v>
      </c>
      <c r="N1844" t="str">
        <f>IF(交易處理資料__3[[#This Row],[上班時間]]=0,"否","是")</f>
        <v>是</v>
      </c>
      <c r="O1844" s="10" t="s">
        <v>74</v>
      </c>
      <c r="P1844" s="37">
        <v>0</v>
      </c>
      <c r="Q1844" s="37">
        <v>0</v>
      </c>
      <c r="R1844" s="37">
        <v>0.87620000000000009</v>
      </c>
    </row>
    <row r="1845" spans="1:18" hidden="1">
      <c r="A1845" s="10" t="s">
        <v>74</v>
      </c>
      <c r="B1845" t="s">
        <v>2</v>
      </c>
      <c r="C1845">
        <v>1.57</v>
      </c>
      <c r="D1845">
        <v>7.95</v>
      </c>
      <c r="E1845" s="29">
        <v>0.19748427670000002</v>
      </c>
      <c r="F1845">
        <v>7.82</v>
      </c>
      <c r="G1845">
        <v>0.2</v>
      </c>
      <c r="H1845">
        <v>8.02</v>
      </c>
      <c r="I1845" s="29">
        <v>0.97510000000000008</v>
      </c>
      <c r="J1845" s="29">
        <v>0.19579999999999997</v>
      </c>
      <c r="K1845" s="9">
        <v>45338</v>
      </c>
      <c r="L1845">
        <f xml:space="preserve"> (交易處理資料__3[[#This Row],[售出工時]] * 60) / 5</f>
        <v>18.84</v>
      </c>
      <c r="M1845" t="str">
        <f>VLOOKUP(交易處理資料__3[[#This Row],[人員代號]],團隊分組!$B$1:$C$52,2,FALSE)</f>
        <v>噴漆維修組</v>
      </c>
      <c r="N1845" t="str">
        <f>IF(交易處理資料__3[[#This Row],[上班時間]]=0,"否","是")</f>
        <v>是</v>
      </c>
      <c r="O1845" s="10" t="s">
        <v>74</v>
      </c>
      <c r="P1845" s="38">
        <v>0.19748427670000002</v>
      </c>
      <c r="Q1845" s="38">
        <v>0.19579999999999997</v>
      </c>
      <c r="R1845" s="38">
        <v>0.97510000000000008</v>
      </c>
    </row>
    <row r="1846" spans="1:18" hidden="1">
      <c r="A1846" s="10" t="s">
        <v>74</v>
      </c>
      <c r="B1846" t="s">
        <v>3</v>
      </c>
      <c r="C1846">
        <v>1.57</v>
      </c>
      <c r="D1846">
        <v>7.95</v>
      </c>
      <c r="E1846" s="29">
        <v>0.19748427670000002</v>
      </c>
      <c r="F1846">
        <v>7.82</v>
      </c>
      <c r="G1846">
        <v>0.2</v>
      </c>
      <c r="H1846">
        <v>8.02</v>
      </c>
      <c r="I1846" s="29">
        <v>0.97510000000000008</v>
      </c>
      <c r="J1846" s="29">
        <v>0.19579999999999997</v>
      </c>
      <c r="K1846" s="9">
        <v>45338</v>
      </c>
      <c r="L1846">
        <f xml:space="preserve"> (交易處理資料__3[[#This Row],[售出工時]] * 60) / 5</f>
        <v>18.84</v>
      </c>
      <c r="M1846" t="str">
        <f>VLOOKUP(交易處理資料__3[[#This Row],[人員代號]],團隊分組!$B$1:$C$52,2,FALSE)</f>
        <v>噴漆維修組</v>
      </c>
      <c r="N1846" t="str">
        <f>IF(交易處理資料__3[[#This Row],[上班時間]]=0,"否","是")</f>
        <v>是</v>
      </c>
      <c r="O1846" s="10" t="s">
        <v>74</v>
      </c>
      <c r="P1846" s="37">
        <v>0.19748427670000002</v>
      </c>
      <c r="Q1846" s="37">
        <v>0.19579999999999997</v>
      </c>
      <c r="R1846" s="37">
        <v>0.97510000000000008</v>
      </c>
    </row>
    <row r="1847" spans="1:18" hidden="1">
      <c r="A1847" s="10" t="s">
        <v>74</v>
      </c>
      <c r="B1847" t="s">
        <v>4</v>
      </c>
      <c r="C1847">
        <v>0</v>
      </c>
      <c r="D1847">
        <v>0</v>
      </c>
      <c r="E1847" s="29">
        <v>0</v>
      </c>
      <c r="F1847">
        <v>7.1</v>
      </c>
      <c r="G1847">
        <v>0.98</v>
      </c>
      <c r="H1847">
        <v>8.08</v>
      </c>
      <c r="I1847" s="29">
        <v>0.87870000000000004</v>
      </c>
      <c r="J1847" s="29">
        <v>0</v>
      </c>
      <c r="K1847" s="9">
        <v>45338</v>
      </c>
      <c r="L1847">
        <f xml:space="preserve"> (交易處理資料__3[[#This Row],[售出工時]] * 60) / 5</f>
        <v>0</v>
      </c>
      <c r="M1847" t="str">
        <f>VLOOKUP(交易處理資料__3[[#This Row],[人員代號]],團隊分組!$B$1:$C$52,2,FALSE)</f>
        <v>噴漆維修組</v>
      </c>
      <c r="N1847" t="str">
        <f>IF(交易處理資料__3[[#This Row],[上班時間]]=0,"否","是")</f>
        <v>是</v>
      </c>
      <c r="O1847" s="10" t="s">
        <v>74</v>
      </c>
      <c r="P1847" s="38">
        <v>0</v>
      </c>
      <c r="Q1847" s="38">
        <v>0</v>
      </c>
      <c r="R1847" s="38">
        <v>0.87870000000000004</v>
      </c>
    </row>
    <row r="1848" spans="1:18" hidden="1">
      <c r="A1848" s="10" t="s">
        <v>74</v>
      </c>
      <c r="B1848" t="s">
        <v>6</v>
      </c>
      <c r="C1848">
        <v>2.94</v>
      </c>
      <c r="D1848">
        <v>7.95</v>
      </c>
      <c r="E1848" s="29">
        <v>0.36981132080000001</v>
      </c>
      <c r="F1848">
        <v>7.8</v>
      </c>
      <c r="G1848">
        <v>0.2</v>
      </c>
      <c r="H1848">
        <v>8</v>
      </c>
      <c r="I1848" s="29">
        <v>0.97499999999999998</v>
      </c>
      <c r="J1848" s="29">
        <v>0.36749999999999999</v>
      </c>
      <c r="K1848" s="9">
        <v>45338</v>
      </c>
      <c r="L1848">
        <f xml:space="preserve"> (交易處理資料__3[[#This Row],[售出工時]] * 60) / 5</f>
        <v>35.28</v>
      </c>
      <c r="M1848" t="str">
        <f>VLOOKUP(交易處理資料__3[[#This Row],[人員代號]],團隊分組!$B$1:$C$52,2,FALSE)</f>
        <v>噴漆維修組</v>
      </c>
      <c r="N1848" t="str">
        <f>IF(交易處理資料__3[[#This Row],[上班時間]]=0,"否","是")</f>
        <v>是</v>
      </c>
      <c r="O1848" s="10" t="s">
        <v>74</v>
      </c>
      <c r="P1848" s="37">
        <v>0.36981132080000001</v>
      </c>
      <c r="Q1848" s="37">
        <v>0.36749999999999999</v>
      </c>
      <c r="R1848" s="37">
        <v>0.97499999999999998</v>
      </c>
    </row>
    <row r="1849" spans="1:18" hidden="1">
      <c r="A1849" s="10" t="s">
        <v>74</v>
      </c>
      <c r="B1849" t="s">
        <v>8</v>
      </c>
      <c r="C1849">
        <v>0</v>
      </c>
      <c r="D1849">
        <v>0</v>
      </c>
      <c r="E1849" s="29">
        <v>0</v>
      </c>
      <c r="F1849">
        <v>7.08</v>
      </c>
      <c r="G1849">
        <v>0.98</v>
      </c>
      <c r="H1849">
        <v>8.06</v>
      </c>
      <c r="I1849" s="29">
        <v>0.87840000000000007</v>
      </c>
      <c r="J1849" s="29">
        <v>0</v>
      </c>
      <c r="K1849" s="9">
        <v>45338</v>
      </c>
      <c r="L1849">
        <f xml:space="preserve"> (交易處理資料__3[[#This Row],[售出工時]] * 60) / 5</f>
        <v>0</v>
      </c>
      <c r="M1849" t="str">
        <f>VLOOKUP(交易處理資料__3[[#This Row],[人員代號]],團隊分組!$B$1:$C$52,2,FALSE)</f>
        <v>噴漆維修組</v>
      </c>
      <c r="N1849" t="str">
        <f>IF(交易處理資料__3[[#This Row],[上班時間]]=0,"否","是")</f>
        <v>是</v>
      </c>
      <c r="O1849" s="10" t="s">
        <v>74</v>
      </c>
      <c r="P1849" s="38">
        <v>0</v>
      </c>
      <c r="Q1849" s="38">
        <v>0</v>
      </c>
      <c r="R1849" s="38">
        <v>0.87840000000000007</v>
      </c>
    </row>
    <row r="1850" spans="1:18" hidden="1">
      <c r="A1850" s="10" t="s">
        <v>74</v>
      </c>
      <c r="B1850" t="s">
        <v>9</v>
      </c>
      <c r="C1850">
        <v>0</v>
      </c>
      <c r="D1850">
        <v>0</v>
      </c>
      <c r="E1850" s="29">
        <v>0</v>
      </c>
      <c r="F1850">
        <v>7.05</v>
      </c>
      <c r="G1850">
        <v>1</v>
      </c>
      <c r="H1850">
        <v>8.0500000000000007</v>
      </c>
      <c r="I1850" s="29">
        <v>0.87580000000000002</v>
      </c>
      <c r="J1850" s="29">
        <v>0</v>
      </c>
      <c r="K1850" s="9">
        <v>45338</v>
      </c>
      <c r="L1850">
        <f xml:space="preserve"> (交易處理資料__3[[#This Row],[售出工時]] * 60) / 5</f>
        <v>0</v>
      </c>
      <c r="M1850" t="str">
        <f>VLOOKUP(交易處理資料__3[[#This Row],[人員代號]],團隊分組!$B$1:$C$52,2,FALSE)</f>
        <v>噴漆維修組</v>
      </c>
      <c r="N1850" t="str">
        <f>IF(交易處理資料__3[[#This Row],[上班時間]]=0,"否","是")</f>
        <v>是</v>
      </c>
      <c r="O1850" s="10" t="s">
        <v>74</v>
      </c>
      <c r="P1850" s="37">
        <v>0</v>
      </c>
      <c r="Q1850" s="37">
        <v>0</v>
      </c>
      <c r="R1850" s="37">
        <v>0.87580000000000002</v>
      </c>
    </row>
    <row r="1851" spans="1:18" hidden="1">
      <c r="A1851" t="s">
        <v>75</v>
      </c>
      <c r="B1851" t="s">
        <v>12</v>
      </c>
      <c r="C1851">
        <v>0</v>
      </c>
      <c r="D1851">
        <v>0</v>
      </c>
      <c r="E1851" s="29">
        <v>0</v>
      </c>
      <c r="F1851">
        <v>4.51</v>
      </c>
      <c r="G1851">
        <v>3.56</v>
      </c>
      <c r="H1851">
        <v>8.07</v>
      </c>
      <c r="I1851" s="29">
        <v>0.55889999999999995</v>
      </c>
      <c r="J1851" s="29">
        <v>0</v>
      </c>
      <c r="K1851" s="9">
        <v>45338</v>
      </c>
      <c r="L1851">
        <f xml:space="preserve"> (交易處理資料__3[[#This Row],[售出工時]] * 60) / 5</f>
        <v>0</v>
      </c>
      <c r="M1851" t="str">
        <f>VLOOKUP(交易處理資料__3[[#This Row],[人員代號]],團隊分組!$B$1:$C$52,2,FALSE)</f>
        <v>鈑金維修組</v>
      </c>
      <c r="N1851" t="str">
        <f>IF(交易處理資料__3[[#This Row],[上班時間]]=0,"否","是")</f>
        <v>是</v>
      </c>
      <c r="O1851" t="s">
        <v>75</v>
      </c>
      <c r="P1851" s="38">
        <v>0</v>
      </c>
      <c r="Q1851" s="38">
        <v>0</v>
      </c>
      <c r="R1851" s="38">
        <v>0.55889999999999995</v>
      </c>
    </row>
    <row r="1852" spans="1:18" hidden="1">
      <c r="A1852" t="s">
        <v>75</v>
      </c>
      <c r="B1852" t="s">
        <v>14</v>
      </c>
      <c r="C1852">
        <v>8.59</v>
      </c>
      <c r="D1852">
        <v>7.79</v>
      </c>
      <c r="E1852" s="29">
        <v>1.1026957640000001</v>
      </c>
      <c r="F1852">
        <v>6.42</v>
      </c>
      <c r="G1852">
        <v>1.67</v>
      </c>
      <c r="H1852">
        <v>8.09</v>
      </c>
      <c r="I1852" s="29">
        <v>0.79359999999999997</v>
      </c>
      <c r="J1852" s="29">
        <v>1.0618000000000001</v>
      </c>
      <c r="K1852" s="9">
        <v>45338</v>
      </c>
      <c r="L1852">
        <f xml:space="preserve"> (交易處理資料__3[[#This Row],[售出工時]] * 60) / 5</f>
        <v>103.08</v>
      </c>
      <c r="M1852" t="str">
        <f>VLOOKUP(交易處理資料__3[[#This Row],[人員代號]],團隊分組!$B$1:$C$52,2,FALSE)</f>
        <v>鈑金維修組</v>
      </c>
      <c r="N1852" t="str">
        <f>IF(交易處理資料__3[[#This Row],[上班時間]]=0,"否","是")</f>
        <v>是</v>
      </c>
      <c r="O1852" t="s">
        <v>75</v>
      </c>
      <c r="P1852" s="37">
        <v>1.1026957640000001</v>
      </c>
      <c r="Q1852" s="37">
        <v>1.0618000000000001</v>
      </c>
      <c r="R1852" s="37">
        <v>0.79359999999999997</v>
      </c>
    </row>
    <row r="1853" spans="1:18" hidden="1">
      <c r="A1853" t="s">
        <v>75</v>
      </c>
      <c r="B1853" t="s">
        <v>15</v>
      </c>
      <c r="C1853">
        <v>8.61</v>
      </c>
      <c r="D1853">
        <v>7.81</v>
      </c>
      <c r="E1853" s="29">
        <v>1.1024327780000001</v>
      </c>
      <c r="F1853">
        <v>6.43</v>
      </c>
      <c r="G1853">
        <v>1.66</v>
      </c>
      <c r="H1853">
        <v>8.09</v>
      </c>
      <c r="I1853" s="29">
        <v>0.79480000000000006</v>
      </c>
      <c r="J1853" s="29">
        <v>1.0643</v>
      </c>
      <c r="K1853" s="9">
        <v>45338</v>
      </c>
      <c r="L1853">
        <f xml:space="preserve"> (交易處理資料__3[[#This Row],[售出工時]] * 60) / 5</f>
        <v>103.31999999999998</v>
      </c>
      <c r="M1853" t="str">
        <f>VLOOKUP(交易處理資料__3[[#This Row],[人員代號]],團隊分組!$B$1:$C$52,2,FALSE)</f>
        <v>鈑金維修組</v>
      </c>
      <c r="N1853" t="str">
        <f>IF(交易處理資料__3[[#This Row],[上班時間]]=0,"否","是")</f>
        <v>是</v>
      </c>
      <c r="O1853" t="s">
        <v>75</v>
      </c>
      <c r="P1853" s="38">
        <v>1.1024327780000001</v>
      </c>
      <c r="Q1853" s="38">
        <v>1.0643</v>
      </c>
      <c r="R1853" s="38">
        <v>0.79480000000000006</v>
      </c>
    </row>
    <row r="1854" spans="1:18" hidden="1">
      <c r="A1854" t="s">
        <v>76</v>
      </c>
      <c r="B1854" t="s">
        <v>17</v>
      </c>
      <c r="C1854">
        <v>9.85</v>
      </c>
      <c r="D1854">
        <v>7.19</v>
      </c>
      <c r="E1854" s="29">
        <v>1.3699582749999999</v>
      </c>
      <c r="F1854">
        <v>5.61</v>
      </c>
      <c r="G1854">
        <v>2.6</v>
      </c>
      <c r="H1854">
        <v>8.2100000000000009</v>
      </c>
      <c r="I1854" s="29">
        <v>0.68330000000000002</v>
      </c>
      <c r="J1854" s="29">
        <v>1.1998</v>
      </c>
      <c r="K1854" s="9">
        <v>45338</v>
      </c>
      <c r="L1854">
        <f xml:space="preserve"> (交易處理資料__3[[#This Row],[售出工時]] * 60) / 5</f>
        <v>118.2</v>
      </c>
      <c r="M1854" t="str">
        <f>VLOOKUP(交易處理資料__3[[#This Row],[人員代號]],團隊分組!$B$1:$C$52,2,FALSE)</f>
        <v>快速保養團隊A</v>
      </c>
      <c r="N1854" t="str">
        <f>IF(交易處理資料__3[[#This Row],[上班時間]]=0,"否","是")</f>
        <v>是</v>
      </c>
      <c r="O1854" t="s">
        <v>76</v>
      </c>
      <c r="P1854" s="37">
        <v>1.3699582749999999</v>
      </c>
      <c r="Q1854" s="37">
        <v>1.1998</v>
      </c>
      <c r="R1854" s="37">
        <v>0.68330000000000002</v>
      </c>
    </row>
    <row r="1855" spans="1:18" hidden="1">
      <c r="A1855" t="s">
        <v>76</v>
      </c>
      <c r="B1855" t="s">
        <v>18</v>
      </c>
      <c r="C1855">
        <v>0</v>
      </c>
      <c r="D1855">
        <v>0</v>
      </c>
      <c r="E1855" s="29">
        <v>0</v>
      </c>
      <c r="F1855">
        <v>7.25</v>
      </c>
      <c r="G1855">
        <v>0.89</v>
      </c>
      <c r="H1855">
        <v>8.14</v>
      </c>
      <c r="I1855" s="29">
        <v>0.89069999999999994</v>
      </c>
      <c r="J1855" s="29">
        <v>0</v>
      </c>
      <c r="K1855" s="9">
        <v>45338</v>
      </c>
      <c r="L1855">
        <f xml:space="preserve"> (交易處理資料__3[[#This Row],[售出工時]] * 60) / 5</f>
        <v>0</v>
      </c>
      <c r="M1855" t="str">
        <f>VLOOKUP(交易處理資料__3[[#This Row],[人員代號]],團隊分組!$B$1:$C$52,2,FALSE)</f>
        <v>查修團隊B</v>
      </c>
      <c r="N1855" t="str">
        <f>IF(交易處理資料__3[[#This Row],[上班時間]]=0,"否","是")</f>
        <v>是</v>
      </c>
      <c r="O1855" t="s">
        <v>76</v>
      </c>
      <c r="P1855" s="38">
        <v>0</v>
      </c>
      <c r="Q1855" s="38">
        <v>0</v>
      </c>
      <c r="R1855" s="38">
        <v>0.89069999999999994</v>
      </c>
    </row>
    <row r="1856" spans="1:18" hidden="1">
      <c r="A1856" t="s">
        <v>76</v>
      </c>
      <c r="B1856" t="s">
        <v>19</v>
      </c>
      <c r="C1856">
        <v>0.49</v>
      </c>
      <c r="D1856">
        <v>0.32</v>
      </c>
      <c r="E1856" s="29">
        <v>1.53125</v>
      </c>
      <c r="F1856">
        <v>3.62</v>
      </c>
      <c r="G1856">
        <v>0.34</v>
      </c>
      <c r="H1856">
        <v>3.96</v>
      </c>
      <c r="I1856" s="29">
        <v>0.91409999999999991</v>
      </c>
      <c r="J1856" s="29">
        <v>0.12369999999999999</v>
      </c>
      <c r="K1856" s="9">
        <v>45338</v>
      </c>
      <c r="L1856">
        <f xml:space="preserve"> (交易處理資料__3[[#This Row],[售出工時]] * 60) / 5</f>
        <v>5.88</v>
      </c>
      <c r="M1856" t="str">
        <f>VLOOKUP(交易處理資料__3[[#This Row],[人員代號]],團隊分組!$B$1:$C$52,2,FALSE)</f>
        <v>查修團隊A</v>
      </c>
      <c r="N1856" t="str">
        <f>IF(交易處理資料__3[[#This Row],[上班時間]]=0,"否","是")</f>
        <v>是</v>
      </c>
      <c r="O1856" t="s">
        <v>76</v>
      </c>
      <c r="P1856" s="37">
        <v>1.53125</v>
      </c>
      <c r="Q1856" s="37">
        <v>0.12369999999999999</v>
      </c>
      <c r="R1856" s="37">
        <v>0.91409999999999991</v>
      </c>
    </row>
    <row r="1857" spans="1:18" hidden="1">
      <c r="A1857" t="s">
        <v>76</v>
      </c>
      <c r="B1857" t="s">
        <v>20</v>
      </c>
      <c r="C1857">
        <v>0.33333333300000001</v>
      </c>
      <c r="D1857">
        <v>0.67</v>
      </c>
      <c r="E1857" s="29">
        <v>0.49751243780000004</v>
      </c>
      <c r="F1857">
        <v>0</v>
      </c>
      <c r="G1857">
        <v>8.2100000000000009</v>
      </c>
      <c r="H1857">
        <v>8.2100000000000009</v>
      </c>
      <c r="I1857" s="29">
        <v>0</v>
      </c>
      <c r="J1857" s="29">
        <v>4.0599999999999997E-2</v>
      </c>
      <c r="K1857" s="9">
        <v>45338</v>
      </c>
      <c r="L1857">
        <f xml:space="preserve"> (交易處理資料__3[[#This Row],[售出工時]] * 60) / 5</f>
        <v>3.9999999960000006</v>
      </c>
      <c r="M1857" t="str">
        <f>VLOOKUP(交易處理資料__3[[#This Row],[人員代號]],團隊分組!$B$1:$C$52,2,FALSE)</f>
        <v>查修團隊B</v>
      </c>
      <c r="N1857" t="str">
        <f>IF(交易處理資料__3[[#This Row],[上班時間]]=0,"否","是")</f>
        <v>是</v>
      </c>
      <c r="O1857" t="s">
        <v>76</v>
      </c>
      <c r="P1857" s="38">
        <v>0.49751243780000004</v>
      </c>
      <c r="Q1857" s="38">
        <v>4.0599999999999997E-2</v>
      </c>
      <c r="R1857" s="38">
        <v>0</v>
      </c>
    </row>
    <row r="1858" spans="1:18" hidden="1">
      <c r="A1858" t="s">
        <v>76</v>
      </c>
      <c r="B1858" t="s">
        <v>22</v>
      </c>
      <c r="C1858">
        <v>8.25</v>
      </c>
      <c r="D1858">
        <v>5.15</v>
      </c>
      <c r="E1858" s="29">
        <v>1.6019417480000002</v>
      </c>
      <c r="F1858">
        <v>6.55</v>
      </c>
      <c r="G1858">
        <v>1.64</v>
      </c>
      <c r="H1858">
        <v>8.19</v>
      </c>
      <c r="I1858" s="29">
        <v>0.79980000000000007</v>
      </c>
      <c r="J1858" s="29">
        <v>1.0073000000000001</v>
      </c>
      <c r="K1858" s="9">
        <v>45338</v>
      </c>
      <c r="L1858">
        <f xml:space="preserve"> (交易處理資料__3[[#This Row],[售出工時]] * 60) / 5</f>
        <v>99</v>
      </c>
      <c r="M1858" t="str">
        <f>VLOOKUP(交易處理資料__3[[#This Row],[人員代號]],團隊分組!$B$1:$C$52,2,FALSE)</f>
        <v>快速保養團隊A</v>
      </c>
      <c r="N1858" t="str">
        <f>IF(交易處理資料__3[[#This Row],[上班時間]]=0,"否","是")</f>
        <v>是</v>
      </c>
      <c r="O1858" t="s">
        <v>76</v>
      </c>
      <c r="P1858" s="37">
        <v>1.6019417480000002</v>
      </c>
      <c r="Q1858" s="37">
        <v>1.0073000000000001</v>
      </c>
      <c r="R1858" s="37">
        <v>0.79980000000000007</v>
      </c>
    </row>
    <row r="1859" spans="1:18" hidden="1">
      <c r="A1859" t="s">
        <v>76</v>
      </c>
      <c r="B1859" t="s">
        <v>23</v>
      </c>
      <c r="C1859">
        <v>13.98666667</v>
      </c>
      <c r="D1859">
        <v>6.57</v>
      </c>
      <c r="E1859" s="29">
        <v>2.1288685950000001</v>
      </c>
      <c r="F1859">
        <v>7.09</v>
      </c>
      <c r="G1859">
        <v>0.86</v>
      </c>
      <c r="H1859">
        <v>7.95</v>
      </c>
      <c r="I1859" s="29">
        <v>0.89180000000000004</v>
      </c>
      <c r="J1859" s="29">
        <v>1.7593000000000001</v>
      </c>
      <c r="K1859" s="9">
        <v>45338</v>
      </c>
      <c r="L1859">
        <f xml:space="preserve"> (交易處理資料__3[[#This Row],[售出工時]] * 60) / 5</f>
        <v>167.84000004000001</v>
      </c>
      <c r="M1859" t="str">
        <f>VLOOKUP(交易處理資料__3[[#This Row],[人員代號]],團隊分組!$B$1:$C$52,2,FALSE)</f>
        <v>快速保養團隊B</v>
      </c>
      <c r="N1859" t="str">
        <f>IF(交易處理資料__3[[#This Row],[上班時間]]=0,"否","是")</f>
        <v>是</v>
      </c>
      <c r="O1859" t="s">
        <v>76</v>
      </c>
      <c r="P1859" s="38">
        <v>2.1288685950000001</v>
      </c>
      <c r="Q1859" s="38">
        <v>1.7593000000000001</v>
      </c>
      <c r="R1859" s="38">
        <v>0.89180000000000004</v>
      </c>
    </row>
    <row r="1860" spans="1:18" hidden="1">
      <c r="A1860" t="s">
        <v>76</v>
      </c>
      <c r="B1860" t="s">
        <v>24</v>
      </c>
      <c r="C1860">
        <v>9.5666666669999998</v>
      </c>
      <c r="D1860">
        <v>6.25</v>
      </c>
      <c r="E1860" s="29">
        <v>1.5306666670000002</v>
      </c>
      <c r="F1860">
        <v>7.95</v>
      </c>
      <c r="G1860">
        <v>1.92</v>
      </c>
      <c r="H1860">
        <v>9.8699999999999992</v>
      </c>
      <c r="I1860" s="29">
        <v>0.80549999999999999</v>
      </c>
      <c r="J1860" s="29">
        <v>0.96930000000000005</v>
      </c>
      <c r="K1860" s="9">
        <v>45338</v>
      </c>
      <c r="L1860">
        <f xml:space="preserve"> (交易處理資料__3[[#This Row],[售出工時]] * 60) / 5</f>
        <v>114.800000004</v>
      </c>
      <c r="M1860" t="str">
        <f>VLOOKUP(交易處理資料__3[[#This Row],[人員代號]],團隊分組!$B$1:$C$52,2,FALSE)</f>
        <v>快速保養團隊A</v>
      </c>
      <c r="N1860" t="str">
        <f>IF(交易處理資料__3[[#This Row],[上班時間]]=0,"否","是")</f>
        <v>是</v>
      </c>
      <c r="O1860" t="s">
        <v>76</v>
      </c>
      <c r="P1860" s="37">
        <v>1.5306666670000002</v>
      </c>
      <c r="Q1860" s="37">
        <v>0.96930000000000005</v>
      </c>
      <c r="R1860" s="37">
        <v>0.80549999999999999</v>
      </c>
    </row>
    <row r="1861" spans="1:18" hidden="1">
      <c r="A1861" t="s">
        <v>76</v>
      </c>
      <c r="B1861" t="s">
        <v>25</v>
      </c>
      <c r="C1861">
        <v>1.25</v>
      </c>
      <c r="D1861">
        <v>1.68</v>
      </c>
      <c r="E1861" s="29">
        <v>0.74404761899999994</v>
      </c>
      <c r="F1861">
        <v>8.82</v>
      </c>
      <c r="G1861">
        <v>0.88</v>
      </c>
      <c r="H1861">
        <v>9.6999999999999993</v>
      </c>
      <c r="I1861" s="29">
        <v>0.90930000000000011</v>
      </c>
      <c r="J1861" s="29">
        <v>0.12890000000000001</v>
      </c>
      <c r="K1861" s="9">
        <v>45338</v>
      </c>
      <c r="L1861">
        <f xml:space="preserve"> (交易處理資料__3[[#This Row],[售出工時]] * 60) / 5</f>
        <v>15</v>
      </c>
      <c r="M1861" t="str">
        <f>VLOOKUP(交易處理資料__3[[#This Row],[人員代號]],團隊分組!$B$1:$C$52,2,FALSE)</f>
        <v>查修團隊A</v>
      </c>
      <c r="N1861" t="str">
        <f>IF(交易處理資料__3[[#This Row],[上班時間]]=0,"否","是")</f>
        <v>是</v>
      </c>
      <c r="O1861" t="s">
        <v>76</v>
      </c>
      <c r="P1861" s="38">
        <v>0.74404761899999994</v>
      </c>
      <c r="Q1861" s="38">
        <v>0.12890000000000001</v>
      </c>
      <c r="R1861" s="38">
        <v>0.90930000000000011</v>
      </c>
    </row>
    <row r="1862" spans="1:18" hidden="1">
      <c r="A1862" t="s">
        <v>76</v>
      </c>
      <c r="B1862" t="s">
        <v>26</v>
      </c>
      <c r="C1862">
        <v>3.5</v>
      </c>
      <c r="D1862">
        <v>2.06</v>
      </c>
      <c r="E1862" s="29">
        <v>1.6990291260000001</v>
      </c>
      <c r="F1862">
        <v>3.41</v>
      </c>
      <c r="G1862">
        <v>4.8</v>
      </c>
      <c r="H1862">
        <v>8.2100000000000009</v>
      </c>
      <c r="I1862" s="29">
        <v>0.4153</v>
      </c>
      <c r="J1862" s="29">
        <v>0.42630000000000001</v>
      </c>
      <c r="K1862" s="9">
        <v>45338</v>
      </c>
      <c r="L1862">
        <f xml:space="preserve"> (交易處理資料__3[[#This Row],[售出工時]] * 60) / 5</f>
        <v>42</v>
      </c>
      <c r="M1862" t="str">
        <f>VLOOKUP(交易處理資料__3[[#This Row],[人員代號]],團隊分組!$B$1:$C$52,2,FALSE)</f>
        <v>查修團隊B</v>
      </c>
      <c r="N1862" t="str">
        <f>IF(交易處理資料__3[[#This Row],[上班時間]]=0,"否","是")</f>
        <v>是</v>
      </c>
      <c r="O1862" t="s">
        <v>76</v>
      </c>
      <c r="P1862" s="37">
        <v>1.6990291260000001</v>
      </c>
      <c r="Q1862" s="37">
        <v>0.42630000000000001</v>
      </c>
      <c r="R1862" s="37">
        <v>0.4153</v>
      </c>
    </row>
    <row r="1863" spans="1:18" hidden="1">
      <c r="A1863" t="s">
        <v>76</v>
      </c>
      <c r="B1863" t="s">
        <v>28</v>
      </c>
      <c r="C1863">
        <v>6.75</v>
      </c>
      <c r="D1863">
        <v>6.05</v>
      </c>
      <c r="E1863" s="29">
        <v>1.1157024790000001</v>
      </c>
      <c r="F1863">
        <v>6.92</v>
      </c>
      <c r="G1863">
        <v>1.39</v>
      </c>
      <c r="H1863">
        <v>8.31</v>
      </c>
      <c r="I1863" s="29">
        <v>0.8327</v>
      </c>
      <c r="J1863" s="29">
        <v>0.81230000000000002</v>
      </c>
      <c r="K1863" s="9">
        <v>45338</v>
      </c>
      <c r="L1863">
        <f xml:space="preserve"> (交易處理資料__3[[#This Row],[售出工時]] * 60) / 5</f>
        <v>81</v>
      </c>
      <c r="M1863" t="str">
        <f>VLOOKUP(交易處理資料__3[[#This Row],[人員代號]],團隊分組!$B$1:$C$52,2,FALSE)</f>
        <v>快速保養團隊A</v>
      </c>
      <c r="N1863" t="str">
        <f>IF(交易處理資料__3[[#This Row],[上班時間]]=0,"否","是")</f>
        <v>是</v>
      </c>
      <c r="O1863" t="s">
        <v>76</v>
      </c>
      <c r="P1863" s="38">
        <v>1.1157024790000001</v>
      </c>
      <c r="Q1863" s="38">
        <v>0.81230000000000002</v>
      </c>
      <c r="R1863" s="38">
        <v>0.8327</v>
      </c>
    </row>
    <row r="1864" spans="1:18" hidden="1">
      <c r="A1864" t="s">
        <v>76</v>
      </c>
      <c r="B1864" t="s">
        <v>29</v>
      </c>
      <c r="C1864">
        <v>0</v>
      </c>
      <c r="D1864">
        <v>0</v>
      </c>
      <c r="E1864" s="29">
        <v>0</v>
      </c>
      <c r="F1864">
        <v>5.08</v>
      </c>
      <c r="G1864">
        <v>2.98</v>
      </c>
      <c r="H1864">
        <v>8.06</v>
      </c>
      <c r="I1864" s="29">
        <v>0.63029999999999997</v>
      </c>
      <c r="J1864" s="29">
        <v>0</v>
      </c>
      <c r="K1864" s="9">
        <v>45338</v>
      </c>
      <c r="L1864">
        <f xml:space="preserve"> (交易處理資料__3[[#This Row],[售出工時]] * 60) / 5</f>
        <v>0</v>
      </c>
      <c r="M1864" t="str">
        <f>VLOOKUP(交易處理資料__3[[#This Row],[人員代號]],團隊分組!$B$1:$C$52,2,FALSE)</f>
        <v>查修團隊B</v>
      </c>
      <c r="N1864" t="str">
        <f>IF(交易處理資料__3[[#This Row],[上班時間]]=0,"否","是")</f>
        <v>是</v>
      </c>
      <c r="O1864" t="s">
        <v>76</v>
      </c>
      <c r="P1864" s="37">
        <v>0</v>
      </c>
      <c r="Q1864" s="37">
        <v>0</v>
      </c>
      <c r="R1864" s="37">
        <v>0.63029999999999997</v>
      </c>
    </row>
    <row r="1865" spans="1:18" hidden="1">
      <c r="A1865" t="s">
        <v>76</v>
      </c>
      <c r="B1865" t="s">
        <v>32</v>
      </c>
      <c r="C1865">
        <v>6.4066666669999996</v>
      </c>
      <c r="D1865">
        <v>3.99</v>
      </c>
      <c r="E1865" s="29">
        <v>1.605680869</v>
      </c>
      <c r="F1865">
        <v>7.2</v>
      </c>
      <c r="G1865">
        <v>0.79</v>
      </c>
      <c r="H1865">
        <v>7.99</v>
      </c>
      <c r="I1865" s="29">
        <v>0.90110000000000001</v>
      </c>
      <c r="J1865" s="29">
        <v>0.80180000000000007</v>
      </c>
      <c r="K1865" s="9">
        <v>45338</v>
      </c>
      <c r="L1865">
        <f xml:space="preserve"> (交易處理資料__3[[#This Row],[售出工時]] * 60) / 5</f>
        <v>76.880000003999996</v>
      </c>
      <c r="M1865" t="str">
        <f>VLOOKUP(交易處理資料__3[[#This Row],[人員代號]],團隊分組!$B$1:$C$52,2,FALSE)</f>
        <v>快速保養團隊B</v>
      </c>
      <c r="N1865" t="str">
        <f>IF(交易處理資料__3[[#This Row],[上班時間]]=0,"否","是")</f>
        <v>是</v>
      </c>
      <c r="O1865" t="s">
        <v>76</v>
      </c>
      <c r="P1865" s="38">
        <v>1.605680869</v>
      </c>
      <c r="Q1865" s="38">
        <v>0.80180000000000007</v>
      </c>
      <c r="R1865" s="38">
        <v>0.90110000000000001</v>
      </c>
    </row>
    <row r="1866" spans="1:18" hidden="1">
      <c r="A1866" t="s">
        <v>76</v>
      </c>
      <c r="B1866" t="s">
        <v>33</v>
      </c>
      <c r="C1866">
        <v>0</v>
      </c>
      <c r="D1866">
        <v>0</v>
      </c>
      <c r="E1866" s="29">
        <v>0</v>
      </c>
      <c r="F1866">
        <v>0</v>
      </c>
      <c r="G1866">
        <v>0</v>
      </c>
      <c r="H1866">
        <v>0</v>
      </c>
      <c r="I1866" s="29">
        <v>0</v>
      </c>
      <c r="J1866" s="29">
        <v>0</v>
      </c>
      <c r="K1866" s="9">
        <v>45338</v>
      </c>
      <c r="L1866">
        <f xml:space="preserve"> (交易處理資料__3[[#This Row],[售出工時]] * 60) / 5</f>
        <v>0</v>
      </c>
      <c r="M1866" t="str">
        <f>VLOOKUP(交易處理資料__3[[#This Row],[人員代號]],團隊分組!$B$1:$C$52,2,FALSE)</f>
        <v>快速保養團隊B</v>
      </c>
      <c r="N1866" t="str">
        <f>IF(交易處理資料__3[[#This Row],[上班時間]]=0,"否","是")</f>
        <v>否</v>
      </c>
      <c r="O1866" t="s">
        <v>76</v>
      </c>
      <c r="P1866" s="37">
        <v>0</v>
      </c>
      <c r="Q1866" s="37">
        <v>0</v>
      </c>
      <c r="R1866" s="37">
        <v>0</v>
      </c>
    </row>
    <row r="1867" spans="1:18" hidden="1">
      <c r="A1867" t="s">
        <v>76</v>
      </c>
      <c r="B1867" t="s">
        <v>34</v>
      </c>
      <c r="C1867">
        <v>7.1666666670000003</v>
      </c>
      <c r="D1867">
        <v>4.87</v>
      </c>
      <c r="E1867" s="29">
        <v>1.4715947980000001</v>
      </c>
      <c r="F1867">
        <v>7.49</v>
      </c>
      <c r="G1867">
        <v>0.66</v>
      </c>
      <c r="H1867">
        <v>8.15</v>
      </c>
      <c r="I1867" s="29">
        <v>0.91900000000000004</v>
      </c>
      <c r="J1867" s="29">
        <v>0.87930000000000008</v>
      </c>
      <c r="K1867" s="9">
        <v>45338</v>
      </c>
      <c r="L1867">
        <f xml:space="preserve"> (交易處理資料__3[[#This Row],[售出工時]] * 60) / 5</f>
        <v>86.000000004</v>
      </c>
      <c r="M1867" t="str">
        <f>VLOOKUP(交易處理資料__3[[#This Row],[人員代號]],團隊分組!$B$1:$C$52,2,FALSE)</f>
        <v>快速保養團隊A</v>
      </c>
      <c r="N1867" t="str">
        <f>IF(交易處理資料__3[[#This Row],[上班時間]]=0,"否","是")</f>
        <v>是</v>
      </c>
      <c r="O1867" t="s">
        <v>76</v>
      </c>
      <c r="P1867" s="38">
        <v>1.4715947980000001</v>
      </c>
      <c r="Q1867" s="38">
        <v>0.87930000000000008</v>
      </c>
      <c r="R1867" s="38">
        <v>0.91900000000000004</v>
      </c>
    </row>
    <row r="1868" spans="1:18" hidden="1">
      <c r="A1868" t="s">
        <v>76</v>
      </c>
      <c r="B1868" t="s">
        <v>35</v>
      </c>
      <c r="C1868">
        <v>2.1666666669999999</v>
      </c>
      <c r="D1868">
        <v>2.87</v>
      </c>
      <c r="E1868" s="29">
        <v>0.75493612080000005</v>
      </c>
      <c r="F1868">
        <v>6.4</v>
      </c>
      <c r="G1868">
        <v>1.83</v>
      </c>
      <c r="H1868">
        <v>8.23</v>
      </c>
      <c r="I1868" s="29">
        <v>0.77760000000000007</v>
      </c>
      <c r="J1868" s="29">
        <v>0.26329999999999998</v>
      </c>
      <c r="K1868" s="9">
        <v>45338</v>
      </c>
      <c r="L1868">
        <f xml:space="preserve"> (交易處理資料__3[[#This Row],[售出工時]] * 60) / 5</f>
        <v>26.000000003999997</v>
      </c>
      <c r="M1868" t="str">
        <f>VLOOKUP(交易處理資料__3[[#This Row],[人員代號]],團隊分組!$B$1:$C$52,2,FALSE)</f>
        <v>查修團隊B</v>
      </c>
      <c r="N1868" t="str">
        <f>IF(交易處理資料__3[[#This Row],[上班時間]]=0,"否","是")</f>
        <v>是</v>
      </c>
      <c r="O1868" t="s">
        <v>76</v>
      </c>
      <c r="P1868" s="37">
        <v>0.75493612080000005</v>
      </c>
      <c r="Q1868" s="37">
        <v>0.26329999999999998</v>
      </c>
      <c r="R1868" s="37">
        <v>0.77760000000000007</v>
      </c>
    </row>
    <row r="1869" spans="1:18" hidden="1">
      <c r="A1869" t="s">
        <v>76</v>
      </c>
      <c r="B1869" t="s">
        <v>38</v>
      </c>
      <c r="C1869">
        <v>12.08333333</v>
      </c>
      <c r="D1869">
        <v>6.8</v>
      </c>
      <c r="E1869" s="29">
        <v>1.7769607840000001</v>
      </c>
      <c r="F1869">
        <v>8.9700000000000006</v>
      </c>
      <c r="G1869">
        <v>0.91</v>
      </c>
      <c r="H1869">
        <v>9.8800000000000008</v>
      </c>
      <c r="I1869" s="29">
        <v>0.90790000000000004</v>
      </c>
      <c r="J1869" s="29">
        <v>1.2229999999999999</v>
      </c>
      <c r="K1869" s="9">
        <v>45338</v>
      </c>
      <c r="L1869">
        <f xml:space="preserve"> (交易處理資料__3[[#This Row],[售出工時]] * 60) / 5</f>
        <v>144.99999996000003</v>
      </c>
      <c r="M1869" t="str">
        <f>VLOOKUP(交易處理資料__3[[#This Row],[人員代號]],團隊分組!$B$1:$C$52,2,FALSE)</f>
        <v>快速保養團隊A</v>
      </c>
      <c r="N1869" t="str">
        <f>IF(交易處理資料__3[[#This Row],[上班時間]]=0,"否","是")</f>
        <v>是</v>
      </c>
      <c r="O1869" t="s">
        <v>76</v>
      </c>
      <c r="P1869" s="38">
        <v>1.7769607840000001</v>
      </c>
      <c r="Q1869" s="38">
        <v>1.2229999999999999</v>
      </c>
      <c r="R1869" s="38">
        <v>0.90790000000000004</v>
      </c>
    </row>
    <row r="1870" spans="1:18" hidden="1">
      <c r="A1870" t="s">
        <v>76</v>
      </c>
      <c r="B1870" t="s">
        <v>40</v>
      </c>
      <c r="C1870">
        <v>6.8333333329999997</v>
      </c>
      <c r="D1870">
        <v>7.06</v>
      </c>
      <c r="E1870" s="29">
        <v>0.9678942398</v>
      </c>
      <c r="F1870">
        <v>6.54</v>
      </c>
      <c r="G1870">
        <v>1.85</v>
      </c>
      <c r="H1870">
        <v>8.39</v>
      </c>
      <c r="I1870" s="29">
        <v>0.77950000000000008</v>
      </c>
      <c r="J1870" s="29">
        <v>0.8145</v>
      </c>
      <c r="K1870" s="9">
        <v>45338</v>
      </c>
      <c r="L1870">
        <f xml:space="preserve"> (交易處理資料__3[[#This Row],[售出工時]] * 60) / 5</f>
        <v>81.999999996</v>
      </c>
      <c r="M1870" t="str">
        <f>VLOOKUP(交易處理資料__3[[#This Row],[人員代號]],團隊分組!$B$1:$C$52,2,FALSE)</f>
        <v>查修團隊A</v>
      </c>
      <c r="N1870" t="str">
        <f>IF(交易處理資料__3[[#This Row],[上班時間]]=0,"否","是")</f>
        <v>是</v>
      </c>
      <c r="O1870" t="s">
        <v>76</v>
      </c>
      <c r="P1870" s="37">
        <v>0.9678942398</v>
      </c>
      <c r="Q1870" s="37">
        <v>0.8145</v>
      </c>
      <c r="R1870" s="37">
        <v>0.77950000000000008</v>
      </c>
    </row>
    <row r="1871" spans="1:18" hidden="1">
      <c r="A1871" t="s">
        <v>76</v>
      </c>
      <c r="B1871" t="s">
        <v>41</v>
      </c>
      <c r="C1871">
        <v>12.75</v>
      </c>
      <c r="D1871">
        <v>8.43</v>
      </c>
      <c r="E1871" s="29">
        <v>1.5124555159999999</v>
      </c>
      <c r="F1871">
        <v>9.31</v>
      </c>
      <c r="G1871">
        <v>0.56999999999999995</v>
      </c>
      <c r="H1871">
        <v>9.8800000000000008</v>
      </c>
      <c r="I1871" s="29">
        <v>0.94230000000000003</v>
      </c>
      <c r="J1871" s="29">
        <v>1.2905000000000002</v>
      </c>
      <c r="K1871" s="9">
        <v>45338</v>
      </c>
      <c r="L1871">
        <f xml:space="preserve"> (交易處理資料__3[[#This Row],[售出工時]] * 60) / 5</f>
        <v>153</v>
      </c>
      <c r="M1871" t="str">
        <f>VLOOKUP(交易處理資料__3[[#This Row],[人員代號]],團隊分組!$B$1:$C$52,2,FALSE)</f>
        <v>快速保養團隊A</v>
      </c>
      <c r="N1871" t="str">
        <f>IF(交易處理資料__3[[#This Row],[上班時間]]=0,"否","是")</f>
        <v>是</v>
      </c>
      <c r="O1871" t="s">
        <v>76</v>
      </c>
      <c r="P1871" s="38">
        <v>1.5124555159999999</v>
      </c>
      <c r="Q1871" s="38">
        <v>1.2905000000000002</v>
      </c>
      <c r="R1871" s="38">
        <v>0.94230000000000003</v>
      </c>
    </row>
    <row r="1872" spans="1:18" hidden="1">
      <c r="A1872" t="s">
        <v>76</v>
      </c>
      <c r="B1872" t="s">
        <v>43</v>
      </c>
      <c r="C1872">
        <v>0</v>
      </c>
      <c r="D1872">
        <v>0</v>
      </c>
      <c r="E1872" s="29">
        <v>0</v>
      </c>
      <c r="F1872">
        <v>7.09</v>
      </c>
      <c r="G1872">
        <v>0.99</v>
      </c>
      <c r="H1872">
        <v>8.08</v>
      </c>
      <c r="I1872" s="29">
        <v>0.87749999999999995</v>
      </c>
      <c r="J1872" s="29">
        <v>0</v>
      </c>
      <c r="K1872" s="9">
        <v>45338</v>
      </c>
      <c r="L1872">
        <f xml:space="preserve"> (交易處理資料__3[[#This Row],[售出工時]] * 60) / 5</f>
        <v>0</v>
      </c>
      <c r="M1872" t="str">
        <f>VLOOKUP(交易處理資料__3[[#This Row],[人員代號]],團隊分組!$B$1:$C$52,2,FALSE)</f>
        <v>查修團隊B</v>
      </c>
      <c r="N1872" t="str">
        <f>IF(交易處理資料__3[[#This Row],[上班時間]]=0,"否","是")</f>
        <v>是</v>
      </c>
      <c r="O1872" t="s">
        <v>76</v>
      </c>
      <c r="P1872" s="37">
        <v>0</v>
      </c>
      <c r="Q1872" s="37">
        <v>0</v>
      </c>
      <c r="R1872" s="37">
        <v>0.87749999999999995</v>
      </c>
    </row>
    <row r="1873" spans="1:18" hidden="1">
      <c r="A1873" t="s">
        <v>76</v>
      </c>
      <c r="B1873" t="s">
        <v>44</v>
      </c>
      <c r="C1873">
        <v>5.28</v>
      </c>
      <c r="D1873">
        <v>5.91</v>
      </c>
      <c r="E1873" s="29">
        <v>0.89340101520000004</v>
      </c>
      <c r="F1873">
        <v>7.53</v>
      </c>
      <c r="G1873">
        <v>0.45</v>
      </c>
      <c r="H1873">
        <v>7.98</v>
      </c>
      <c r="I1873" s="29">
        <v>0.94359999999999999</v>
      </c>
      <c r="J1873" s="29">
        <v>0.66170000000000007</v>
      </c>
      <c r="K1873" s="9">
        <v>45338</v>
      </c>
      <c r="L1873">
        <f xml:space="preserve"> (交易處理資料__3[[#This Row],[售出工時]] * 60) / 5</f>
        <v>63.36</v>
      </c>
      <c r="M1873" t="str">
        <f>VLOOKUP(交易處理資料__3[[#This Row],[人員代號]],團隊分組!$B$1:$C$52,2,FALSE)</f>
        <v>快速保養團隊B</v>
      </c>
      <c r="N1873" t="str">
        <f>IF(交易處理資料__3[[#This Row],[上班時間]]=0,"否","是")</f>
        <v>是</v>
      </c>
      <c r="O1873" t="s">
        <v>76</v>
      </c>
      <c r="P1873" s="38">
        <v>0.89340101520000004</v>
      </c>
      <c r="Q1873" s="38">
        <v>0.66170000000000007</v>
      </c>
      <c r="R1873" s="38">
        <v>0.94359999999999999</v>
      </c>
    </row>
    <row r="1874" spans="1:18" hidden="1">
      <c r="A1874" t="s">
        <v>76</v>
      </c>
      <c r="B1874" t="s">
        <v>45</v>
      </c>
      <c r="C1874">
        <v>9.1666666669999994</v>
      </c>
      <c r="D1874">
        <v>5.36</v>
      </c>
      <c r="E1874" s="29">
        <v>1.710199005</v>
      </c>
      <c r="F1874">
        <v>7.24</v>
      </c>
      <c r="G1874">
        <v>0.99</v>
      </c>
      <c r="H1874">
        <v>8.23</v>
      </c>
      <c r="I1874" s="29">
        <v>0.87970000000000004</v>
      </c>
      <c r="J1874" s="29">
        <v>1.1137999999999999</v>
      </c>
      <c r="K1874" s="9">
        <v>45338</v>
      </c>
      <c r="L1874">
        <f xml:space="preserve"> (交易處理資料__3[[#This Row],[售出工時]] * 60) / 5</f>
        <v>110.000000004</v>
      </c>
      <c r="M1874" t="str">
        <f>VLOOKUP(交易處理資料__3[[#This Row],[人員代號]],團隊分組!$B$1:$C$52,2,FALSE)</f>
        <v>快速保養團隊A</v>
      </c>
      <c r="N1874" t="str">
        <f>IF(交易處理資料__3[[#This Row],[上班時間]]=0,"否","是")</f>
        <v>是</v>
      </c>
      <c r="O1874" t="s">
        <v>76</v>
      </c>
      <c r="P1874" s="37">
        <v>1.710199005</v>
      </c>
      <c r="Q1874" s="37">
        <v>1.1137999999999999</v>
      </c>
      <c r="R1874" s="37">
        <v>0.87970000000000004</v>
      </c>
    </row>
    <row r="1875" spans="1:18" hidden="1">
      <c r="A1875" t="s">
        <v>76</v>
      </c>
      <c r="B1875" t="s">
        <v>46</v>
      </c>
      <c r="C1875">
        <v>2.8333333330000001</v>
      </c>
      <c r="D1875">
        <v>3.73</v>
      </c>
      <c r="E1875" s="29">
        <v>0.75960679180000001</v>
      </c>
      <c r="F1875">
        <v>5.8</v>
      </c>
      <c r="G1875">
        <v>2.25</v>
      </c>
      <c r="H1875">
        <v>8.0500000000000007</v>
      </c>
      <c r="I1875" s="29">
        <v>0.72049999999999992</v>
      </c>
      <c r="J1875" s="29">
        <v>0.35200000000000004</v>
      </c>
      <c r="K1875" s="9">
        <v>45338</v>
      </c>
      <c r="L1875">
        <f xml:space="preserve"> (交易處理資料__3[[#This Row],[售出工時]] * 60) / 5</f>
        <v>33.999999996</v>
      </c>
      <c r="M1875" t="str">
        <f>VLOOKUP(交易處理資料__3[[#This Row],[人員代號]],團隊分組!$B$1:$C$52,2,FALSE)</f>
        <v>查修團隊B</v>
      </c>
      <c r="N1875" t="str">
        <f>IF(交易處理資料__3[[#This Row],[上班時間]]=0,"否","是")</f>
        <v>是</v>
      </c>
      <c r="O1875" t="s">
        <v>76</v>
      </c>
      <c r="P1875" s="38">
        <v>0.75960679180000001</v>
      </c>
      <c r="Q1875" s="38">
        <v>0.35200000000000004</v>
      </c>
      <c r="R1875" s="38">
        <v>0.72049999999999992</v>
      </c>
    </row>
    <row r="1876" spans="1:18" hidden="1">
      <c r="A1876" t="s">
        <v>76</v>
      </c>
      <c r="B1876" t="s">
        <v>47</v>
      </c>
      <c r="C1876">
        <v>0.91666666699999999</v>
      </c>
      <c r="D1876">
        <v>1.65</v>
      </c>
      <c r="E1876" s="29">
        <v>0.55555555560000003</v>
      </c>
      <c r="F1876">
        <v>6.32</v>
      </c>
      <c r="G1876">
        <v>1.72</v>
      </c>
      <c r="H1876">
        <v>8.0399999999999991</v>
      </c>
      <c r="I1876" s="29">
        <v>0.78610000000000002</v>
      </c>
      <c r="J1876" s="29">
        <v>0.114</v>
      </c>
      <c r="K1876" s="9">
        <v>45338</v>
      </c>
      <c r="L1876">
        <f xml:space="preserve"> (交易處理資料__3[[#This Row],[售出工時]] * 60) / 5</f>
        <v>11.000000004</v>
      </c>
      <c r="M1876" t="str">
        <f>VLOOKUP(交易處理資料__3[[#This Row],[人員代號]],團隊分組!$B$1:$C$52,2,FALSE)</f>
        <v>查修團隊B</v>
      </c>
      <c r="N1876" t="str">
        <f>IF(交易處理資料__3[[#This Row],[上班時間]]=0,"否","是")</f>
        <v>是</v>
      </c>
      <c r="O1876" t="s">
        <v>76</v>
      </c>
      <c r="P1876" s="37">
        <v>0.55555555560000003</v>
      </c>
      <c r="Q1876" s="37">
        <v>0.114</v>
      </c>
      <c r="R1876" s="37">
        <v>0.78610000000000002</v>
      </c>
    </row>
    <row r="1877" spans="1:18" hidden="1">
      <c r="A1877" t="s">
        <v>76</v>
      </c>
      <c r="B1877" t="s">
        <v>48</v>
      </c>
      <c r="C1877">
        <v>4.6666666670000003</v>
      </c>
      <c r="D1877">
        <v>5.13</v>
      </c>
      <c r="E1877" s="29">
        <v>0.90968161140000003</v>
      </c>
      <c r="F1877">
        <v>6.31</v>
      </c>
      <c r="G1877">
        <v>1.77</v>
      </c>
      <c r="H1877">
        <v>8.08</v>
      </c>
      <c r="I1877" s="29">
        <v>0.78090000000000004</v>
      </c>
      <c r="J1877" s="29">
        <v>0.5776</v>
      </c>
      <c r="K1877" s="9">
        <v>45338</v>
      </c>
      <c r="L1877">
        <f xml:space="preserve"> (交易處理資料__3[[#This Row],[售出工時]] * 60) / 5</f>
        <v>56.000000004</v>
      </c>
      <c r="M1877" t="str">
        <f>VLOOKUP(交易處理資料__3[[#This Row],[人員代號]],團隊分組!$B$1:$C$52,2,FALSE)</f>
        <v>查修團隊A</v>
      </c>
      <c r="N1877" t="str">
        <f>IF(交易處理資料__3[[#This Row],[上班時間]]=0,"否","是")</f>
        <v>是</v>
      </c>
      <c r="O1877" t="s">
        <v>76</v>
      </c>
      <c r="P1877" s="38">
        <v>0.90968161140000003</v>
      </c>
      <c r="Q1877" s="38">
        <v>0.5776</v>
      </c>
      <c r="R1877" s="38">
        <v>0.78090000000000004</v>
      </c>
    </row>
    <row r="1878" spans="1:18" hidden="1">
      <c r="A1878" t="s">
        <v>76</v>
      </c>
      <c r="B1878" t="s">
        <v>49</v>
      </c>
      <c r="C1878">
        <v>2.6766666670000001</v>
      </c>
      <c r="D1878">
        <v>2.0299999999999998</v>
      </c>
      <c r="E1878" s="29">
        <v>1.3185550079999999</v>
      </c>
      <c r="F1878">
        <v>7.54</v>
      </c>
      <c r="G1878">
        <v>0.41</v>
      </c>
      <c r="H1878">
        <v>7.95</v>
      </c>
      <c r="I1878" s="29">
        <v>0.94840000000000002</v>
      </c>
      <c r="J1878" s="29">
        <v>0.3367</v>
      </c>
      <c r="K1878" s="9">
        <v>45338</v>
      </c>
      <c r="L1878">
        <f xml:space="preserve"> (交易處理資料__3[[#This Row],[售出工時]] * 60) / 5</f>
        <v>32.120000004000005</v>
      </c>
      <c r="M1878" t="str">
        <f>VLOOKUP(交易處理資料__3[[#This Row],[人員代號]],團隊分組!$B$1:$C$52,2,FALSE)</f>
        <v>查修團隊A</v>
      </c>
      <c r="N1878" t="str">
        <f>IF(交易處理資料__3[[#This Row],[上班時間]]=0,"否","是")</f>
        <v>是</v>
      </c>
      <c r="O1878" t="s">
        <v>76</v>
      </c>
      <c r="P1878" s="37">
        <v>1.3185550079999999</v>
      </c>
      <c r="Q1878" s="37">
        <v>0.3367</v>
      </c>
      <c r="R1878" s="37">
        <v>0.94840000000000002</v>
      </c>
    </row>
    <row r="1879" spans="1:18" hidden="1">
      <c r="A1879" t="s">
        <v>76</v>
      </c>
      <c r="B1879" t="s">
        <v>50</v>
      </c>
      <c r="C1879">
        <v>5.0533333330000003</v>
      </c>
      <c r="D1879">
        <v>5.87</v>
      </c>
      <c r="E1879" s="29">
        <v>0.86087450309999991</v>
      </c>
      <c r="F1879">
        <v>7.55</v>
      </c>
      <c r="G1879">
        <v>0.36</v>
      </c>
      <c r="H1879">
        <v>7.91</v>
      </c>
      <c r="I1879" s="29">
        <v>0.95450000000000002</v>
      </c>
      <c r="J1879" s="29">
        <v>0.63890000000000002</v>
      </c>
      <c r="K1879" s="9">
        <v>45338</v>
      </c>
      <c r="L1879">
        <f xml:space="preserve"> (交易處理資料__3[[#This Row],[售出工時]] * 60) / 5</f>
        <v>60.639999996000007</v>
      </c>
      <c r="M1879" t="str">
        <f>VLOOKUP(交易處理資料__3[[#This Row],[人員代號]],團隊分組!$B$1:$C$52,2,FALSE)</f>
        <v>快速保養團隊B</v>
      </c>
      <c r="N1879" t="str">
        <f>IF(交易處理資料__3[[#This Row],[上班時間]]=0,"否","是")</f>
        <v>是</v>
      </c>
      <c r="O1879" t="s">
        <v>76</v>
      </c>
      <c r="P1879" s="38">
        <v>0.86087450309999991</v>
      </c>
      <c r="Q1879" s="38">
        <v>0.63890000000000002</v>
      </c>
      <c r="R1879" s="38">
        <v>0.95450000000000002</v>
      </c>
    </row>
    <row r="1880" spans="1:18" hidden="1">
      <c r="A1880" t="s">
        <v>76</v>
      </c>
      <c r="B1880" t="s">
        <v>51</v>
      </c>
      <c r="C1880">
        <v>0</v>
      </c>
      <c r="D1880">
        <v>0</v>
      </c>
      <c r="E1880" s="29">
        <v>0</v>
      </c>
      <c r="F1880">
        <v>0</v>
      </c>
      <c r="G1880">
        <v>0</v>
      </c>
      <c r="H1880">
        <v>0</v>
      </c>
      <c r="I1880" s="29">
        <v>0</v>
      </c>
      <c r="J1880" s="29">
        <v>0</v>
      </c>
      <c r="K1880" s="9">
        <v>45338</v>
      </c>
      <c r="L1880">
        <f xml:space="preserve"> (交易處理資料__3[[#This Row],[售出工時]] * 60) / 5</f>
        <v>0</v>
      </c>
      <c r="M1880" t="str">
        <f>VLOOKUP(交易處理資料__3[[#This Row],[人員代號]],團隊分組!$B$1:$C$52,2,FALSE)</f>
        <v>無效數據</v>
      </c>
      <c r="N1880" t="str">
        <f>IF(交易處理資料__3[[#This Row],[上班時間]]=0,"否","是")</f>
        <v>否</v>
      </c>
      <c r="O1880" t="s">
        <v>76</v>
      </c>
      <c r="P1880" s="37">
        <v>0</v>
      </c>
      <c r="Q1880" s="37">
        <v>0</v>
      </c>
      <c r="R1880" s="37">
        <v>0</v>
      </c>
    </row>
    <row r="1881" spans="1:18" hidden="1">
      <c r="A1881" t="s">
        <v>76</v>
      </c>
      <c r="B1881" t="s">
        <v>52</v>
      </c>
      <c r="C1881">
        <v>0</v>
      </c>
      <c r="D1881">
        <v>0</v>
      </c>
      <c r="E1881" s="29">
        <v>0</v>
      </c>
      <c r="F1881">
        <v>9.6999999999999993</v>
      </c>
      <c r="G1881">
        <v>0.36</v>
      </c>
      <c r="H1881">
        <v>10.06</v>
      </c>
      <c r="I1881" s="29">
        <v>0.96420000000000006</v>
      </c>
      <c r="J1881" s="29">
        <v>0</v>
      </c>
      <c r="K1881" s="9">
        <v>45338</v>
      </c>
      <c r="L1881">
        <f xml:space="preserve"> (交易處理資料__3[[#This Row],[售出工時]] * 60) / 5</f>
        <v>0</v>
      </c>
      <c r="M1881" t="str">
        <f>VLOOKUP(交易處理資料__3[[#This Row],[人員代號]],團隊分組!$B$1:$C$52,2,FALSE)</f>
        <v>查修團隊B</v>
      </c>
      <c r="N1881" t="str">
        <f>IF(交易處理資料__3[[#This Row],[上班時間]]=0,"否","是")</f>
        <v>是</v>
      </c>
      <c r="O1881" t="s">
        <v>76</v>
      </c>
      <c r="P1881" s="38">
        <v>0</v>
      </c>
      <c r="Q1881" s="38">
        <v>0</v>
      </c>
      <c r="R1881" s="38">
        <v>0.96420000000000006</v>
      </c>
    </row>
    <row r="1882" spans="1:18" hidden="1">
      <c r="A1882" t="s">
        <v>76</v>
      </c>
      <c r="B1882" t="s">
        <v>53</v>
      </c>
      <c r="C1882">
        <v>4.6666666670000003</v>
      </c>
      <c r="D1882">
        <v>3.75</v>
      </c>
      <c r="E1882" s="29">
        <v>1.244444444</v>
      </c>
      <c r="F1882">
        <v>9.7200000000000006</v>
      </c>
      <c r="G1882">
        <v>0.21</v>
      </c>
      <c r="H1882">
        <v>9.93</v>
      </c>
      <c r="I1882" s="29">
        <v>0.97889999999999999</v>
      </c>
      <c r="J1882" s="29">
        <v>0.47</v>
      </c>
      <c r="K1882" s="9">
        <v>45338</v>
      </c>
      <c r="L1882">
        <f xml:space="preserve"> (交易處理資料__3[[#This Row],[售出工時]] * 60) / 5</f>
        <v>56.000000004</v>
      </c>
      <c r="M1882" t="str">
        <f>VLOOKUP(交易處理資料__3[[#This Row],[人員代號]],團隊分組!$B$1:$C$52,2,FALSE)</f>
        <v>查修團隊A</v>
      </c>
      <c r="N1882" t="str">
        <f>IF(交易處理資料__3[[#This Row],[上班時間]]=0,"否","是")</f>
        <v>是</v>
      </c>
      <c r="O1882" t="s">
        <v>76</v>
      </c>
      <c r="P1882" s="37">
        <v>1.244444444</v>
      </c>
      <c r="Q1882" s="37">
        <v>0.47</v>
      </c>
      <c r="R1882" s="37">
        <v>0.97889999999999999</v>
      </c>
    </row>
    <row r="1883" spans="1:18" hidden="1">
      <c r="A1883" s="10" t="s">
        <v>74</v>
      </c>
      <c r="B1883" t="s">
        <v>1</v>
      </c>
      <c r="C1883">
        <v>0</v>
      </c>
      <c r="D1883">
        <v>0</v>
      </c>
      <c r="E1883" s="29">
        <v>0</v>
      </c>
      <c r="F1883">
        <v>6.77</v>
      </c>
      <c r="G1883">
        <v>1.25</v>
      </c>
      <c r="H1883">
        <v>8.02</v>
      </c>
      <c r="I1883" s="29">
        <v>0.84409999999999996</v>
      </c>
      <c r="J1883" s="29">
        <v>0</v>
      </c>
      <c r="K1883" s="9">
        <v>45339</v>
      </c>
      <c r="L1883">
        <f xml:space="preserve"> (交易處理資料__3[[#This Row],[售出工時]] * 60) / 5</f>
        <v>0</v>
      </c>
      <c r="M1883" t="str">
        <f>VLOOKUP(交易處理資料__3[[#This Row],[人員代號]],團隊分組!$B$1:$C$52,2,FALSE)</f>
        <v>噴漆維修組</v>
      </c>
      <c r="N1883" t="str">
        <f>IF(交易處理資料__3[[#This Row],[上班時間]]=0,"否","是")</f>
        <v>是</v>
      </c>
      <c r="O1883" s="10" t="s">
        <v>74</v>
      </c>
      <c r="P1883" s="38">
        <v>0</v>
      </c>
      <c r="Q1883" s="38">
        <v>0</v>
      </c>
      <c r="R1883" s="38">
        <v>0.84409999999999996</v>
      </c>
    </row>
    <row r="1884" spans="1:18" hidden="1">
      <c r="A1884" s="10" t="s">
        <v>74</v>
      </c>
      <c r="B1884" t="s">
        <v>2</v>
      </c>
      <c r="C1884">
        <v>0.78</v>
      </c>
      <c r="D1884">
        <v>3.77</v>
      </c>
      <c r="E1884" s="29">
        <v>0.20689655170000001</v>
      </c>
      <c r="F1884">
        <v>6.8</v>
      </c>
      <c r="G1884">
        <v>1.21</v>
      </c>
      <c r="H1884">
        <v>8.01</v>
      </c>
      <c r="I1884" s="29">
        <v>0.84889999999999999</v>
      </c>
      <c r="J1884" s="29">
        <v>9.74E-2</v>
      </c>
      <c r="K1884" s="9">
        <v>45339</v>
      </c>
      <c r="L1884">
        <f xml:space="preserve"> (交易處理資料__3[[#This Row],[售出工時]] * 60) / 5</f>
        <v>9.3600000000000012</v>
      </c>
      <c r="M1884" t="str">
        <f>VLOOKUP(交易處理資料__3[[#This Row],[人員代號]],團隊分組!$B$1:$C$52,2,FALSE)</f>
        <v>噴漆維修組</v>
      </c>
      <c r="N1884" t="str">
        <f>IF(交易處理資料__3[[#This Row],[上班時間]]=0,"否","是")</f>
        <v>是</v>
      </c>
      <c r="O1884" s="10" t="s">
        <v>74</v>
      </c>
      <c r="P1884" s="37">
        <v>0.20689655170000001</v>
      </c>
      <c r="Q1884" s="37">
        <v>9.74E-2</v>
      </c>
      <c r="R1884" s="37">
        <v>0.84889999999999999</v>
      </c>
    </row>
    <row r="1885" spans="1:18" hidden="1">
      <c r="A1885" s="10" t="s">
        <v>74</v>
      </c>
      <c r="B1885" t="s">
        <v>4</v>
      </c>
      <c r="C1885">
        <v>0</v>
      </c>
      <c r="D1885">
        <v>0</v>
      </c>
      <c r="E1885" s="29">
        <v>0</v>
      </c>
      <c r="F1885">
        <v>6.49</v>
      </c>
      <c r="G1885">
        <v>1.62</v>
      </c>
      <c r="H1885">
        <v>8.11</v>
      </c>
      <c r="I1885" s="29">
        <v>0.80019999999999991</v>
      </c>
      <c r="J1885" s="29">
        <v>0</v>
      </c>
      <c r="K1885" s="9">
        <v>45339</v>
      </c>
      <c r="L1885">
        <f xml:space="preserve"> (交易處理資料__3[[#This Row],[售出工時]] * 60) / 5</f>
        <v>0</v>
      </c>
      <c r="M1885" t="str">
        <f>VLOOKUP(交易處理資料__3[[#This Row],[人員代號]],團隊分組!$B$1:$C$52,2,FALSE)</f>
        <v>噴漆維修組</v>
      </c>
      <c r="N1885" t="str">
        <f>IF(交易處理資料__3[[#This Row],[上班時間]]=0,"否","是")</f>
        <v>是</v>
      </c>
      <c r="O1885" s="10" t="s">
        <v>74</v>
      </c>
      <c r="P1885" s="38">
        <v>0</v>
      </c>
      <c r="Q1885" s="38">
        <v>0</v>
      </c>
      <c r="R1885" s="38">
        <v>0.80019999999999991</v>
      </c>
    </row>
    <row r="1886" spans="1:18" hidden="1">
      <c r="A1886" s="10" t="s">
        <v>74</v>
      </c>
      <c r="B1886" t="s">
        <v>5</v>
      </c>
      <c r="C1886">
        <v>0</v>
      </c>
      <c r="D1886">
        <v>0</v>
      </c>
      <c r="E1886" s="29">
        <v>0</v>
      </c>
      <c r="F1886">
        <v>7.82</v>
      </c>
      <c r="G1886">
        <v>0.2</v>
      </c>
      <c r="H1886">
        <v>8.02</v>
      </c>
      <c r="I1886" s="29">
        <v>0.97510000000000008</v>
      </c>
      <c r="J1886" s="29">
        <v>0</v>
      </c>
      <c r="K1886" s="9">
        <v>45339</v>
      </c>
      <c r="L1886">
        <f xml:space="preserve"> (交易處理資料__3[[#This Row],[售出工時]] * 60) / 5</f>
        <v>0</v>
      </c>
      <c r="M1886" t="str">
        <f>VLOOKUP(交易處理資料__3[[#This Row],[人員代號]],團隊分組!$B$1:$C$52,2,FALSE)</f>
        <v>噴漆維修組</v>
      </c>
      <c r="N1886" t="str">
        <f>IF(交易處理資料__3[[#This Row],[上班時間]]=0,"否","是")</f>
        <v>是</v>
      </c>
      <c r="O1886" s="10" t="s">
        <v>74</v>
      </c>
      <c r="P1886" s="37">
        <v>0</v>
      </c>
      <c r="Q1886" s="37">
        <v>0</v>
      </c>
      <c r="R1886" s="37">
        <v>0.97510000000000008</v>
      </c>
    </row>
    <row r="1887" spans="1:18" hidden="1">
      <c r="A1887" s="10" t="s">
        <v>74</v>
      </c>
      <c r="B1887" t="s">
        <v>6</v>
      </c>
      <c r="C1887">
        <v>0.78</v>
      </c>
      <c r="D1887">
        <v>3.77</v>
      </c>
      <c r="E1887" s="29">
        <v>0.20689655170000001</v>
      </c>
      <c r="F1887">
        <v>6.82</v>
      </c>
      <c r="G1887">
        <v>1.21</v>
      </c>
      <c r="H1887">
        <v>8.0299999999999994</v>
      </c>
      <c r="I1887" s="29">
        <v>0.84930000000000005</v>
      </c>
      <c r="J1887" s="29">
        <v>9.7100000000000006E-2</v>
      </c>
      <c r="K1887" s="9">
        <v>45339</v>
      </c>
      <c r="L1887">
        <f xml:space="preserve"> (交易處理資料__3[[#This Row],[售出工時]] * 60) / 5</f>
        <v>9.3600000000000012</v>
      </c>
      <c r="M1887" t="str">
        <f>VLOOKUP(交易處理資料__3[[#This Row],[人員代號]],團隊分組!$B$1:$C$52,2,FALSE)</f>
        <v>噴漆維修組</v>
      </c>
      <c r="N1887" t="str">
        <f>IF(交易處理資料__3[[#This Row],[上班時間]]=0,"否","是")</f>
        <v>是</v>
      </c>
      <c r="O1887" s="10" t="s">
        <v>74</v>
      </c>
      <c r="P1887" s="38">
        <v>0.20689655170000001</v>
      </c>
      <c r="Q1887" s="38">
        <v>9.7100000000000006E-2</v>
      </c>
      <c r="R1887" s="38">
        <v>0.84930000000000005</v>
      </c>
    </row>
    <row r="1888" spans="1:18">
      <c r="A1888" s="10" t="s">
        <v>74</v>
      </c>
      <c r="B1888" t="s">
        <v>7</v>
      </c>
      <c r="C1888">
        <v>0</v>
      </c>
      <c r="D1888">
        <v>0</v>
      </c>
      <c r="E1888" s="29">
        <v>0</v>
      </c>
      <c r="F1888">
        <v>7.85</v>
      </c>
      <c r="G1888">
        <v>0.2</v>
      </c>
      <c r="H1888">
        <v>8.0500000000000007</v>
      </c>
      <c r="I1888" s="29">
        <v>0.97519999999999996</v>
      </c>
      <c r="J1888" s="29">
        <v>0</v>
      </c>
      <c r="K1888" s="9">
        <v>45339</v>
      </c>
      <c r="L1888">
        <f xml:space="preserve"> (交易處理資料__3[[#This Row],[售出工時]] * 60) / 5</f>
        <v>0</v>
      </c>
      <c r="M1888" t="str">
        <f>VLOOKUP(交易處理資料__3[[#This Row],[人員代號]],團隊分組!$B$1:$C$52,2,FALSE)</f>
        <v>噴漆維修組</v>
      </c>
      <c r="N1888" t="str">
        <f>IF(交易處理資料__3[[#This Row],[上班時間]]=0,"否","是")</f>
        <v>是</v>
      </c>
      <c r="O1888" s="10" t="s">
        <v>74</v>
      </c>
      <c r="P1888" s="37">
        <v>0</v>
      </c>
      <c r="Q1888" s="37">
        <v>0</v>
      </c>
      <c r="R1888" s="37">
        <v>0.97519999999999996</v>
      </c>
    </row>
    <row r="1889" spans="1:18" hidden="1">
      <c r="A1889" s="10" t="s">
        <v>74</v>
      </c>
      <c r="B1889" t="s">
        <v>8</v>
      </c>
      <c r="C1889">
        <v>0</v>
      </c>
      <c r="D1889">
        <v>0</v>
      </c>
      <c r="E1889" s="29">
        <v>0</v>
      </c>
      <c r="F1889">
        <v>6.75</v>
      </c>
      <c r="G1889">
        <v>1.37</v>
      </c>
      <c r="H1889">
        <v>8.1199999999999992</v>
      </c>
      <c r="I1889" s="29">
        <v>0.83129999999999993</v>
      </c>
      <c r="J1889" s="29">
        <v>0</v>
      </c>
      <c r="K1889" s="9">
        <v>45339</v>
      </c>
      <c r="L1889">
        <f xml:space="preserve"> (交易處理資料__3[[#This Row],[售出工時]] * 60) / 5</f>
        <v>0</v>
      </c>
      <c r="M1889" t="str">
        <f>VLOOKUP(交易處理資料__3[[#This Row],[人員代號]],團隊分組!$B$1:$C$52,2,FALSE)</f>
        <v>噴漆維修組</v>
      </c>
      <c r="N1889" t="str">
        <f>IF(交易處理資料__3[[#This Row],[上班時間]]=0,"否","是")</f>
        <v>是</v>
      </c>
      <c r="O1889" s="10" t="s">
        <v>74</v>
      </c>
      <c r="P1889" s="38">
        <v>0</v>
      </c>
      <c r="Q1889" s="38">
        <v>0</v>
      </c>
      <c r="R1889" s="38">
        <v>0.83129999999999993</v>
      </c>
    </row>
    <row r="1890" spans="1:18" hidden="1">
      <c r="A1890" s="10" t="s">
        <v>74</v>
      </c>
      <c r="B1890" t="s">
        <v>9</v>
      </c>
      <c r="C1890">
        <v>0</v>
      </c>
      <c r="D1890">
        <v>0</v>
      </c>
      <c r="E1890" s="29">
        <v>0</v>
      </c>
      <c r="F1890">
        <v>6.79</v>
      </c>
      <c r="G1890">
        <v>1.26</v>
      </c>
      <c r="H1890">
        <v>8.0500000000000007</v>
      </c>
      <c r="I1890" s="29">
        <v>0.84349999999999992</v>
      </c>
      <c r="J1890" s="29">
        <v>0</v>
      </c>
      <c r="K1890" s="9">
        <v>45339</v>
      </c>
      <c r="L1890">
        <f xml:space="preserve"> (交易處理資料__3[[#This Row],[售出工時]] * 60) / 5</f>
        <v>0</v>
      </c>
      <c r="M1890" t="str">
        <f>VLOOKUP(交易處理資料__3[[#This Row],[人員代號]],團隊分組!$B$1:$C$52,2,FALSE)</f>
        <v>噴漆維修組</v>
      </c>
      <c r="N1890" t="str">
        <f>IF(交易處理資料__3[[#This Row],[上班時間]]=0,"否","是")</f>
        <v>是</v>
      </c>
      <c r="O1890" s="10" t="s">
        <v>74</v>
      </c>
      <c r="P1890" s="37">
        <v>0</v>
      </c>
      <c r="Q1890" s="37">
        <v>0</v>
      </c>
      <c r="R1890" s="37">
        <v>0.84349999999999992</v>
      </c>
    </row>
    <row r="1891" spans="1:18" hidden="1">
      <c r="A1891" t="s">
        <v>75</v>
      </c>
      <c r="B1891" t="s">
        <v>11</v>
      </c>
      <c r="C1891">
        <v>0</v>
      </c>
      <c r="D1891">
        <v>0</v>
      </c>
      <c r="E1891" s="29">
        <v>0</v>
      </c>
      <c r="F1891">
        <v>6.49</v>
      </c>
      <c r="G1891">
        <v>1.63</v>
      </c>
      <c r="H1891">
        <v>8.1199999999999992</v>
      </c>
      <c r="I1891" s="29">
        <v>0.79930000000000012</v>
      </c>
      <c r="J1891" s="29">
        <v>0</v>
      </c>
      <c r="K1891" s="9">
        <v>45339</v>
      </c>
      <c r="L1891">
        <f xml:space="preserve"> (交易處理資料__3[[#This Row],[售出工時]] * 60) / 5</f>
        <v>0</v>
      </c>
      <c r="M1891" t="str">
        <f>VLOOKUP(交易處理資料__3[[#This Row],[人員代號]],團隊分組!$B$1:$C$52,2,FALSE)</f>
        <v>鈑金維修組</v>
      </c>
      <c r="N1891" t="str">
        <f>IF(交易處理資料__3[[#This Row],[上班時間]]=0,"否","是")</f>
        <v>是</v>
      </c>
      <c r="O1891" t="s">
        <v>75</v>
      </c>
      <c r="P1891" s="38">
        <v>0</v>
      </c>
      <c r="Q1891" s="38">
        <v>0</v>
      </c>
      <c r="R1891" s="38">
        <v>0.79930000000000012</v>
      </c>
    </row>
    <row r="1892" spans="1:18" hidden="1">
      <c r="A1892" t="s">
        <v>75</v>
      </c>
      <c r="B1892" t="s">
        <v>12</v>
      </c>
      <c r="C1892">
        <v>3</v>
      </c>
      <c r="D1892">
        <v>0.28000000000000003</v>
      </c>
      <c r="E1892" s="29">
        <v>10.714285709999999</v>
      </c>
      <c r="F1892">
        <v>5.62</v>
      </c>
      <c r="G1892">
        <v>2.4700000000000002</v>
      </c>
      <c r="H1892">
        <v>8.09</v>
      </c>
      <c r="I1892" s="29">
        <v>0.69469999999999998</v>
      </c>
      <c r="J1892" s="29">
        <v>0.37079999999999996</v>
      </c>
      <c r="K1892" s="9">
        <v>45339</v>
      </c>
      <c r="L1892">
        <f xml:space="preserve"> (交易處理資料__3[[#This Row],[售出工時]] * 60) / 5</f>
        <v>36</v>
      </c>
      <c r="M1892" t="str">
        <f>VLOOKUP(交易處理資料__3[[#This Row],[人員代號]],團隊分組!$B$1:$C$52,2,FALSE)</f>
        <v>鈑金維修組</v>
      </c>
      <c r="N1892" t="str">
        <f>IF(交易處理資料__3[[#This Row],[上班時間]]=0,"否","是")</f>
        <v>是</v>
      </c>
      <c r="O1892" t="s">
        <v>75</v>
      </c>
      <c r="P1892" s="37">
        <v>10.714285709999999</v>
      </c>
      <c r="Q1892" s="37">
        <v>0.37079999999999996</v>
      </c>
      <c r="R1892" s="37">
        <v>0.69469999999999998</v>
      </c>
    </row>
    <row r="1893" spans="1:18" hidden="1">
      <c r="A1893" t="s">
        <v>75</v>
      </c>
      <c r="B1893" t="s">
        <v>13</v>
      </c>
      <c r="C1893">
        <v>0</v>
      </c>
      <c r="D1893">
        <v>0</v>
      </c>
      <c r="E1893" s="29">
        <v>0</v>
      </c>
      <c r="F1893">
        <v>0</v>
      </c>
      <c r="G1893">
        <v>0</v>
      </c>
      <c r="H1893">
        <v>0</v>
      </c>
      <c r="I1893" s="29">
        <v>0</v>
      </c>
      <c r="J1893" s="29">
        <v>0</v>
      </c>
      <c r="K1893" s="9">
        <v>45339</v>
      </c>
      <c r="L1893">
        <f xml:space="preserve"> (交易處理資料__3[[#This Row],[售出工時]] * 60) / 5</f>
        <v>0</v>
      </c>
      <c r="M1893" t="str">
        <f>VLOOKUP(交易處理資料__3[[#This Row],[人員代號]],團隊分組!$B$1:$C$52,2,FALSE)</f>
        <v>鈑金維修組</v>
      </c>
      <c r="N1893" t="str">
        <f>IF(交易處理資料__3[[#This Row],[上班時間]]=0,"否","是")</f>
        <v>否</v>
      </c>
      <c r="O1893" t="s">
        <v>75</v>
      </c>
      <c r="P1893" s="38">
        <v>0</v>
      </c>
      <c r="Q1893" s="38">
        <v>0</v>
      </c>
      <c r="R1893" s="38">
        <v>0</v>
      </c>
    </row>
    <row r="1894" spans="1:18" hidden="1">
      <c r="A1894" t="s">
        <v>75</v>
      </c>
      <c r="B1894" t="s">
        <v>14</v>
      </c>
      <c r="C1894">
        <v>0</v>
      </c>
      <c r="D1894">
        <v>0</v>
      </c>
      <c r="E1894" s="29">
        <v>0</v>
      </c>
      <c r="F1894">
        <v>5.97</v>
      </c>
      <c r="G1894">
        <v>2.13</v>
      </c>
      <c r="H1894">
        <v>8.1</v>
      </c>
      <c r="I1894" s="29">
        <v>0.73699999999999999</v>
      </c>
      <c r="J1894" s="29">
        <v>0</v>
      </c>
      <c r="K1894" s="9">
        <v>45339</v>
      </c>
      <c r="L1894">
        <f xml:space="preserve"> (交易處理資料__3[[#This Row],[售出工時]] * 60) / 5</f>
        <v>0</v>
      </c>
      <c r="M1894" t="str">
        <f>VLOOKUP(交易處理資料__3[[#This Row],[人員代號]],團隊分組!$B$1:$C$52,2,FALSE)</f>
        <v>鈑金維修組</v>
      </c>
      <c r="N1894" t="str">
        <f>IF(交易處理資料__3[[#This Row],[上班時間]]=0,"否","是")</f>
        <v>是</v>
      </c>
      <c r="O1894" t="s">
        <v>75</v>
      </c>
      <c r="P1894" s="37">
        <v>0</v>
      </c>
      <c r="Q1894" s="37">
        <v>0</v>
      </c>
      <c r="R1894" s="37">
        <v>0.73699999999999999</v>
      </c>
    </row>
    <row r="1895" spans="1:18" hidden="1">
      <c r="A1895" t="s">
        <v>75</v>
      </c>
      <c r="B1895" t="s">
        <v>15</v>
      </c>
      <c r="C1895">
        <v>2.0833333330000001</v>
      </c>
      <c r="D1895">
        <v>0.88</v>
      </c>
      <c r="E1895" s="29">
        <v>2.3674242419999998</v>
      </c>
      <c r="F1895">
        <v>4.33</v>
      </c>
      <c r="G1895">
        <v>3.77</v>
      </c>
      <c r="H1895">
        <v>8.1</v>
      </c>
      <c r="I1895" s="29">
        <v>0.53459999999999996</v>
      </c>
      <c r="J1895" s="29">
        <v>0.25719999999999998</v>
      </c>
      <c r="K1895" s="9">
        <v>45339</v>
      </c>
      <c r="L1895">
        <f xml:space="preserve"> (交易處理資料__3[[#This Row],[售出工時]] * 60) / 5</f>
        <v>24.999999996000003</v>
      </c>
      <c r="M1895" t="str">
        <f>VLOOKUP(交易處理資料__3[[#This Row],[人員代號]],團隊分組!$B$1:$C$52,2,FALSE)</f>
        <v>鈑金維修組</v>
      </c>
      <c r="N1895" t="str">
        <f>IF(交易處理資料__3[[#This Row],[上班時間]]=0,"否","是")</f>
        <v>是</v>
      </c>
      <c r="O1895" t="s">
        <v>75</v>
      </c>
      <c r="P1895" s="38">
        <v>2.3674242419999998</v>
      </c>
      <c r="Q1895" s="38">
        <v>0.25719999999999998</v>
      </c>
      <c r="R1895" s="38">
        <v>0.53459999999999996</v>
      </c>
    </row>
    <row r="1896" spans="1:18" hidden="1">
      <c r="A1896" t="s">
        <v>76</v>
      </c>
      <c r="B1896" t="s">
        <v>17</v>
      </c>
      <c r="C1896">
        <v>9.39</v>
      </c>
      <c r="D1896">
        <v>5.85</v>
      </c>
      <c r="E1896" s="29">
        <v>1.605128205</v>
      </c>
      <c r="F1896">
        <v>6.62</v>
      </c>
      <c r="G1896">
        <v>2.42</v>
      </c>
      <c r="H1896">
        <v>9.0399999999999991</v>
      </c>
      <c r="I1896" s="29">
        <v>0.73230000000000006</v>
      </c>
      <c r="J1896" s="29">
        <v>1.0387</v>
      </c>
      <c r="K1896" s="9">
        <v>45339</v>
      </c>
      <c r="L1896">
        <f xml:space="preserve"> (交易處理資料__3[[#This Row],[售出工時]] * 60) / 5</f>
        <v>112.68000000000002</v>
      </c>
      <c r="M1896" t="str">
        <f>VLOOKUP(交易處理資料__3[[#This Row],[人員代號]],團隊分組!$B$1:$C$52,2,FALSE)</f>
        <v>快速保養團隊A</v>
      </c>
      <c r="N1896" t="str">
        <f>IF(交易處理資料__3[[#This Row],[上班時間]]=0,"否","是")</f>
        <v>是</v>
      </c>
      <c r="O1896" t="s">
        <v>76</v>
      </c>
      <c r="P1896" s="37">
        <v>1.605128205</v>
      </c>
      <c r="Q1896" s="37">
        <v>1.0387</v>
      </c>
      <c r="R1896" s="37">
        <v>0.73230000000000006</v>
      </c>
    </row>
    <row r="1897" spans="1:18" hidden="1">
      <c r="A1897" t="s">
        <v>76</v>
      </c>
      <c r="B1897" t="s">
        <v>18</v>
      </c>
      <c r="C1897">
        <v>5.4166666670000003</v>
      </c>
      <c r="D1897">
        <v>7.1</v>
      </c>
      <c r="E1897" s="29">
        <v>0.76291079809999995</v>
      </c>
      <c r="F1897">
        <v>7.15</v>
      </c>
      <c r="G1897">
        <v>1.84</v>
      </c>
      <c r="H1897">
        <v>8.99</v>
      </c>
      <c r="I1897" s="29">
        <v>0.79530000000000001</v>
      </c>
      <c r="J1897" s="29">
        <v>0.60250000000000004</v>
      </c>
      <c r="K1897" s="9">
        <v>45339</v>
      </c>
      <c r="L1897">
        <f xml:space="preserve"> (交易處理資料__3[[#This Row],[售出工時]] * 60) / 5</f>
        <v>65.000000004</v>
      </c>
      <c r="M1897" t="str">
        <f>VLOOKUP(交易處理資料__3[[#This Row],[人員代號]],團隊分組!$B$1:$C$52,2,FALSE)</f>
        <v>查修團隊B</v>
      </c>
      <c r="N1897" t="str">
        <f>IF(交易處理資料__3[[#This Row],[上班時間]]=0,"否","是")</f>
        <v>是</v>
      </c>
      <c r="O1897" t="s">
        <v>76</v>
      </c>
      <c r="P1897" s="38">
        <v>0.76291079809999995</v>
      </c>
      <c r="Q1897" s="38">
        <v>0.60250000000000004</v>
      </c>
      <c r="R1897" s="38">
        <v>0.79530000000000001</v>
      </c>
    </row>
    <row r="1898" spans="1:18" hidden="1">
      <c r="A1898" t="s">
        <v>76</v>
      </c>
      <c r="B1898" t="s">
        <v>19</v>
      </c>
      <c r="C1898">
        <v>2.91</v>
      </c>
      <c r="D1898">
        <v>3.11</v>
      </c>
      <c r="E1898" s="29">
        <v>0.93569131830000007</v>
      </c>
      <c r="F1898">
        <v>7.63</v>
      </c>
      <c r="G1898">
        <v>0.38</v>
      </c>
      <c r="H1898">
        <v>8.01</v>
      </c>
      <c r="I1898" s="29">
        <v>0.9526</v>
      </c>
      <c r="J1898" s="29">
        <v>0.36329999999999996</v>
      </c>
      <c r="K1898" s="9">
        <v>45339</v>
      </c>
      <c r="L1898">
        <f xml:space="preserve"> (交易處理資料__3[[#This Row],[售出工時]] * 60) / 5</f>
        <v>34.92</v>
      </c>
      <c r="M1898" t="str">
        <f>VLOOKUP(交易處理資料__3[[#This Row],[人員代號]],團隊分組!$B$1:$C$52,2,FALSE)</f>
        <v>查修團隊A</v>
      </c>
      <c r="N1898" t="str">
        <f>IF(交易處理資料__3[[#This Row],[上班時間]]=0,"否","是")</f>
        <v>是</v>
      </c>
      <c r="O1898" t="s">
        <v>76</v>
      </c>
      <c r="P1898" s="37">
        <v>0.93569131830000007</v>
      </c>
      <c r="Q1898" s="37">
        <v>0.36329999999999996</v>
      </c>
      <c r="R1898" s="37">
        <v>0.9526</v>
      </c>
    </row>
    <row r="1899" spans="1:18" hidden="1">
      <c r="A1899" t="s">
        <v>76</v>
      </c>
      <c r="B1899" t="s">
        <v>20</v>
      </c>
      <c r="C1899">
        <v>2.4166666669999999</v>
      </c>
      <c r="D1899">
        <v>2.21</v>
      </c>
      <c r="E1899" s="29">
        <v>1.093514329</v>
      </c>
      <c r="F1899">
        <v>1.45</v>
      </c>
      <c r="G1899">
        <v>7.52</v>
      </c>
      <c r="H1899">
        <v>8.9700000000000006</v>
      </c>
      <c r="I1899" s="29">
        <v>0.16159999999999999</v>
      </c>
      <c r="J1899" s="29">
        <v>0.26940000000000003</v>
      </c>
      <c r="K1899" s="9">
        <v>45339</v>
      </c>
      <c r="L1899">
        <f xml:space="preserve"> (交易處理資料__3[[#This Row],[售出工時]] * 60) / 5</f>
        <v>29.000000003999997</v>
      </c>
      <c r="M1899" t="str">
        <f>VLOOKUP(交易處理資料__3[[#This Row],[人員代號]],團隊分組!$B$1:$C$52,2,FALSE)</f>
        <v>查修團隊B</v>
      </c>
      <c r="N1899" t="str">
        <f>IF(交易處理資料__3[[#This Row],[上班時間]]=0,"否","是")</f>
        <v>是</v>
      </c>
      <c r="O1899" t="s">
        <v>76</v>
      </c>
      <c r="P1899" s="38">
        <v>1.093514329</v>
      </c>
      <c r="Q1899" s="38">
        <v>0.26940000000000003</v>
      </c>
      <c r="R1899" s="38">
        <v>0.16159999999999999</v>
      </c>
    </row>
    <row r="1900" spans="1:18" hidden="1">
      <c r="A1900" t="s">
        <v>76</v>
      </c>
      <c r="B1900" t="s">
        <v>21</v>
      </c>
      <c r="C1900">
        <v>3.75</v>
      </c>
      <c r="D1900">
        <v>3.66</v>
      </c>
      <c r="E1900" s="29">
        <v>1.0245901639999999</v>
      </c>
      <c r="F1900">
        <v>5.19</v>
      </c>
      <c r="G1900">
        <v>3.79</v>
      </c>
      <c r="H1900">
        <v>8.98</v>
      </c>
      <c r="I1900" s="29">
        <v>0.57799999999999996</v>
      </c>
      <c r="J1900" s="29">
        <v>0.41759999999999997</v>
      </c>
      <c r="K1900" s="9">
        <v>45339</v>
      </c>
      <c r="L1900">
        <f xml:space="preserve"> (交易處理資料__3[[#This Row],[售出工時]] * 60) / 5</f>
        <v>45</v>
      </c>
      <c r="M1900" t="str">
        <f>VLOOKUP(交易處理資料__3[[#This Row],[人員代號]],團隊分組!$B$1:$C$52,2,FALSE)</f>
        <v>查修團隊B</v>
      </c>
      <c r="N1900" t="str">
        <f>IF(交易處理資料__3[[#This Row],[上班時間]]=0,"否","是")</f>
        <v>是</v>
      </c>
      <c r="O1900" t="s">
        <v>76</v>
      </c>
      <c r="P1900" s="37">
        <v>1.0245901639999999</v>
      </c>
      <c r="Q1900" s="37">
        <v>0.41759999999999997</v>
      </c>
      <c r="R1900" s="37">
        <v>0.57799999999999996</v>
      </c>
    </row>
    <row r="1901" spans="1:18" hidden="1">
      <c r="A1901" t="s">
        <v>76</v>
      </c>
      <c r="B1901" t="s">
        <v>22</v>
      </c>
      <c r="C1901">
        <v>11.24333333</v>
      </c>
      <c r="D1901">
        <v>6.38</v>
      </c>
      <c r="E1901" s="29">
        <v>1.762277952</v>
      </c>
      <c r="F1901">
        <v>6.43</v>
      </c>
      <c r="G1901">
        <v>1.23</v>
      </c>
      <c r="H1901">
        <v>7.66</v>
      </c>
      <c r="I1901" s="29">
        <v>0.83939999999999992</v>
      </c>
      <c r="J1901" s="29">
        <v>1.4678</v>
      </c>
      <c r="K1901" s="9">
        <v>45339</v>
      </c>
      <c r="L1901">
        <f xml:space="preserve"> (交易處理資料__3[[#This Row],[售出工時]] * 60) / 5</f>
        <v>134.91999995999998</v>
      </c>
      <c r="M1901" t="str">
        <f>VLOOKUP(交易處理資料__3[[#This Row],[人員代號]],團隊分組!$B$1:$C$52,2,FALSE)</f>
        <v>快速保養團隊A</v>
      </c>
      <c r="N1901" t="str">
        <f>IF(交易處理資料__3[[#This Row],[上班時間]]=0,"否","是")</f>
        <v>是</v>
      </c>
      <c r="O1901" t="s">
        <v>76</v>
      </c>
      <c r="P1901" s="38">
        <v>1.762277952</v>
      </c>
      <c r="Q1901" s="38">
        <v>1.4678</v>
      </c>
      <c r="R1901" s="38">
        <v>0.83939999999999992</v>
      </c>
    </row>
    <row r="1902" spans="1:18" hidden="1">
      <c r="A1902" t="s">
        <v>76</v>
      </c>
      <c r="B1902" t="s">
        <v>23</v>
      </c>
      <c r="C1902">
        <v>10.48</v>
      </c>
      <c r="D1902">
        <v>5.32</v>
      </c>
      <c r="E1902" s="29">
        <v>1.9699248119999999</v>
      </c>
      <c r="F1902">
        <v>7.28</v>
      </c>
      <c r="G1902">
        <v>0.84</v>
      </c>
      <c r="H1902">
        <v>8.1199999999999992</v>
      </c>
      <c r="I1902" s="29">
        <v>0.89659999999999995</v>
      </c>
      <c r="J1902" s="29">
        <v>1.2906</v>
      </c>
      <c r="K1902" s="9">
        <v>45339</v>
      </c>
      <c r="L1902">
        <f xml:space="preserve"> (交易處理資料__3[[#This Row],[售出工時]] * 60) / 5</f>
        <v>125.76000000000002</v>
      </c>
      <c r="M1902" t="str">
        <f>VLOOKUP(交易處理資料__3[[#This Row],[人員代號]],團隊分組!$B$1:$C$52,2,FALSE)</f>
        <v>快速保養團隊B</v>
      </c>
      <c r="N1902" t="str">
        <f>IF(交易處理資料__3[[#This Row],[上班時間]]=0,"否","是")</f>
        <v>是</v>
      </c>
      <c r="O1902" t="s">
        <v>76</v>
      </c>
      <c r="P1902" s="37">
        <v>1.9699248119999999</v>
      </c>
      <c r="Q1902" s="37">
        <v>1.2906</v>
      </c>
      <c r="R1902" s="37">
        <v>0.89659999999999995</v>
      </c>
    </row>
    <row r="1903" spans="1:18" hidden="1">
      <c r="A1903" t="s">
        <v>76</v>
      </c>
      <c r="B1903" t="s">
        <v>25</v>
      </c>
      <c r="C1903">
        <v>0.5</v>
      </c>
      <c r="D1903">
        <v>0.01</v>
      </c>
      <c r="E1903" s="29">
        <v>50</v>
      </c>
      <c r="F1903">
        <v>7.5</v>
      </c>
      <c r="G1903">
        <v>1.47</v>
      </c>
      <c r="H1903">
        <v>8.9700000000000006</v>
      </c>
      <c r="I1903" s="29">
        <v>0.83609999999999995</v>
      </c>
      <c r="J1903" s="29">
        <v>5.57E-2</v>
      </c>
      <c r="K1903" s="9">
        <v>45339</v>
      </c>
      <c r="L1903">
        <f xml:space="preserve"> (交易處理資料__3[[#This Row],[售出工時]] * 60) / 5</f>
        <v>6</v>
      </c>
      <c r="M1903" t="str">
        <f>VLOOKUP(交易處理資料__3[[#This Row],[人員代號]],團隊分組!$B$1:$C$52,2,FALSE)</f>
        <v>查修團隊A</v>
      </c>
      <c r="N1903" t="str">
        <f>IF(交易處理資料__3[[#This Row],[上班時間]]=0,"否","是")</f>
        <v>是</v>
      </c>
      <c r="O1903" t="s">
        <v>76</v>
      </c>
      <c r="P1903" s="38">
        <v>50</v>
      </c>
      <c r="Q1903" s="38">
        <v>5.57E-2</v>
      </c>
      <c r="R1903" s="38">
        <v>0.83609999999999995</v>
      </c>
    </row>
    <row r="1904" spans="1:18" hidden="1">
      <c r="A1904" t="s">
        <v>76</v>
      </c>
      <c r="B1904" t="s">
        <v>26</v>
      </c>
      <c r="C1904">
        <v>0.5</v>
      </c>
      <c r="D1904">
        <v>0.01</v>
      </c>
      <c r="E1904" s="29">
        <v>50</v>
      </c>
      <c r="F1904">
        <v>0</v>
      </c>
      <c r="G1904">
        <v>8.9700000000000006</v>
      </c>
      <c r="H1904">
        <v>8.9700000000000006</v>
      </c>
      <c r="I1904" s="29">
        <v>0</v>
      </c>
      <c r="J1904" s="29">
        <v>5.57E-2</v>
      </c>
      <c r="K1904" s="9">
        <v>45339</v>
      </c>
      <c r="L1904">
        <f xml:space="preserve"> (交易處理資料__3[[#This Row],[售出工時]] * 60) / 5</f>
        <v>6</v>
      </c>
      <c r="M1904" t="str">
        <f>VLOOKUP(交易處理資料__3[[#This Row],[人員代號]],團隊分組!$B$1:$C$52,2,FALSE)</f>
        <v>查修團隊B</v>
      </c>
      <c r="N1904" t="str">
        <f>IF(交易處理資料__3[[#This Row],[上班時間]]=0,"否","是")</f>
        <v>是</v>
      </c>
      <c r="O1904" t="s">
        <v>76</v>
      </c>
      <c r="P1904" s="37">
        <v>50</v>
      </c>
      <c r="Q1904" s="37">
        <v>5.57E-2</v>
      </c>
      <c r="R1904" s="37">
        <v>0</v>
      </c>
    </row>
    <row r="1905" spans="1:18" hidden="1">
      <c r="A1905" t="s">
        <v>76</v>
      </c>
      <c r="B1905" t="s">
        <v>27</v>
      </c>
      <c r="C1905">
        <v>11.78333333</v>
      </c>
      <c r="D1905">
        <v>7.5</v>
      </c>
      <c r="E1905" s="29">
        <v>1.5711111109999998</v>
      </c>
      <c r="F1905">
        <v>6.77</v>
      </c>
      <c r="G1905">
        <v>1.35</v>
      </c>
      <c r="H1905">
        <v>8.1199999999999992</v>
      </c>
      <c r="I1905" s="29">
        <v>0.8337</v>
      </c>
      <c r="J1905" s="29">
        <v>1.4511000000000001</v>
      </c>
      <c r="K1905" s="9">
        <v>45339</v>
      </c>
      <c r="L1905">
        <f xml:space="preserve"> (交易處理資料__3[[#This Row],[售出工時]] * 60) / 5</f>
        <v>141.39999996</v>
      </c>
      <c r="M1905" t="str">
        <f>VLOOKUP(交易處理資料__3[[#This Row],[人員代號]],團隊分組!$B$1:$C$52,2,FALSE)</f>
        <v>快速保養團隊B</v>
      </c>
      <c r="N1905" t="str">
        <f>IF(交易處理資料__3[[#This Row],[上班時間]]=0,"否","是")</f>
        <v>是</v>
      </c>
      <c r="O1905" t="s">
        <v>76</v>
      </c>
      <c r="P1905" s="38">
        <v>1.5711111109999998</v>
      </c>
      <c r="Q1905" s="38">
        <v>1.4511000000000001</v>
      </c>
      <c r="R1905" s="38">
        <v>0.8337</v>
      </c>
    </row>
    <row r="1906" spans="1:18" hidden="1">
      <c r="A1906" t="s">
        <v>76</v>
      </c>
      <c r="B1906" t="s">
        <v>28</v>
      </c>
      <c r="C1906">
        <v>4.8333333329999997</v>
      </c>
      <c r="D1906">
        <v>4.7699999999999996</v>
      </c>
      <c r="E1906" s="29">
        <v>1.0132774279999999</v>
      </c>
      <c r="F1906">
        <v>7.42</v>
      </c>
      <c r="G1906">
        <v>0.62</v>
      </c>
      <c r="H1906">
        <v>8.0399999999999991</v>
      </c>
      <c r="I1906" s="29">
        <v>0.92290000000000005</v>
      </c>
      <c r="J1906" s="29">
        <v>0.60119999999999996</v>
      </c>
      <c r="K1906" s="9">
        <v>45339</v>
      </c>
      <c r="L1906">
        <f xml:space="preserve"> (交易處理資料__3[[#This Row],[售出工時]] * 60) / 5</f>
        <v>57.999999996</v>
      </c>
      <c r="M1906" t="str">
        <f>VLOOKUP(交易處理資料__3[[#This Row],[人員代號]],團隊分組!$B$1:$C$52,2,FALSE)</f>
        <v>快速保養團隊A</v>
      </c>
      <c r="N1906" t="str">
        <f>IF(交易處理資料__3[[#This Row],[上班時間]]=0,"否","是")</f>
        <v>是</v>
      </c>
      <c r="O1906" t="s">
        <v>76</v>
      </c>
      <c r="P1906" s="37">
        <v>1.0132774279999999</v>
      </c>
      <c r="Q1906" s="37">
        <v>0.60119999999999996</v>
      </c>
      <c r="R1906" s="37">
        <v>0.92290000000000005</v>
      </c>
    </row>
    <row r="1907" spans="1:18" hidden="1">
      <c r="A1907" t="s">
        <v>76</v>
      </c>
      <c r="B1907" t="s">
        <v>29</v>
      </c>
      <c r="C1907">
        <v>2</v>
      </c>
      <c r="D1907">
        <v>1.29</v>
      </c>
      <c r="E1907" s="29">
        <v>1.5503875970000001</v>
      </c>
      <c r="F1907">
        <v>6.34</v>
      </c>
      <c r="G1907">
        <v>2.6</v>
      </c>
      <c r="H1907">
        <v>8.94</v>
      </c>
      <c r="I1907" s="29">
        <v>0.70920000000000005</v>
      </c>
      <c r="J1907" s="29">
        <v>0.22370000000000001</v>
      </c>
      <c r="K1907" s="9">
        <v>45339</v>
      </c>
      <c r="L1907">
        <f xml:space="preserve"> (交易處理資料__3[[#This Row],[售出工時]] * 60) / 5</f>
        <v>24</v>
      </c>
      <c r="M1907" t="str">
        <f>VLOOKUP(交易處理資料__3[[#This Row],[人員代號]],團隊分組!$B$1:$C$52,2,FALSE)</f>
        <v>查修團隊B</v>
      </c>
      <c r="N1907" t="str">
        <f>IF(交易處理資料__3[[#This Row],[上班時間]]=0,"否","是")</f>
        <v>是</v>
      </c>
      <c r="O1907" t="s">
        <v>76</v>
      </c>
      <c r="P1907" s="38">
        <v>1.5503875970000001</v>
      </c>
      <c r="Q1907" s="38">
        <v>0.22370000000000001</v>
      </c>
      <c r="R1907" s="38">
        <v>0.70920000000000005</v>
      </c>
    </row>
    <row r="1908" spans="1:18" hidden="1">
      <c r="A1908" t="s">
        <v>76</v>
      </c>
      <c r="B1908" t="s">
        <v>30</v>
      </c>
      <c r="C1908">
        <v>0</v>
      </c>
      <c r="D1908">
        <v>0</v>
      </c>
      <c r="E1908" s="29">
        <v>0</v>
      </c>
      <c r="F1908">
        <v>0</v>
      </c>
      <c r="G1908">
        <v>0</v>
      </c>
      <c r="H1908">
        <v>0</v>
      </c>
      <c r="I1908" s="29">
        <v>0</v>
      </c>
      <c r="J1908" s="29">
        <v>0</v>
      </c>
      <c r="K1908" s="9">
        <v>45339</v>
      </c>
      <c r="L1908">
        <f xml:space="preserve"> (交易處理資料__3[[#This Row],[售出工時]] * 60) / 5</f>
        <v>0</v>
      </c>
      <c r="M1908" t="str">
        <f>VLOOKUP(交易處理資料__3[[#This Row],[人員代號]],團隊分組!$B$1:$C$52,2,FALSE)</f>
        <v>快速保養團隊B</v>
      </c>
      <c r="N1908" t="str">
        <f>IF(交易處理資料__3[[#This Row],[上班時間]]=0,"否","是")</f>
        <v>否</v>
      </c>
      <c r="O1908" t="s">
        <v>76</v>
      </c>
      <c r="P1908" s="37">
        <v>0</v>
      </c>
      <c r="Q1908" s="37">
        <v>0</v>
      </c>
      <c r="R1908" s="37">
        <v>0</v>
      </c>
    </row>
    <row r="1909" spans="1:18" hidden="1">
      <c r="A1909" t="s">
        <v>76</v>
      </c>
      <c r="B1909" t="s">
        <v>32</v>
      </c>
      <c r="C1909">
        <v>11.926666669999999</v>
      </c>
      <c r="D1909">
        <v>5.63</v>
      </c>
      <c r="E1909" s="29">
        <v>2.1184132619999998</v>
      </c>
      <c r="F1909">
        <v>5.72</v>
      </c>
      <c r="G1909">
        <v>2.21</v>
      </c>
      <c r="H1909">
        <v>7.93</v>
      </c>
      <c r="I1909" s="29">
        <v>0.72129999999999994</v>
      </c>
      <c r="J1909" s="29">
        <v>1.504</v>
      </c>
      <c r="K1909" s="9">
        <v>45339</v>
      </c>
      <c r="L1909">
        <f xml:space="preserve"> (交易處理資料__3[[#This Row],[售出工時]] * 60) / 5</f>
        <v>143.12000003999998</v>
      </c>
      <c r="M1909" t="str">
        <f>VLOOKUP(交易處理資料__3[[#This Row],[人員代號]],團隊分組!$B$1:$C$52,2,FALSE)</f>
        <v>快速保養團隊B</v>
      </c>
      <c r="N1909" t="str">
        <f>IF(交易處理資料__3[[#This Row],[上班時間]]=0,"否","是")</f>
        <v>是</v>
      </c>
      <c r="O1909" t="s">
        <v>76</v>
      </c>
      <c r="P1909" s="38">
        <v>2.1184132619999998</v>
      </c>
      <c r="Q1909" s="38">
        <v>1.504</v>
      </c>
      <c r="R1909" s="38">
        <v>0.72129999999999994</v>
      </c>
    </row>
    <row r="1910" spans="1:18" hidden="1">
      <c r="A1910" t="s">
        <v>76</v>
      </c>
      <c r="B1910" t="s">
        <v>33</v>
      </c>
      <c r="C1910">
        <v>0</v>
      </c>
      <c r="D1910">
        <v>0</v>
      </c>
      <c r="E1910" s="29">
        <v>0</v>
      </c>
      <c r="F1910">
        <v>0</v>
      </c>
      <c r="G1910">
        <v>0</v>
      </c>
      <c r="H1910">
        <v>0</v>
      </c>
      <c r="I1910" s="29">
        <v>0</v>
      </c>
      <c r="J1910" s="29">
        <v>0</v>
      </c>
      <c r="K1910" s="9">
        <v>45339</v>
      </c>
      <c r="L1910">
        <f xml:space="preserve"> (交易處理資料__3[[#This Row],[售出工時]] * 60) / 5</f>
        <v>0</v>
      </c>
      <c r="M1910" t="str">
        <f>VLOOKUP(交易處理資料__3[[#This Row],[人員代號]],團隊分組!$B$1:$C$52,2,FALSE)</f>
        <v>快速保養團隊B</v>
      </c>
      <c r="N1910" t="str">
        <f>IF(交易處理資料__3[[#This Row],[上班時間]]=0,"否","是")</f>
        <v>否</v>
      </c>
      <c r="O1910" t="s">
        <v>76</v>
      </c>
      <c r="P1910" s="37">
        <v>0</v>
      </c>
      <c r="Q1910" s="37">
        <v>0</v>
      </c>
      <c r="R1910" s="37">
        <v>0</v>
      </c>
    </row>
    <row r="1911" spans="1:18" hidden="1">
      <c r="A1911" t="s">
        <v>76</v>
      </c>
      <c r="B1911" t="s">
        <v>34</v>
      </c>
      <c r="C1911">
        <v>12.096666669999999</v>
      </c>
      <c r="D1911">
        <v>8.0299999999999994</v>
      </c>
      <c r="E1911" s="29">
        <v>1.5064342049999999</v>
      </c>
      <c r="F1911">
        <v>6.52</v>
      </c>
      <c r="G1911">
        <v>1.51</v>
      </c>
      <c r="H1911">
        <v>8.0299999999999994</v>
      </c>
      <c r="I1911" s="29">
        <v>0.81200000000000006</v>
      </c>
      <c r="J1911" s="29">
        <v>1.5064</v>
      </c>
      <c r="K1911" s="9">
        <v>45339</v>
      </c>
      <c r="L1911">
        <f xml:space="preserve"> (交易處理資料__3[[#This Row],[售出工時]] * 60) / 5</f>
        <v>145.16000004</v>
      </c>
      <c r="M1911" t="str">
        <f>VLOOKUP(交易處理資料__3[[#This Row],[人員代號]],團隊分組!$B$1:$C$52,2,FALSE)</f>
        <v>快速保養團隊A</v>
      </c>
      <c r="N1911" t="str">
        <f>IF(交易處理資料__3[[#This Row],[上班時間]]=0,"否","是")</f>
        <v>是</v>
      </c>
      <c r="O1911" t="s">
        <v>76</v>
      </c>
      <c r="P1911" s="38">
        <v>1.5064342049999999</v>
      </c>
      <c r="Q1911" s="38">
        <v>1.5064</v>
      </c>
      <c r="R1911" s="38">
        <v>0.81200000000000006</v>
      </c>
    </row>
    <row r="1912" spans="1:18" hidden="1">
      <c r="A1912" t="s">
        <v>76</v>
      </c>
      <c r="B1912" t="s">
        <v>35</v>
      </c>
      <c r="C1912">
        <v>2.06</v>
      </c>
      <c r="D1912">
        <v>1.89</v>
      </c>
      <c r="E1912" s="29">
        <v>1.0899470899999999</v>
      </c>
      <c r="F1912">
        <v>8.4700000000000006</v>
      </c>
      <c r="G1912">
        <v>0.51</v>
      </c>
      <c r="H1912">
        <v>8.98</v>
      </c>
      <c r="I1912" s="29">
        <v>0.94319999999999993</v>
      </c>
      <c r="J1912" s="29">
        <v>0.22940000000000002</v>
      </c>
      <c r="K1912" s="9">
        <v>45339</v>
      </c>
      <c r="L1912">
        <f xml:space="preserve"> (交易處理資料__3[[#This Row],[售出工時]] * 60) / 5</f>
        <v>24.720000000000002</v>
      </c>
      <c r="M1912" t="str">
        <f>VLOOKUP(交易處理資料__3[[#This Row],[人員代號]],團隊分組!$B$1:$C$52,2,FALSE)</f>
        <v>查修團隊B</v>
      </c>
      <c r="N1912" t="str">
        <f>IF(交易處理資料__3[[#This Row],[上班時間]]=0,"否","是")</f>
        <v>是</v>
      </c>
      <c r="O1912" t="s">
        <v>76</v>
      </c>
      <c r="P1912" s="37">
        <v>1.0899470899999999</v>
      </c>
      <c r="Q1912" s="37">
        <v>0.22940000000000002</v>
      </c>
      <c r="R1912" s="37">
        <v>0.94319999999999993</v>
      </c>
    </row>
    <row r="1913" spans="1:18" hidden="1">
      <c r="A1913" t="s">
        <v>76</v>
      </c>
      <c r="B1913" t="s">
        <v>36</v>
      </c>
      <c r="C1913">
        <v>3.06</v>
      </c>
      <c r="D1913">
        <v>2.0299999999999998</v>
      </c>
      <c r="E1913" s="29">
        <v>1.507389163</v>
      </c>
      <c r="F1913">
        <v>1.57</v>
      </c>
      <c r="G1913">
        <v>7.38</v>
      </c>
      <c r="H1913">
        <v>8.9499999999999993</v>
      </c>
      <c r="I1913" s="29">
        <v>0.1754</v>
      </c>
      <c r="J1913" s="29">
        <v>0.34189999999999998</v>
      </c>
      <c r="K1913" s="9">
        <v>45339</v>
      </c>
      <c r="L1913">
        <f xml:space="preserve"> (交易處理資料__3[[#This Row],[售出工時]] * 60) / 5</f>
        <v>36.72</v>
      </c>
      <c r="M1913" t="str">
        <f>VLOOKUP(交易處理資料__3[[#This Row],[人員代號]],團隊分組!$B$1:$C$52,2,FALSE)</f>
        <v>查修團隊B</v>
      </c>
      <c r="N1913" t="str">
        <f>IF(交易處理資料__3[[#This Row],[上班時間]]=0,"否","是")</f>
        <v>是</v>
      </c>
      <c r="O1913" t="s">
        <v>76</v>
      </c>
      <c r="P1913" s="38">
        <v>1.507389163</v>
      </c>
      <c r="Q1913" s="38">
        <v>0.34189999999999998</v>
      </c>
      <c r="R1913" s="38">
        <v>0.1754</v>
      </c>
    </row>
    <row r="1914" spans="1:18" hidden="1">
      <c r="A1914" t="s">
        <v>76</v>
      </c>
      <c r="B1914" t="s">
        <v>37</v>
      </c>
      <c r="C1914">
        <v>3</v>
      </c>
      <c r="D1914">
        <v>1.31</v>
      </c>
      <c r="E1914" s="29">
        <v>2.2900763359999998</v>
      </c>
      <c r="F1914">
        <v>5</v>
      </c>
      <c r="G1914">
        <v>2.98</v>
      </c>
      <c r="H1914">
        <v>7.98</v>
      </c>
      <c r="I1914" s="29">
        <v>0.62659999999999993</v>
      </c>
      <c r="J1914" s="29">
        <v>0.37590000000000001</v>
      </c>
      <c r="K1914" s="9">
        <v>45339</v>
      </c>
      <c r="L1914">
        <f xml:space="preserve"> (交易處理資料__3[[#This Row],[售出工時]] * 60) / 5</f>
        <v>36</v>
      </c>
      <c r="M1914" t="str">
        <f>VLOOKUP(交易處理資料__3[[#This Row],[人員代號]],團隊分組!$B$1:$C$52,2,FALSE)</f>
        <v>查修團隊A</v>
      </c>
      <c r="N1914" t="str">
        <f>IF(交易處理資料__3[[#This Row],[上班時間]]=0,"否","是")</f>
        <v>是</v>
      </c>
      <c r="O1914" t="s">
        <v>76</v>
      </c>
      <c r="P1914" s="37">
        <v>2.2900763359999998</v>
      </c>
      <c r="Q1914" s="37">
        <v>0.37590000000000001</v>
      </c>
      <c r="R1914" s="37">
        <v>0.62659999999999993</v>
      </c>
    </row>
    <row r="1915" spans="1:18" hidden="1">
      <c r="A1915" t="s">
        <v>76</v>
      </c>
      <c r="B1915" t="s">
        <v>38</v>
      </c>
      <c r="C1915">
        <v>17.666666670000001</v>
      </c>
      <c r="D1915">
        <v>6.8</v>
      </c>
      <c r="E1915" s="29">
        <v>2.5980392160000001</v>
      </c>
      <c r="F1915">
        <v>6.73</v>
      </c>
      <c r="G1915">
        <v>0.96</v>
      </c>
      <c r="H1915">
        <v>7.69</v>
      </c>
      <c r="I1915" s="29">
        <v>0.87519999999999998</v>
      </c>
      <c r="J1915" s="29">
        <v>2.2974000000000001</v>
      </c>
      <c r="K1915" s="9">
        <v>45339</v>
      </c>
      <c r="L1915">
        <f xml:space="preserve"> (交易處理資料__3[[#This Row],[售出工時]] * 60) / 5</f>
        <v>212.00000004000003</v>
      </c>
      <c r="M1915" t="str">
        <f>VLOOKUP(交易處理資料__3[[#This Row],[人員代號]],團隊分組!$B$1:$C$52,2,FALSE)</f>
        <v>快速保養團隊A</v>
      </c>
      <c r="N1915" t="str">
        <f>IF(交易處理資料__3[[#This Row],[上班時間]]=0,"否","是")</f>
        <v>是</v>
      </c>
      <c r="O1915" t="s">
        <v>76</v>
      </c>
      <c r="P1915" s="38">
        <v>2.5980392160000001</v>
      </c>
      <c r="Q1915" s="38">
        <v>2.2974000000000001</v>
      </c>
      <c r="R1915" s="38">
        <v>0.87519999999999998</v>
      </c>
    </row>
    <row r="1916" spans="1:18" hidden="1">
      <c r="A1916" t="s">
        <v>76</v>
      </c>
      <c r="B1916" t="s">
        <v>39</v>
      </c>
      <c r="C1916">
        <v>3.6666666669999999</v>
      </c>
      <c r="D1916">
        <v>1.27</v>
      </c>
      <c r="E1916" s="29">
        <v>2.887139108</v>
      </c>
      <c r="F1916">
        <v>5.84</v>
      </c>
      <c r="G1916">
        <v>2.5099999999999998</v>
      </c>
      <c r="H1916">
        <v>8.35</v>
      </c>
      <c r="I1916" s="29">
        <v>0.69940000000000002</v>
      </c>
      <c r="J1916" s="29">
        <v>0.43909999999999999</v>
      </c>
      <c r="K1916" s="9">
        <v>45339</v>
      </c>
      <c r="L1916">
        <f xml:space="preserve"> (交易處理資料__3[[#This Row],[售出工時]] * 60) / 5</f>
        <v>44.000000004</v>
      </c>
      <c r="M1916" t="str">
        <f>VLOOKUP(交易處理資料__3[[#This Row],[人員代號]],團隊分組!$B$1:$C$52,2,FALSE)</f>
        <v>查修團隊A</v>
      </c>
      <c r="N1916" t="str">
        <f>IF(交易處理資料__3[[#This Row],[上班時間]]=0,"否","是")</f>
        <v>是</v>
      </c>
      <c r="O1916" t="s">
        <v>76</v>
      </c>
      <c r="P1916" s="37">
        <v>2.887139108</v>
      </c>
      <c r="Q1916" s="37">
        <v>0.43909999999999999</v>
      </c>
      <c r="R1916" s="37">
        <v>0.69940000000000002</v>
      </c>
    </row>
    <row r="1917" spans="1:18" hidden="1">
      <c r="A1917" t="s">
        <v>76</v>
      </c>
      <c r="B1917" t="s">
        <v>40</v>
      </c>
      <c r="C1917">
        <v>0.83333333300000001</v>
      </c>
      <c r="D1917">
        <v>0.56999999999999995</v>
      </c>
      <c r="E1917" s="29">
        <v>1.4619883039999999</v>
      </c>
      <c r="F1917">
        <v>8.27</v>
      </c>
      <c r="G1917">
        <v>0.21</v>
      </c>
      <c r="H1917">
        <v>8.48</v>
      </c>
      <c r="I1917" s="29">
        <v>0.97519999999999996</v>
      </c>
      <c r="J1917" s="29">
        <v>9.8299999999999998E-2</v>
      </c>
      <c r="K1917" s="9">
        <v>45339</v>
      </c>
      <c r="L1917">
        <f xml:space="preserve"> (交易處理資料__3[[#This Row],[售出工時]] * 60) / 5</f>
        <v>9.9999999959999997</v>
      </c>
      <c r="M1917" t="str">
        <f>VLOOKUP(交易處理資料__3[[#This Row],[人員代號]],團隊分組!$B$1:$C$52,2,FALSE)</f>
        <v>查修團隊A</v>
      </c>
      <c r="N1917" t="str">
        <f>IF(交易處理資料__3[[#This Row],[上班時間]]=0,"否","是")</f>
        <v>是</v>
      </c>
      <c r="O1917" t="s">
        <v>76</v>
      </c>
      <c r="P1917" s="38">
        <v>1.4619883039999999</v>
      </c>
      <c r="Q1917" s="38">
        <v>9.8299999999999998E-2</v>
      </c>
      <c r="R1917" s="38">
        <v>0.97519999999999996</v>
      </c>
    </row>
    <row r="1918" spans="1:18" hidden="1">
      <c r="A1918" t="s">
        <v>76</v>
      </c>
      <c r="B1918" t="s">
        <v>41</v>
      </c>
      <c r="C1918">
        <v>13.91666667</v>
      </c>
      <c r="D1918">
        <v>6.09</v>
      </c>
      <c r="E1918" s="29">
        <v>2.2851669399999999</v>
      </c>
      <c r="F1918">
        <v>7.62</v>
      </c>
      <c r="G1918">
        <v>0.75</v>
      </c>
      <c r="H1918">
        <v>8.3699999999999992</v>
      </c>
      <c r="I1918" s="29">
        <v>0.9104000000000001</v>
      </c>
      <c r="J1918" s="29">
        <v>1.6627000000000001</v>
      </c>
      <c r="K1918" s="9">
        <v>45339</v>
      </c>
      <c r="L1918">
        <f xml:space="preserve"> (交易處理資料__3[[#This Row],[售出工時]] * 60) / 5</f>
        <v>167.00000003999997</v>
      </c>
      <c r="M1918" t="str">
        <f>VLOOKUP(交易處理資料__3[[#This Row],[人員代號]],團隊分組!$B$1:$C$52,2,FALSE)</f>
        <v>快速保養團隊A</v>
      </c>
      <c r="N1918" t="str">
        <f>IF(交易處理資料__3[[#This Row],[上班時間]]=0,"否","是")</f>
        <v>是</v>
      </c>
      <c r="O1918" t="s">
        <v>76</v>
      </c>
      <c r="P1918" s="37">
        <v>2.2851669399999999</v>
      </c>
      <c r="Q1918" s="37">
        <v>1.6627000000000001</v>
      </c>
      <c r="R1918" s="37">
        <v>0.9104000000000001</v>
      </c>
    </row>
    <row r="1919" spans="1:18" hidden="1">
      <c r="A1919" t="s">
        <v>76</v>
      </c>
      <c r="B1919" t="s">
        <v>42</v>
      </c>
      <c r="C1919">
        <v>8.4233333330000004</v>
      </c>
      <c r="D1919">
        <v>4.8600000000000003</v>
      </c>
      <c r="E1919" s="29">
        <v>1.733196159</v>
      </c>
      <c r="F1919">
        <v>4.8600000000000003</v>
      </c>
      <c r="G1919">
        <v>2.72</v>
      </c>
      <c r="H1919">
        <v>7.58</v>
      </c>
      <c r="I1919" s="29">
        <v>0.64119999999999999</v>
      </c>
      <c r="J1919" s="29">
        <v>1.1113</v>
      </c>
      <c r="K1919" s="9">
        <v>45339</v>
      </c>
      <c r="L1919">
        <f xml:space="preserve"> (交易處理資料__3[[#This Row],[售出工時]] * 60) / 5</f>
        <v>101.079999996</v>
      </c>
      <c r="M1919" t="str">
        <f>VLOOKUP(交易處理資料__3[[#This Row],[人員代號]],團隊分組!$B$1:$C$52,2,FALSE)</f>
        <v>快速保養團隊A</v>
      </c>
      <c r="N1919" t="str">
        <f>IF(交易處理資料__3[[#This Row],[上班時間]]=0,"否","是")</f>
        <v>是</v>
      </c>
      <c r="O1919" t="s">
        <v>76</v>
      </c>
      <c r="P1919" s="38">
        <v>1.733196159</v>
      </c>
      <c r="Q1919" s="38">
        <v>1.1113</v>
      </c>
      <c r="R1919" s="38">
        <v>0.64119999999999999</v>
      </c>
    </row>
    <row r="1920" spans="1:18" hidden="1">
      <c r="A1920" t="s">
        <v>76</v>
      </c>
      <c r="B1920" t="s">
        <v>43</v>
      </c>
      <c r="C1920">
        <v>1.37</v>
      </c>
      <c r="D1920">
        <v>0.98</v>
      </c>
      <c r="E1920" s="29">
        <v>1.3979591840000001</v>
      </c>
      <c r="F1920">
        <v>3.82</v>
      </c>
      <c r="G1920">
        <v>5.16</v>
      </c>
      <c r="H1920">
        <v>8.98</v>
      </c>
      <c r="I1920" s="29">
        <v>0.4254</v>
      </c>
      <c r="J1920" s="29">
        <v>0.15259999999999999</v>
      </c>
      <c r="K1920" s="9">
        <v>45339</v>
      </c>
      <c r="L1920">
        <f xml:space="preserve"> (交易處理資料__3[[#This Row],[售出工時]] * 60) / 5</f>
        <v>16.440000000000001</v>
      </c>
      <c r="M1920" t="str">
        <f>VLOOKUP(交易處理資料__3[[#This Row],[人員代號]],團隊分組!$B$1:$C$52,2,FALSE)</f>
        <v>查修團隊B</v>
      </c>
      <c r="N1920" t="str">
        <f>IF(交易處理資料__3[[#This Row],[上班時間]]=0,"否","是")</f>
        <v>是</v>
      </c>
      <c r="O1920" t="s">
        <v>76</v>
      </c>
      <c r="P1920" s="37">
        <v>1.3979591840000001</v>
      </c>
      <c r="Q1920" s="37">
        <v>0.15259999999999999</v>
      </c>
      <c r="R1920" s="37">
        <v>0.4254</v>
      </c>
    </row>
    <row r="1921" spans="1:18" hidden="1">
      <c r="A1921" t="s">
        <v>76</v>
      </c>
      <c r="B1921" t="s">
        <v>44</v>
      </c>
      <c r="C1921">
        <v>5.96</v>
      </c>
      <c r="D1921">
        <v>6.98</v>
      </c>
      <c r="E1921" s="29">
        <v>0.85386819479999998</v>
      </c>
      <c r="F1921">
        <v>7.51</v>
      </c>
      <c r="G1921">
        <v>1.48</v>
      </c>
      <c r="H1921">
        <v>8.99</v>
      </c>
      <c r="I1921" s="29">
        <v>0.83540000000000003</v>
      </c>
      <c r="J1921" s="29">
        <v>0.66299999999999992</v>
      </c>
      <c r="K1921" s="9">
        <v>45339</v>
      </c>
      <c r="L1921">
        <f xml:space="preserve"> (交易處理資料__3[[#This Row],[售出工時]] * 60) / 5</f>
        <v>71.52000000000001</v>
      </c>
      <c r="M1921" t="str">
        <f>VLOOKUP(交易處理資料__3[[#This Row],[人員代號]],團隊分組!$B$1:$C$52,2,FALSE)</f>
        <v>快速保養團隊B</v>
      </c>
      <c r="N1921" t="str">
        <f>IF(交易處理資料__3[[#This Row],[上班時間]]=0,"否","是")</f>
        <v>是</v>
      </c>
      <c r="O1921" t="s">
        <v>76</v>
      </c>
      <c r="P1921" s="38">
        <v>0.85386819479999998</v>
      </c>
      <c r="Q1921" s="38">
        <v>0.66299999999999992</v>
      </c>
      <c r="R1921" s="38">
        <v>0.83540000000000003</v>
      </c>
    </row>
    <row r="1922" spans="1:18" hidden="1">
      <c r="A1922" t="s">
        <v>76</v>
      </c>
      <c r="B1922" t="s">
        <v>45</v>
      </c>
      <c r="C1922">
        <v>12.98666667</v>
      </c>
      <c r="D1922">
        <v>7.45</v>
      </c>
      <c r="E1922" s="29">
        <v>1.7431767339999999</v>
      </c>
      <c r="F1922">
        <v>6.37</v>
      </c>
      <c r="G1922">
        <v>1.66</v>
      </c>
      <c r="H1922">
        <v>8.0299999999999994</v>
      </c>
      <c r="I1922" s="29">
        <v>0.79330000000000001</v>
      </c>
      <c r="J1922" s="29">
        <v>1.6173</v>
      </c>
      <c r="K1922" s="9">
        <v>45339</v>
      </c>
      <c r="L1922">
        <f xml:space="preserve"> (交易處理資料__3[[#This Row],[售出工時]] * 60) / 5</f>
        <v>155.84000004000001</v>
      </c>
      <c r="M1922" t="str">
        <f>VLOOKUP(交易處理資料__3[[#This Row],[人員代號]],團隊分組!$B$1:$C$52,2,FALSE)</f>
        <v>快速保養團隊A</v>
      </c>
      <c r="N1922" t="str">
        <f>IF(交易處理資料__3[[#This Row],[上班時間]]=0,"否","是")</f>
        <v>是</v>
      </c>
      <c r="O1922" t="s">
        <v>76</v>
      </c>
      <c r="P1922" s="37">
        <v>1.7431767339999999</v>
      </c>
      <c r="Q1922" s="37">
        <v>1.6173</v>
      </c>
      <c r="R1922" s="37">
        <v>0.79330000000000001</v>
      </c>
    </row>
    <row r="1923" spans="1:18" hidden="1">
      <c r="A1923" t="s">
        <v>76</v>
      </c>
      <c r="B1923" t="s">
        <v>46</v>
      </c>
      <c r="C1923">
        <v>3.8333333330000001</v>
      </c>
      <c r="D1923">
        <v>5.73</v>
      </c>
      <c r="E1923" s="29">
        <v>0.66899360090000004</v>
      </c>
      <c r="F1923">
        <v>7.2</v>
      </c>
      <c r="G1923">
        <v>2.5499999999999998</v>
      </c>
      <c r="H1923">
        <v>9.75</v>
      </c>
      <c r="I1923" s="29">
        <v>0.73849999999999993</v>
      </c>
      <c r="J1923" s="29">
        <v>0.39319999999999999</v>
      </c>
      <c r="K1923" s="9">
        <v>45339</v>
      </c>
      <c r="L1923">
        <f xml:space="preserve"> (交易處理資料__3[[#This Row],[售出工時]] * 60) / 5</f>
        <v>45.999999996</v>
      </c>
      <c r="M1923" t="str">
        <f>VLOOKUP(交易處理資料__3[[#This Row],[人員代號]],團隊分組!$B$1:$C$52,2,FALSE)</f>
        <v>查修團隊B</v>
      </c>
      <c r="N1923" t="str">
        <f>IF(交易處理資料__3[[#This Row],[上班時間]]=0,"否","是")</f>
        <v>是</v>
      </c>
      <c r="O1923" t="s">
        <v>76</v>
      </c>
      <c r="P1923" s="38">
        <v>0.66899360090000004</v>
      </c>
      <c r="Q1923" s="38">
        <v>0.39319999999999999</v>
      </c>
      <c r="R1923" s="38">
        <v>0.73849999999999993</v>
      </c>
    </row>
    <row r="1924" spans="1:18" hidden="1">
      <c r="A1924" t="s">
        <v>76</v>
      </c>
      <c r="B1924" t="s">
        <v>47</v>
      </c>
      <c r="C1924">
        <v>5.75</v>
      </c>
      <c r="D1924">
        <v>7.23</v>
      </c>
      <c r="E1924" s="29">
        <v>0.79529737209999996</v>
      </c>
      <c r="F1924">
        <v>5.95</v>
      </c>
      <c r="G1924">
        <v>3</v>
      </c>
      <c r="H1924">
        <v>8.9499999999999993</v>
      </c>
      <c r="I1924" s="29">
        <v>0.66480000000000006</v>
      </c>
      <c r="J1924" s="29">
        <v>0.64249999999999996</v>
      </c>
      <c r="K1924" s="9">
        <v>45339</v>
      </c>
      <c r="L1924">
        <f xml:space="preserve"> (交易處理資料__3[[#This Row],[售出工時]] * 60) / 5</f>
        <v>69</v>
      </c>
      <c r="M1924" t="str">
        <f>VLOOKUP(交易處理資料__3[[#This Row],[人員代號]],團隊分組!$B$1:$C$52,2,FALSE)</f>
        <v>查修團隊B</v>
      </c>
      <c r="N1924" t="str">
        <f>IF(交易處理資料__3[[#This Row],[上班時間]]=0,"否","是")</f>
        <v>是</v>
      </c>
      <c r="O1924" t="s">
        <v>76</v>
      </c>
      <c r="P1924" s="37">
        <v>0.79529737209999996</v>
      </c>
      <c r="Q1924" s="37">
        <v>0.64249999999999996</v>
      </c>
      <c r="R1924" s="37">
        <v>0.66480000000000006</v>
      </c>
    </row>
    <row r="1925" spans="1:18" hidden="1">
      <c r="A1925" t="s">
        <v>76</v>
      </c>
      <c r="B1925" t="s">
        <v>48</v>
      </c>
      <c r="C1925">
        <v>0.5</v>
      </c>
      <c r="D1925">
        <v>0.01</v>
      </c>
      <c r="E1925" s="29">
        <v>50</v>
      </c>
      <c r="F1925">
        <v>6.17</v>
      </c>
      <c r="G1925">
        <v>1.89</v>
      </c>
      <c r="H1925">
        <v>8.06</v>
      </c>
      <c r="I1925" s="29">
        <v>0.76549999999999996</v>
      </c>
      <c r="J1925" s="29">
        <v>6.2E-2</v>
      </c>
      <c r="K1925" s="9">
        <v>45339</v>
      </c>
      <c r="L1925">
        <f xml:space="preserve"> (交易處理資料__3[[#This Row],[售出工時]] * 60) / 5</f>
        <v>6</v>
      </c>
      <c r="M1925" t="str">
        <f>VLOOKUP(交易處理資料__3[[#This Row],[人員代號]],團隊分組!$B$1:$C$52,2,FALSE)</f>
        <v>查修團隊A</v>
      </c>
      <c r="N1925" t="str">
        <f>IF(交易處理資料__3[[#This Row],[上班時間]]=0,"否","是")</f>
        <v>是</v>
      </c>
      <c r="O1925" t="s">
        <v>76</v>
      </c>
      <c r="P1925" s="38">
        <v>50</v>
      </c>
      <c r="Q1925" s="38">
        <v>6.2E-2</v>
      </c>
      <c r="R1925" s="38">
        <v>0.76549999999999996</v>
      </c>
    </row>
    <row r="1926" spans="1:18" hidden="1">
      <c r="A1926" t="s">
        <v>76</v>
      </c>
      <c r="B1926" t="s">
        <v>49</v>
      </c>
      <c r="C1926">
        <v>3.42</v>
      </c>
      <c r="D1926">
        <v>3.12</v>
      </c>
      <c r="E1926" s="29">
        <v>1.096153846</v>
      </c>
      <c r="F1926">
        <v>7.62</v>
      </c>
      <c r="G1926">
        <v>0.39</v>
      </c>
      <c r="H1926">
        <v>8.01</v>
      </c>
      <c r="I1926" s="29">
        <v>0.95129999999999992</v>
      </c>
      <c r="J1926" s="29">
        <v>0.42700000000000005</v>
      </c>
      <c r="K1926" s="9">
        <v>45339</v>
      </c>
      <c r="L1926">
        <f xml:space="preserve"> (交易處理資料__3[[#This Row],[售出工時]] * 60) / 5</f>
        <v>41.04</v>
      </c>
      <c r="M1926" t="str">
        <f>VLOOKUP(交易處理資料__3[[#This Row],[人員代號]],團隊分組!$B$1:$C$52,2,FALSE)</f>
        <v>查修團隊A</v>
      </c>
      <c r="N1926" t="str">
        <f>IF(交易處理資料__3[[#This Row],[上班時間]]=0,"否","是")</f>
        <v>是</v>
      </c>
      <c r="O1926" t="s">
        <v>76</v>
      </c>
      <c r="P1926" s="37">
        <v>1.096153846</v>
      </c>
      <c r="Q1926" s="37">
        <v>0.42700000000000005</v>
      </c>
      <c r="R1926" s="37">
        <v>0.95129999999999992</v>
      </c>
    </row>
    <row r="1927" spans="1:18" hidden="1">
      <c r="A1927" t="s">
        <v>76</v>
      </c>
      <c r="B1927" t="s">
        <v>50</v>
      </c>
      <c r="C1927">
        <v>10.07</v>
      </c>
      <c r="D1927">
        <v>6.82</v>
      </c>
      <c r="E1927" s="29">
        <v>1.4765395889999999</v>
      </c>
      <c r="F1927">
        <v>7.8</v>
      </c>
      <c r="G1927">
        <v>1.1599999999999999</v>
      </c>
      <c r="H1927">
        <v>8.9600000000000009</v>
      </c>
      <c r="I1927" s="29">
        <v>0.87049999999999994</v>
      </c>
      <c r="J1927" s="29">
        <v>1.1238999999999999</v>
      </c>
      <c r="K1927" s="9">
        <v>45339</v>
      </c>
      <c r="L1927">
        <f xml:space="preserve"> (交易處理資料__3[[#This Row],[售出工時]] * 60) / 5</f>
        <v>120.84</v>
      </c>
      <c r="M1927" t="str">
        <f>VLOOKUP(交易處理資料__3[[#This Row],[人員代號]],團隊分組!$B$1:$C$52,2,FALSE)</f>
        <v>快速保養團隊B</v>
      </c>
      <c r="N1927" t="str">
        <f>IF(交易處理資料__3[[#This Row],[上班時間]]=0,"否","是")</f>
        <v>是</v>
      </c>
      <c r="O1927" t="s">
        <v>76</v>
      </c>
      <c r="P1927" s="38">
        <v>1.4765395889999999</v>
      </c>
      <c r="Q1927" s="38">
        <v>1.1238999999999999</v>
      </c>
      <c r="R1927" s="38">
        <v>0.87049999999999994</v>
      </c>
    </row>
    <row r="1928" spans="1:18" hidden="1">
      <c r="A1928" t="s">
        <v>76</v>
      </c>
      <c r="B1928" t="s">
        <v>51</v>
      </c>
      <c r="C1928">
        <v>0</v>
      </c>
      <c r="D1928">
        <v>0</v>
      </c>
      <c r="E1928" s="29">
        <v>0</v>
      </c>
      <c r="F1928">
        <v>0</v>
      </c>
      <c r="G1928">
        <v>0</v>
      </c>
      <c r="H1928">
        <v>0</v>
      </c>
      <c r="I1928" s="29">
        <v>0</v>
      </c>
      <c r="J1928" s="29">
        <v>0</v>
      </c>
      <c r="K1928" s="9">
        <v>45339</v>
      </c>
      <c r="L1928">
        <f xml:space="preserve"> (交易處理資料__3[[#This Row],[售出工時]] * 60) / 5</f>
        <v>0</v>
      </c>
      <c r="M1928" t="str">
        <f>VLOOKUP(交易處理資料__3[[#This Row],[人員代號]],團隊分組!$B$1:$C$52,2,FALSE)</f>
        <v>無效數據</v>
      </c>
      <c r="N1928" t="str">
        <f>IF(交易處理資料__3[[#This Row],[上班時間]]=0,"否","是")</f>
        <v>否</v>
      </c>
      <c r="O1928" t="s">
        <v>76</v>
      </c>
      <c r="P1928" s="37">
        <v>0</v>
      </c>
      <c r="Q1928" s="37">
        <v>0</v>
      </c>
      <c r="R1928" s="37">
        <v>0</v>
      </c>
    </row>
    <row r="1929" spans="1:18" hidden="1">
      <c r="A1929" t="s">
        <v>76</v>
      </c>
      <c r="B1929" t="s">
        <v>52</v>
      </c>
      <c r="C1929">
        <v>0.5</v>
      </c>
      <c r="D1929">
        <v>0.01</v>
      </c>
      <c r="E1929" s="29">
        <v>50</v>
      </c>
      <c r="F1929">
        <v>7.28</v>
      </c>
      <c r="G1929">
        <v>1.68</v>
      </c>
      <c r="H1929">
        <v>8.9600000000000009</v>
      </c>
      <c r="I1929" s="29">
        <v>0.8125</v>
      </c>
      <c r="J1929" s="29">
        <v>5.5800000000000002E-2</v>
      </c>
      <c r="K1929" s="9">
        <v>45339</v>
      </c>
      <c r="L1929">
        <f xml:space="preserve"> (交易處理資料__3[[#This Row],[售出工時]] * 60) / 5</f>
        <v>6</v>
      </c>
      <c r="M1929" t="str">
        <f>VLOOKUP(交易處理資料__3[[#This Row],[人員代號]],團隊分組!$B$1:$C$52,2,FALSE)</f>
        <v>查修團隊B</v>
      </c>
      <c r="N1929" t="str">
        <f>IF(交易處理資料__3[[#This Row],[上班時間]]=0,"否","是")</f>
        <v>是</v>
      </c>
      <c r="O1929" t="s">
        <v>76</v>
      </c>
      <c r="P1929" s="38">
        <v>50</v>
      </c>
      <c r="Q1929" s="38">
        <v>5.5800000000000002E-2</v>
      </c>
      <c r="R1929" s="38">
        <v>0.8125</v>
      </c>
    </row>
    <row r="1930" spans="1:18" hidden="1">
      <c r="A1930" s="10" t="s">
        <v>74</v>
      </c>
      <c r="B1930" t="s">
        <v>1</v>
      </c>
      <c r="C1930">
        <v>0</v>
      </c>
      <c r="D1930">
        <v>0</v>
      </c>
      <c r="E1930" s="29">
        <v>0</v>
      </c>
      <c r="F1930">
        <v>0</v>
      </c>
      <c r="G1930">
        <v>0</v>
      </c>
      <c r="H1930">
        <v>0</v>
      </c>
      <c r="I1930" s="29">
        <v>0</v>
      </c>
      <c r="J1930" s="29">
        <v>0</v>
      </c>
      <c r="K1930" s="9">
        <v>45340</v>
      </c>
      <c r="L1930">
        <f xml:space="preserve"> (交易處理資料__3[[#This Row],[售出工時]] * 60) / 5</f>
        <v>0</v>
      </c>
      <c r="M1930" t="str">
        <f>VLOOKUP(交易處理資料__3[[#This Row],[人員代號]],團隊分組!$B$1:$C$52,2,FALSE)</f>
        <v>噴漆維修組</v>
      </c>
      <c r="N1930" t="str">
        <f>IF(交易處理資料__3[[#This Row],[上班時間]]=0,"否","是")</f>
        <v>否</v>
      </c>
      <c r="O1930" s="10" t="s">
        <v>74</v>
      </c>
      <c r="P1930" s="37">
        <v>0</v>
      </c>
      <c r="Q1930" s="37">
        <v>0</v>
      </c>
      <c r="R1930" s="37">
        <v>0</v>
      </c>
    </row>
    <row r="1931" spans="1:18" hidden="1">
      <c r="A1931" s="10" t="s">
        <v>74</v>
      </c>
      <c r="B1931" t="s">
        <v>2</v>
      </c>
      <c r="C1931">
        <v>0</v>
      </c>
      <c r="D1931">
        <v>0</v>
      </c>
      <c r="E1931" s="29">
        <v>0</v>
      </c>
      <c r="F1931">
        <v>0</v>
      </c>
      <c r="G1931">
        <v>0</v>
      </c>
      <c r="H1931">
        <v>0</v>
      </c>
      <c r="I1931" s="29">
        <v>0</v>
      </c>
      <c r="J1931" s="29">
        <v>0</v>
      </c>
      <c r="K1931" s="9">
        <v>45340</v>
      </c>
      <c r="L1931">
        <f xml:space="preserve"> (交易處理資料__3[[#This Row],[售出工時]] * 60) / 5</f>
        <v>0</v>
      </c>
      <c r="M1931" t="str">
        <f>VLOOKUP(交易處理資料__3[[#This Row],[人員代號]],團隊分組!$B$1:$C$52,2,FALSE)</f>
        <v>噴漆維修組</v>
      </c>
      <c r="N1931" t="str">
        <f>IF(交易處理資料__3[[#This Row],[上班時間]]=0,"否","是")</f>
        <v>否</v>
      </c>
      <c r="O1931" s="10" t="s">
        <v>74</v>
      </c>
      <c r="P1931" s="38">
        <v>0</v>
      </c>
      <c r="Q1931" s="38">
        <v>0</v>
      </c>
      <c r="R1931" s="38">
        <v>0</v>
      </c>
    </row>
    <row r="1932" spans="1:18" hidden="1">
      <c r="A1932" s="10" t="s">
        <v>74</v>
      </c>
      <c r="B1932" t="s">
        <v>3</v>
      </c>
      <c r="C1932">
        <v>0</v>
      </c>
      <c r="D1932">
        <v>0</v>
      </c>
      <c r="E1932" s="29">
        <v>0</v>
      </c>
      <c r="F1932">
        <v>0</v>
      </c>
      <c r="G1932">
        <v>0</v>
      </c>
      <c r="H1932">
        <v>0</v>
      </c>
      <c r="I1932" s="29">
        <v>0</v>
      </c>
      <c r="J1932" s="29">
        <v>0</v>
      </c>
      <c r="K1932" s="9">
        <v>45340</v>
      </c>
      <c r="L1932">
        <f xml:space="preserve"> (交易處理資料__3[[#This Row],[售出工時]] * 60) / 5</f>
        <v>0</v>
      </c>
      <c r="M1932" t="str">
        <f>VLOOKUP(交易處理資料__3[[#This Row],[人員代號]],團隊分組!$B$1:$C$52,2,FALSE)</f>
        <v>噴漆維修組</v>
      </c>
      <c r="N1932" t="str">
        <f>IF(交易處理資料__3[[#This Row],[上班時間]]=0,"否","是")</f>
        <v>否</v>
      </c>
      <c r="O1932" s="10" t="s">
        <v>74</v>
      </c>
      <c r="P1932" s="37">
        <v>0</v>
      </c>
      <c r="Q1932" s="37">
        <v>0</v>
      </c>
      <c r="R1932" s="37">
        <v>0</v>
      </c>
    </row>
    <row r="1933" spans="1:18" hidden="1">
      <c r="A1933" s="10" t="s">
        <v>74</v>
      </c>
      <c r="B1933" t="s">
        <v>4</v>
      </c>
      <c r="C1933">
        <v>0</v>
      </c>
      <c r="D1933">
        <v>0</v>
      </c>
      <c r="E1933" s="29">
        <v>0</v>
      </c>
      <c r="F1933">
        <v>0</v>
      </c>
      <c r="G1933">
        <v>0</v>
      </c>
      <c r="H1933">
        <v>0</v>
      </c>
      <c r="I1933" s="29">
        <v>0</v>
      </c>
      <c r="J1933" s="29">
        <v>0</v>
      </c>
      <c r="K1933" s="9">
        <v>45340</v>
      </c>
      <c r="L1933">
        <f xml:space="preserve"> (交易處理資料__3[[#This Row],[售出工時]] * 60) / 5</f>
        <v>0</v>
      </c>
      <c r="M1933" t="str">
        <f>VLOOKUP(交易處理資料__3[[#This Row],[人員代號]],團隊分組!$B$1:$C$52,2,FALSE)</f>
        <v>噴漆維修組</v>
      </c>
      <c r="N1933" t="str">
        <f>IF(交易處理資料__3[[#This Row],[上班時間]]=0,"否","是")</f>
        <v>否</v>
      </c>
      <c r="O1933" s="10" t="s">
        <v>74</v>
      </c>
      <c r="P1933" s="38">
        <v>0</v>
      </c>
      <c r="Q1933" s="38">
        <v>0</v>
      </c>
      <c r="R1933" s="38">
        <v>0</v>
      </c>
    </row>
    <row r="1934" spans="1:18" hidden="1">
      <c r="A1934" s="10" t="s">
        <v>74</v>
      </c>
      <c r="B1934" t="s">
        <v>5</v>
      </c>
      <c r="C1934">
        <v>0</v>
      </c>
      <c r="D1934">
        <v>0</v>
      </c>
      <c r="E1934" s="29">
        <v>0</v>
      </c>
      <c r="F1934">
        <v>0</v>
      </c>
      <c r="G1934">
        <v>0</v>
      </c>
      <c r="H1934">
        <v>0</v>
      </c>
      <c r="I1934" s="29">
        <v>0</v>
      </c>
      <c r="J1934" s="29">
        <v>0</v>
      </c>
      <c r="K1934" s="9">
        <v>45340</v>
      </c>
      <c r="L1934">
        <f xml:space="preserve"> (交易處理資料__3[[#This Row],[售出工時]] * 60) / 5</f>
        <v>0</v>
      </c>
      <c r="M1934" t="str">
        <f>VLOOKUP(交易處理資料__3[[#This Row],[人員代號]],團隊分組!$B$1:$C$52,2,FALSE)</f>
        <v>噴漆維修組</v>
      </c>
      <c r="N1934" t="str">
        <f>IF(交易處理資料__3[[#This Row],[上班時間]]=0,"否","是")</f>
        <v>否</v>
      </c>
      <c r="O1934" s="10" t="s">
        <v>74</v>
      </c>
      <c r="P1934" s="37">
        <v>0</v>
      </c>
      <c r="Q1934" s="37">
        <v>0</v>
      </c>
      <c r="R1934" s="37">
        <v>0</v>
      </c>
    </row>
    <row r="1935" spans="1:18" hidden="1">
      <c r="A1935" s="10" t="s">
        <v>74</v>
      </c>
      <c r="B1935" t="s">
        <v>6</v>
      </c>
      <c r="C1935">
        <v>0</v>
      </c>
      <c r="D1935">
        <v>0</v>
      </c>
      <c r="E1935" s="29">
        <v>0</v>
      </c>
      <c r="F1935">
        <v>0</v>
      </c>
      <c r="G1935">
        <v>0</v>
      </c>
      <c r="H1935">
        <v>0</v>
      </c>
      <c r="I1935" s="29">
        <v>0</v>
      </c>
      <c r="J1935" s="29">
        <v>0</v>
      </c>
      <c r="K1935" s="9">
        <v>45340</v>
      </c>
      <c r="L1935">
        <f xml:space="preserve"> (交易處理資料__3[[#This Row],[售出工時]] * 60) / 5</f>
        <v>0</v>
      </c>
      <c r="M1935" t="str">
        <f>VLOOKUP(交易處理資料__3[[#This Row],[人員代號]],團隊分組!$B$1:$C$52,2,FALSE)</f>
        <v>噴漆維修組</v>
      </c>
      <c r="N1935" t="str">
        <f>IF(交易處理資料__3[[#This Row],[上班時間]]=0,"否","是")</f>
        <v>否</v>
      </c>
      <c r="O1935" s="10" t="s">
        <v>74</v>
      </c>
      <c r="P1935" s="38">
        <v>0</v>
      </c>
      <c r="Q1935" s="38">
        <v>0</v>
      </c>
      <c r="R1935" s="38">
        <v>0</v>
      </c>
    </row>
    <row r="1936" spans="1:18">
      <c r="A1936" s="10" t="s">
        <v>74</v>
      </c>
      <c r="B1936" t="s">
        <v>7</v>
      </c>
      <c r="C1936">
        <v>0</v>
      </c>
      <c r="D1936">
        <v>0</v>
      </c>
      <c r="E1936" s="29">
        <v>0</v>
      </c>
      <c r="F1936">
        <v>0</v>
      </c>
      <c r="G1936">
        <v>0</v>
      </c>
      <c r="H1936">
        <v>0</v>
      </c>
      <c r="I1936" s="29">
        <v>0</v>
      </c>
      <c r="J1936" s="29">
        <v>0</v>
      </c>
      <c r="K1936" s="9">
        <v>45340</v>
      </c>
      <c r="L1936">
        <f xml:space="preserve"> (交易處理資料__3[[#This Row],[售出工時]] * 60) / 5</f>
        <v>0</v>
      </c>
      <c r="M1936" t="str">
        <f>VLOOKUP(交易處理資料__3[[#This Row],[人員代號]],團隊分組!$B$1:$C$52,2,FALSE)</f>
        <v>噴漆維修組</v>
      </c>
      <c r="N1936" t="str">
        <f>IF(交易處理資料__3[[#This Row],[上班時間]]=0,"否","是")</f>
        <v>否</v>
      </c>
      <c r="O1936" s="10" t="s">
        <v>74</v>
      </c>
      <c r="P1936" s="37">
        <v>0</v>
      </c>
      <c r="Q1936" s="37">
        <v>0</v>
      </c>
      <c r="R1936" s="37">
        <v>0</v>
      </c>
    </row>
    <row r="1937" spans="1:18" hidden="1">
      <c r="A1937" s="10" t="s">
        <v>74</v>
      </c>
      <c r="B1937" t="s">
        <v>8</v>
      </c>
      <c r="C1937">
        <v>0</v>
      </c>
      <c r="D1937">
        <v>0</v>
      </c>
      <c r="E1937" s="29">
        <v>0</v>
      </c>
      <c r="F1937">
        <v>0</v>
      </c>
      <c r="G1937">
        <v>0</v>
      </c>
      <c r="H1937">
        <v>0</v>
      </c>
      <c r="I1937" s="29">
        <v>0</v>
      </c>
      <c r="J1937" s="29">
        <v>0</v>
      </c>
      <c r="K1937" s="9">
        <v>45340</v>
      </c>
      <c r="L1937">
        <f xml:space="preserve"> (交易處理資料__3[[#This Row],[售出工時]] * 60) / 5</f>
        <v>0</v>
      </c>
      <c r="M1937" t="str">
        <f>VLOOKUP(交易處理資料__3[[#This Row],[人員代號]],團隊分組!$B$1:$C$52,2,FALSE)</f>
        <v>噴漆維修組</v>
      </c>
      <c r="N1937" t="str">
        <f>IF(交易處理資料__3[[#This Row],[上班時間]]=0,"否","是")</f>
        <v>否</v>
      </c>
      <c r="O1937" s="10" t="s">
        <v>74</v>
      </c>
      <c r="P1937" s="38">
        <v>0</v>
      </c>
      <c r="Q1937" s="38">
        <v>0</v>
      </c>
      <c r="R1937" s="38">
        <v>0</v>
      </c>
    </row>
    <row r="1938" spans="1:18" hidden="1">
      <c r="A1938" s="10" t="s">
        <v>74</v>
      </c>
      <c r="B1938" t="s">
        <v>9</v>
      </c>
      <c r="C1938">
        <v>0</v>
      </c>
      <c r="D1938">
        <v>0</v>
      </c>
      <c r="E1938" s="29">
        <v>0</v>
      </c>
      <c r="F1938">
        <v>0</v>
      </c>
      <c r="G1938">
        <v>0</v>
      </c>
      <c r="H1938">
        <v>0</v>
      </c>
      <c r="I1938" s="29">
        <v>0</v>
      </c>
      <c r="J1938" s="29">
        <v>0</v>
      </c>
      <c r="K1938" s="9">
        <v>45340</v>
      </c>
      <c r="L1938">
        <f xml:space="preserve"> (交易處理資料__3[[#This Row],[售出工時]] * 60) / 5</f>
        <v>0</v>
      </c>
      <c r="M1938" t="str">
        <f>VLOOKUP(交易處理資料__3[[#This Row],[人員代號]],團隊分組!$B$1:$C$52,2,FALSE)</f>
        <v>噴漆維修組</v>
      </c>
      <c r="N1938" t="str">
        <f>IF(交易處理資料__3[[#This Row],[上班時間]]=0,"否","是")</f>
        <v>否</v>
      </c>
      <c r="O1938" s="10" t="s">
        <v>74</v>
      </c>
      <c r="P1938" s="37">
        <v>0</v>
      </c>
      <c r="Q1938" s="37">
        <v>0</v>
      </c>
      <c r="R1938" s="37">
        <v>0</v>
      </c>
    </row>
    <row r="1939" spans="1:18" hidden="1">
      <c r="A1939" t="s">
        <v>75</v>
      </c>
      <c r="B1939" t="s">
        <v>11</v>
      </c>
      <c r="C1939">
        <v>0</v>
      </c>
      <c r="D1939">
        <v>0</v>
      </c>
      <c r="E1939" s="29">
        <v>0</v>
      </c>
      <c r="F1939">
        <v>0</v>
      </c>
      <c r="G1939">
        <v>0</v>
      </c>
      <c r="H1939">
        <v>0</v>
      </c>
      <c r="I1939" s="29">
        <v>0</v>
      </c>
      <c r="J1939" s="29">
        <v>0</v>
      </c>
      <c r="K1939" s="9">
        <v>45340</v>
      </c>
      <c r="L1939">
        <f xml:space="preserve"> (交易處理資料__3[[#This Row],[售出工時]] * 60) / 5</f>
        <v>0</v>
      </c>
      <c r="M1939" t="str">
        <f>VLOOKUP(交易處理資料__3[[#This Row],[人員代號]],團隊分組!$B$1:$C$52,2,FALSE)</f>
        <v>鈑金維修組</v>
      </c>
      <c r="N1939" t="str">
        <f>IF(交易處理資料__3[[#This Row],[上班時間]]=0,"否","是")</f>
        <v>否</v>
      </c>
      <c r="O1939" t="s">
        <v>75</v>
      </c>
      <c r="P1939" s="38">
        <v>0</v>
      </c>
      <c r="Q1939" s="38">
        <v>0</v>
      </c>
      <c r="R1939" s="38">
        <v>0</v>
      </c>
    </row>
    <row r="1940" spans="1:18" hidden="1">
      <c r="A1940" t="s">
        <v>75</v>
      </c>
      <c r="B1940" t="s">
        <v>12</v>
      </c>
      <c r="C1940">
        <v>0</v>
      </c>
      <c r="D1940">
        <v>0</v>
      </c>
      <c r="E1940" s="29">
        <v>0</v>
      </c>
      <c r="F1940">
        <v>0</v>
      </c>
      <c r="G1940">
        <v>0</v>
      </c>
      <c r="H1940">
        <v>0</v>
      </c>
      <c r="I1940" s="29">
        <v>0</v>
      </c>
      <c r="J1940" s="29">
        <v>0</v>
      </c>
      <c r="K1940" s="9">
        <v>45340</v>
      </c>
      <c r="L1940">
        <f xml:space="preserve"> (交易處理資料__3[[#This Row],[售出工時]] * 60) / 5</f>
        <v>0</v>
      </c>
      <c r="M1940" t="str">
        <f>VLOOKUP(交易處理資料__3[[#This Row],[人員代號]],團隊分組!$B$1:$C$52,2,FALSE)</f>
        <v>鈑金維修組</v>
      </c>
      <c r="N1940" t="str">
        <f>IF(交易處理資料__3[[#This Row],[上班時間]]=0,"否","是")</f>
        <v>否</v>
      </c>
      <c r="O1940" t="s">
        <v>75</v>
      </c>
      <c r="P1940" s="37">
        <v>0</v>
      </c>
      <c r="Q1940" s="37">
        <v>0</v>
      </c>
      <c r="R1940" s="37">
        <v>0</v>
      </c>
    </row>
    <row r="1941" spans="1:18" hidden="1">
      <c r="A1941" t="s">
        <v>75</v>
      </c>
      <c r="B1941" t="s">
        <v>13</v>
      </c>
      <c r="C1941">
        <v>0</v>
      </c>
      <c r="D1941">
        <v>0</v>
      </c>
      <c r="E1941" s="29">
        <v>0</v>
      </c>
      <c r="F1941">
        <v>0</v>
      </c>
      <c r="G1941">
        <v>0</v>
      </c>
      <c r="H1941">
        <v>0</v>
      </c>
      <c r="I1941" s="29">
        <v>0</v>
      </c>
      <c r="J1941" s="29">
        <v>0</v>
      </c>
      <c r="K1941" s="9">
        <v>45340</v>
      </c>
      <c r="L1941">
        <f xml:space="preserve"> (交易處理資料__3[[#This Row],[售出工時]] * 60) / 5</f>
        <v>0</v>
      </c>
      <c r="M1941" t="str">
        <f>VLOOKUP(交易處理資料__3[[#This Row],[人員代號]],團隊分組!$B$1:$C$52,2,FALSE)</f>
        <v>鈑金維修組</v>
      </c>
      <c r="N1941" t="str">
        <f>IF(交易處理資料__3[[#This Row],[上班時間]]=0,"否","是")</f>
        <v>否</v>
      </c>
      <c r="O1941" t="s">
        <v>75</v>
      </c>
      <c r="P1941" s="38">
        <v>0</v>
      </c>
      <c r="Q1941" s="38">
        <v>0</v>
      </c>
      <c r="R1941" s="38">
        <v>0</v>
      </c>
    </row>
    <row r="1942" spans="1:18" hidden="1">
      <c r="A1942" t="s">
        <v>75</v>
      </c>
      <c r="B1942" t="s">
        <v>14</v>
      </c>
      <c r="C1942">
        <v>0</v>
      </c>
      <c r="D1942">
        <v>0</v>
      </c>
      <c r="E1942" s="29">
        <v>0</v>
      </c>
      <c r="F1942">
        <v>0</v>
      </c>
      <c r="G1942">
        <v>0</v>
      </c>
      <c r="H1942">
        <v>0</v>
      </c>
      <c r="I1942" s="29">
        <v>0</v>
      </c>
      <c r="J1942" s="29">
        <v>0</v>
      </c>
      <c r="K1942" s="9">
        <v>45340</v>
      </c>
      <c r="L1942">
        <f xml:space="preserve"> (交易處理資料__3[[#This Row],[售出工時]] * 60) / 5</f>
        <v>0</v>
      </c>
      <c r="M1942" t="str">
        <f>VLOOKUP(交易處理資料__3[[#This Row],[人員代號]],團隊分組!$B$1:$C$52,2,FALSE)</f>
        <v>鈑金維修組</v>
      </c>
      <c r="N1942" t="str">
        <f>IF(交易處理資料__3[[#This Row],[上班時間]]=0,"否","是")</f>
        <v>否</v>
      </c>
      <c r="O1942" t="s">
        <v>75</v>
      </c>
      <c r="P1942" s="37">
        <v>0</v>
      </c>
      <c r="Q1942" s="37">
        <v>0</v>
      </c>
      <c r="R1942" s="37">
        <v>0</v>
      </c>
    </row>
    <row r="1943" spans="1:18" hidden="1">
      <c r="A1943" t="s">
        <v>75</v>
      </c>
      <c r="B1943" t="s">
        <v>15</v>
      </c>
      <c r="C1943">
        <v>0</v>
      </c>
      <c r="D1943">
        <v>0</v>
      </c>
      <c r="E1943" s="29">
        <v>0</v>
      </c>
      <c r="F1943">
        <v>0</v>
      </c>
      <c r="G1943">
        <v>0</v>
      </c>
      <c r="H1943">
        <v>0</v>
      </c>
      <c r="I1943" s="29">
        <v>0</v>
      </c>
      <c r="J1943" s="29">
        <v>0</v>
      </c>
      <c r="K1943" s="9">
        <v>45340</v>
      </c>
      <c r="L1943">
        <f xml:space="preserve"> (交易處理資料__3[[#This Row],[售出工時]] * 60) / 5</f>
        <v>0</v>
      </c>
      <c r="M1943" t="str">
        <f>VLOOKUP(交易處理資料__3[[#This Row],[人員代號]],團隊分組!$B$1:$C$52,2,FALSE)</f>
        <v>鈑金維修組</v>
      </c>
      <c r="N1943" t="str">
        <f>IF(交易處理資料__3[[#This Row],[上班時間]]=0,"否","是")</f>
        <v>否</v>
      </c>
      <c r="O1943" t="s">
        <v>75</v>
      </c>
      <c r="P1943" s="38">
        <v>0</v>
      </c>
      <c r="Q1943" s="38">
        <v>0</v>
      </c>
      <c r="R1943" s="38">
        <v>0</v>
      </c>
    </row>
    <row r="1944" spans="1:18" hidden="1">
      <c r="A1944" t="s">
        <v>76</v>
      </c>
      <c r="B1944" t="s">
        <v>17</v>
      </c>
      <c r="C1944">
        <v>0</v>
      </c>
      <c r="D1944">
        <v>0</v>
      </c>
      <c r="E1944" s="29">
        <v>0</v>
      </c>
      <c r="F1944">
        <v>0</v>
      </c>
      <c r="G1944">
        <v>0</v>
      </c>
      <c r="H1944">
        <v>0</v>
      </c>
      <c r="I1944" s="29">
        <v>0</v>
      </c>
      <c r="J1944" s="29">
        <v>0</v>
      </c>
      <c r="K1944" s="9">
        <v>45340</v>
      </c>
      <c r="L1944">
        <f xml:space="preserve"> (交易處理資料__3[[#This Row],[售出工時]] * 60) / 5</f>
        <v>0</v>
      </c>
      <c r="M1944" t="str">
        <f>VLOOKUP(交易處理資料__3[[#This Row],[人員代號]],團隊分組!$B$1:$C$52,2,FALSE)</f>
        <v>快速保養團隊A</v>
      </c>
      <c r="N1944" t="str">
        <f>IF(交易處理資料__3[[#This Row],[上班時間]]=0,"否","是")</f>
        <v>否</v>
      </c>
      <c r="O1944" t="s">
        <v>76</v>
      </c>
      <c r="P1944" s="37">
        <v>0</v>
      </c>
      <c r="Q1944" s="37">
        <v>0</v>
      </c>
      <c r="R1944" s="37">
        <v>0</v>
      </c>
    </row>
    <row r="1945" spans="1:18" hidden="1">
      <c r="A1945" t="s">
        <v>76</v>
      </c>
      <c r="B1945" t="s">
        <v>18</v>
      </c>
      <c r="C1945">
        <v>0</v>
      </c>
      <c r="D1945">
        <v>0</v>
      </c>
      <c r="E1945" s="29">
        <v>0</v>
      </c>
      <c r="F1945">
        <v>0</v>
      </c>
      <c r="G1945">
        <v>0</v>
      </c>
      <c r="H1945">
        <v>0</v>
      </c>
      <c r="I1945" s="29">
        <v>0</v>
      </c>
      <c r="J1945" s="29">
        <v>0</v>
      </c>
      <c r="K1945" s="9">
        <v>45340</v>
      </c>
      <c r="L1945">
        <f xml:space="preserve"> (交易處理資料__3[[#This Row],[售出工時]] * 60) / 5</f>
        <v>0</v>
      </c>
      <c r="M1945" t="str">
        <f>VLOOKUP(交易處理資料__3[[#This Row],[人員代號]],團隊分組!$B$1:$C$52,2,FALSE)</f>
        <v>查修團隊B</v>
      </c>
      <c r="N1945" t="str">
        <f>IF(交易處理資料__3[[#This Row],[上班時間]]=0,"否","是")</f>
        <v>否</v>
      </c>
      <c r="O1945" t="s">
        <v>76</v>
      </c>
      <c r="P1945" s="38">
        <v>0</v>
      </c>
      <c r="Q1945" s="38">
        <v>0</v>
      </c>
      <c r="R1945" s="38">
        <v>0</v>
      </c>
    </row>
    <row r="1946" spans="1:18" hidden="1">
      <c r="A1946" t="s">
        <v>76</v>
      </c>
      <c r="B1946" t="s">
        <v>19</v>
      </c>
      <c r="C1946">
        <v>0</v>
      </c>
      <c r="D1946">
        <v>0</v>
      </c>
      <c r="E1946" s="29">
        <v>0</v>
      </c>
      <c r="F1946">
        <v>0</v>
      </c>
      <c r="G1946">
        <v>0</v>
      </c>
      <c r="H1946">
        <v>0</v>
      </c>
      <c r="I1946" s="29">
        <v>0</v>
      </c>
      <c r="J1946" s="29">
        <v>0</v>
      </c>
      <c r="K1946" s="9">
        <v>45340</v>
      </c>
      <c r="L1946">
        <f xml:space="preserve"> (交易處理資料__3[[#This Row],[售出工時]] * 60) / 5</f>
        <v>0</v>
      </c>
      <c r="M1946" t="str">
        <f>VLOOKUP(交易處理資料__3[[#This Row],[人員代號]],團隊分組!$B$1:$C$52,2,FALSE)</f>
        <v>查修團隊A</v>
      </c>
      <c r="N1946" t="str">
        <f>IF(交易處理資料__3[[#This Row],[上班時間]]=0,"否","是")</f>
        <v>否</v>
      </c>
      <c r="O1946" t="s">
        <v>76</v>
      </c>
      <c r="P1946" s="37">
        <v>0</v>
      </c>
      <c r="Q1946" s="37">
        <v>0</v>
      </c>
      <c r="R1946" s="37">
        <v>0</v>
      </c>
    </row>
    <row r="1947" spans="1:18" hidden="1">
      <c r="A1947" t="s">
        <v>76</v>
      </c>
      <c r="B1947" t="s">
        <v>20</v>
      </c>
      <c r="C1947">
        <v>0</v>
      </c>
      <c r="D1947">
        <v>0</v>
      </c>
      <c r="E1947" s="29">
        <v>0</v>
      </c>
      <c r="F1947">
        <v>0</v>
      </c>
      <c r="G1947">
        <v>0</v>
      </c>
      <c r="H1947">
        <v>0</v>
      </c>
      <c r="I1947" s="29">
        <v>0</v>
      </c>
      <c r="J1947" s="29">
        <v>0</v>
      </c>
      <c r="K1947" s="9">
        <v>45340</v>
      </c>
      <c r="L1947">
        <f xml:space="preserve"> (交易處理資料__3[[#This Row],[售出工時]] * 60) / 5</f>
        <v>0</v>
      </c>
      <c r="M1947" t="str">
        <f>VLOOKUP(交易處理資料__3[[#This Row],[人員代號]],團隊分組!$B$1:$C$52,2,FALSE)</f>
        <v>查修團隊B</v>
      </c>
      <c r="N1947" t="str">
        <f>IF(交易處理資料__3[[#This Row],[上班時間]]=0,"否","是")</f>
        <v>否</v>
      </c>
      <c r="O1947" t="s">
        <v>76</v>
      </c>
      <c r="P1947" s="38">
        <v>0</v>
      </c>
      <c r="Q1947" s="38">
        <v>0</v>
      </c>
      <c r="R1947" s="38">
        <v>0</v>
      </c>
    </row>
    <row r="1948" spans="1:18" hidden="1">
      <c r="A1948" t="s">
        <v>76</v>
      </c>
      <c r="B1948" t="s">
        <v>21</v>
      </c>
      <c r="C1948">
        <v>0</v>
      </c>
      <c r="D1948">
        <v>0</v>
      </c>
      <c r="E1948" s="29">
        <v>0</v>
      </c>
      <c r="F1948">
        <v>0</v>
      </c>
      <c r="G1948">
        <v>0</v>
      </c>
      <c r="H1948">
        <v>0</v>
      </c>
      <c r="I1948" s="29">
        <v>0</v>
      </c>
      <c r="J1948" s="29">
        <v>0</v>
      </c>
      <c r="K1948" s="9">
        <v>45340</v>
      </c>
      <c r="L1948">
        <f xml:space="preserve"> (交易處理資料__3[[#This Row],[售出工時]] * 60) / 5</f>
        <v>0</v>
      </c>
      <c r="M1948" t="str">
        <f>VLOOKUP(交易處理資料__3[[#This Row],[人員代號]],團隊分組!$B$1:$C$52,2,FALSE)</f>
        <v>查修團隊B</v>
      </c>
      <c r="N1948" t="str">
        <f>IF(交易處理資料__3[[#This Row],[上班時間]]=0,"否","是")</f>
        <v>否</v>
      </c>
      <c r="O1948" t="s">
        <v>76</v>
      </c>
      <c r="P1948" s="37">
        <v>0</v>
      </c>
      <c r="Q1948" s="37">
        <v>0</v>
      </c>
      <c r="R1948" s="37">
        <v>0</v>
      </c>
    </row>
    <row r="1949" spans="1:18" hidden="1">
      <c r="A1949" t="s">
        <v>76</v>
      </c>
      <c r="B1949" t="s">
        <v>22</v>
      </c>
      <c r="C1949">
        <v>0</v>
      </c>
      <c r="D1949">
        <v>0</v>
      </c>
      <c r="E1949" s="29">
        <v>0</v>
      </c>
      <c r="F1949">
        <v>0</v>
      </c>
      <c r="G1949">
        <v>0</v>
      </c>
      <c r="H1949">
        <v>0</v>
      </c>
      <c r="I1949" s="29">
        <v>0</v>
      </c>
      <c r="J1949" s="29">
        <v>0</v>
      </c>
      <c r="K1949" s="9">
        <v>45340</v>
      </c>
      <c r="L1949">
        <f xml:space="preserve"> (交易處理資料__3[[#This Row],[售出工時]] * 60) / 5</f>
        <v>0</v>
      </c>
      <c r="M1949" t="str">
        <f>VLOOKUP(交易處理資料__3[[#This Row],[人員代號]],團隊分組!$B$1:$C$52,2,FALSE)</f>
        <v>快速保養團隊A</v>
      </c>
      <c r="N1949" t="str">
        <f>IF(交易處理資料__3[[#This Row],[上班時間]]=0,"否","是")</f>
        <v>否</v>
      </c>
      <c r="O1949" t="s">
        <v>76</v>
      </c>
      <c r="P1949" s="38">
        <v>0</v>
      </c>
      <c r="Q1949" s="38">
        <v>0</v>
      </c>
      <c r="R1949" s="38">
        <v>0</v>
      </c>
    </row>
    <row r="1950" spans="1:18" hidden="1">
      <c r="A1950" t="s">
        <v>76</v>
      </c>
      <c r="B1950" t="s">
        <v>23</v>
      </c>
      <c r="C1950">
        <v>0</v>
      </c>
      <c r="D1950">
        <v>0</v>
      </c>
      <c r="E1950" s="29">
        <v>0</v>
      </c>
      <c r="F1950">
        <v>0</v>
      </c>
      <c r="G1950">
        <v>0</v>
      </c>
      <c r="H1950">
        <v>0</v>
      </c>
      <c r="I1950" s="29">
        <v>0</v>
      </c>
      <c r="J1950" s="29">
        <v>0</v>
      </c>
      <c r="K1950" s="9">
        <v>45340</v>
      </c>
      <c r="L1950">
        <f xml:space="preserve"> (交易處理資料__3[[#This Row],[售出工時]] * 60) / 5</f>
        <v>0</v>
      </c>
      <c r="M1950" t="str">
        <f>VLOOKUP(交易處理資料__3[[#This Row],[人員代號]],團隊分組!$B$1:$C$52,2,FALSE)</f>
        <v>快速保養團隊B</v>
      </c>
      <c r="N1950" t="str">
        <f>IF(交易處理資料__3[[#This Row],[上班時間]]=0,"否","是")</f>
        <v>否</v>
      </c>
      <c r="O1950" t="s">
        <v>76</v>
      </c>
      <c r="P1950" s="37">
        <v>0</v>
      </c>
      <c r="Q1950" s="37">
        <v>0</v>
      </c>
      <c r="R1950" s="37">
        <v>0</v>
      </c>
    </row>
    <row r="1951" spans="1:18" hidden="1">
      <c r="A1951" t="s">
        <v>76</v>
      </c>
      <c r="B1951" t="s">
        <v>24</v>
      </c>
      <c r="C1951">
        <v>0</v>
      </c>
      <c r="D1951">
        <v>0</v>
      </c>
      <c r="E1951" s="29">
        <v>0</v>
      </c>
      <c r="F1951">
        <v>0</v>
      </c>
      <c r="G1951">
        <v>0</v>
      </c>
      <c r="H1951">
        <v>0</v>
      </c>
      <c r="I1951" s="29">
        <v>0</v>
      </c>
      <c r="J1951" s="29">
        <v>0</v>
      </c>
      <c r="K1951" s="9">
        <v>45340</v>
      </c>
      <c r="L1951">
        <f xml:space="preserve"> (交易處理資料__3[[#This Row],[售出工時]] * 60) / 5</f>
        <v>0</v>
      </c>
      <c r="M1951" t="str">
        <f>VLOOKUP(交易處理資料__3[[#This Row],[人員代號]],團隊分組!$B$1:$C$52,2,FALSE)</f>
        <v>快速保養團隊A</v>
      </c>
      <c r="N1951" t="str">
        <f>IF(交易處理資料__3[[#This Row],[上班時間]]=0,"否","是")</f>
        <v>否</v>
      </c>
      <c r="O1951" t="s">
        <v>76</v>
      </c>
      <c r="P1951" s="38">
        <v>0</v>
      </c>
      <c r="Q1951" s="38">
        <v>0</v>
      </c>
      <c r="R1951" s="38">
        <v>0</v>
      </c>
    </row>
    <row r="1952" spans="1:18" hidden="1">
      <c r="A1952" t="s">
        <v>76</v>
      </c>
      <c r="B1952" t="s">
        <v>25</v>
      </c>
      <c r="C1952">
        <v>0</v>
      </c>
      <c r="D1952">
        <v>0</v>
      </c>
      <c r="E1952" s="29">
        <v>0</v>
      </c>
      <c r="F1952">
        <v>0</v>
      </c>
      <c r="G1952">
        <v>0</v>
      </c>
      <c r="H1952">
        <v>0</v>
      </c>
      <c r="I1952" s="29">
        <v>0</v>
      </c>
      <c r="J1952" s="29">
        <v>0</v>
      </c>
      <c r="K1952" s="9">
        <v>45340</v>
      </c>
      <c r="L1952">
        <f xml:space="preserve"> (交易處理資料__3[[#This Row],[售出工時]] * 60) / 5</f>
        <v>0</v>
      </c>
      <c r="M1952" t="str">
        <f>VLOOKUP(交易處理資料__3[[#This Row],[人員代號]],團隊分組!$B$1:$C$52,2,FALSE)</f>
        <v>查修團隊A</v>
      </c>
      <c r="N1952" t="str">
        <f>IF(交易處理資料__3[[#This Row],[上班時間]]=0,"否","是")</f>
        <v>否</v>
      </c>
      <c r="O1952" t="s">
        <v>76</v>
      </c>
      <c r="P1952" s="37">
        <v>0</v>
      </c>
      <c r="Q1952" s="37">
        <v>0</v>
      </c>
      <c r="R1952" s="37">
        <v>0</v>
      </c>
    </row>
    <row r="1953" spans="1:18" hidden="1">
      <c r="A1953" t="s">
        <v>76</v>
      </c>
      <c r="B1953" t="s">
        <v>26</v>
      </c>
      <c r="C1953">
        <v>0</v>
      </c>
      <c r="D1953">
        <v>0</v>
      </c>
      <c r="E1953" s="29">
        <v>0</v>
      </c>
      <c r="F1953">
        <v>0</v>
      </c>
      <c r="G1953">
        <v>0</v>
      </c>
      <c r="H1953">
        <v>0</v>
      </c>
      <c r="I1953" s="29">
        <v>0</v>
      </c>
      <c r="J1953" s="29">
        <v>0</v>
      </c>
      <c r="K1953" s="9">
        <v>45340</v>
      </c>
      <c r="L1953">
        <f xml:space="preserve"> (交易處理資料__3[[#This Row],[售出工時]] * 60) / 5</f>
        <v>0</v>
      </c>
      <c r="M1953" t="str">
        <f>VLOOKUP(交易處理資料__3[[#This Row],[人員代號]],團隊分組!$B$1:$C$52,2,FALSE)</f>
        <v>查修團隊B</v>
      </c>
      <c r="N1953" t="str">
        <f>IF(交易處理資料__3[[#This Row],[上班時間]]=0,"否","是")</f>
        <v>否</v>
      </c>
      <c r="O1953" t="s">
        <v>76</v>
      </c>
      <c r="P1953" s="38">
        <v>0</v>
      </c>
      <c r="Q1953" s="38">
        <v>0</v>
      </c>
      <c r="R1953" s="38">
        <v>0</v>
      </c>
    </row>
    <row r="1954" spans="1:18" hidden="1">
      <c r="A1954" t="s">
        <v>76</v>
      </c>
      <c r="B1954" t="s">
        <v>27</v>
      </c>
      <c r="C1954">
        <v>0</v>
      </c>
      <c r="D1954">
        <v>0</v>
      </c>
      <c r="E1954" s="29">
        <v>0</v>
      </c>
      <c r="F1954">
        <v>0</v>
      </c>
      <c r="G1954">
        <v>0</v>
      </c>
      <c r="H1954">
        <v>0</v>
      </c>
      <c r="I1954" s="29">
        <v>0</v>
      </c>
      <c r="J1954" s="29">
        <v>0</v>
      </c>
      <c r="K1954" s="9">
        <v>45340</v>
      </c>
      <c r="L1954">
        <f xml:space="preserve"> (交易處理資料__3[[#This Row],[售出工時]] * 60) / 5</f>
        <v>0</v>
      </c>
      <c r="M1954" t="str">
        <f>VLOOKUP(交易處理資料__3[[#This Row],[人員代號]],團隊分組!$B$1:$C$52,2,FALSE)</f>
        <v>快速保養團隊B</v>
      </c>
      <c r="N1954" t="str">
        <f>IF(交易處理資料__3[[#This Row],[上班時間]]=0,"否","是")</f>
        <v>否</v>
      </c>
      <c r="O1954" t="s">
        <v>76</v>
      </c>
      <c r="P1954" s="37">
        <v>0</v>
      </c>
      <c r="Q1954" s="37">
        <v>0</v>
      </c>
      <c r="R1954" s="37">
        <v>0</v>
      </c>
    </row>
    <row r="1955" spans="1:18" hidden="1">
      <c r="A1955" t="s">
        <v>76</v>
      </c>
      <c r="B1955" t="s">
        <v>28</v>
      </c>
      <c r="C1955">
        <v>0</v>
      </c>
      <c r="D1955">
        <v>0</v>
      </c>
      <c r="E1955" s="29">
        <v>0</v>
      </c>
      <c r="F1955">
        <v>0</v>
      </c>
      <c r="G1955">
        <v>0</v>
      </c>
      <c r="H1955">
        <v>0</v>
      </c>
      <c r="I1955" s="29">
        <v>0</v>
      </c>
      <c r="J1955" s="29">
        <v>0</v>
      </c>
      <c r="K1955" s="9">
        <v>45340</v>
      </c>
      <c r="L1955">
        <f xml:space="preserve"> (交易處理資料__3[[#This Row],[售出工時]] * 60) / 5</f>
        <v>0</v>
      </c>
      <c r="M1955" t="str">
        <f>VLOOKUP(交易處理資料__3[[#This Row],[人員代號]],團隊分組!$B$1:$C$52,2,FALSE)</f>
        <v>快速保養團隊A</v>
      </c>
      <c r="N1955" t="str">
        <f>IF(交易處理資料__3[[#This Row],[上班時間]]=0,"否","是")</f>
        <v>否</v>
      </c>
      <c r="O1955" t="s">
        <v>76</v>
      </c>
      <c r="P1955" s="38">
        <v>0</v>
      </c>
      <c r="Q1955" s="38">
        <v>0</v>
      </c>
      <c r="R1955" s="38">
        <v>0</v>
      </c>
    </row>
    <row r="1956" spans="1:18" hidden="1">
      <c r="A1956" t="s">
        <v>76</v>
      </c>
      <c r="B1956" t="s">
        <v>29</v>
      </c>
      <c r="C1956">
        <v>0</v>
      </c>
      <c r="D1956">
        <v>0</v>
      </c>
      <c r="E1956" s="29">
        <v>0</v>
      </c>
      <c r="F1956">
        <v>0</v>
      </c>
      <c r="G1956">
        <v>0</v>
      </c>
      <c r="H1956">
        <v>0</v>
      </c>
      <c r="I1956" s="29">
        <v>0</v>
      </c>
      <c r="J1956" s="29">
        <v>0</v>
      </c>
      <c r="K1956" s="9">
        <v>45340</v>
      </c>
      <c r="L1956">
        <f xml:space="preserve"> (交易處理資料__3[[#This Row],[售出工時]] * 60) / 5</f>
        <v>0</v>
      </c>
      <c r="M1956" t="str">
        <f>VLOOKUP(交易處理資料__3[[#This Row],[人員代號]],團隊分組!$B$1:$C$52,2,FALSE)</f>
        <v>查修團隊B</v>
      </c>
      <c r="N1956" t="str">
        <f>IF(交易處理資料__3[[#This Row],[上班時間]]=0,"否","是")</f>
        <v>否</v>
      </c>
      <c r="O1956" t="s">
        <v>76</v>
      </c>
      <c r="P1956" s="37">
        <v>0</v>
      </c>
      <c r="Q1956" s="37">
        <v>0</v>
      </c>
      <c r="R1956" s="37">
        <v>0</v>
      </c>
    </row>
    <row r="1957" spans="1:18" hidden="1">
      <c r="A1957" t="s">
        <v>76</v>
      </c>
      <c r="B1957" t="s">
        <v>30</v>
      </c>
      <c r="C1957">
        <v>0</v>
      </c>
      <c r="D1957">
        <v>0</v>
      </c>
      <c r="E1957" s="29">
        <v>0</v>
      </c>
      <c r="F1957">
        <v>0</v>
      </c>
      <c r="G1957">
        <v>0</v>
      </c>
      <c r="H1957">
        <v>0</v>
      </c>
      <c r="I1957" s="29">
        <v>0</v>
      </c>
      <c r="J1957" s="29">
        <v>0</v>
      </c>
      <c r="K1957" s="9">
        <v>45340</v>
      </c>
      <c r="L1957">
        <f xml:space="preserve"> (交易處理資料__3[[#This Row],[售出工時]] * 60) / 5</f>
        <v>0</v>
      </c>
      <c r="M1957" t="str">
        <f>VLOOKUP(交易處理資料__3[[#This Row],[人員代號]],團隊分組!$B$1:$C$52,2,FALSE)</f>
        <v>快速保養團隊B</v>
      </c>
      <c r="N1957" t="str">
        <f>IF(交易處理資料__3[[#This Row],[上班時間]]=0,"否","是")</f>
        <v>否</v>
      </c>
      <c r="O1957" t="s">
        <v>76</v>
      </c>
      <c r="P1957" s="38">
        <v>0</v>
      </c>
      <c r="Q1957" s="38">
        <v>0</v>
      </c>
      <c r="R1957" s="38">
        <v>0</v>
      </c>
    </row>
    <row r="1958" spans="1:18" hidden="1">
      <c r="A1958" t="s">
        <v>76</v>
      </c>
      <c r="B1958" t="s">
        <v>32</v>
      </c>
      <c r="C1958">
        <v>0</v>
      </c>
      <c r="D1958">
        <v>0</v>
      </c>
      <c r="E1958" s="29">
        <v>0</v>
      </c>
      <c r="F1958">
        <v>0</v>
      </c>
      <c r="G1958">
        <v>0</v>
      </c>
      <c r="H1958">
        <v>0</v>
      </c>
      <c r="I1958" s="29">
        <v>0</v>
      </c>
      <c r="J1958" s="29">
        <v>0</v>
      </c>
      <c r="K1958" s="9">
        <v>45340</v>
      </c>
      <c r="L1958">
        <f xml:space="preserve"> (交易處理資料__3[[#This Row],[售出工時]] * 60) / 5</f>
        <v>0</v>
      </c>
      <c r="M1958" t="str">
        <f>VLOOKUP(交易處理資料__3[[#This Row],[人員代號]],團隊分組!$B$1:$C$52,2,FALSE)</f>
        <v>快速保養團隊B</v>
      </c>
      <c r="N1958" t="str">
        <f>IF(交易處理資料__3[[#This Row],[上班時間]]=0,"否","是")</f>
        <v>否</v>
      </c>
      <c r="O1958" t="s">
        <v>76</v>
      </c>
      <c r="P1958" s="37">
        <v>0</v>
      </c>
      <c r="Q1958" s="37">
        <v>0</v>
      </c>
      <c r="R1958" s="37">
        <v>0</v>
      </c>
    </row>
    <row r="1959" spans="1:18" hidden="1">
      <c r="A1959" t="s">
        <v>76</v>
      </c>
      <c r="B1959" t="s">
        <v>33</v>
      </c>
      <c r="C1959">
        <v>0</v>
      </c>
      <c r="D1959">
        <v>0</v>
      </c>
      <c r="E1959" s="29">
        <v>0</v>
      </c>
      <c r="F1959">
        <v>0</v>
      </c>
      <c r="G1959">
        <v>0</v>
      </c>
      <c r="H1959">
        <v>0</v>
      </c>
      <c r="I1959" s="29">
        <v>0</v>
      </c>
      <c r="J1959" s="29">
        <v>0</v>
      </c>
      <c r="K1959" s="9">
        <v>45340</v>
      </c>
      <c r="L1959">
        <f xml:space="preserve"> (交易處理資料__3[[#This Row],[售出工時]] * 60) / 5</f>
        <v>0</v>
      </c>
      <c r="M1959" t="str">
        <f>VLOOKUP(交易處理資料__3[[#This Row],[人員代號]],團隊分組!$B$1:$C$52,2,FALSE)</f>
        <v>快速保養團隊B</v>
      </c>
      <c r="N1959" t="str">
        <f>IF(交易處理資料__3[[#This Row],[上班時間]]=0,"否","是")</f>
        <v>否</v>
      </c>
      <c r="O1959" t="s">
        <v>76</v>
      </c>
      <c r="P1959" s="38">
        <v>0</v>
      </c>
      <c r="Q1959" s="38">
        <v>0</v>
      </c>
      <c r="R1959" s="38">
        <v>0</v>
      </c>
    </row>
    <row r="1960" spans="1:18" hidden="1">
      <c r="A1960" t="s">
        <v>76</v>
      </c>
      <c r="B1960" t="s">
        <v>34</v>
      </c>
      <c r="C1960">
        <v>0</v>
      </c>
      <c r="D1960">
        <v>0</v>
      </c>
      <c r="E1960" s="29">
        <v>0</v>
      </c>
      <c r="F1960">
        <v>0</v>
      </c>
      <c r="G1960">
        <v>0</v>
      </c>
      <c r="H1960">
        <v>0</v>
      </c>
      <c r="I1960" s="29">
        <v>0</v>
      </c>
      <c r="J1960" s="29">
        <v>0</v>
      </c>
      <c r="K1960" s="9">
        <v>45340</v>
      </c>
      <c r="L1960">
        <f xml:space="preserve"> (交易處理資料__3[[#This Row],[售出工時]] * 60) / 5</f>
        <v>0</v>
      </c>
      <c r="M1960" t="str">
        <f>VLOOKUP(交易處理資料__3[[#This Row],[人員代號]],團隊分組!$B$1:$C$52,2,FALSE)</f>
        <v>快速保養團隊A</v>
      </c>
      <c r="N1960" t="str">
        <f>IF(交易處理資料__3[[#This Row],[上班時間]]=0,"否","是")</f>
        <v>否</v>
      </c>
      <c r="O1960" t="s">
        <v>76</v>
      </c>
      <c r="P1960" s="37">
        <v>0</v>
      </c>
      <c r="Q1960" s="37">
        <v>0</v>
      </c>
      <c r="R1960" s="37">
        <v>0</v>
      </c>
    </row>
    <row r="1961" spans="1:18" hidden="1">
      <c r="A1961" t="s">
        <v>76</v>
      </c>
      <c r="B1961" t="s">
        <v>35</v>
      </c>
      <c r="C1961">
        <v>0</v>
      </c>
      <c r="D1961">
        <v>0</v>
      </c>
      <c r="E1961" s="29">
        <v>0</v>
      </c>
      <c r="F1961">
        <v>0</v>
      </c>
      <c r="G1961">
        <v>0</v>
      </c>
      <c r="H1961">
        <v>0</v>
      </c>
      <c r="I1961" s="29">
        <v>0</v>
      </c>
      <c r="J1961" s="29">
        <v>0</v>
      </c>
      <c r="K1961" s="9">
        <v>45340</v>
      </c>
      <c r="L1961">
        <f xml:space="preserve"> (交易處理資料__3[[#This Row],[售出工時]] * 60) / 5</f>
        <v>0</v>
      </c>
      <c r="M1961" t="str">
        <f>VLOOKUP(交易處理資料__3[[#This Row],[人員代號]],團隊分組!$B$1:$C$52,2,FALSE)</f>
        <v>查修團隊B</v>
      </c>
      <c r="N1961" t="str">
        <f>IF(交易處理資料__3[[#This Row],[上班時間]]=0,"否","是")</f>
        <v>否</v>
      </c>
      <c r="O1961" t="s">
        <v>76</v>
      </c>
      <c r="P1961" s="38">
        <v>0</v>
      </c>
      <c r="Q1961" s="38">
        <v>0</v>
      </c>
      <c r="R1961" s="38">
        <v>0</v>
      </c>
    </row>
    <row r="1962" spans="1:18" hidden="1">
      <c r="A1962" t="s">
        <v>76</v>
      </c>
      <c r="B1962" t="s">
        <v>36</v>
      </c>
      <c r="C1962">
        <v>0</v>
      </c>
      <c r="D1962">
        <v>0</v>
      </c>
      <c r="E1962" s="29">
        <v>0</v>
      </c>
      <c r="F1962">
        <v>0</v>
      </c>
      <c r="G1962">
        <v>0</v>
      </c>
      <c r="H1962">
        <v>0</v>
      </c>
      <c r="I1962" s="29">
        <v>0</v>
      </c>
      <c r="J1962" s="29">
        <v>0</v>
      </c>
      <c r="K1962" s="9">
        <v>45340</v>
      </c>
      <c r="L1962">
        <f xml:space="preserve"> (交易處理資料__3[[#This Row],[售出工時]] * 60) / 5</f>
        <v>0</v>
      </c>
      <c r="M1962" t="str">
        <f>VLOOKUP(交易處理資料__3[[#This Row],[人員代號]],團隊分組!$B$1:$C$52,2,FALSE)</f>
        <v>查修團隊B</v>
      </c>
      <c r="N1962" t="str">
        <f>IF(交易處理資料__3[[#This Row],[上班時間]]=0,"否","是")</f>
        <v>否</v>
      </c>
      <c r="O1962" t="s">
        <v>76</v>
      </c>
      <c r="P1962" s="37">
        <v>0</v>
      </c>
      <c r="Q1962" s="37">
        <v>0</v>
      </c>
      <c r="R1962" s="37">
        <v>0</v>
      </c>
    </row>
    <row r="1963" spans="1:18" hidden="1">
      <c r="A1963" t="s">
        <v>76</v>
      </c>
      <c r="B1963" t="s">
        <v>37</v>
      </c>
      <c r="C1963">
        <v>0</v>
      </c>
      <c r="D1963">
        <v>0</v>
      </c>
      <c r="E1963" s="29">
        <v>0</v>
      </c>
      <c r="F1963">
        <v>0</v>
      </c>
      <c r="G1963">
        <v>0</v>
      </c>
      <c r="H1963">
        <v>0</v>
      </c>
      <c r="I1963" s="29">
        <v>0</v>
      </c>
      <c r="J1963" s="29">
        <v>0</v>
      </c>
      <c r="K1963" s="9">
        <v>45340</v>
      </c>
      <c r="L1963">
        <f xml:space="preserve"> (交易處理資料__3[[#This Row],[售出工時]] * 60) / 5</f>
        <v>0</v>
      </c>
      <c r="M1963" t="str">
        <f>VLOOKUP(交易處理資料__3[[#This Row],[人員代號]],團隊分組!$B$1:$C$52,2,FALSE)</f>
        <v>查修團隊A</v>
      </c>
      <c r="N1963" t="str">
        <f>IF(交易處理資料__3[[#This Row],[上班時間]]=0,"否","是")</f>
        <v>否</v>
      </c>
      <c r="O1963" t="s">
        <v>76</v>
      </c>
      <c r="P1963" s="38">
        <v>0</v>
      </c>
      <c r="Q1963" s="38">
        <v>0</v>
      </c>
      <c r="R1963" s="38">
        <v>0</v>
      </c>
    </row>
    <row r="1964" spans="1:18" hidden="1">
      <c r="A1964" t="s">
        <v>76</v>
      </c>
      <c r="B1964" t="s">
        <v>38</v>
      </c>
      <c r="C1964">
        <v>0</v>
      </c>
      <c r="D1964">
        <v>0</v>
      </c>
      <c r="E1964" s="29">
        <v>0</v>
      </c>
      <c r="F1964">
        <v>0</v>
      </c>
      <c r="G1964">
        <v>0</v>
      </c>
      <c r="H1964">
        <v>0</v>
      </c>
      <c r="I1964" s="29">
        <v>0</v>
      </c>
      <c r="J1964" s="29">
        <v>0</v>
      </c>
      <c r="K1964" s="9">
        <v>45340</v>
      </c>
      <c r="L1964">
        <f xml:space="preserve"> (交易處理資料__3[[#This Row],[售出工時]] * 60) / 5</f>
        <v>0</v>
      </c>
      <c r="M1964" t="str">
        <f>VLOOKUP(交易處理資料__3[[#This Row],[人員代號]],團隊分組!$B$1:$C$52,2,FALSE)</f>
        <v>快速保養團隊A</v>
      </c>
      <c r="N1964" t="str">
        <f>IF(交易處理資料__3[[#This Row],[上班時間]]=0,"否","是")</f>
        <v>否</v>
      </c>
      <c r="O1964" t="s">
        <v>76</v>
      </c>
      <c r="P1964" s="37">
        <v>0</v>
      </c>
      <c r="Q1964" s="37">
        <v>0</v>
      </c>
      <c r="R1964" s="37">
        <v>0</v>
      </c>
    </row>
    <row r="1965" spans="1:18" hidden="1">
      <c r="A1965" t="s">
        <v>76</v>
      </c>
      <c r="B1965" t="s">
        <v>39</v>
      </c>
      <c r="C1965">
        <v>0</v>
      </c>
      <c r="D1965">
        <v>0</v>
      </c>
      <c r="E1965" s="29">
        <v>0</v>
      </c>
      <c r="F1965">
        <v>0</v>
      </c>
      <c r="G1965">
        <v>0</v>
      </c>
      <c r="H1965">
        <v>0</v>
      </c>
      <c r="I1965" s="29">
        <v>0</v>
      </c>
      <c r="J1965" s="29">
        <v>0</v>
      </c>
      <c r="K1965" s="9">
        <v>45340</v>
      </c>
      <c r="L1965">
        <f xml:space="preserve"> (交易處理資料__3[[#This Row],[售出工時]] * 60) / 5</f>
        <v>0</v>
      </c>
      <c r="M1965" t="str">
        <f>VLOOKUP(交易處理資料__3[[#This Row],[人員代號]],團隊分組!$B$1:$C$52,2,FALSE)</f>
        <v>查修團隊A</v>
      </c>
      <c r="N1965" t="str">
        <f>IF(交易處理資料__3[[#This Row],[上班時間]]=0,"否","是")</f>
        <v>否</v>
      </c>
      <c r="O1965" t="s">
        <v>76</v>
      </c>
      <c r="P1965" s="38">
        <v>0</v>
      </c>
      <c r="Q1965" s="38">
        <v>0</v>
      </c>
      <c r="R1965" s="38">
        <v>0</v>
      </c>
    </row>
    <row r="1966" spans="1:18" hidden="1">
      <c r="A1966" t="s">
        <v>76</v>
      </c>
      <c r="B1966" t="s">
        <v>40</v>
      </c>
      <c r="C1966">
        <v>0</v>
      </c>
      <c r="D1966">
        <v>0</v>
      </c>
      <c r="E1966" s="29">
        <v>0</v>
      </c>
      <c r="F1966">
        <v>0</v>
      </c>
      <c r="G1966">
        <v>0</v>
      </c>
      <c r="H1966">
        <v>0</v>
      </c>
      <c r="I1966" s="29">
        <v>0</v>
      </c>
      <c r="J1966" s="29">
        <v>0</v>
      </c>
      <c r="K1966" s="9">
        <v>45340</v>
      </c>
      <c r="L1966">
        <f xml:space="preserve"> (交易處理資料__3[[#This Row],[售出工時]] * 60) / 5</f>
        <v>0</v>
      </c>
      <c r="M1966" t="str">
        <f>VLOOKUP(交易處理資料__3[[#This Row],[人員代號]],團隊分組!$B$1:$C$52,2,FALSE)</f>
        <v>查修團隊A</v>
      </c>
      <c r="N1966" t="str">
        <f>IF(交易處理資料__3[[#This Row],[上班時間]]=0,"否","是")</f>
        <v>否</v>
      </c>
      <c r="O1966" t="s">
        <v>76</v>
      </c>
      <c r="P1966" s="37">
        <v>0</v>
      </c>
      <c r="Q1966" s="37">
        <v>0</v>
      </c>
      <c r="R1966" s="37">
        <v>0</v>
      </c>
    </row>
    <row r="1967" spans="1:18" hidden="1">
      <c r="A1967" t="s">
        <v>76</v>
      </c>
      <c r="B1967" t="s">
        <v>41</v>
      </c>
      <c r="C1967">
        <v>0</v>
      </c>
      <c r="D1967">
        <v>0</v>
      </c>
      <c r="E1967" s="29">
        <v>0</v>
      </c>
      <c r="F1967">
        <v>0</v>
      </c>
      <c r="G1967">
        <v>0</v>
      </c>
      <c r="H1967">
        <v>0</v>
      </c>
      <c r="I1967" s="29">
        <v>0</v>
      </c>
      <c r="J1967" s="29">
        <v>0</v>
      </c>
      <c r="K1967" s="9">
        <v>45340</v>
      </c>
      <c r="L1967">
        <f xml:space="preserve"> (交易處理資料__3[[#This Row],[售出工時]] * 60) / 5</f>
        <v>0</v>
      </c>
      <c r="M1967" t="str">
        <f>VLOOKUP(交易處理資料__3[[#This Row],[人員代號]],團隊分組!$B$1:$C$52,2,FALSE)</f>
        <v>快速保養團隊A</v>
      </c>
      <c r="N1967" t="str">
        <f>IF(交易處理資料__3[[#This Row],[上班時間]]=0,"否","是")</f>
        <v>否</v>
      </c>
      <c r="O1967" t="s">
        <v>76</v>
      </c>
      <c r="P1967" s="38">
        <v>0</v>
      </c>
      <c r="Q1967" s="38">
        <v>0</v>
      </c>
      <c r="R1967" s="38">
        <v>0</v>
      </c>
    </row>
    <row r="1968" spans="1:18" hidden="1">
      <c r="A1968" t="s">
        <v>76</v>
      </c>
      <c r="B1968" t="s">
        <v>42</v>
      </c>
      <c r="C1968">
        <v>0</v>
      </c>
      <c r="D1968">
        <v>0</v>
      </c>
      <c r="E1968" s="29">
        <v>0</v>
      </c>
      <c r="F1968">
        <v>0</v>
      </c>
      <c r="G1968">
        <v>0</v>
      </c>
      <c r="H1968">
        <v>0</v>
      </c>
      <c r="I1968" s="29">
        <v>0</v>
      </c>
      <c r="J1968" s="29">
        <v>0</v>
      </c>
      <c r="K1968" s="9">
        <v>45340</v>
      </c>
      <c r="L1968">
        <f xml:space="preserve"> (交易處理資料__3[[#This Row],[售出工時]] * 60) / 5</f>
        <v>0</v>
      </c>
      <c r="M1968" t="str">
        <f>VLOOKUP(交易處理資料__3[[#This Row],[人員代號]],團隊分組!$B$1:$C$52,2,FALSE)</f>
        <v>快速保養團隊A</v>
      </c>
      <c r="N1968" t="str">
        <f>IF(交易處理資料__3[[#This Row],[上班時間]]=0,"否","是")</f>
        <v>否</v>
      </c>
      <c r="O1968" t="s">
        <v>76</v>
      </c>
      <c r="P1968" s="37">
        <v>0</v>
      </c>
      <c r="Q1968" s="37">
        <v>0</v>
      </c>
      <c r="R1968" s="37">
        <v>0</v>
      </c>
    </row>
    <row r="1969" spans="1:18" hidden="1">
      <c r="A1969" t="s">
        <v>76</v>
      </c>
      <c r="B1969" t="s">
        <v>43</v>
      </c>
      <c r="C1969">
        <v>0</v>
      </c>
      <c r="D1969">
        <v>0</v>
      </c>
      <c r="E1969" s="29">
        <v>0</v>
      </c>
      <c r="F1969">
        <v>0</v>
      </c>
      <c r="G1969">
        <v>0</v>
      </c>
      <c r="H1969">
        <v>0</v>
      </c>
      <c r="I1969" s="29">
        <v>0</v>
      </c>
      <c r="J1969" s="29">
        <v>0</v>
      </c>
      <c r="K1969" s="9">
        <v>45340</v>
      </c>
      <c r="L1969">
        <f xml:space="preserve"> (交易處理資料__3[[#This Row],[售出工時]] * 60) / 5</f>
        <v>0</v>
      </c>
      <c r="M1969" t="str">
        <f>VLOOKUP(交易處理資料__3[[#This Row],[人員代號]],團隊分組!$B$1:$C$52,2,FALSE)</f>
        <v>查修團隊B</v>
      </c>
      <c r="N1969" t="str">
        <f>IF(交易處理資料__3[[#This Row],[上班時間]]=0,"否","是")</f>
        <v>否</v>
      </c>
      <c r="O1969" t="s">
        <v>76</v>
      </c>
      <c r="P1969" s="38">
        <v>0</v>
      </c>
      <c r="Q1969" s="38">
        <v>0</v>
      </c>
      <c r="R1969" s="38">
        <v>0</v>
      </c>
    </row>
    <row r="1970" spans="1:18" hidden="1">
      <c r="A1970" t="s">
        <v>76</v>
      </c>
      <c r="B1970" t="s">
        <v>44</v>
      </c>
      <c r="C1970">
        <v>0</v>
      </c>
      <c r="D1970">
        <v>0</v>
      </c>
      <c r="E1970" s="29">
        <v>0</v>
      </c>
      <c r="F1970">
        <v>0</v>
      </c>
      <c r="G1970">
        <v>0</v>
      </c>
      <c r="H1970">
        <v>0</v>
      </c>
      <c r="I1970" s="29">
        <v>0</v>
      </c>
      <c r="J1970" s="29">
        <v>0</v>
      </c>
      <c r="K1970" s="9">
        <v>45340</v>
      </c>
      <c r="L1970">
        <f xml:space="preserve"> (交易處理資料__3[[#This Row],[售出工時]] * 60) / 5</f>
        <v>0</v>
      </c>
      <c r="M1970" t="str">
        <f>VLOOKUP(交易處理資料__3[[#This Row],[人員代號]],團隊分組!$B$1:$C$52,2,FALSE)</f>
        <v>快速保養團隊B</v>
      </c>
      <c r="N1970" t="str">
        <f>IF(交易處理資料__3[[#This Row],[上班時間]]=0,"否","是")</f>
        <v>否</v>
      </c>
      <c r="O1970" t="s">
        <v>76</v>
      </c>
      <c r="P1970" s="37">
        <v>0</v>
      </c>
      <c r="Q1970" s="37">
        <v>0</v>
      </c>
      <c r="R1970" s="37">
        <v>0</v>
      </c>
    </row>
    <row r="1971" spans="1:18" hidden="1">
      <c r="A1971" t="s">
        <v>76</v>
      </c>
      <c r="B1971" t="s">
        <v>45</v>
      </c>
      <c r="C1971">
        <v>0</v>
      </c>
      <c r="D1971">
        <v>0</v>
      </c>
      <c r="E1971" s="29">
        <v>0</v>
      </c>
      <c r="F1971">
        <v>0</v>
      </c>
      <c r="G1971">
        <v>0</v>
      </c>
      <c r="H1971">
        <v>0</v>
      </c>
      <c r="I1971" s="29">
        <v>0</v>
      </c>
      <c r="J1971" s="29">
        <v>0</v>
      </c>
      <c r="K1971" s="9">
        <v>45340</v>
      </c>
      <c r="L1971">
        <f xml:space="preserve"> (交易處理資料__3[[#This Row],[售出工時]] * 60) / 5</f>
        <v>0</v>
      </c>
      <c r="M1971" t="str">
        <f>VLOOKUP(交易處理資料__3[[#This Row],[人員代號]],團隊分組!$B$1:$C$52,2,FALSE)</f>
        <v>快速保養團隊A</v>
      </c>
      <c r="N1971" t="str">
        <f>IF(交易處理資料__3[[#This Row],[上班時間]]=0,"否","是")</f>
        <v>否</v>
      </c>
      <c r="O1971" t="s">
        <v>76</v>
      </c>
      <c r="P1971" s="38">
        <v>0</v>
      </c>
      <c r="Q1971" s="38">
        <v>0</v>
      </c>
      <c r="R1971" s="38">
        <v>0</v>
      </c>
    </row>
    <row r="1972" spans="1:18" hidden="1">
      <c r="A1972" t="s">
        <v>76</v>
      </c>
      <c r="B1972" t="s">
        <v>46</v>
      </c>
      <c r="C1972">
        <v>0</v>
      </c>
      <c r="D1972">
        <v>0</v>
      </c>
      <c r="E1972" s="29">
        <v>0</v>
      </c>
      <c r="F1972">
        <v>0</v>
      </c>
      <c r="G1972">
        <v>0</v>
      </c>
      <c r="H1972">
        <v>0</v>
      </c>
      <c r="I1972" s="29">
        <v>0</v>
      </c>
      <c r="J1972" s="29">
        <v>0</v>
      </c>
      <c r="K1972" s="9">
        <v>45340</v>
      </c>
      <c r="L1972">
        <f xml:space="preserve"> (交易處理資料__3[[#This Row],[售出工時]] * 60) / 5</f>
        <v>0</v>
      </c>
      <c r="M1972" t="str">
        <f>VLOOKUP(交易處理資料__3[[#This Row],[人員代號]],團隊分組!$B$1:$C$52,2,FALSE)</f>
        <v>查修團隊B</v>
      </c>
      <c r="N1972" t="str">
        <f>IF(交易處理資料__3[[#This Row],[上班時間]]=0,"否","是")</f>
        <v>否</v>
      </c>
      <c r="O1972" t="s">
        <v>76</v>
      </c>
      <c r="P1972" s="37">
        <v>0</v>
      </c>
      <c r="Q1972" s="37">
        <v>0</v>
      </c>
      <c r="R1972" s="37">
        <v>0</v>
      </c>
    </row>
    <row r="1973" spans="1:18" hidden="1">
      <c r="A1973" t="s">
        <v>76</v>
      </c>
      <c r="B1973" t="s">
        <v>47</v>
      </c>
      <c r="C1973">
        <v>0</v>
      </c>
      <c r="D1973">
        <v>0</v>
      </c>
      <c r="E1973" s="29">
        <v>0</v>
      </c>
      <c r="F1973">
        <v>0</v>
      </c>
      <c r="G1973">
        <v>0</v>
      </c>
      <c r="H1973">
        <v>0</v>
      </c>
      <c r="I1973" s="29">
        <v>0</v>
      </c>
      <c r="J1973" s="29">
        <v>0</v>
      </c>
      <c r="K1973" s="9">
        <v>45340</v>
      </c>
      <c r="L1973">
        <f xml:space="preserve"> (交易處理資料__3[[#This Row],[售出工時]] * 60) / 5</f>
        <v>0</v>
      </c>
      <c r="M1973" t="str">
        <f>VLOOKUP(交易處理資料__3[[#This Row],[人員代號]],團隊分組!$B$1:$C$52,2,FALSE)</f>
        <v>查修團隊B</v>
      </c>
      <c r="N1973" t="str">
        <f>IF(交易處理資料__3[[#This Row],[上班時間]]=0,"否","是")</f>
        <v>否</v>
      </c>
      <c r="O1973" t="s">
        <v>76</v>
      </c>
      <c r="P1973" s="38">
        <v>0</v>
      </c>
      <c r="Q1973" s="38">
        <v>0</v>
      </c>
      <c r="R1973" s="38">
        <v>0</v>
      </c>
    </row>
    <row r="1974" spans="1:18" hidden="1">
      <c r="A1974" t="s">
        <v>76</v>
      </c>
      <c r="B1974" t="s">
        <v>48</v>
      </c>
      <c r="C1974">
        <v>0</v>
      </c>
      <c r="D1974">
        <v>0</v>
      </c>
      <c r="E1974" s="29">
        <v>0</v>
      </c>
      <c r="F1974">
        <v>0</v>
      </c>
      <c r="G1974">
        <v>0</v>
      </c>
      <c r="H1974">
        <v>0</v>
      </c>
      <c r="I1974" s="29">
        <v>0</v>
      </c>
      <c r="J1974" s="29">
        <v>0</v>
      </c>
      <c r="K1974" s="9">
        <v>45340</v>
      </c>
      <c r="L1974">
        <f xml:space="preserve"> (交易處理資料__3[[#This Row],[售出工時]] * 60) / 5</f>
        <v>0</v>
      </c>
      <c r="M1974" t="str">
        <f>VLOOKUP(交易處理資料__3[[#This Row],[人員代號]],團隊分組!$B$1:$C$52,2,FALSE)</f>
        <v>查修團隊A</v>
      </c>
      <c r="N1974" t="str">
        <f>IF(交易處理資料__3[[#This Row],[上班時間]]=0,"否","是")</f>
        <v>否</v>
      </c>
      <c r="O1974" t="s">
        <v>76</v>
      </c>
      <c r="P1974" s="37">
        <v>0</v>
      </c>
      <c r="Q1974" s="37">
        <v>0</v>
      </c>
      <c r="R1974" s="37">
        <v>0</v>
      </c>
    </row>
    <row r="1975" spans="1:18" hidden="1">
      <c r="A1975" t="s">
        <v>76</v>
      </c>
      <c r="B1975" t="s">
        <v>49</v>
      </c>
      <c r="C1975">
        <v>0</v>
      </c>
      <c r="D1975">
        <v>0</v>
      </c>
      <c r="E1975" s="29">
        <v>0</v>
      </c>
      <c r="F1975">
        <v>0</v>
      </c>
      <c r="G1975">
        <v>0</v>
      </c>
      <c r="H1975">
        <v>0</v>
      </c>
      <c r="I1975" s="29">
        <v>0</v>
      </c>
      <c r="J1975" s="29">
        <v>0</v>
      </c>
      <c r="K1975" s="9">
        <v>45340</v>
      </c>
      <c r="L1975">
        <f xml:space="preserve"> (交易處理資料__3[[#This Row],[售出工時]] * 60) / 5</f>
        <v>0</v>
      </c>
      <c r="M1975" t="str">
        <f>VLOOKUP(交易處理資料__3[[#This Row],[人員代號]],團隊分組!$B$1:$C$52,2,FALSE)</f>
        <v>查修團隊A</v>
      </c>
      <c r="N1975" t="str">
        <f>IF(交易處理資料__3[[#This Row],[上班時間]]=0,"否","是")</f>
        <v>否</v>
      </c>
      <c r="O1975" t="s">
        <v>76</v>
      </c>
      <c r="P1975" s="38">
        <v>0</v>
      </c>
      <c r="Q1975" s="38">
        <v>0</v>
      </c>
      <c r="R1975" s="38">
        <v>0</v>
      </c>
    </row>
    <row r="1976" spans="1:18" hidden="1">
      <c r="A1976" t="s">
        <v>76</v>
      </c>
      <c r="B1976" t="s">
        <v>50</v>
      </c>
      <c r="C1976">
        <v>0</v>
      </c>
      <c r="D1976">
        <v>0</v>
      </c>
      <c r="E1976" s="29">
        <v>0</v>
      </c>
      <c r="F1976">
        <v>0</v>
      </c>
      <c r="G1976">
        <v>0</v>
      </c>
      <c r="H1976">
        <v>0</v>
      </c>
      <c r="I1976" s="29">
        <v>0</v>
      </c>
      <c r="J1976" s="29">
        <v>0</v>
      </c>
      <c r="K1976" s="9">
        <v>45340</v>
      </c>
      <c r="L1976">
        <f xml:space="preserve"> (交易處理資料__3[[#This Row],[售出工時]] * 60) / 5</f>
        <v>0</v>
      </c>
      <c r="M1976" t="str">
        <f>VLOOKUP(交易處理資料__3[[#This Row],[人員代號]],團隊分組!$B$1:$C$52,2,FALSE)</f>
        <v>快速保養團隊B</v>
      </c>
      <c r="N1976" t="str">
        <f>IF(交易處理資料__3[[#This Row],[上班時間]]=0,"否","是")</f>
        <v>否</v>
      </c>
      <c r="O1976" t="s">
        <v>76</v>
      </c>
      <c r="P1976" s="37">
        <v>0</v>
      </c>
      <c r="Q1976" s="37">
        <v>0</v>
      </c>
      <c r="R1976" s="37">
        <v>0</v>
      </c>
    </row>
    <row r="1977" spans="1:18" hidden="1">
      <c r="A1977" t="s">
        <v>76</v>
      </c>
      <c r="B1977" t="s">
        <v>51</v>
      </c>
      <c r="C1977">
        <v>0</v>
      </c>
      <c r="D1977">
        <v>0</v>
      </c>
      <c r="E1977" s="29">
        <v>0</v>
      </c>
      <c r="F1977">
        <v>0</v>
      </c>
      <c r="G1977">
        <v>0</v>
      </c>
      <c r="H1977">
        <v>0</v>
      </c>
      <c r="I1977" s="29">
        <v>0</v>
      </c>
      <c r="J1977" s="29">
        <v>0</v>
      </c>
      <c r="K1977" s="9">
        <v>45340</v>
      </c>
      <c r="L1977">
        <f xml:space="preserve"> (交易處理資料__3[[#This Row],[售出工時]] * 60) / 5</f>
        <v>0</v>
      </c>
      <c r="M1977" t="str">
        <f>VLOOKUP(交易處理資料__3[[#This Row],[人員代號]],團隊分組!$B$1:$C$52,2,FALSE)</f>
        <v>無效數據</v>
      </c>
      <c r="N1977" t="str">
        <f>IF(交易處理資料__3[[#This Row],[上班時間]]=0,"否","是")</f>
        <v>否</v>
      </c>
      <c r="O1977" t="s">
        <v>76</v>
      </c>
      <c r="P1977" s="38">
        <v>0</v>
      </c>
      <c r="Q1977" s="38">
        <v>0</v>
      </c>
      <c r="R1977" s="38">
        <v>0</v>
      </c>
    </row>
    <row r="1978" spans="1:18" hidden="1">
      <c r="A1978" t="s">
        <v>76</v>
      </c>
      <c r="B1978" t="s">
        <v>52</v>
      </c>
      <c r="C1978">
        <v>0</v>
      </c>
      <c r="D1978">
        <v>0</v>
      </c>
      <c r="E1978" s="29">
        <v>0</v>
      </c>
      <c r="F1978">
        <v>0</v>
      </c>
      <c r="G1978">
        <v>0</v>
      </c>
      <c r="H1978">
        <v>0</v>
      </c>
      <c r="I1978" s="29">
        <v>0</v>
      </c>
      <c r="J1978" s="29">
        <v>0</v>
      </c>
      <c r="K1978" s="9">
        <v>45340</v>
      </c>
      <c r="L1978">
        <f xml:space="preserve"> (交易處理資料__3[[#This Row],[售出工時]] * 60) / 5</f>
        <v>0</v>
      </c>
      <c r="M1978" t="str">
        <f>VLOOKUP(交易處理資料__3[[#This Row],[人員代號]],團隊分組!$B$1:$C$52,2,FALSE)</f>
        <v>查修團隊B</v>
      </c>
      <c r="N1978" t="str">
        <f>IF(交易處理資料__3[[#This Row],[上班時間]]=0,"否","是")</f>
        <v>否</v>
      </c>
      <c r="O1978" t="s">
        <v>76</v>
      </c>
      <c r="P1978" s="37">
        <v>0</v>
      </c>
      <c r="Q1978" s="37">
        <v>0</v>
      </c>
      <c r="R1978" s="37">
        <v>0</v>
      </c>
    </row>
    <row r="1979" spans="1:18" hidden="1">
      <c r="A1979" t="s">
        <v>76</v>
      </c>
      <c r="B1979" t="s">
        <v>53</v>
      </c>
      <c r="C1979">
        <v>0</v>
      </c>
      <c r="D1979">
        <v>0</v>
      </c>
      <c r="E1979" s="29">
        <v>0</v>
      </c>
      <c r="F1979">
        <v>0</v>
      </c>
      <c r="G1979">
        <v>0</v>
      </c>
      <c r="H1979">
        <v>0</v>
      </c>
      <c r="I1979" s="29">
        <v>0</v>
      </c>
      <c r="J1979" s="29">
        <v>0</v>
      </c>
      <c r="K1979" s="9">
        <v>45340</v>
      </c>
      <c r="L1979">
        <f xml:space="preserve"> (交易處理資料__3[[#This Row],[售出工時]] * 60) / 5</f>
        <v>0</v>
      </c>
      <c r="M1979" t="str">
        <f>VLOOKUP(交易處理資料__3[[#This Row],[人員代號]],團隊分組!$B$1:$C$52,2,FALSE)</f>
        <v>查修團隊A</v>
      </c>
      <c r="N1979" t="str">
        <f>IF(交易處理資料__3[[#This Row],[上班時間]]=0,"否","是")</f>
        <v>否</v>
      </c>
      <c r="O1979" t="s">
        <v>76</v>
      </c>
      <c r="P1979" s="38">
        <v>0</v>
      </c>
      <c r="Q1979" s="38">
        <v>0</v>
      </c>
      <c r="R1979" s="38">
        <v>0</v>
      </c>
    </row>
    <row r="1980" spans="1:18" hidden="1">
      <c r="A1980" s="10" t="s">
        <v>74</v>
      </c>
      <c r="B1980" t="s">
        <v>1</v>
      </c>
      <c r="C1980">
        <v>0</v>
      </c>
      <c r="D1980">
        <v>0</v>
      </c>
      <c r="E1980" s="29">
        <v>0</v>
      </c>
      <c r="F1980">
        <v>6.45</v>
      </c>
      <c r="G1980">
        <v>1.03</v>
      </c>
      <c r="H1980">
        <v>7.48</v>
      </c>
      <c r="I1980" s="29">
        <v>0.86230000000000007</v>
      </c>
      <c r="J1980" s="29">
        <v>0</v>
      </c>
      <c r="K1980" s="9">
        <v>45341</v>
      </c>
      <c r="L1980">
        <f xml:space="preserve"> (交易處理資料__3[[#This Row],[售出工時]] * 60) / 5</f>
        <v>0</v>
      </c>
      <c r="M1980" t="str">
        <f>VLOOKUP(交易處理資料__3[[#This Row],[人員代號]],團隊分組!$B$1:$C$52,2,FALSE)</f>
        <v>噴漆維修組</v>
      </c>
      <c r="N1980" t="str">
        <f>IF(交易處理資料__3[[#This Row],[上班時間]]=0,"否","是")</f>
        <v>是</v>
      </c>
      <c r="O1980" s="10" t="s">
        <v>74</v>
      </c>
      <c r="P1980" s="37">
        <v>0</v>
      </c>
      <c r="Q1980" s="37">
        <v>0</v>
      </c>
      <c r="R1980" s="37">
        <v>0.86230000000000007</v>
      </c>
    </row>
    <row r="1981" spans="1:18" hidden="1">
      <c r="A1981" s="10" t="s">
        <v>74</v>
      </c>
      <c r="B1981" t="s">
        <v>2</v>
      </c>
      <c r="C1981">
        <v>1.28</v>
      </c>
      <c r="D1981">
        <v>3.97</v>
      </c>
      <c r="E1981" s="29">
        <v>0.32241813600000002</v>
      </c>
      <c r="F1981">
        <v>4.67</v>
      </c>
      <c r="G1981">
        <v>2.89</v>
      </c>
      <c r="H1981">
        <v>7.56</v>
      </c>
      <c r="I1981" s="29">
        <v>0.61770000000000003</v>
      </c>
      <c r="J1981" s="29">
        <v>0.16930000000000001</v>
      </c>
      <c r="K1981" s="9">
        <v>45341</v>
      </c>
      <c r="L1981">
        <f xml:space="preserve"> (交易處理資料__3[[#This Row],[售出工時]] * 60) / 5</f>
        <v>15.36</v>
      </c>
      <c r="M1981" t="str">
        <f>VLOOKUP(交易處理資料__3[[#This Row],[人員代號]],團隊分組!$B$1:$C$52,2,FALSE)</f>
        <v>噴漆維修組</v>
      </c>
      <c r="N1981" t="str">
        <f>IF(交易處理資料__3[[#This Row],[上班時間]]=0,"否","是")</f>
        <v>是</v>
      </c>
      <c r="O1981" s="10" t="s">
        <v>74</v>
      </c>
      <c r="P1981" s="38">
        <v>0.32241813600000002</v>
      </c>
      <c r="Q1981" s="38">
        <v>0.16930000000000001</v>
      </c>
      <c r="R1981" s="38">
        <v>0.61770000000000003</v>
      </c>
    </row>
    <row r="1982" spans="1:18" hidden="1">
      <c r="A1982" s="10" t="s">
        <v>74</v>
      </c>
      <c r="B1982" t="s">
        <v>3</v>
      </c>
      <c r="C1982">
        <v>1.28</v>
      </c>
      <c r="D1982">
        <v>3.97</v>
      </c>
      <c r="E1982" s="29">
        <v>0.32241813600000002</v>
      </c>
      <c r="F1982">
        <v>4.67</v>
      </c>
      <c r="G1982">
        <v>2.89</v>
      </c>
      <c r="H1982">
        <v>7.56</v>
      </c>
      <c r="I1982" s="29">
        <v>0.61770000000000003</v>
      </c>
      <c r="J1982" s="29">
        <v>0.16930000000000001</v>
      </c>
      <c r="K1982" s="9">
        <v>45341</v>
      </c>
      <c r="L1982">
        <f xml:space="preserve"> (交易處理資料__3[[#This Row],[售出工時]] * 60) / 5</f>
        <v>15.36</v>
      </c>
      <c r="M1982" t="str">
        <f>VLOOKUP(交易處理資料__3[[#This Row],[人員代號]],團隊分組!$B$1:$C$52,2,FALSE)</f>
        <v>噴漆維修組</v>
      </c>
      <c r="N1982" t="str">
        <f>IF(交易處理資料__3[[#This Row],[上班時間]]=0,"否","是")</f>
        <v>是</v>
      </c>
      <c r="O1982" s="10" t="s">
        <v>74</v>
      </c>
      <c r="P1982" s="37">
        <v>0.32241813600000002</v>
      </c>
      <c r="Q1982" s="37">
        <v>0.16930000000000001</v>
      </c>
      <c r="R1982" s="37">
        <v>0.61770000000000003</v>
      </c>
    </row>
    <row r="1983" spans="1:18" hidden="1">
      <c r="A1983" s="10" t="s">
        <v>74</v>
      </c>
      <c r="B1983" t="s">
        <v>4</v>
      </c>
      <c r="C1983">
        <v>0</v>
      </c>
      <c r="D1983">
        <v>0</v>
      </c>
      <c r="E1983" s="29">
        <v>0</v>
      </c>
      <c r="F1983">
        <v>6.51</v>
      </c>
      <c r="G1983">
        <v>1.01</v>
      </c>
      <c r="H1983">
        <v>7.52</v>
      </c>
      <c r="I1983" s="29">
        <v>0.86569999999999991</v>
      </c>
      <c r="J1983" s="29">
        <v>0</v>
      </c>
      <c r="K1983" s="9">
        <v>45341</v>
      </c>
      <c r="L1983">
        <f xml:space="preserve"> (交易處理資料__3[[#This Row],[售出工時]] * 60) / 5</f>
        <v>0</v>
      </c>
      <c r="M1983" t="str">
        <f>VLOOKUP(交易處理資料__3[[#This Row],[人員代號]],團隊分組!$B$1:$C$52,2,FALSE)</f>
        <v>噴漆維修組</v>
      </c>
      <c r="N1983" t="str">
        <f>IF(交易處理資料__3[[#This Row],[上班時間]]=0,"否","是")</f>
        <v>是</v>
      </c>
      <c r="O1983" s="10" t="s">
        <v>74</v>
      </c>
      <c r="P1983" s="38">
        <v>0</v>
      </c>
      <c r="Q1983" s="38">
        <v>0</v>
      </c>
      <c r="R1983" s="38">
        <v>0.86569999999999991</v>
      </c>
    </row>
    <row r="1984" spans="1:18" hidden="1">
      <c r="A1984" s="10" t="s">
        <v>74</v>
      </c>
      <c r="B1984" t="s">
        <v>5</v>
      </c>
      <c r="C1984">
        <v>0</v>
      </c>
      <c r="D1984">
        <v>0</v>
      </c>
      <c r="E1984" s="29">
        <v>0</v>
      </c>
      <c r="F1984">
        <v>7.31</v>
      </c>
      <c r="G1984">
        <v>0.34</v>
      </c>
      <c r="H1984">
        <v>7.65</v>
      </c>
      <c r="I1984" s="29">
        <v>0.9556</v>
      </c>
      <c r="J1984" s="29">
        <v>0</v>
      </c>
      <c r="K1984" s="9">
        <v>45341</v>
      </c>
      <c r="L1984">
        <f xml:space="preserve"> (交易處理資料__3[[#This Row],[售出工時]] * 60) / 5</f>
        <v>0</v>
      </c>
      <c r="M1984" t="str">
        <f>VLOOKUP(交易處理資料__3[[#This Row],[人員代號]],團隊分組!$B$1:$C$52,2,FALSE)</f>
        <v>噴漆維修組</v>
      </c>
      <c r="N1984" t="str">
        <f>IF(交易處理資料__3[[#This Row],[上班時間]]=0,"否","是")</f>
        <v>是</v>
      </c>
      <c r="O1984" s="10" t="s">
        <v>74</v>
      </c>
      <c r="P1984" s="37">
        <v>0</v>
      </c>
      <c r="Q1984" s="37">
        <v>0</v>
      </c>
      <c r="R1984" s="37">
        <v>0.9556</v>
      </c>
    </row>
    <row r="1985" spans="1:18" hidden="1">
      <c r="A1985" s="10" t="s">
        <v>74</v>
      </c>
      <c r="B1985" t="s">
        <v>6</v>
      </c>
      <c r="C1985">
        <v>1.28</v>
      </c>
      <c r="D1985">
        <v>3.97</v>
      </c>
      <c r="E1985" s="29">
        <v>0.32241813600000002</v>
      </c>
      <c r="F1985">
        <v>4.67</v>
      </c>
      <c r="G1985">
        <v>2.89</v>
      </c>
      <c r="H1985">
        <v>7.56</v>
      </c>
      <c r="I1985" s="29">
        <v>0.61770000000000003</v>
      </c>
      <c r="J1985" s="29">
        <v>0.16930000000000001</v>
      </c>
      <c r="K1985" s="9">
        <v>45341</v>
      </c>
      <c r="L1985">
        <f xml:space="preserve"> (交易處理資料__3[[#This Row],[售出工時]] * 60) / 5</f>
        <v>15.36</v>
      </c>
      <c r="M1985" t="str">
        <f>VLOOKUP(交易處理資料__3[[#This Row],[人員代號]],團隊分組!$B$1:$C$52,2,FALSE)</f>
        <v>噴漆維修組</v>
      </c>
      <c r="N1985" t="str">
        <f>IF(交易處理資料__3[[#This Row],[上班時間]]=0,"否","是")</f>
        <v>是</v>
      </c>
      <c r="O1985" s="10" t="s">
        <v>74</v>
      </c>
      <c r="P1985" s="38">
        <v>0.32241813600000002</v>
      </c>
      <c r="Q1985" s="38">
        <v>0.16930000000000001</v>
      </c>
      <c r="R1985" s="38">
        <v>0.61770000000000003</v>
      </c>
    </row>
    <row r="1986" spans="1:18">
      <c r="A1986" s="10" t="s">
        <v>74</v>
      </c>
      <c r="B1986" t="s">
        <v>7</v>
      </c>
      <c r="C1986">
        <v>0</v>
      </c>
      <c r="D1986">
        <v>0</v>
      </c>
      <c r="E1986" s="29">
        <v>0</v>
      </c>
      <c r="F1986">
        <v>7.3</v>
      </c>
      <c r="G1986">
        <v>0.36</v>
      </c>
      <c r="H1986">
        <v>7.66</v>
      </c>
      <c r="I1986" s="29">
        <v>0.95299999999999996</v>
      </c>
      <c r="J1986" s="29">
        <v>0</v>
      </c>
      <c r="K1986" s="9">
        <v>45341</v>
      </c>
      <c r="L1986">
        <f xml:space="preserve"> (交易處理資料__3[[#This Row],[售出工時]] * 60) / 5</f>
        <v>0</v>
      </c>
      <c r="M1986" t="str">
        <f>VLOOKUP(交易處理資料__3[[#This Row],[人員代號]],團隊分組!$B$1:$C$52,2,FALSE)</f>
        <v>噴漆維修組</v>
      </c>
      <c r="N1986" t="str">
        <f>IF(交易處理資料__3[[#This Row],[上班時間]]=0,"否","是")</f>
        <v>是</v>
      </c>
      <c r="O1986" s="10" t="s">
        <v>74</v>
      </c>
      <c r="P1986" s="37">
        <v>0</v>
      </c>
      <c r="Q1986" s="37">
        <v>0</v>
      </c>
      <c r="R1986" s="37">
        <v>0.95299999999999996</v>
      </c>
    </row>
    <row r="1987" spans="1:18" hidden="1">
      <c r="A1987" s="10" t="s">
        <v>74</v>
      </c>
      <c r="B1987" t="s">
        <v>8</v>
      </c>
      <c r="C1987">
        <v>0</v>
      </c>
      <c r="D1987">
        <v>0</v>
      </c>
      <c r="E1987" s="29">
        <v>0</v>
      </c>
      <c r="F1987">
        <v>6.51</v>
      </c>
      <c r="G1987">
        <v>1.01</v>
      </c>
      <c r="H1987">
        <v>7.52</v>
      </c>
      <c r="I1987" s="29">
        <v>0.86569999999999991</v>
      </c>
      <c r="J1987" s="29">
        <v>0</v>
      </c>
      <c r="K1987" s="9">
        <v>45341</v>
      </c>
      <c r="L1987">
        <f xml:space="preserve"> (交易處理資料__3[[#This Row],[售出工時]] * 60) / 5</f>
        <v>0</v>
      </c>
      <c r="M1987" t="str">
        <f>VLOOKUP(交易處理資料__3[[#This Row],[人員代號]],團隊分組!$B$1:$C$52,2,FALSE)</f>
        <v>噴漆維修組</v>
      </c>
      <c r="N1987" t="str">
        <f>IF(交易處理資料__3[[#This Row],[上班時間]]=0,"否","是")</f>
        <v>是</v>
      </c>
      <c r="O1987" s="10" t="s">
        <v>74</v>
      </c>
      <c r="P1987" s="38">
        <v>0</v>
      </c>
      <c r="Q1987" s="38">
        <v>0</v>
      </c>
      <c r="R1987" s="38">
        <v>0.86569999999999991</v>
      </c>
    </row>
    <row r="1988" spans="1:18" hidden="1">
      <c r="A1988" s="10" t="s">
        <v>74</v>
      </c>
      <c r="B1988" t="s">
        <v>9</v>
      </c>
      <c r="C1988">
        <v>1.5</v>
      </c>
      <c r="D1988">
        <v>0.78</v>
      </c>
      <c r="E1988" s="29">
        <v>1.9230769230000002</v>
      </c>
      <c r="F1988">
        <v>6.46</v>
      </c>
      <c r="G1988">
        <v>1.03</v>
      </c>
      <c r="H1988">
        <v>7.49</v>
      </c>
      <c r="I1988" s="29">
        <v>0.86250000000000004</v>
      </c>
      <c r="J1988" s="29">
        <v>0.20030000000000001</v>
      </c>
      <c r="K1988" s="9">
        <v>45341</v>
      </c>
      <c r="L1988">
        <f xml:space="preserve"> (交易處理資料__3[[#This Row],[售出工時]] * 60) / 5</f>
        <v>18</v>
      </c>
      <c r="M1988" t="str">
        <f>VLOOKUP(交易處理資料__3[[#This Row],[人員代號]],團隊分組!$B$1:$C$52,2,FALSE)</f>
        <v>噴漆維修組</v>
      </c>
      <c r="N1988" t="str">
        <f>IF(交易處理資料__3[[#This Row],[上班時間]]=0,"否","是")</f>
        <v>是</v>
      </c>
      <c r="O1988" s="10" t="s">
        <v>74</v>
      </c>
      <c r="P1988" s="37">
        <v>1.9230769230000002</v>
      </c>
      <c r="Q1988" s="37">
        <v>0.20030000000000001</v>
      </c>
      <c r="R1988" s="37">
        <v>0.86250000000000004</v>
      </c>
    </row>
    <row r="1989" spans="1:18" hidden="1">
      <c r="A1989" t="s">
        <v>75</v>
      </c>
      <c r="B1989" t="s">
        <v>11</v>
      </c>
      <c r="C1989">
        <v>0</v>
      </c>
      <c r="D1989">
        <v>0</v>
      </c>
      <c r="E1989" s="29">
        <v>0</v>
      </c>
      <c r="F1989">
        <v>3.15</v>
      </c>
      <c r="G1989">
        <v>4.3499999999999996</v>
      </c>
      <c r="H1989">
        <v>7.5</v>
      </c>
      <c r="I1989" s="29">
        <v>0.42</v>
      </c>
      <c r="J1989" s="29">
        <v>0</v>
      </c>
      <c r="K1989" s="9">
        <v>45341</v>
      </c>
      <c r="L1989">
        <f xml:space="preserve"> (交易處理資料__3[[#This Row],[售出工時]] * 60) / 5</f>
        <v>0</v>
      </c>
      <c r="M1989" t="str">
        <f>VLOOKUP(交易處理資料__3[[#This Row],[人員代號]],團隊分組!$B$1:$C$52,2,FALSE)</f>
        <v>鈑金維修組</v>
      </c>
      <c r="N1989" t="str">
        <f>IF(交易處理資料__3[[#This Row],[上班時間]]=0,"否","是")</f>
        <v>是</v>
      </c>
      <c r="O1989" t="s">
        <v>75</v>
      </c>
      <c r="P1989" s="38">
        <v>0</v>
      </c>
      <c r="Q1989" s="38">
        <v>0</v>
      </c>
      <c r="R1989" s="38">
        <v>0.42</v>
      </c>
    </row>
    <row r="1990" spans="1:18" hidden="1">
      <c r="A1990" t="s">
        <v>75</v>
      </c>
      <c r="B1990" t="s">
        <v>12</v>
      </c>
      <c r="C1990">
        <v>1.25</v>
      </c>
      <c r="D1990">
        <v>0.8</v>
      </c>
      <c r="E1990" s="29">
        <v>1.5625</v>
      </c>
      <c r="F1990">
        <v>5.14</v>
      </c>
      <c r="G1990">
        <v>2.36</v>
      </c>
      <c r="H1990">
        <v>7.5</v>
      </c>
      <c r="I1990" s="29">
        <v>0.68530000000000002</v>
      </c>
      <c r="J1990" s="29">
        <v>0.16670000000000001</v>
      </c>
      <c r="K1990" s="9">
        <v>45341</v>
      </c>
      <c r="L1990">
        <f xml:space="preserve"> (交易處理資料__3[[#This Row],[售出工時]] * 60) / 5</f>
        <v>15</v>
      </c>
      <c r="M1990" t="str">
        <f>VLOOKUP(交易處理資料__3[[#This Row],[人員代號]],團隊分組!$B$1:$C$52,2,FALSE)</f>
        <v>鈑金維修組</v>
      </c>
      <c r="N1990" t="str">
        <f>IF(交易處理資料__3[[#This Row],[上班時間]]=0,"否","是")</f>
        <v>是</v>
      </c>
      <c r="O1990" t="s">
        <v>75</v>
      </c>
      <c r="P1990" s="37">
        <v>1.5625</v>
      </c>
      <c r="Q1990" s="37">
        <v>0.16670000000000001</v>
      </c>
      <c r="R1990" s="37">
        <v>0.68530000000000002</v>
      </c>
    </row>
    <row r="1991" spans="1:18" hidden="1">
      <c r="A1991" t="s">
        <v>75</v>
      </c>
      <c r="B1991" t="s">
        <v>13</v>
      </c>
      <c r="C1991">
        <v>0</v>
      </c>
      <c r="D1991">
        <v>0</v>
      </c>
      <c r="E1991" s="29">
        <v>0</v>
      </c>
      <c r="F1991">
        <v>3.25</v>
      </c>
      <c r="G1991">
        <v>4.25</v>
      </c>
      <c r="H1991">
        <v>7.5</v>
      </c>
      <c r="I1991" s="29">
        <v>0.43329999999999996</v>
      </c>
      <c r="J1991" s="29">
        <v>0</v>
      </c>
      <c r="K1991" s="9">
        <v>45341</v>
      </c>
      <c r="L1991">
        <f xml:space="preserve"> (交易處理資料__3[[#This Row],[售出工時]] * 60) / 5</f>
        <v>0</v>
      </c>
      <c r="M1991" t="str">
        <f>VLOOKUP(交易處理資料__3[[#This Row],[人員代號]],團隊分組!$B$1:$C$52,2,FALSE)</f>
        <v>鈑金維修組</v>
      </c>
      <c r="N1991" t="str">
        <f>IF(交易處理資料__3[[#This Row],[上班時間]]=0,"否","是")</f>
        <v>是</v>
      </c>
      <c r="O1991" t="s">
        <v>75</v>
      </c>
      <c r="P1991" s="38">
        <v>0</v>
      </c>
      <c r="Q1991" s="38">
        <v>0</v>
      </c>
      <c r="R1991" s="38">
        <v>0.43329999999999996</v>
      </c>
    </row>
    <row r="1992" spans="1:18" hidden="1">
      <c r="A1992" t="s">
        <v>75</v>
      </c>
      <c r="B1992" t="s">
        <v>14</v>
      </c>
      <c r="C1992">
        <v>2.5833333330000001</v>
      </c>
      <c r="D1992">
        <v>2.4700000000000002</v>
      </c>
      <c r="E1992" s="29">
        <v>1.045883941</v>
      </c>
      <c r="F1992">
        <v>2.0299999999999998</v>
      </c>
      <c r="G1992">
        <v>5.48</v>
      </c>
      <c r="H1992">
        <v>7.51</v>
      </c>
      <c r="I1992" s="29">
        <v>0.27029999999999998</v>
      </c>
      <c r="J1992" s="29">
        <v>0.34399999999999997</v>
      </c>
      <c r="K1992" s="9">
        <v>45341</v>
      </c>
      <c r="L1992">
        <f xml:space="preserve"> (交易處理資料__3[[#This Row],[售出工時]] * 60) / 5</f>
        <v>30.999999996000003</v>
      </c>
      <c r="M1992" t="str">
        <f>VLOOKUP(交易處理資料__3[[#This Row],[人員代號]],團隊分組!$B$1:$C$52,2,FALSE)</f>
        <v>鈑金維修組</v>
      </c>
      <c r="N1992" t="str">
        <f>IF(交易處理資料__3[[#This Row],[上班時間]]=0,"否","是")</f>
        <v>是</v>
      </c>
      <c r="O1992" t="s">
        <v>75</v>
      </c>
      <c r="P1992" s="37">
        <v>1.045883941</v>
      </c>
      <c r="Q1992" s="37">
        <v>0.34399999999999997</v>
      </c>
      <c r="R1992" s="37">
        <v>0.27029999999999998</v>
      </c>
    </row>
    <row r="1993" spans="1:18" hidden="1">
      <c r="A1993" t="s">
        <v>75</v>
      </c>
      <c r="B1993" t="s">
        <v>15</v>
      </c>
      <c r="C1993">
        <v>0</v>
      </c>
      <c r="D1993">
        <v>0</v>
      </c>
      <c r="E1993" s="29">
        <v>0</v>
      </c>
      <c r="F1993">
        <v>2.0299999999999998</v>
      </c>
      <c r="G1993">
        <v>5.46</v>
      </c>
      <c r="H1993">
        <v>7.49</v>
      </c>
      <c r="I1993" s="29">
        <v>0.27100000000000002</v>
      </c>
      <c r="J1993" s="29">
        <v>0</v>
      </c>
      <c r="K1993" s="9">
        <v>45341</v>
      </c>
      <c r="L1993">
        <f xml:space="preserve"> (交易處理資料__3[[#This Row],[售出工時]] * 60) / 5</f>
        <v>0</v>
      </c>
      <c r="M1993" t="str">
        <f>VLOOKUP(交易處理資料__3[[#This Row],[人員代號]],團隊分組!$B$1:$C$52,2,FALSE)</f>
        <v>鈑金維修組</v>
      </c>
      <c r="N1993" t="str">
        <f>IF(交易處理資料__3[[#This Row],[上班時間]]=0,"否","是")</f>
        <v>是</v>
      </c>
      <c r="O1993" t="s">
        <v>75</v>
      </c>
      <c r="P1993" s="38">
        <v>0</v>
      </c>
      <c r="Q1993" s="38">
        <v>0</v>
      </c>
      <c r="R1993" s="38">
        <v>0.27100000000000002</v>
      </c>
    </row>
    <row r="1994" spans="1:18" hidden="1">
      <c r="A1994" t="s">
        <v>76</v>
      </c>
      <c r="B1994" t="s">
        <v>17</v>
      </c>
      <c r="C1994">
        <v>17.25</v>
      </c>
      <c r="D1994">
        <v>6.76</v>
      </c>
      <c r="E1994" s="29">
        <v>2.5517751479999999</v>
      </c>
      <c r="F1994">
        <v>6.76</v>
      </c>
      <c r="G1994">
        <v>0.64</v>
      </c>
      <c r="H1994">
        <v>7.4</v>
      </c>
      <c r="I1994" s="29">
        <v>0.91349999999999998</v>
      </c>
      <c r="J1994" s="29">
        <v>2.3311000000000002</v>
      </c>
      <c r="K1994" s="9">
        <v>45341</v>
      </c>
      <c r="L1994">
        <f xml:space="preserve"> (交易處理資料__3[[#This Row],[售出工時]] * 60) / 5</f>
        <v>207</v>
      </c>
      <c r="M1994" t="str">
        <f>VLOOKUP(交易處理資料__3[[#This Row],[人員代號]],團隊分組!$B$1:$C$52,2,FALSE)</f>
        <v>快速保養團隊A</v>
      </c>
      <c r="N1994" t="str">
        <f>IF(交易處理資料__3[[#This Row],[上班時間]]=0,"否","是")</f>
        <v>是</v>
      </c>
      <c r="O1994" t="s">
        <v>76</v>
      </c>
      <c r="P1994" s="37">
        <v>2.5517751479999999</v>
      </c>
      <c r="Q1994" s="37">
        <v>2.3311000000000002</v>
      </c>
      <c r="R1994" s="37">
        <v>0.91349999999999998</v>
      </c>
    </row>
    <row r="1995" spans="1:18" hidden="1">
      <c r="A1995" t="s">
        <v>76</v>
      </c>
      <c r="B1995" t="s">
        <v>20</v>
      </c>
      <c r="C1995">
        <v>0.01</v>
      </c>
      <c r="D1995">
        <v>7.0000000000000007E-2</v>
      </c>
      <c r="E1995" s="29">
        <v>0.14285714289999998</v>
      </c>
      <c r="F1995">
        <v>4.46</v>
      </c>
      <c r="G1995">
        <v>2.92</v>
      </c>
      <c r="H1995">
        <v>7.38</v>
      </c>
      <c r="I1995" s="29">
        <v>0.60429999999999995</v>
      </c>
      <c r="J1995" s="29">
        <v>1.4000000000000002E-3</v>
      </c>
      <c r="K1995" s="9">
        <v>45341</v>
      </c>
      <c r="L1995">
        <f xml:space="preserve"> (交易處理資料__3[[#This Row],[售出工時]] * 60) / 5</f>
        <v>0.12</v>
      </c>
      <c r="M1995" t="str">
        <f>VLOOKUP(交易處理資料__3[[#This Row],[人員代號]],團隊分組!$B$1:$C$52,2,FALSE)</f>
        <v>查修團隊B</v>
      </c>
      <c r="N1995" t="str">
        <f>IF(交易處理資料__3[[#This Row],[上班時間]]=0,"否","是")</f>
        <v>是</v>
      </c>
      <c r="O1995" t="s">
        <v>76</v>
      </c>
      <c r="P1995" s="38">
        <v>0.14285714289999998</v>
      </c>
      <c r="Q1995" s="38">
        <v>1.4000000000000002E-3</v>
      </c>
      <c r="R1995" s="38">
        <v>0.60429999999999995</v>
      </c>
    </row>
    <row r="1996" spans="1:18" hidden="1">
      <c r="A1996" t="s">
        <v>76</v>
      </c>
      <c r="B1996" t="s">
        <v>21</v>
      </c>
      <c r="C1996">
        <v>0</v>
      </c>
      <c r="D1996">
        <v>0</v>
      </c>
      <c r="E1996" s="29">
        <v>0</v>
      </c>
      <c r="F1996">
        <v>5.05</v>
      </c>
      <c r="G1996">
        <v>2.36</v>
      </c>
      <c r="H1996">
        <v>7.41</v>
      </c>
      <c r="I1996" s="29">
        <v>0.68150000000000011</v>
      </c>
      <c r="J1996" s="29">
        <v>0</v>
      </c>
      <c r="K1996" s="9">
        <v>45341</v>
      </c>
      <c r="L1996">
        <f xml:space="preserve"> (交易處理資料__3[[#This Row],[售出工時]] * 60) / 5</f>
        <v>0</v>
      </c>
      <c r="M1996" t="str">
        <f>VLOOKUP(交易處理資料__3[[#This Row],[人員代號]],團隊分組!$B$1:$C$52,2,FALSE)</f>
        <v>查修團隊B</v>
      </c>
      <c r="N1996" t="str">
        <f>IF(交易處理資料__3[[#This Row],[上班時間]]=0,"否","是")</f>
        <v>是</v>
      </c>
      <c r="O1996" t="s">
        <v>76</v>
      </c>
      <c r="P1996" s="37">
        <v>0</v>
      </c>
      <c r="Q1996" s="37">
        <v>0</v>
      </c>
      <c r="R1996" s="37">
        <v>0.68150000000000011</v>
      </c>
    </row>
    <row r="1997" spans="1:18" hidden="1">
      <c r="A1997" t="s">
        <v>76</v>
      </c>
      <c r="B1997" t="s">
        <v>22</v>
      </c>
      <c r="C1997">
        <v>11</v>
      </c>
      <c r="D1997">
        <v>6.15</v>
      </c>
      <c r="E1997" s="29">
        <v>1.7886178860000002</v>
      </c>
      <c r="F1997">
        <v>6.3</v>
      </c>
      <c r="G1997">
        <v>1.04</v>
      </c>
      <c r="H1997">
        <v>7.34</v>
      </c>
      <c r="I1997" s="29">
        <v>0.85829999999999995</v>
      </c>
      <c r="J1997" s="29">
        <v>1.4986000000000002</v>
      </c>
      <c r="K1997" s="9">
        <v>45341</v>
      </c>
      <c r="L1997">
        <f xml:space="preserve"> (交易處理資料__3[[#This Row],[售出工時]] * 60) / 5</f>
        <v>132</v>
      </c>
      <c r="M1997" t="str">
        <f>VLOOKUP(交易處理資料__3[[#This Row],[人員代號]],團隊分組!$B$1:$C$52,2,FALSE)</f>
        <v>快速保養團隊A</v>
      </c>
      <c r="N1997" t="str">
        <f>IF(交易處理資料__3[[#This Row],[上班時間]]=0,"否","是")</f>
        <v>是</v>
      </c>
      <c r="O1997" t="s">
        <v>76</v>
      </c>
      <c r="P1997" s="38">
        <v>1.7886178860000002</v>
      </c>
      <c r="Q1997" s="38">
        <v>1.4986000000000002</v>
      </c>
      <c r="R1997" s="38">
        <v>0.85829999999999995</v>
      </c>
    </row>
    <row r="1998" spans="1:18" hidden="1">
      <c r="A1998" t="s">
        <v>76</v>
      </c>
      <c r="B1998" t="s">
        <v>23</v>
      </c>
      <c r="C1998">
        <v>6.096666667</v>
      </c>
      <c r="D1998">
        <v>7.35</v>
      </c>
      <c r="E1998" s="29">
        <v>0.82947845799999997</v>
      </c>
      <c r="F1998">
        <v>6.26</v>
      </c>
      <c r="G1998">
        <v>1.23</v>
      </c>
      <c r="H1998">
        <v>7.49</v>
      </c>
      <c r="I1998" s="29">
        <v>0.83579999999999999</v>
      </c>
      <c r="J1998" s="29">
        <v>0.81400000000000006</v>
      </c>
      <c r="K1998" s="9">
        <v>45341</v>
      </c>
      <c r="L1998">
        <f xml:space="preserve"> (交易處理資料__3[[#This Row],[售出工時]] * 60) / 5</f>
        <v>73.160000004000011</v>
      </c>
      <c r="M1998" t="str">
        <f>VLOOKUP(交易處理資料__3[[#This Row],[人員代號]],團隊分組!$B$1:$C$52,2,FALSE)</f>
        <v>快速保養團隊B</v>
      </c>
      <c r="N1998" t="str">
        <f>IF(交易處理資料__3[[#This Row],[上班時間]]=0,"否","是")</f>
        <v>是</v>
      </c>
      <c r="O1998" t="s">
        <v>76</v>
      </c>
      <c r="P1998" s="37">
        <v>0.82947845799999997</v>
      </c>
      <c r="Q1998" s="37">
        <v>0.81400000000000006</v>
      </c>
      <c r="R1998" s="37">
        <v>0.83579999999999999</v>
      </c>
    </row>
    <row r="1999" spans="1:18" hidden="1">
      <c r="A1999" t="s">
        <v>76</v>
      </c>
      <c r="B1999" t="s">
        <v>24</v>
      </c>
      <c r="C1999">
        <v>9.5</v>
      </c>
      <c r="D1999">
        <v>6.71</v>
      </c>
      <c r="E1999" s="29">
        <v>1.415797317</v>
      </c>
      <c r="F1999">
        <v>6.71</v>
      </c>
      <c r="G1999">
        <v>0.62</v>
      </c>
      <c r="H1999">
        <v>7.33</v>
      </c>
      <c r="I1999" s="29">
        <v>0.9154000000000001</v>
      </c>
      <c r="J1999" s="29">
        <v>1.296</v>
      </c>
      <c r="K1999" s="9">
        <v>45341</v>
      </c>
      <c r="L1999">
        <f xml:space="preserve"> (交易處理資料__3[[#This Row],[售出工時]] * 60) / 5</f>
        <v>114</v>
      </c>
      <c r="M1999" t="str">
        <f>VLOOKUP(交易處理資料__3[[#This Row],[人員代號]],團隊分組!$B$1:$C$52,2,FALSE)</f>
        <v>快速保養團隊A</v>
      </c>
      <c r="N1999" t="str">
        <f>IF(交易處理資料__3[[#This Row],[上班時間]]=0,"否","是")</f>
        <v>是</v>
      </c>
      <c r="O1999" t="s">
        <v>76</v>
      </c>
      <c r="P1999" s="38">
        <v>1.415797317</v>
      </c>
      <c r="Q1999" s="38">
        <v>1.296</v>
      </c>
      <c r="R1999" s="38">
        <v>0.9154000000000001</v>
      </c>
    </row>
    <row r="2000" spans="1:18" hidden="1">
      <c r="A2000" t="s">
        <v>76</v>
      </c>
      <c r="B2000" t="s">
        <v>26</v>
      </c>
      <c r="C2000">
        <v>9.3333333000000004E-2</v>
      </c>
      <c r="D2000">
        <v>0.56000000000000005</v>
      </c>
      <c r="E2000" s="29">
        <v>0.16666666670000002</v>
      </c>
      <c r="F2000">
        <v>0.93</v>
      </c>
      <c r="G2000">
        <v>6.43</v>
      </c>
      <c r="H2000">
        <v>7.36</v>
      </c>
      <c r="I2000" s="29">
        <v>0.12640000000000001</v>
      </c>
      <c r="J2000" s="29">
        <v>1.2699999999999999E-2</v>
      </c>
      <c r="K2000" s="9">
        <v>45341</v>
      </c>
      <c r="L2000">
        <f xml:space="preserve"> (交易處理資料__3[[#This Row],[售出工時]] * 60) / 5</f>
        <v>1.1199999960000002</v>
      </c>
      <c r="M2000" t="str">
        <f>VLOOKUP(交易處理資料__3[[#This Row],[人員代號]],團隊分組!$B$1:$C$52,2,FALSE)</f>
        <v>查修團隊B</v>
      </c>
      <c r="N2000" t="str">
        <f>IF(交易處理資料__3[[#This Row],[上班時間]]=0,"否","是")</f>
        <v>是</v>
      </c>
      <c r="O2000" t="s">
        <v>76</v>
      </c>
      <c r="P2000" s="37">
        <v>0.16666666670000002</v>
      </c>
      <c r="Q2000" s="37">
        <v>1.2699999999999999E-2</v>
      </c>
      <c r="R2000" s="37">
        <v>0.12640000000000001</v>
      </c>
    </row>
    <row r="2001" spans="1:18" hidden="1">
      <c r="A2001" t="s">
        <v>76</v>
      </c>
      <c r="B2001" t="s">
        <v>27</v>
      </c>
      <c r="C2001">
        <v>3.29</v>
      </c>
      <c r="D2001">
        <v>4.3</v>
      </c>
      <c r="E2001" s="29">
        <v>0.76511627910000002</v>
      </c>
      <c r="F2001">
        <v>6.62</v>
      </c>
      <c r="G2001">
        <v>0.92</v>
      </c>
      <c r="H2001">
        <v>7.54</v>
      </c>
      <c r="I2001" s="29">
        <v>0.878</v>
      </c>
      <c r="J2001" s="29">
        <v>0.43630000000000002</v>
      </c>
      <c r="K2001" s="9">
        <v>45341</v>
      </c>
      <c r="L2001">
        <f xml:space="preserve"> (交易處理資料__3[[#This Row],[售出工時]] * 60) / 5</f>
        <v>39.480000000000004</v>
      </c>
      <c r="M2001" t="str">
        <f>VLOOKUP(交易處理資料__3[[#This Row],[人員代號]],團隊分組!$B$1:$C$52,2,FALSE)</f>
        <v>快速保養團隊B</v>
      </c>
      <c r="N2001" t="str">
        <f>IF(交易處理資料__3[[#This Row],[上班時間]]=0,"否","是")</f>
        <v>是</v>
      </c>
      <c r="O2001" t="s">
        <v>76</v>
      </c>
      <c r="P2001" s="38">
        <v>0.76511627910000002</v>
      </c>
      <c r="Q2001" s="38">
        <v>0.43630000000000002</v>
      </c>
      <c r="R2001" s="38">
        <v>0.878</v>
      </c>
    </row>
    <row r="2002" spans="1:18" hidden="1">
      <c r="A2002" t="s">
        <v>76</v>
      </c>
      <c r="B2002" t="s">
        <v>29</v>
      </c>
      <c r="C2002">
        <v>4.25</v>
      </c>
      <c r="D2002">
        <v>3.52</v>
      </c>
      <c r="E2002" s="29">
        <v>1.207386364</v>
      </c>
      <c r="F2002">
        <v>6.68</v>
      </c>
      <c r="G2002">
        <v>0.72</v>
      </c>
      <c r="H2002">
        <v>7.4</v>
      </c>
      <c r="I2002" s="29">
        <v>0.90269999999999995</v>
      </c>
      <c r="J2002" s="29">
        <v>0.57430000000000003</v>
      </c>
      <c r="K2002" s="9">
        <v>45341</v>
      </c>
      <c r="L2002">
        <f xml:space="preserve"> (交易處理資料__3[[#This Row],[售出工時]] * 60) / 5</f>
        <v>51</v>
      </c>
      <c r="M2002" t="str">
        <f>VLOOKUP(交易處理資料__3[[#This Row],[人員代號]],團隊分組!$B$1:$C$52,2,FALSE)</f>
        <v>查修團隊B</v>
      </c>
      <c r="N2002" t="str">
        <f>IF(交易處理資料__3[[#This Row],[上班時間]]=0,"否","是")</f>
        <v>是</v>
      </c>
      <c r="O2002" t="s">
        <v>76</v>
      </c>
      <c r="P2002" s="37">
        <v>1.207386364</v>
      </c>
      <c r="Q2002" s="37">
        <v>0.57430000000000003</v>
      </c>
      <c r="R2002" s="37">
        <v>0.90269999999999995</v>
      </c>
    </row>
    <row r="2003" spans="1:18" hidden="1">
      <c r="A2003" t="s">
        <v>76</v>
      </c>
      <c r="B2003" t="s">
        <v>30</v>
      </c>
      <c r="C2003">
        <v>2.35</v>
      </c>
      <c r="D2003">
        <v>1.98</v>
      </c>
      <c r="E2003" s="29">
        <v>1.186868687</v>
      </c>
      <c r="F2003">
        <v>6.62</v>
      </c>
      <c r="G2003">
        <v>0.89</v>
      </c>
      <c r="H2003">
        <v>7.51</v>
      </c>
      <c r="I2003" s="29">
        <v>0.88150000000000006</v>
      </c>
      <c r="J2003" s="29">
        <v>0.31290000000000001</v>
      </c>
      <c r="K2003" s="9">
        <v>45341</v>
      </c>
      <c r="L2003">
        <f xml:space="preserve"> (交易處理資料__3[[#This Row],[售出工時]] * 60) / 5</f>
        <v>28.2</v>
      </c>
      <c r="M2003" t="str">
        <f>VLOOKUP(交易處理資料__3[[#This Row],[人員代號]],團隊分組!$B$1:$C$52,2,FALSE)</f>
        <v>快速保養團隊B</v>
      </c>
      <c r="N2003" t="str">
        <f>IF(交易處理資料__3[[#This Row],[上班時間]]=0,"否","是")</f>
        <v>是</v>
      </c>
      <c r="O2003" t="s">
        <v>76</v>
      </c>
      <c r="P2003" s="38">
        <v>1.186868687</v>
      </c>
      <c r="Q2003" s="38">
        <v>0.31290000000000001</v>
      </c>
      <c r="R2003" s="38">
        <v>0.88150000000000006</v>
      </c>
    </row>
    <row r="2004" spans="1:18" hidden="1">
      <c r="A2004" t="s">
        <v>76</v>
      </c>
      <c r="B2004" t="s">
        <v>33</v>
      </c>
      <c r="C2004">
        <v>0</v>
      </c>
      <c r="D2004">
        <v>0</v>
      </c>
      <c r="E2004" s="29">
        <v>0</v>
      </c>
      <c r="F2004">
        <v>0</v>
      </c>
      <c r="G2004">
        <v>0</v>
      </c>
      <c r="H2004">
        <v>0</v>
      </c>
      <c r="I2004" s="29">
        <v>0</v>
      </c>
      <c r="J2004" s="29">
        <v>0</v>
      </c>
      <c r="K2004" s="9">
        <v>45341</v>
      </c>
      <c r="L2004">
        <f xml:space="preserve"> (交易處理資料__3[[#This Row],[售出工時]] * 60) / 5</f>
        <v>0</v>
      </c>
      <c r="M2004" t="str">
        <f>VLOOKUP(交易處理資料__3[[#This Row],[人員代號]],團隊分組!$B$1:$C$52,2,FALSE)</f>
        <v>快速保養團隊B</v>
      </c>
      <c r="N2004" t="str">
        <f>IF(交易處理資料__3[[#This Row],[上班時間]]=0,"否","是")</f>
        <v>否</v>
      </c>
      <c r="O2004" t="s">
        <v>76</v>
      </c>
      <c r="P2004" s="37">
        <v>0</v>
      </c>
      <c r="Q2004" s="37">
        <v>0</v>
      </c>
      <c r="R2004" s="37">
        <v>0</v>
      </c>
    </row>
    <row r="2005" spans="1:18" hidden="1">
      <c r="A2005" t="s">
        <v>76</v>
      </c>
      <c r="B2005" t="s">
        <v>36</v>
      </c>
      <c r="C2005">
        <v>0.5</v>
      </c>
      <c r="D2005">
        <v>0.6</v>
      </c>
      <c r="E2005" s="29">
        <v>0.83333333330000003</v>
      </c>
      <c r="F2005">
        <v>5.53</v>
      </c>
      <c r="G2005">
        <v>1.94</v>
      </c>
      <c r="H2005">
        <v>7.47</v>
      </c>
      <c r="I2005" s="29">
        <v>0.74029999999999996</v>
      </c>
      <c r="J2005" s="29">
        <v>6.6900000000000001E-2</v>
      </c>
      <c r="K2005" s="9">
        <v>45341</v>
      </c>
      <c r="L2005">
        <f xml:space="preserve"> (交易處理資料__3[[#This Row],[售出工時]] * 60) / 5</f>
        <v>6</v>
      </c>
      <c r="M2005" t="str">
        <f>VLOOKUP(交易處理資料__3[[#This Row],[人員代號]],團隊分組!$B$1:$C$52,2,FALSE)</f>
        <v>查修團隊B</v>
      </c>
      <c r="N2005" t="str">
        <f>IF(交易處理資料__3[[#This Row],[上班時間]]=0,"否","是")</f>
        <v>是</v>
      </c>
      <c r="O2005" t="s">
        <v>76</v>
      </c>
      <c r="P2005" s="38">
        <v>0.83333333330000003</v>
      </c>
      <c r="Q2005" s="38">
        <v>6.6900000000000001E-2</v>
      </c>
      <c r="R2005" s="38">
        <v>0.74029999999999996</v>
      </c>
    </row>
    <row r="2006" spans="1:18" hidden="1">
      <c r="A2006" t="s">
        <v>76</v>
      </c>
      <c r="B2006" t="s">
        <v>37</v>
      </c>
      <c r="C2006">
        <v>3.5866666669999998</v>
      </c>
      <c r="D2006">
        <v>7.26</v>
      </c>
      <c r="E2006" s="29">
        <v>0.49403122129999999</v>
      </c>
      <c r="F2006">
        <v>4.55</v>
      </c>
      <c r="G2006">
        <v>3.03</v>
      </c>
      <c r="H2006">
        <v>7.58</v>
      </c>
      <c r="I2006" s="29">
        <v>0.60030000000000006</v>
      </c>
      <c r="J2006" s="29">
        <v>0.47320000000000001</v>
      </c>
      <c r="K2006" s="9">
        <v>45341</v>
      </c>
      <c r="L2006">
        <f xml:space="preserve"> (交易處理資料__3[[#This Row],[售出工時]] * 60) / 5</f>
        <v>43.040000003999992</v>
      </c>
      <c r="M2006" t="str">
        <f>VLOOKUP(交易處理資料__3[[#This Row],[人員代號]],團隊分組!$B$1:$C$52,2,FALSE)</f>
        <v>查修團隊A</v>
      </c>
      <c r="N2006" t="str">
        <f>IF(交易處理資料__3[[#This Row],[上班時間]]=0,"否","是")</f>
        <v>是</v>
      </c>
      <c r="O2006" t="s">
        <v>76</v>
      </c>
      <c r="P2006" s="37">
        <v>0.49403122129999999</v>
      </c>
      <c r="Q2006" s="37">
        <v>0.47320000000000001</v>
      </c>
      <c r="R2006" s="37">
        <v>0.60030000000000006</v>
      </c>
    </row>
    <row r="2007" spans="1:18" hidden="1">
      <c r="A2007" t="s">
        <v>76</v>
      </c>
      <c r="B2007" t="s">
        <v>38</v>
      </c>
      <c r="C2007">
        <v>0</v>
      </c>
      <c r="D2007">
        <v>0</v>
      </c>
      <c r="E2007" s="29">
        <v>0</v>
      </c>
      <c r="F2007">
        <v>0</v>
      </c>
      <c r="G2007">
        <v>0</v>
      </c>
      <c r="H2007">
        <v>0</v>
      </c>
      <c r="I2007" s="29">
        <v>0</v>
      </c>
      <c r="J2007" s="29">
        <v>0</v>
      </c>
      <c r="K2007" s="9">
        <v>45341</v>
      </c>
      <c r="L2007">
        <f xml:space="preserve"> (交易處理資料__3[[#This Row],[售出工時]] * 60) / 5</f>
        <v>0</v>
      </c>
      <c r="M2007" t="str">
        <f>VLOOKUP(交易處理資料__3[[#This Row],[人員代號]],團隊分組!$B$1:$C$52,2,FALSE)</f>
        <v>快速保養團隊A</v>
      </c>
      <c r="N2007" t="str">
        <f>IF(交易處理資料__3[[#This Row],[上班時間]]=0,"否","是")</f>
        <v>否</v>
      </c>
      <c r="O2007" t="s">
        <v>76</v>
      </c>
      <c r="P2007" s="38">
        <v>0</v>
      </c>
      <c r="Q2007" s="38">
        <v>0</v>
      </c>
      <c r="R2007" s="38">
        <v>0</v>
      </c>
    </row>
    <row r="2008" spans="1:18" hidden="1">
      <c r="A2008" t="s">
        <v>76</v>
      </c>
      <c r="B2008" t="s">
        <v>39</v>
      </c>
      <c r="C2008">
        <v>1.1666666670000001</v>
      </c>
      <c r="D2008">
        <v>0.96</v>
      </c>
      <c r="E2008" s="29">
        <v>1.2152777779999999</v>
      </c>
      <c r="F2008">
        <v>5</v>
      </c>
      <c r="G2008">
        <v>2.63</v>
      </c>
      <c r="H2008">
        <v>7.63</v>
      </c>
      <c r="I2008" s="29">
        <v>0.65529999999999999</v>
      </c>
      <c r="J2008" s="29">
        <v>0.15289999999999998</v>
      </c>
      <c r="K2008" s="9">
        <v>45341</v>
      </c>
      <c r="L2008">
        <f xml:space="preserve"> (交易處理資料__3[[#This Row],[售出工時]] * 60) / 5</f>
        <v>14.000000004</v>
      </c>
      <c r="M2008" t="str">
        <f>VLOOKUP(交易處理資料__3[[#This Row],[人員代號]],團隊分組!$B$1:$C$52,2,FALSE)</f>
        <v>查修團隊A</v>
      </c>
      <c r="N2008" t="str">
        <f>IF(交易處理資料__3[[#This Row],[上班時間]]=0,"否","是")</f>
        <v>是</v>
      </c>
      <c r="O2008" t="s">
        <v>76</v>
      </c>
      <c r="P2008" s="37">
        <v>1.2152777779999999</v>
      </c>
      <c r="Q2008" s="37">
        <v>0.15289999999999998</v>
      </c>
      <c r="R2008" s="37">
        <v>0.65529999999999999</v>
      </c>
    </row>
    <row r="2009" spans="1:18" hidden="1">
      <c r="A2009" t="s">
        <v>76</v>
      </c>
      <c r="B2009" t="s">
        <v>41</v>
      </c>
      <c r="C2009">
        <v>7.8333333329999997</v>
      </c>
      <c r="D2009">
        <v>4.8</v>
      </c>
      <c r="E2009" s="29">
        <v>1.6319444440000002</v>
      </c>
      <c r="F2009">
        <v>6.73</v>
      </c>
      <c r="G2009">
        <v>0.65</v>
      </c>
      <c r="H2009">
        <v>7.38</v>
      </c>
      <c r="I2009" s="29">
        <v>0.91189999999999993</v>
      </c>
      <c r="J2009" s="29">
        <v>1.0613999999999999</v>
      </c>
      <c r="K2009" s="9">
        <v>45341</v>
      </c>
      <c r="L2009">
        <f xml:space="preserve"> (交易處理資料__3[[#This Row],[售出工時]] * 60) / 5</f>
        <v>93.999999996</v>
      </c>
      <c r="M2009" t="str">
        <f>VLOOKUP(交易處理資料__3[[#This Row],[人員代號]],團隊分組!$B$1:$C$52,2,FALSE)</f>
        <v>快速保養團隊A</v>
      </c>
      <c r="N2009" t="str">
        <f>IF(交易處理資料__3[[#This Row],[上班時間]]=0,"否","是")</f>
        <v>是</v>
      </c>
      <c r="O2009" t="s">
        <v>76</v>
      </c>
      <c r="P2009" s="38">
        <v>1.6319444440000002</v>
      </c>
      <c r="Q2009" s="38">
        <v>1.0613999999999999</v>
      </c>
      <c r="R2009" s="38">
        <v>0.91189999999999993</v>
      </c>
    </row>
    <row r="2010" spans="1:18" hidden="1">
      <c r="A2010" t="s">
        <v>76</v>
      </c>
      <c r="B2010" t="s">
        <v>42</v>
      </c>
      <c r="C2010">
        <v>6.0833333329999997</v>
      </c>
      <c r="D2010">
        <v>3.35</v>
      </c>
      <c r="E2010" s="29">
        <v>1.815920398</v>
      </c>
      <c r="F2010">
        <v>5.54</v>
      </c>
      <c r="G2010">
        <v>1.76</v>
      </c>
      <c r="H2010">
        <v>7.3</v>
      </c>
      <c r="I2010" s="29">
        <v>0.75890000000000002</v>
      </c>
      <c r="J2010" s="29">
        <v>0.83329999999999993</v>
      </c>
      <c r="K2010" s="9">
        <v>45341</v>
      </c>
      <c r="L2010">
        <f xml:space="preserve"> (交易處理資料__3[[#This Row],[售出工時]] * 60) / 5</f>
        <v>72.999999996</v>
      </c>
      <c r="M2010" t="str">
        <f>VLOOKUP(交易處理資料__3[[#This Row],[人員代號]],團隊分組!$B$1:$C$52,2,FALSE)</f>
        <v>快速保養團隊A</v>
      </c>
      <c r="N2010" t="str">
        <f>IF(交易處理資料__3[[#This Row],[上班時間]]=0,"否","是")</f>
        <v>是</v>
      </c>
      <c r="O2010" t="s">
        <v>76</v>
      </c>
      <c r="P2010" s="37">
        <v>1.815920398</v>
      </c>
      <c r="Q2010" s="37">
        <v>0.83329999999999993</v>
      </c>
      <c r="R2010" s="37">
        <v>0.75890000000000002</v>
      </c>
    </row>
    <row r="2011" spans="1:18" hidden="1">
      <c r="A2011" t="s">
        <v>76</v>
      </c>
      <c r="B2011" t="s">
        <v>43</v>
      </c>
      <c r="C2011">
        <v>1.51</v>
      </c>
      <c r="D2011">
        <v>2.46</v>
      </c>
      <c r="E2011" s="29">
        <v>0.61382113820000006</v>
      </c>
      <c r="F2011">
        <v>5.21</v>
      </c>
      <c r="G2011">
        <v>2.2400000000000002</v>
      </c>
      <c r="H2011">
        <v>7.45</v>
      </c>
      <c r="I2011" s="29">
        <v>0.69930000000000003</v>
      </c>
      <c r="J2011" s="29">
        <v>0.20269999999999999</v>
      </c>
      <c r="K2011" s="9">
        <v>45341</v>
      </c>
      <c r="L2011">
        <f xml:space="preserve"> (交易處理資料__3[[#This Row],[售出工時]] * 60) / 5</f>
        <v>18.119999999999997</v>
      </c>
      <c r="M2011" t="str">
        <f>VLOOKUP(交易處理資料__3[[#This Row],[人員代號]],團隊分組!$B$1:$C$52,2,FALSE)</f>
        <v>查修團隊B</v>
      </c>
      <c r="N2011" t="str">
        <f>IF(交易處理資料__3[[#This Row],[上班時間]]=0,"否","是")</f>
        <v>是</v>
      </c>
      <c r="O2011" t="s">
        <v>76</v>
      </c>
      <c r="P2011" s="38">
        <v>0.61382113820000006</v>
      </c>
      <c r="Q2011" s="38">
        <v>0.20269999999999999</v>
      </c>
      <c r="R2011" s="38">
        <v>0.69930000000000003</v>
      </c>
    </row>
    <row r="2012" spans="1:18" hidden="1">
      <c r="A2012" t="s">
        <v>76</v>
      </c>
      <c r="B2012" t="s">
        <v>44</v>
      </c>
      <c r="C2012">
        <v>3.73</v>
      </c>
      <c r="D2012">
        <v>4.28</v>
      </c>
      <c r="E2012" s="29">
        <v>0.87149532709999999</v>
      </c>
      <c r="F2012">
        <v>7.1</v>
      </c>
      <c r="G2012">
        <v>0.49</v>
      </c>
      <c r="H2012">
        <v>7.59</v>
      </c>
      <c r="I2012" s="29">
        <v>0.93540000000000001</v>
      </c>
      <c r="J2012" s="29">
        <v>0.4914</v>
      </c>
      <c r="K2012" s="9">
        <v>45341</v>
      </c>
      <c r="L2012">
        <f xml:space="preserve"> (交易處理資料__3[[#This Row],[售出工時]] * 60) / 5</f>
        <v>44.760000000000005</v>
      </c>
      <c r="M2012" t="str">
        <f>VLOOKUP(交易處理資料__3[[#This Row],[人員代號]],團隊分組!$B$1:$C$52,2,FALSE)</f>
        <v>快速保養團隊B</v>
      </c>
      <c r="N2012" t="str">
        <f>IF(交易處理資料__3[[#This Row],[上班時間]]=0,"否","是")</f>
        <v>是</v>
      </c>
      <c r="O2012" t="s">
        <v>76</v>
      </c>
      <c r="P2012" s="37">
        <v>0.87149532709999999</v>
      </c>
      <c r="Q2012" s="37">
        <v>0.4914</v>
      </c>
      <c r="R2012" s="37">
        <v>0.93540000000000001</v>
      </c>
    </row>
    <row r="2013" spans="1:18" hidden="1">
      <c r="A2013" t="s">
        <v>76</v>
      </c>
      <c r="B2013" t="s">
        <v>45</v>
      </c>
      <c r="C2013">
        <v>4.5</v>
      </c>
      <c r="D2013">
        <v>2.4</v>
      </c>
      <c r="E2013" s="29">
        <v>1.875</v>
      </c>
      <c r="F2013">
        <v>6.91</v>
      </c>
      <c r="G2013">
        <v>0.49</v>
      </c>
      <c r="H2013">
        <v>7.4</v>
      </c>
      <c r="I2013" s="29">
        <v>0.93379999999999996</v>
      </c>
      <c r="J2013" s="29">
        <v>0.60809999999999997</v>
      </c>
      <c r="K2013" s="9">
        <v>45341</v>
      </c>
      <c r="L2013">
        <f xml:space="preserve"> (交易處理資料__3[[#This Row],[售出工時]] * 60) / 5</f>
        <v>54</v>
      </c>
      <c r="M2013" t="str">
        <f>VLOOKUP(交易處理資料__3[[#This Row],[人員代號]],團隊分組!$B$1:$C$52,2,FALSE)</f>
        <v>快速保養團隊A</v>
      </c>
      <c r="N2013" t="str">
        <f>IF(交易處理資料__3[[#This Row],[上班時間]]=0,"否","是")</f>
        <v>是</v>
      </c>
      <c r="O2013" t="s">
        <v>76</v>
      </c>
      <c r="P2013" s="38">
        <v>1.875</v>
      </c>
      <c r="Q2013" s="38">
        <v>0.60809999999999997</v>
      </c>
      <c r="R2013" s="38">
        <v>0.93379999999999996</v>
      </c>
    </row>
    <row r="2014" spans="1:18" hidden="1">
      <c r="A2014" t="s">
        <v>76</v>
      </c>
      <c r="B2014" t="s">
        <v>46</v>
      </c>
      <c r="C2014">
        <v>0</v>
      </c>
      <c r="D2014">
        <v>0</v>
      </c>
      <c r="E2014" s="29">
        <v>0</v>
      </c>
      <c r="F2014">
        <v>5.23</v>
      </c>
      <c r="G2014">
        <v>2.15</v>
      </c>
      <c r="H2014">
        <v>7.38</v>
      </c>
      <c r="I2014" s="29">
        <v>0.7087</v>
      </c>
      <c r="J2014" s="29">
        <v>0</v>
      </c>
      <c r="K2014" s="9">
        <v>45341</v>
      </c>
      <c r="L2014">
        <f xml:space="preserve"> (交易處理資料__3[[#This Row],[售出工時]] * 60) / 5</f>
        <v>0</v>
      </c>
      <c r="M2014" t="str">
        <f>VLOOKUP(交易處理資料__3[[#This Row],[人員代號]],團隊分組!$B$1:$C$52,2,FALSE)</f>
        <v>查修團隊B</v>
      </c>
      <c r="N2014" t="str">
        <f>IF(交易處理資料__3[[#This Row],[上班時間]]=0,"否","是")</f>
        <v>是</v>
      </c>
      <c r="O2014" t="s">
        <v>76</v>
      </c>
      <c r="P2014" s="37">
        <v>0</v>
      </c>
      <c r="Q2014" s="37">
        <v>0</v>
      </c>
      <c r="R2014" s="37">
        <v>0.7087</v>
      </c>
    </row>
    <row r="2015" spans="1:18" hidden="1">
      <c r="A2015" t="s">
        <v>76</v>
      </c>
      <c r="B2015" t="s">
        <v>48</v>
      </c>
      <c r="C2015">
        <v>0</v>
      </c>
      <c r="D2015">
        <v>0</v>
      </c>
      <c r="E2015" s="29">
        <v>0</v>
      </c>
      <c r="F2015">
        <v>6.38</v>
      </c>
      <c r="G2015">
        <v>1.26</v>
      </c>
      <c r="H2015">
        <v>7.64</v>
      </c>
      <c r="I2015" s="29">
        <v>0.83510000000000006</v>
      </c>
      <c r="J2015" s="29">
        <v>0</v>
      </c>
      <c r="K2015" s="9">
        <v>45341</v>
      </c>
      <c r="L2015">
        <f xml:space="preserve"> (交易處理資料__3[[#This Row],[售出工時]] * 60) / 5</f>
        <v>0</v>
      </c>
      <c r="M2015" t="str">
        <f>VLOOKUP(交易處理資料__3[[#This Row],[人員代號]],團隊分組!$B$1:$C$52,2,FALSE)</f>
        <v>查修團隊A</v>
      </c>
      <c r="N2015" t="str">
        <f>IF(交易處理資料__3[[#This Row],[上班時間]]=0,"否","是")</f>
        <v>是</v>
      </c>
      <c r="O2015" t="s">
        <v>76</v>
      </c>
      <c r="P2015" s="38">
        <v>0</v>
      </c>
      <c r="Q2015" s="38">
        <v>0</v>
      </c>
      <c r="R2015" s="38">
        <v>0.83510000000000006</v>
      </c>
    </row>
    <row r="2016" spans="1:18" hidden="1">
      <c r="A2016" t="s">
        <v>76</v>
      </c>
      <c r="B2016" t="s">
        <v>50</v>
      </c>
      <c r="C2016">
        <v>3.35</v>
      </c>
      <c r="D2016">
        <v>3.97</v>
      </c>
      <c r="E2016" s="29">
        <v>0.84382871539999993</v>
      </c>
      <c r="F2016">
        <v>7.25</v>
      </c>
      <c r="G2016">
        <v>0.34</v>
      </c>
      <c r="H2016">
        <v>7.59</v>
      </c>
      <c r="I2016" s="29">
        <v>0.95519999999999994</v>
      </c>
      <c r="J2016" s="29">
        <v>0.44140000000000001</v>
      </c>
      <c r="K2016" s="9">
        <v>45341</v>
      </c>
      <c r="L2016">
        <f xml:space="preserve"> (交易處理資料__3[[#This Row],[售出工時]] * 60) / 5</f>
        <v>40.200000000000003</v>
      </c>
      <c r="M2016" t="str">
        <f>VLOOKUP(交易處理資料__3[[#This Row],[人員代號]],團隊分組!$B$1:$C$52,2,FALSE)</f>
        <v>快速保養團隊B</v>
      </c>
      <c r="N2016" t="str">
        <f>IF(交易處理資料__3[[#This Row],[上班時間]]=0,"否","是")</f>
        <v>是</v>
      </c>
      <c r="O2016" t="s">
        <v>76</v>
      </c>
      <c r="P2016" s="37">
        <v>0.84382871539999993</v>
      </c>
      <c r="Q2016" s="37">
        <v>0.44140000000000001</v>
      </c>
      <c r="R2016" s="37">
        <v>0.95519999999999994</v>
      </c>
    </row>
    <row r="2017" spans="1:18" hidden="1">
      <c r="A2017" t="s">
        <v>76</v>
      </c>
      <c r="B2017" t="s">
        <v>51</v>
      </c>
      <c r="C2017">
        <v>0</v>
      </c>
      <c r="D2017">
        <v>0</v>
      </c>
      <c r="E2017" s="29">
        <v>0</v>
      </c>
      <c r="F2017">
        <v>0</v>
      </c>
      <c r="G2017">
        <v>0</v>
      </c>
      <c r="H2017">
        <v>0</v>
      </c>
      <c r="I2017" s="29">
        <v>0</v>
      </c>
      <c r="J2017" s="29">
        <v>0</v>
      </c>
      <c r="K2017" s="9">
        <v>45341</v>
      </c>
      <c r="L2017">
        <f xml:space="preserve"> (交易處理資料__3[[#This Row],[售出工時]] * 60) / 5</f>
        <v>0</v>
      </c>
      <c r="M2017" t="str">
        <f>VLOOKUP(交易處理資料__3[[#This Row],[人員代號]],團隊分組!$B$1:$C$52,2,FALSE)</f>
        <v>無效數據</v>
      </c>
      <c r="N2017" t="str">
        <f>IF(交易處理資料__3[[#This Row],[上班時間]]=0,"否","是")</f>
        <v>否</v>
      </c>
      <c r="O2017" t="s">
        <v>76</v>
      </c>
      <c r="P2017" s="38">
        <v>0</v>
      </c>
      <c r="Q2017" s="38">
        <v>0</v>
      </c>
      <c r="R2017" s="38">
        <v>0</v>
      </c>
    </row>
    <row r="2018" spans="1:18" hidden="1">
      <c r="A2018" t="s">
        <v>76</v>
      </c>
      <c r="B2018" t="s">
        <v>52</v>
      </c>
      <c r="C2018">
        <v>0</v>
      </c>
      <c r="D2018">
        <v>0</v>
      </c>
      <c r="E2018" s="29">
        <v>0</v>
      </c>
      <c r="F2018">
        <v>5.99</v>
      </c>
      <c r="G2018">
        <v>1.4</v>
      </c>
      <c r="H2018">
        <v>7.39</v>
      </c>
      <c r="I2018" s="29">
        <v>0.81059999999999999</v>
      </c>
      <c r="J2018" s="29">
        <v>0</v>
      </c>
      <c r="K2018" s="9">
        <v>45341</v>
      </c>
      <c r="L2018">
        <f xml:space="preserve"> (交易處理資料__3[[#This Row],[售出工時]] * 60) / 5</f>
        <v>0</v>
      </c>
      <c r="M2018" t="str">
        <f>VLOOKUP(交易處理資料__3[[#This Row],[人員代號]],團隊分組!$B$1:$C$52,2,FALSE)</f>
        <v>查修團隊B</v>
      </c>
      <c r="N2018" t="str">
        <f>IF(交易處理資料__3[[#This Row],[上班時間]]=0,"否","是")</f>
        <v>是</v>
      </c>
      <c r="O2018" t="s">
        <v>76</v>
      </c>
      <c r="P2018" s="37">
        <v>0</v>
      </c>
      <c r="Q2018" s="37">
        <v>0</v>
      </c>
      <c r="R2018" s="37">
        <v>0.81059999999999999</v>
      </c>
    </row>
    <row r="2019" spans="1:18" hidden="1">
      <c r="A2019" t="s">
        <v>76</v>
      </c>
      <c r="B2019" t="s">
        <v>53</v>
      </c>
      <c r="C2019">
        <v>4.3333333329999997</v>
      </c>
      <c r="D2019">
        <v>5.41</v>
      </c>
      <c r="E2019" s="29">
        <v>0.80098582870000001</v>
      </c>
      <c r="F2019">
        <v>6.57</v>
      </c>
      <c r="G2019">
        <v>1.01</v>
      </c>
      <c r="H2019">
        <v>7.58</v>
      </c>
      <c r="I2019" s="29">
        <v>0.86680000000000001</v>
      </c>
      <c r="J2019" s="29">
        <v>0.57169999999999999</v>
      </c>
      <c r="K2019" s="9">
        <v>45341</v>
      </c>
      <c r="L2019">
        <f xml:space="preserve"> (交易處理資料__3[[#This Row],[售出工時]] * 60) / 5</f>
        <v>51.999999996</v>
      </c>
      <c r="M2019" t="str">
        <f>VLOOKUP(交易處理資料__3[[#This Row],[人員代號]],團隊分組!$B$1:$C$52,2,FALSE)</f>
        <v>查修團隊A</v>
      </c>
      <c r="N2019" t="str">
        <f>IF(交易處理資料__3[[#This Row],[上班時間]]=0,"否","是")</f>
        <v>是</v>
      </c>
      <c r="O2019" t="s">
        <v>76</v>
      </c>
      <c r="P2019" s="38">
        <v>0.80098582870000001</v>
      </c>
      <c r="Q2019" s="38">
        <v>0.57169999999999999</v>
      </c>
      <c r="R2019" s="38">
        <v>0.86680000000000001</v>
      </c>
    </row>
    <row r="2020" spans="1:18" hidden="1">
      <c r="A2020" s="10" t="s">
        <v>74</v>
      </c>
      <c r="B2020" t="s">
        <v>1</v>
      </c>
      <c r="C2020">
        <v>0</v>
      </c>
      <c r="D2020">
        <v>0</v>
      </c>
      <c r="E2020" s="29">
        <v>0</v>
      </c>
      <c r="F2020">
        <v>7.33</v>
      </c>
      <c r="G2020">
        <v>0.74</v>
      </c>
      <c r="H2020">
        <v>8.07</v>
      </c>
      <c r="I2020" s="29">
        <v>0.9083</v>
      </c>
      <c r="J2020" s="29">
        <v>0</v>
      </c>
      <c r="K2020" s="9">
        <v>45342</v>
      </c>
      <c r="L2020">
        <f xml:space="preserve"> (交易處理資料__3[[#This Row],[售出工時]] * 60) / 5</f>
        <v>0</v>
      </c>
      <c r="M2020" t="str">
        <f>VLOOKUP(交易處理資料__3[[#This Row],[人員代號]],團隊分組!$B$1:$C$52,2,FALSE)</f>
        <v>噴漆維修組</v>
      </c>
      <c r="N2020" t="str">
        <f>IF(交易處理資料__3[[#This Row],[上班時間]]=0,"否","是")</f>
        <v>是</v>
      </c>
      <c r="O2020" s="10" t="s">
        <v>74</v>
      </c>
      <c r="P2020" s="37">
        <v>0</v>
      </c>
      <c r="Q2020" s="37">
        <v>0</v>
      </c>
      <c r="R2020" s="37">
        <v>0.9083</v>
      </c>
    </row>
    <row r="2021" spans="1:18" hidden="1">
      <c r="A2021" s="10" t="s">
        <v>74</v>
      </c>
      <c r="B2021" t="s">
        <v>2</v>
      </c>
      <c r="C2021">
        <v>0</v>
      </c>
      <c r="D2021">
        <v>0</v>
      </c>
      <c r="E2021" s="29">
        <v>0</v>
      </c>
      <c r="F2021">
        <v>7.85</v>
      </c>
      <c r="G2021">
        <v>0.17</v>
      </c>
      <c r="H2021">
        <v>8.02</v>
      </c>
      <c r="I2021" s="29">
        <v>0.9788</v>
      </c>
      <c r="J2021" s="29">
        <v>0</v>
      </c>
      <c r="K2021" s="9">
        <v>45342</v>
      </c>
      <c r="L2021">
        <f xml:space="preserve"> (交易處理資料__3[[#This Row],[售出工時]] * 60) / 5</f>
        <v>0</v>
      </c>
      <c r="M2021" t="str">
        <f>VLOOKUP(交易處理資料__3[[#This Row],[人員代號]],團隊分組!$B$1:$C$52,2,FALSE)</f>
        <v>噴漆維修組</v>
      </c>
      <c r="N2021" t="str">
        <f>IF(交易處理資料__3[[#This Row],[上班時間]]=0,"否","是")</f>
        <v>是</v>
      </c>
      <c r="O2021" s="10" t="s">
        <v>74</v>
      </c>
      <c r="P2021" s="38">
        <v>0</v>
      </c>
      <c r="Q2021" s="38">
        <v>0</v>
      </c>
      <c r="R2021" s="38">
        <v>0.9788</v>
      </c>
    </row>
    <row r="2022" spans="1:18" hidden="1">
      <c r="A2022" s="10" t="s">
        <v>74</v>
      </c>
      <c r="B2022" t="s">
        <v>3</v>
      </c>
      <c r="C2022">
        <v>0</v>
      </c>
      <c r="D2022">
        <v>0</v>
      </c>
      <c r="E2022" s="29">
        <v>0</v>
      </c>
      <c r="F2022">
        <v>7.86</v>
      </c>
      <c r="G2022">
        <v>0.17</v>
      </c>
      <c r="H2022">
        <v>8.0299999999999994</v>
      </c>
      <c r="I2022" s="29">
        <v>0.9788</v>
      </c>
      <c r="J2022" s="29">
        <v>0</v>
      </c>
      <c r="K2022" s="9">
        <v>45342</v>
      </c>
      <c r="L2022">
        <f xml:space="preserve"> (交易處理資料__3[[#This Row],[售出工時]] * 60) / 5</f>
        <v>0</v>
      </c>
      <c r="M2022" t="str">
        <f>VLOOKUP(交易處理資料__3[[#This Row],[人員代號]],團隊分組!$B$1:$C$52,2,FALSE)</f>
        <v>噴漆維修組</v>
      </c>
      <c r="N2022" t="str">
        <f>IF(交易處理資料__3[[#This Row],[上班時間]]=0,"否","是")</f>
        <v>是</v>
      </c>
      <c r="O2022" s="10" t="s">
        <v>74</v>
      </c>
      <c r="P2022" s="37">
        <v>0</v>
      </c>
      <c r="Q2022" s="37">
        <v>0</v>
      </c>
      <c r="R2022" s="37">
        <v>0.9788</v>
      </c>
    </row>
    <row r="2023" spans="1:18" hidden="1">
      <c r="A2023" s="10" t="s">
        <v>74</v>
      </c>
      <c r="B2023" t="s">
        <v>5</v>
      </c>
      <c r="C2023">
        <v>0</v>
      </c>
      <c r="D2023">
        <v>0</v>
      </c>
      <c r="E2023" s="29">
        <v>0</v>
      </c>
      <c r="F2023">
        <v>0</v>
      </c>
      <c r="G2023">
        <v>0</v>
      </c>
      <c r="H2023">
        <v>0</v>
      </c>
      <c r="I2023" s="29">
        <v>0</v>
      </c>
      <c r="J2023" s="29">
        <v>0</v>
      </c>
      <c r="K2023" s="9">
        <v>45342</v>
      </c>
      <c r="L2023">
        <f xml:space="preserve"> (交易處理資料__3[[#This Row],[售出工時]] * 60) / 5</f>
        <v>0</v>
      </c>
      <c r="M2023" t="str">
        <f>VLOOKUP(交易處理資料__3[[#This Row],[人員代號]],團隊分組!$B$1:$C$52,2,FALSE)</f>
        <v>噴漆維修組</v>
      </c>
      <c r="N2023" t="str">
        <f>IF(交易處理資料__3[[#This Row],[上班時間]]=0,"否","是")</f>
        <v>否</v>
      </c>
      <c r="O2023" s="10" t="s">
        <v>74</v>
      </c>
      <c r="P2023" s="38">
        <v>0</v>
      </c>
      <c r="Q2023" s="38">
        <v>0</v>
      </c>
      <c r="R2023" s="38">
        <v>0</v>
      </c>
    </row>
    <row r="2024" spans="1:18" hidden="1">
      <c r="A2024" s="10" t="s">
        <v>74</v>
      </c>
      <c r="B2024" t="s">
        <v>6</v>
      </c>
      <c r="C2024">
        <v>0</v>
      </c>
      <c r="D2024">
        <v>0</v>
      </c>
      <c r="E2024" s="29">
        <v>0</v>
      </c>
      <c r="F2024">
        <v>7.87</v>
      </c>
      <c r="G2024">
        <v>0.16</v>
      </c>
      <c r="H2024">
        <v>8.0299999999999994</v>
      </c>
      <c r="I2024" s="29">
        <v>0.98010000000000008</v>
      </c>
      <c r="J2024" s="29">
        <v>0</v>
      </c>
      <c r="K2024" s="9">
        <v>45342</v>
      </c>
      <c r="L2024">
        <f xml:space="preserve"> (交易處理資料__3[[#This Row],[售出工時]] * 60) / 5</f>
        <v>0</v>
      </c>
      <c r="M2024" t="str">
        <f>VLOOKUP(交易處理資料__3[[#This Row],[人員代號]],團隊分組!$B$1:$C$52,2,FALSE)</f>
        <v>噴漆維修組</v>
      </c>
      <c r="N2024" t="str">
        <f>IF(交易處理資料__3[[#This Row],[上班時間]]=0,"否","是")</f>
        <v>是</v>
      </c>
      <c r="O2024" s="10" t="s">
        <v>74</v>
      </c>
      <c r="P2024" s="37">
        <v>0</v>
      </c>
      <c r="Q2024" s="37">
        <v>0</v>
      </c>
      <c r="R2024" s="37">
        <v>0.98010000000000008</v>
      </c>
    </row>
    <row r="2025" spans="1:18">
      <c r="A2025" s="10" t="s">
        <v>74</v>
      </c>
      <c r="B2025" t="s">
        <v>7</v>
      </c>
      <c r="C2025">
        <v>3.3333333330000001</v>
      </c>
      <c r="D2025">
        <v>3.89</v>
      </c>
      <c r="E2025" s="29">
        <v>0.85689802910000001</v>
      </c>
      <c r="F2025">
        <v>7.85</v>
      </c>
      <c r="G2025">
        <v>0.17</v>
      </c>
      <c r="H2025">
        <v>8.02</v>
      </c>
      <c r="I2025" s="29">
        <v>0.9788</v>
      </c>
      <c r="J2025" s="29">
        <v>0.41560000000000002</v>
      </c>
      <c r="K2025" s="9">
        <v>45342</v>
      </c>
      <c r="L2025">
        <f xml:space="preserve"> (交易處理資料__3[[#This Row],[售出工時]] * 60) / 5</f>
        <v>39.999999996</v>
      </c>
      <c r="M2025" t="str">
        <f>VLOOKUP(交易處理資料__3[[#This Row],[人員代號]],團隊分組!$B$1:$C$52,2,FALSE)</f>
        <v>噴漆維修組</v>
      </c>
      <c r="N2025" t="str">
        <f>IF(交易處理資料__3[[#This Row],[上班時間]]=0,"否","是")</f>
        <v>是</v>
      </c>
      <c r="O2025" s="10" t="s">
        <v>74</v>
      </c>
      <c r="P2025" s="38">
        <v>0.85689802910000001</v>
      </c>
      <c r="Q2025" s="38">
        <v>0.41560000000000002</v>
      </c>
      <c r="R2025" s="38">
        <v>0.9788</v>
      </c>
    </row>
    <row r="2026" spans="1:18" hidden="1">
      <c r="A2026" s="10" t="s">
        <v>74</v>
      </c>
      <c r="B2026" t="s">
        <v>8</v>
      </c>
      <c r="C2026">
        <v>0</v>
      </c>
      <c r="D2026">
        <v>0</v>
      </c>
      <c r="E2026" s="29">
        <v>0</v>
      </c>
      <c r="F2026">
        <v>7.3</v>
      </c>
      <c r="G2026">
        <v>0.82</v>
      </c>
      <c r="H2026">
        <v>8.1199999999999992</v>
      </c>
      <c r="I2026" s="29">
        <v>0.89900000000000002</v>
      </c>
      <c r="J2026" s="29">
        <v>0</v>
      </c>
      <c r="K2026" s="9">
        <v>45342</v>
      </c>
      <c r="L2026">
        <f xml:space="preserve"> (交易處理資料__3[[#This Row],[售出工時]] * 60) / 5</f>
        <v>0</v>
      </c>
      <c r="M2026" t="str">
        <f>VLOOKUP(交易處理資料__3[[#This Row],[人員代號]],團隊分組!$B$1:$C$52,2,FALSE)</f>
        <v>噴漆維修組</v>
      </c>
      <c r="N2026" t="str">
        <f>IF(交易處理資料__3[[#This Row],[上班時間]]=0,"否","是")</f>
        <v>是</v>
      </c>
      <c r="O2026" s="10" t="s">
        <v>74</v>
      </c>
      <c r="P2026" s="37">
        <v>0</v>
      </c>
      <c r="Q2026" s="37">
        <v>0</v>
      </c>
      <c r="R2026" s="37">
        <v>0.89900000000000002</v>
      </c>
    </row>
    <row r="2027" spans="1:18" hidden="1">
      <c r="A2027" s="10" t="s">
        <v>74</v>
      </c>
      <c r="B2027" t="s">
        <v>9</v>
      </c>
      <c r="C2027">
        <v>0</v>
      </c>
      <c r="D2027">
        <v>0</v>
      </c>
      <c r="E2027" s="29">
        <v>0</v>
      </c>
      <c r="F2027">
        <v>7.33</v>
      </c>
      <c r="G2027">
        <v>0.77</v>
      </c>
      <c r="H2027">
        <v>8.1</v>
      </c>
      <c r="I2027" s="29">
        <v>0.90489999999999993</v>
      </c>
      <c r="J2027" s="29">
        <v>0</v>
      </c>
      <c r="K2027" s="9">
        <v>45342</v>
      </c>
      <c r="L2027">
        <f xml:space="preserve"> (交易處理資料__3[[#This Row],[售出工時]] * 60) / 5</f>
        <v>0</v>
      </c>
      <c r="M2027" t="str">
        <f>VLOOKUP(交易處理資料__3[[#This Row],[人員代號]],團隊分組!$B$1:$C$52,2,FALSE)</f>
        <v>噴漆維修組</v>
      </c>
      <c r="N2027" t="str">
        <f>IF(交易處理資料__3[[#This Row],[上班時間]]=0,"否","是")</f>
        <v>是</v>
      </c>
      <c r="O2027" s="10" t="s">
        <v>74</v>
      </c>
      <c r="P2027" s="38">
        <v>0</v>
      </c>
      <c r="Q2027" s="38">
        <v>0</v>
      </c>
      <c r="R2027" s="38">
        <v>0.90489999999999993</v>
      </c>
    </row>
    <row r="2028" spans="1:18" hidden="1">
      <c r="A2028" t="s">
        <v>75</v>
      </c>
      <c r="B2028" t="s">
        <v>11</v>
      </c>
      <c r="C2028">
        <v>0</v>
      </c>
      <c r="D2028">
        <v>0</v>
      </c>
      <c r="E2028" s="29">
        <v>0</v>
      </c>
      <c r="F2028">
        <v>3.5</v>
      </c>
      <c r="G2028">
        <v>4.5999999999999996</v>
      </c>
      <c r="H2028">
        <v>8.1</v>
      </c>
      <c r="I2028" s="29">
        <v>0.43209999999999998</v>
      </c>
      <c r="J2028" s="29">
        <v>0</v>
      </c>
      <c r="K2028" s="9">
        <v>45342</v>
      </c>
      <c r="L2028">
        <f xml:space="preserve"> (交易處理資料__3[[#This Row],[售出工時]] * 60) / 5</f>
        <v>0</v>
      </c>
      <c r="M2028" t="str">
        <f>VLOOKUP(交易處理資料__3[[#This Row],[人員代號]],團隊分組!$B$1:$C$52,2,FALSE)</f>
        <v>鈑金維修組</v>
      </c>
      <c r="N2028" t="str">
        <f>IF(交易處理資料__3[[#This Row],[上班時間]]=0,"否","是")</f>
        <v>是</v>
      </c>
      <c r="O2028" t="s">
        <v>75</v>
      </c>
      <c r="P2028" s="37">
        <v>0</v>
      </c>
      <c r="Q2028" s="37">
        <v>0</v>
      </c>
      <c r="R2028" s="37">
        <v>0.43209999999999998</v>
      </c>
    </row>
    <row r="2029" spans="1:18" hidden="1">
      <c r="A2029" t="s">
        <v>75</v>
      </c>
      <c r="B2029" t="s">
        <v>12</v>
      </c>
      <c r="C2029">
        <v>0</v>
      </c>
      <c r="D2029">
        <v>0</v>
      </c>
      <c r="E2029" s="29">
        <v>0</v>
      </c>
      <c r="F2029">
        <v>5</v>
      </c>
      <c r="G2029">
        <v>3.1</v>
      </c>
      <c r="H2029">
        <v>8.1</v>
      </c>
      <c r="I2029" s="29">
        <v>0.61729999999999996</v>
      </c>
      <c r="J2029" s="29">
        <v>0</v>
      </c>
      <c r="K2029" s="9">
        <v>45342</v>
      </c>
      <c r="L2029">
        <f xml:space="preserve"> (交易處理資料__3[[#This Row],[售出工時]] * 60) / 5</f>
        <v>0</v>
      </c>
      <c r="M2029" t="str">
        <f>VLOOKUP(交易處理資料__3[[#This Row],[人員代號]],團隊分組!$B$1:$C$52,2,FALSE)</f>
        <v>鈑金維修組</v>
      </c>
      <c r="N2029" t="str">
        <f>IF(交易處理資料__3[[#This Row],[上班時間]]=0,"否","是")</f>
        <v>是</v>
      </c>
      <c r="O2029" t="s">
        <v>75</v>
      </c>
      <c r="P2029" s="38">
        <v>0</v>
      </c>
      <c r="Q2029" s="38">
        <v>0</v>
      </c>
      <c r="R2029" s="38">
        <v>0.61729999999999996</v>
      </c>
    </row>
    <row r="2030" spans="1:18" hidden="1">
      <c r="A2030" t="s">
        <v>75</v>
      </c>
      <c r="B2030" t="s">
        <v>13</v>
      </c>
      <c r="C2030">
        <v>0</v>
      </c>
      <c r="D2030">
        <v>0</v>
      </c>
      <c r="E2030" s="29">
        <v>0</v>
      </c>
      <c r="F2030">
        <v>0</v>
      </c>
      <c r="G2030">
        <v>0</v>
      </c>
      <c r="H2030">
        <v>0</v>
      </c>
      <c r="I2030" s="29">
        <v>0</v>
      </c>
      <c r="J2030" s="29">
        <v>0</v>
      </c>
      <c r="K2030" s="9">
        <v>45342</v>
      </c>
      <c r="L2030">
        <f xml:space="preserve"> (交易處理資料__3[[#This Row],[售出工時]] * 60) / 5</f>
        <v>0</v>
      </c>
      <c r="M2030" t="str">
        <f>VLOOKUP(交易處理資料__3[[#This Row],[人員代號]],團隊分組!$B$1:$C$52,2,FALSE)</f>
        <v>鈑金維修組</v>
      </c>
      <c r="N2030" t="str">
        <f>IF(交易處理資料__3[[#This Row],[上班時間]]=0,"否","是")</f>
        <v>否</v>
      </c>
      <c r="O2030" t="s">
        <v>75</v>
      </c>
      <c r="P2030" s="37">
        <v>0</v>
      </c>
      <c r="Q2030" s="37">
        <v>0</v>
      </c>
      <c r="R2030" s="37">
        <v>0</v>
      </c>
    </row>
    <row r="2031" spans="1:18" hidden="1">
      <c r="A2031" t="s">
        <v>75</v>
      </c>
      <c r="B2031" t="s">
        <v>15</v>
      </c>
      <c r="C2031">
        <v>2.36</v>
      </c>
      <c r="D2031">
        <v>3.21</v>
      </c>
      <c r="E2031" s="29">
        <v>0.7352024922</v>
      </c>
      <c r="F2031">
        <v>3.66</v>
      </c>
      <c r="G2031">
        <v>4.4400000000000004</v>
      </c>
      <c r="H2031">
        <v>8.1</v>
      </c>
      <c r="I2031" s="29">
        <v>0.45189999999999997</v>
      </c>
      <c r="J2031" s="29">
        <v>0.29139999999999999</v>
      </c>
      <c r="K2031" s="9">
        <v>45342</v>
      </c>
      <c r="L2031">
        <f xml:space="preserve"> (交易處理資料__3[[#This Row],[售出工時]] * 60) / 5</f>
        <v>28.32</v>
      </c>
      <c r="M2031" t="str">
        <f>VLOOKUP(交易處理資料__3[[#This Row],[人員代號]],團隊分組!$B$1:$C$52,2,FALSE)</f>
        <v>鈑金維修組</v>
      </c>
      <c r="N2031" t="str">
        <f>IF(交易處理資料__3[[#This Row],[上班時間]]=0,"否","是")</f>
        <v>是</v>
      </c>
      <c r="O2031" t="s">
        <v>75</v>
      </c>
      <c r="P2031" s="38">
        <v>0.7352024922</v>
      </c>
      <c r="Q2031" s="38">
        <v>0.29139999999999999</v>
      </c>
      <c r="R2031" s="38">
        <v>0.45189999999999997</v>
      </c>
    </row>
    <row r="2032" spans="1:18" hidden="1">
      <c r="A2032" t="s">
        <v>76</v>
      </c>
      <c r="B2032" t="s">
        <v>17</v>
      </c>
      <c r="C2032">
        <v>5.3333333329999997</v>
      </c>
      <c r="D2032">
        <v>3.23</v>
      </c>
      <c r="E2032" s="29">
        <v>1.651186791</v>
      </c>
      <c r="F2032">
        <v>6.61</v>
      </c>
      <c r="G2032">
        <v>1.53</v>
      </c>
      <c r="H2032">
        <v>8.14</v>
      </c>
      <c r="I2032" s="29">
        <v>0.81200000000000006</v>
      </c>
      <c r="J2032" s="29">
        <v>0.6552</v>
      </c>
      <c r="K2032" s="9">
        <v>45342</v>
      </c>
      <c r="L2032">
        <f xml:space="preserve"> (交易處理資料__3[[#This Row],[售出工時]] * 60) / 5</f>
        <v>63.999999996</v>
      </c>
      <c r="M2032" t="str">
        <f>VLOOKUP(交易處理資料__3[[#This Row],[人員代號]],團隊分組!$B$1:$C$52,2,FALSE)</f>
        <v>快速保養團隊A</v>
      </c>
      <c r="N2032" t="str">
        <f>IF(交易處理資料__3[[#This Row],[上班時間]]=0,"否","是")</f>
        <v>是</v>
      </c>
      <c r="O2032" t="s">
        <v>76</v>
      </c>
      <c r="P2032" s="37">
        <v>1.651186791</v>
      </c>
      <c r="Q2032" s="37">
        <v>0.6552</v>
      </c>
      <c r="R2032" s="37">
        <v>0.81200000000000006</v>
      </c>
    </row>
    <row r="2033" spans="1:18" hidden="1">
      <c r="A2033" t="s">
        <v>76</v>
      </c>
      <c r="B2033" t="s">
        <v>19</v>
      </c>
      <c r="C2033">
        <v>0</v>
      </c>
      <c r="D2033">
        <v>0</v>
      </c>
      <c r="E2033" s="29">
        <v>0</v>
      </c>
      <c r="F2033">
        <v>0</v>
      </c>
      <c r="G2033">
        <v>0</v>
      </c>
      <c r="H2033">
        <v>0</v>
      </c>
      <c r="I2033" s="29">
        <v>0</v>
      </c>
      <c r="J2033" s="29">
        <v>0</v>
      </c>
      <c r="K2033" s="9">
        <v>45342</v>
      </c>
      <c r="L2033">
        <f xml:space="preserve"> (交易處理資料__3[[#This Row],[售出工時]] * 60) / 5</f>
        <v>0</v>
      </c>
      <c r="M2033" t="str">
        <f>VLOOKUP(交易處理資料__3[[#This Row],[人員代號]],團隊分組!$B$1:$C$52,2,FALSE)</f>
        <v>查修團隊A</v>
      </c>
      <c r="N2033" t="str">
        <f>IF(交易處理資料__3[[#This Row],[上班時間]]=0,"否","是")</f>
        <v>否</v>
      </c>
      <c r="O2033" t="s">
        <v>76</v>
      </c>
      <c r="P2033" s="38">
        <v>0</v>
      </c>
      <c r="Q2033" s="38">
        <v>0</v>
      </c>
      <c r="R2033" s="38">
        <v>0</v>
      </c>
    </row>
    <row r="2034" spans="1:18" hidden="1">
      <c r="A2034" t="s">
        <v>76</v>
      </c>
      <c r="B2034" t="s">
        <v>20</v>
      </c>
      <c r="C2034">
        <v>0.75</v>
      </c>
      <c r="D2034">
        <v>2.0299999999999998</v>
      </c>
      <c r="E2034" s="29">
        <v>0.36945812810000001</v>
      </c>
      <c r="F2034">
        <v>6.81</v>
      </c>
      <c r="G2034">
        <v>4.13</v>
      </c>
      <c r="H2034">
        <v>10.94</v>
      </c>
      <c r="I2034" s="29">
        <v>0.62250000000000005</v>
      </c>
      <c r="J2034" s="29">
        <v>6.8600000000000008E-2</v>
      </c>
      <c r="K2034" s="9">
        <v>45342</v>
      </c>
      <c r="L2034">
        <f xml:space="preserve"> (交易處理資料__3[[#This Row],[售出工時]] * 60) / 5</f>
        <v>9</v>
      </c>
      <c r="M2034" t="str">
        <f>VLOOKUP(交易處理資料__3[[#This Row],[人員代號]],團隊分組!$B$1:$C$52,2,FALSE)</f>
        <v>查修團隊B</v>
      </c>
      <c r="N2034" t="str">
        <f>IF(交易處理資料__3[[#This Row],[上班時間]]=0,"否","是")</f>
        <v>是</v>
      </c>
      <c r="O2034" t="s">
        <v>76</v>
      </c>
      <c r="P2034" s="37">
        <v>0.36945812810000001</v>
      </c>
      <c r="Q2034" s="37">
        <v>6.8600000000000008E-2</v>
      </c>
      <c r="R2034" s="37">
        <v>0.62250000000000005</v>
      </c>
    </row>
    <row r="2035" spans="1:18" hidden="1">
      <c r="A2035" t="s">
        <v>76</v>
      </c>
      <c r="B2035" t="s">
        <v>21</v>
      </c>
      <c r="C2035">
        <v>3.1666666669999999</v>
      </c>
      <c r="D2035">
        <v>7</v>
      </c>
      <c r="E2035" s="29">
        <v>0.45238095239999998</v>
      </c>
      <c r="F2035">
        <v>7.49</v>
      </c>
      <c r="G2035">
        <v>0.6</v>
      </c>
      <c r="H2035">
        <v>8.09</v>
      </c>
      <c r="I2035" s="29">
        <v>0.92579999999999996</v>
      </c>
      <c r="J2035" s="29">
        <v>0.39140000000000003</v>
      </c>
      <c r="K2035" s="9">
        <v>45342</v>
      </c>
      <c r="L2035">
        <f xml:space="preserve"> (交易處理資料__3[[#This Row],[售出工時]] * 60) / 5</f>
        <v>38.000000004</v>
      </c>
      <c r="M2035" t="str">
        <f>VLOOKUP(交易處理資料__3[[#This Row],[人員代號]],團隊分組!$B$1:$C$52,2,FALSE)</f>
        <v>查修團隊B</v>
      </c>
      <c r="N2035" t="str">
        <f>IF(交易處理資料__3[[#This Row],[上班時間]]=0,"否","是")</f>
        <v>是</v>
      </c>
      <c r="O2035" t="s">
        <v>76</v>
      </c>
      <c r="P2035" s="38">
        <v>0.45238095239999998</v>
      </c>
      <c r="Q2035" s="38">
        <v>0.39140000000000003</v>
      </c>
      <c r="R2035" s="38">
        <v>0.92579999999999996</v>
      </c>
    </row>
    <row r="2036" spans="1:18" hidden="1">
      <c r="A2036" t="s">
        <v>76</v>
      </c>
      <c r="B2036" t="s">
        <v>22</v>
      </c>
      <c r="C2036">
        <v>10.41666667</v>
      </c>
      <c r="D2036">
        <v>6.22</v>
      </c>
      <c r="E2036" s="29">
        <v>1.6747052519999999</v>
      </c>
      <c r="F2036">
        <v>8.09</v>
      </c>
      <c r="G2036">
        <v>0.72</v>
      </c>
      <c r="H2036">
        <v>8.81</v>
      </c>
      <c r="I2036" s="29">
        <v>0.91830000000000001</v>
      </c>
      <c r="J2036" s="29">
        <v>1.1823999999999999</v>
      </c>
      <c r="K2036" s="9">
        <v>45342</v>
      </c>
      <c r="L2036">
        <f xml:space="preserve"> (交易處理資料__3[[#This Row],[售出工時]] * 60) / 5</f>
        <v>125.00000003999999</v>
      </c>
      <c r="M2036" t="str">
        <f>VLOOKUP(交易處理資料__3[[#This Row],[人員代號]],團隊分組!$B$1:$C$52,2,FALSE)</f>
        <v>快速保養團隊A</v>
      </c>
      <c r="N2036" t="str">
        <f>IF(交易處理資料__3[[#This Row],[上班時間]]=0,"否","是")</f>
        <v>是</v>
      </c>
      <c r="O2036" t="s">
        <v>76</v>
      </c>
      <c r="P2036" s="37">
        <v>1.6747052519999999</v>
      </c>
      <c r="Q2036" s="37">
        <v>1.1823999999999999</v>
      </c>
      <c r="R2036" s="37">
        <v>0.91830000000000001</v>
      </c>
    </row>
    <row r="2037" spans="1:18" hidden="1">
      <c r="A2037" t="s">
        <v>76</v>
      </c>
      <c r="B2037" t="s">
        <v>23</v>
      </c>
      <c r="C2037">
        <v>8.1066666670000007</v>
      </c>
      <c r="D2037">
        <v>7.03</v>
      </c>
      <c r="E2037" s="29">
        <v>1.1531531529999999</v>
      </c>
      <c r="F2037">
        <v>6.74</v>
      </c>
      <c r="G2037">
        <v>0.49</v>
      </c>
      <c r="H2037">
        <v>7.23</v>
      </c>
      <c r="I2037" s="29">
        <v>0.93220000000000003</v>
      </c>
      <c r="J2037" s="29">
        <v>1.1213</v>
      </c>
      <c r="K2037" s="9">
        <v>45342</v>
      </c>
      <c r="L2037">
        <f xml:space="preserve"> (交易處理資料__3[[#This Row],[售出工時]] * 60) / 5</f>
        <v>97.280000004000016</v>
      </c>
      <c r="M2037" t="str">
        <f>VLOOKUP(交易處理資料__3[[#This Row],[人員代號]],團隊分組!$B$1:$C$52,2,FALSE)</f>
        <v>快速保養團隊B</v>
      </c>
      <c r="N2037" t="str">
        <f>IF(交易處理資料__3[[#This Row],[上班時間]]=0,"否","是")</f>
        <v>是</v>
      </c>
      <c r="O2037" t="s">
        <v>76</v>
      </c>
      <c r="P2037" s="38">
        <v>1.1531531529999999</v>
      </c>
      <c r="Q2037" s="38">
        <v>1.1213</v>
      </c>
      <c r="R2037" s="38">
        <v>0.93220000000000003</v>
      </c>
    </row>
    <row r="2038" spans="1:18" hidden="1">
      <c r="A2038" t="s">
        <v>76</v>
      </c>
      <c r="B2038" t="s">
        <v>24</v>
      </c>
      <c r="C2038">
        <v>6.59</v>
      </c>
      <c r="D2038">
        <v>6.57</v>
      </c>
      <c r="E2038" s="29">
        <v>1.0030441399999999</v>
      </c>
      <c r="F2038">
        <v>6.57</v>
      </c>
      <c r="G2038">
        <v>1.54</v>
      </c>
      <c r="H2038">
        <v>8.11</v>
      </c>
      <c r="I2038" s="29">
        <v>0.81010000000000004</v>
      </c>
      <c r="J2038" s="29">
        <v>0.8126000000000001</v>
      </c>
      <c r="K2038" s="9">
        <v>45342</v>
      </c>
      <c r="L2038">
        <f xml:space="preserve"> (交易處理資料__3[[#This Row],[售出工時]] * 60) / 5</f>
        <v>79.08</v>
      </c>
      <c r="M2038" t="str">
        <f>VLOOKUP(交易處理資料__3[[#This Row],[人員代號]],團隊分組!$B$1:$C$52,2,FALSE)</f>
        <v>快速保養團隊A</v>
      </c>
      <c r="N2038" t="str">
        <f>IF(交易處理資料__3[[#This Row],[上班時間]]=0,"否","是")</f>
        <v>是</v>
      </c>
      <c r="O2038" t="s">
        <v>76</v>
      </c>
      <c r="P2038" s="37">
        <v>1.0030441399999999</v>
      </c>
      <c r="Q2038" s="37">
        <v>0.8126000000000001</v>
      </c>
      <c r="R2038" s="37">
        <v>0.81010000000000004</v>
      </c>
    </row>
    <row r="2039" spans="1:18" hidden="1">
      <c r="A2039" t="s">
        <v>76</v>
      </c>
      <c r="B2039" t="s">
        <v>25</v>
      </c>
      <c r="C2039">
        <v>8</v>
      </c>
      <c r="D2039">
        <v>7.23</v>
      </c>
      <c r="E2039" s="29">
        <v>1.106500692</v>
      </c>
      <c r="F2039">
        <v>6.79</v>
      </c>
      <c r="G2039">
        <v>1.23</v>
      </c>
      <c r="H2039">
        <v>8.02</v>
      </c>
      <c r="I2039" s="29">
        <v>0.84660000000000002</v>
      </c>
      <c r="J2039" s="29">
        <v>0.99750000000000005</v>
      </c>
      <c r="K2039" s="9">
        <v>45342</v>
      </c>
      <c r="L2039">
        <f xml:space="preserve"> (交易處理資料__3[[#This Row],[售出工時]] * 60) / 5</f>
        <v>96</v>
      </c>
      <c r="M2039" t="str">
        <f>VLOOKUP(交易處理資料__3[[#This Row],[人員代號]],團隊分組!$B$1:$C$52,2,FALSE)</f>
        <v>查修團隊A</v>
      </c>
      <c r="N2039" t="str">
        <f>IF(交易處理資料__3[[#This Row],[上班時間]]=0,"否","是")</f>
        <v>是</v>
      </c>
      <c r="O2039" t="s">
        <v>76</v>
      </c>
      <c r="P2039" s="38">
        <v>1.106500692</v>
      </c>
      <c r="Q2039" s="38">
        <v>0.99750000000000005</v>
      </c>
      <c r="R2039" s="38">
        <v>0.84660000000000002</v>
      </c>
    </row>
    <row r="2040" spans="1:18" hidden="1">
      <c r="A2040" t="s">
        <v>76</v>
      </c>
      <c r="B2040" t="s">
        <v>26</v>
      </c>
      <c r="C2040">
        <v>2</v>
      </c>
      <c r="D2040">
        <v>2.2799999999999998</v>
      </c>
      <c r="E2040" s="29">
        <v>0.8771929825</v>
      </c>
      <c r="F2040">
        <v>9.41</v>
      </c>
      <c r="G2040">
        <v>1.54</v>
      </c>
      <c r="H2040">
        <v>10.95</v>
      </c>
      <c r="I2040" s="29">
        <v>0.85939999999999994</v>
      </c>
      <c r="J2040" s="29">
        <v>0.18260000000000001</v>
      </c>
      <c r="K2040" s="9">
        <v>45342</v>
      </c>
      <c r="L2040">
        <f xml:space="preserve"> (交易處理資料__3[[#This Row],[售出工時]] * 60) / 5</f>
        <v>24</v>
      </c>
      <c r="M2040" t="str">
        <f>VLOOKUP(交易處理資料__3[[#This Row],[人員代號]],團隊分組!$B$1:$C$52,2,FALSE)</f>
        <v>查修團隊B</v>
      </c>
      <c r="N2040" t="str">
        <f>IF(交易處理資料__3[[#This Row],[上班時間]]=0,"否","是")</f>
        <v>是</v>
      </c>
      <c r="O2040" t="s">
        <v>76</v>
      </c>
      <c r="P2040" s="37">
        <v>0.8771929825</v>
      </c>
      <c r="Q2040" s="37">
        <v>0.18260000000000001</v>
      </c>
      <c r="R2040" s="37">
        <v>0.85939999999999994</v>
      </c>
    </row>
    <row r="2041" spans="1:18" hidden="1">
      <c r="A2041" t="s">
        <v>76</v>
      </c>
      <c r="B2041" t="s">
        <v>27</v>
      </c>
      <c r="C2041">
        <v>3.36</v>
      </c>
      <c r="D2041">
        <v>2.95</v>
      </c>
      <c r="E2041" s="29">
        <v>1.1389830510000001</v>
      </c>
      <c r="F2041">
        <v>7.79</v>
      </c>
      <c r="G2041">
        <v>0.24</v>
      </c>
      <c r="H2041">
        <v>8.0299999999999994</v>
      </c>
      <c r="I2041" s="29">
        <v>0.97010000000000007</v>
      </c>
      <c r="J2041" s="29">
        <v>0.41840000000000005</v>
      </c>
      <c r="K2041" s="9">
        <v>45342</v>
      </c>
      <c r="L2041">
        <f xml:space="preserve"> (交易處理資料__3[[#This Row],[售出工時]] * 60) / 5</f>
        <v>40.32</v>
      </c>
      <c r="M2041" t="str">
        <f>VLOOKUP(交易處理資料__3[[#This Row],[人員代號]],團隊分組!$B$1:$C$52,2,FALSE)</f>
        <v>快速保養團隊B</v>
      </c>
      <c r="N2041" t="str">
        <f>IF(交易處理資料__3[[#This Row],[上班時間]]=0,"否","是")</f>
        <v>是</v>
      </c>
      <c r="O2041" t="s">
        <v>76</v>
      </c>
      <c r="P2041" s="38">
        <v>1.1389830510000001</v>
      </c>
      <c r="Q2041" s="38">
        <v>0.41840000000000005</v>
      </c>
      <c r="R2041" s="38">
        <v>0.97010000000000007</v>
      </c>
    </row>
    <row r="2042" spans="1:18" hidden="1">
      <c r="A2042" t="s">
        <v>76</v>
      </c>
      <c r="B2042" t="s">
        <v>28</v>
      </c>
      <c r="C2042">
        <v>6.13</v>
      </c>
      <c r="D2042">
        <v>6.57</v>
      </c>
      <c r="E2042" s="29">
        <v>0.93302891929999998</v>
      </c>
      <c r="F2042">
        <v>6.57</v>
      </c>
      <c r="G2042">
        <v>1.52</v>
      </c>
      <c r="H2042">
        <v>8.09</v>
      </c>
      <c r="I2042" s="29">
        <v>0.81209999999999993</v>
      </c>
      <c r="J2042" s="29">
        <v>0.75769999999999993</v>
      </c>
      <c r="K2042" s="9">
        <v>45342</v>
      </c>
      <c r="L2042">
        <f xml:space="preserve"> (交易處理資料__3[[#This Row],[售出工時]] * 60) / 5</f>
        <v>73.56</v>
      </c>
      <c r="M2042" t="str">
        <f>VLOOKUP(交易處理資料__3[[#This Row],[人員代號]],團隊分組!$B$1:$C$52,2,FALSE)</f>
        <v>快速保養團隊A</v>
      </c>
      <c r="N2042" t="str">
        <f>IF(交易處理資料__3[[#This Row],[上班時間]]=0,"否","是")</f>
        <v>是</v>
      </c>
      <c r="O2042" t="s">
        <v>76</v>
      </c>
      <c r="P2042" s="37">
        <v>0.93302891929999998</v>
      </c>
      <c r="Q2042" s="37">
        <v>0.75769999999999993</v>
      </c>
      <c r="R2042" s="37">
        <v>0.81209999999999993</v>
      </c>
    </row>
    <row r="2043" spans="1:18" hidden="1">
      <c r="A2043" t="s">
        <v>76</v>
      </c>
      <c r="B2043" t="s">
        <v>29</v>
      </c>
      <c r="C2043">
        <v>0</v>
      </c>
      <c r="D2043">
        <v>0</v>
      </c>
      <c r="E2043" s="29">
        <v>0</v>
      </c>
      <c r="F2043">
        <v>7.6</v>
      </c>
      <c r="G2043">
        <v>0.46</v>
      </c>
      <c r="H2043">
        <v>8.06</v>
      </c>
      <c r="I2043" s="29">
        <v>0.94290000000000007</v>
      </c>
      <c r="J2043" s="29">
        <v>0</v>
      </c>
      <c r="K2043" s="9">
        <v>45342</v>
      </c>
      <c r="L2043">
        <f xml:space="preserve"> (交易處理資料__3[[#This Row],[售出工時]] * 60) / 5</f>
        <v>0</v>
      </c>
      <c r="M2043" t="str">
        <f>VLOOKUP(交易處理資料__3[[#This Row],[人員代號]],團隊分組!$B$1:$C$52,2,FALSE)</f>
        <v>查修團隊B</v>
      </c>
      <c r="N2043" t="str">
        <f>IF(交易處理資料__3[[#This Row],[上班時間]]=0,"否","是")</f>
        <v>是</v>
      </c>
      <c r="O2043" t="s">
        <v>76</v>
      </c>
      <c r="P2043" s="38">
        <v>0</v>
      </c>
      <c r="Q2043" s="38">
        <v>0</v>
      </c>
      <c r="R2043" s="38">
        <v>0.94290000000000007</v>
      </c>
    </row>
    <row r="2044" spans="1:18" hidden="1">
      <c r="A2044" t="s">
        <v>76</v>
      </c>
      <c r="B2044" t="s">
        <v>30</v>
      </c>
      <c r="C2044">
        <v>7.8166666669999998</v>
      </c>
      <c r="D2044">
        <v>6.17</v>
      </c>
      <c r="E2044" s="29">
        <v>1.2668827659999999</v>
      </c>
      <c r="F2044">
        <v>7.76</v>
      </c>
      <c r="G2044">
        <v>0.27</v>
      </c>
      <c r="H2044">
        <v>8.0299999999999994</v>
      </c>
      <c r="I2044" s="29">
        <v>0.96640000000000004</v>
      </c>
      <c r="J2044" s="29">
        <v>0.97340000000000004</v>
      </c>
      <c r="K2044" s="9">
        <v>45342</v>
      </c>
      <c r="L2044">
        <f xml:space="preserve"> (交易處理資料__3[[#This Row],[售出工時]] * 60) / 5</f>
        <v>93.800000003999997</v>
      </c>
      <c r="M2044" t="str">
        <f>VLOOKUP(交易處理資料__3[[#This Row],[人員代號]],團隊分組!$B$1:$C$52,2,FALSE)</f>
        <v>快速保養團隊B</v>
      </c>
      <c r="N2044" t="str">
        <f>IF(交易處理資料__3[[#This Row],[上班時間]]=0,"否","是")</f>
        <v>是</v>
      </c>
      <c r="O2044" t="s">
        <v>76</v>
      </c>
      <c r="P2044" s="37">
        <v>1.2668827659999999</v>
      </c>
      <c r="Q2044" s="37">
        <v>0.97340000000000004</v>
      </c>
      <c r="R2044" s="37">
        <v>0.96640000000000004</v>
      </c>
    </row>
    <row r="2045" spans="1:18" hidden="1">
      <c r="A2045" t="s">
        <v>76</v>
      </c>
      <c r="B2045" t="s">
        <v>32</v>
      </c>
      <c r="C2045">
        <v>5.37</v>
      </c>
      <c r="D2045">
        <v>5.8</v>
      </c>
      <c r="E2045" s="29">
        <v>0.9258620689999999</v>
      </c>
      <c r="F2045">
        <v>7.9</v>
      </c>
      <c r="G2045">
        <v>0.51</v>
      </c>
      <c r="H2045">
        <v>8.41</v>
      </c>
      <c r="I2045" s="29">
        <v>0.93940000000000001</v>
      </c>
      <c r="J2045" s="29">
        <v>0.63850000000000007</v>
      </c>
      <c r="K2045" s="9">
        <v>45342</v>
      </c>
      <c r="L2045">
        <f xml:space="preserve"> (交易處理資料__3[[#This Row],[售出工時]] * 60) / 5</f>
        <v>64.44</v>
      </c>
      <c r="M2045" t="str">
        <f>VLOOKUP(交易處理資料__3[[#This Row],[人員代號]],團隊分組!$B$1:$C$52,2,FALSE)</f>
        <v>快速保養團隊B</v>
      </c>
      <c r="N2045" t="str">
        <f>IF(交易處理資料__3[[#This Row],[上班時間]]=0,"否","是")</f>
        <v>是</v>
      </c>
      <c r="O2045" t="s">
        <v>76</v>
      </c>
      <c r="P2045" s="38">
        <v>0.9258620689999999</v>
      </c>
      <c r="Q2045" s="38">
        <v>0.63850000000000007</v>
      </c>
      <c r="R2045" s="38">
        <v>0.93940000000000001</v>
      </c>
    </row>
    <row r="2046" spans="1:18" hidden="1">
      <c r="A2046" t="s">
        <v>76</v>
      </c>
      <c r="B2046" t="s">
        <v>33</v>
      </c>
      <c r="C2046">
        <v>0</v>
      </c>
      <c r="D2046">
        <v>0</v>
      </c>
      <c r="E2046" s="29">
        <v>0</v>
      </c>
      <c r="F2046">
        <v>0</v>
      </c>
      <c r="G2046">
        <v>0</v>
      </c>
      <c r="H2046">
        <v>0</v>
      </c>
      <c r="I2046" s="29">
        <v>0</v>
      </c>
      <c r="J2046" s="29">
        <v>0</v>
      </c>
      <c r="K2046" s="9">
        <v>45342</v>
      </c>
      <c r="L2046">
        <f xml:space="preserve"> (交易處理資料__3[[#This Row],[售出工時]] * 60) / 5</f>
        <v>0</v>
      </c>
      <c r="M2046" t="str">
        <f>VLOOKUP(交易處理資料__3[[#This Row],[人員代號]],團隊分組!$B$1:$C$52,2,FALSE)</f>
        <v>快速保養團隊B</v>
      </c>
      <c r="N2046" t="str">
        <f>IF(交易處理資料__3[[#This Row],[上班時間]]=0,"否","是")</f>
        <v>否</v>
      </c>
      <c r="O2046" t="s">
        <v>76</v>
      </c>
      <c r="P2046" s="37">
        <v>0</v>
      </c>
      <c r="Q2046" s="37">
        <v>0</v>
      </c>
      <c r="R2046" s="37">
        <v>0</v>
      </c>
    </row>
    <row r="2047" spans="1:18" hidden="1">
      <c r="A2047" t="s">
        <v>76</v>
      </c>
      <c r="B2047" t="s">
        <v>34</v>
      </c>
      <c r="C2047">
        <v>6.1266666670000003</v>
      </c>
      <c r="D2047">
        <v>3.96</v>
      </c>
      <c r="E2047" s="29">
        <v>1.547138047</v>
      </c>
      <c r="F2047">
        <v>5.83</v>
      </c>
      <c r="G2047">
        <v>2.2000000000000002</v>
      </c>
      <c r="H2047">
        <v>8.0299999999999994</v>
      </c>
      <c r="I2047" s="29">
        <v>0.72599999999999998</v>
      </c>
      <c r="J2047" s="29">
        <v>0.76300000000000001</v>
      </c>
      <c r="K2047" s="9">
        <v>45342</v>
      </c>
      <c r="L2047">
        <f xml:space="preserve"> (交易處理資料__3[[#This Row],[售出工時]] * 60) / 5</f>
        <v>73.520000004000011</v>
      </c>
      <c r="M2047" t="str">
        <f>VLOOKUP(交易處理資料__3[[#This Row],[人員代號]],團隊分組!$B$1:$C$52,2,FALSE)</f>
        <v>快速保養團隊A</v>
      </c>
      <c r="N2047" t="str">
        <f>IF(交易處理資料__3[[#This Row],[上班時間]]=0,"否","是")</f>
        <v>是</v>
      </c>
      <c r="O2047" t="s">
        <v>76</v>
      </c>
      <c r="P2047" s="38">
        <v>1.547138047</v>
      </c>
      <c r="Q2047" s="38">
        <v>0.76300000000000001</v>
      </c>
      <c r="R2047" s="38">
        <v>0.72599999999999998</v>
      </c>
    </row>
    <row r="2048" spans="1:18" hidden="1">
      <c r="A2048" t="s">
        <v>76</v>
      </c>
      <c r="B2048" t="s">
        <v>35</v>
      </c>
      <c r="C2048">
        <v>2.5</v>
      </c>
      <c r="D2048">
        <v>1.88</v>
      </c>
      <c r="E2048" s="29">
        <v>1.3297872340000001</v>
      </c>
      <c r="F2048">
        <v>8.19</v>
      </c>
      <c r="G2048">
        <v>2.74</v>
      </c>
      <c r="H2048">
        <v>10.93</v>
      </c>
      <c r="I2048" s="29">
        <v>0.74930000000000008</v>
      </c>
      <c r="J2048" s="29">
        <v>0.22870000000000001</v>
      </c>
      <c r="K2048" s="9">
        <v>45342</v>
      </c>
      <c r="L2048">
        <f xml:space="preserve"> (交易處理資料__3[[#This Row],[售出工時]] * 60) / 5</f>
        <v>30</v>
      </c>
      <c r="M2048" t="str">
        <f>VLOOKUP(交易處理資料__3[[#This Row],[人員代號]],團隊分組!$B$1:$C$52,2,FALSE)</f>
        <v>查修團隊B</v>
      </c>
      <c r="N2048" t="str">
        <f>IF(交易處理資料__3[[#This Row],[上班時間]]=0,"否","是")</f>
        <v>是</v>
      </c>
      <c r="O2048" t="s">
        <v>76</v>
      </c>
      <c r="P2048" s="37">
        <v>1.3297872340000001</v>
      </c>
      <c r="Q2048" s="37">
        <v>0.22870000000000001</v>
      </c>
      <c r="R2048" s="37">
        <v>0.74930000000000008</v>
      </c>
    </row>
    <row r="2049" spans="1:18" hidden="1">
      <c r="A2049" t="s">
        <v>76</v>
      </c>
      <c r="B2049" t="s">
        <v>37</v>
      </c>
      <c r="C2049">
        <v>3.6066666669999998</v>
      </c>
      <c r="D2049">
        <v>4.05</v>
      </c>
      <c r="E2049" s="29">
        <v>0.89053497940000004</v>
      </c>
      <c r="F2049">
        <v>5.21</v>
      </c>
      <c r="G2049">
        <v>2.79</v>
      </c>
      <c r="H2049">
        <v>8</v>
      </c>
      <c r="I2049" s="29">
        <v>0.65129999999999999</v>
      </c>
      <c r="J2049" s="29">
        <v>0.45079999999999998</v>
      </c>
      <c r="K2049" s="9">
        <v>45342</v>
      </c>
      <c r="L2049">
        <f xml:space="preserve"> (交易處理資料__3[[#This Row],[售出工時]] * 60) / 5</f>
        <v>43.280000004000001</v>
      </c>
      <c r="M2049" t="str">
        <f>VLOOKUP(交易處理資料__3[[#This Row],[人員代號]],團隊分組!$B$1:$C$52,2,FALSE)</f>
        <v>查修團隊A</v>
      </c>
      <c r="N2049" t="str">
        <f>IF(交易處理資料__3[[#This Row],[上班時間]]=0,"否","是")</f>
        <v>是</v>
      </c>
      <c r="O2049" t="s">
        <v>76</v>
      </c>
      <c r="P2049" s="38">
        <v>0.89053497940000004</v>
      </c>
      <c r="Q2049" s="38">
        <v>0.45079999999999998</v>
      </c>
      <c r="R2049" s="38">
        <v>0.65129999999999999</v>
      </c>
    </row>
    <row r="2050" spans="1:18" hidden="1">
      <c r="A2050" t="s">
        <v>76</v>
      </c>
      <c r="B2050" t="s">
        <v>39</v>
      </c>
      <c r="C2050">
        <v>3.75</v>
      </c>
      <c r="D2050">
        <v>5.01</v>
      </c>
      <c r="E2050" s="29">
        <v>0.74850299399999998</v>
      </c>
      <c r="F2050">
        <v>8.85</v>
      </c>
      <c r="G2050">
        <v>1.68</v>
      </c>
      <c r="H2050">
        <v>10.53</v>
      </c>
      <c r="I2050" s="29">
        <v>0.84050000000000002</v>
      </c>
      <c r="J2050" s="29">
        <v>0.35609999999999997</v>
      </c>
      <c r="K2050" s="9">
        <v>45342</v>
      </c>
      <c r="L2050">
        <f xml:space="preserve"> (交易處理資料__3[[#This Row],[售出工時]] * 60) / 5</f>
        <v>45</v>
      </c>
      <c r="M2050" t="str">
        <f>VLOOKUP(交易處理資料__3[[#This Row],[人員代號]],團隊分組!$B$1:$C$52,2,FALSE)</f>
        <v>查修團隊A</v>
      </c>
      <c r="N2050" t="str">
        <f>IF(交易處理資料__3[[#This Row],[上班時間]]=0,"否","是")</f>
        <v>是</v>
      </c>
      <c r="O2050" t="s">
        <v>76</v>
      </c>
      <c r="P2050" s="37">
        <v>0.74850299399999998</v>
      </c>
      <c r="Q2050" s="37">
        <v>0.35609999999999997</v>
      </c>
      <c r="R2050" s="37">
        <v>0.84050000000000002</v>
      </c>
    </row>
    <row r="2051" spans="1:18" hidden="1">
      <c r="A2051" t="s">
        <v>76</v>
      </c>
      <c r="B2051" t="s">
        <v>40</v>
      </c>
      <c r="C2051">
        <v>0</v>
      </c>
      <c r="D2051">
        <v>0</v>
      </c>
      <c r="E2051" s="29">
        <v>0</v>
      </c>
      <c r="F2051">
        <v>8.98</v>
      </c>
      <c r="G2051">
        <v>1.93</v>
      </c>
      <c r="H2051">
        <v>10.91</v>
      </c>
      <c r="I2051" s="29">
        <v>0.82310000000000005</v>
      </c>
      <c r="J2051" s="29">
        <v>0</v>
      </c>
      <c r="K2051" s="9">
        <v>45342</v>
      </c>
      <c r="L2051">
        <f xml:space="preserve"> (交易處理資料__3[[#This Row],[售出工時]] * 60) / 5</f>
        <v>0</v>
      </c>
      <c r="M2051" t="str">
        <f>VLOOKUP(交易處理資料__3[[#This Row],[人員代號]],團隊分組!$B$1:$C$52,2,FALSE)</f>
        <v>查修團隊A</v>
      </c>
      <c r="N2051" t="str">
        <f>IF(交易處理資料__3[[#This Row],[上班時間]]=0,"否","是")</f>
        <v>是</v>
      </c>
      <c r="O2051" t="s">
        <v>76</v>
      </c>
      <c r="P2051" s="38">
        <v>0</v>
      </c>
      <c r="Q2051" s="38">
        <v>0</v>
      </c>
      <c r="R2051" s="38">
        <v>0.82310000000000005</v>
      </c>
    </row>
    <row r="2052" spans="1:18" hidden="1">
      <c r="A2052" t="s">
        <v>76</v>
      </c>
      <c r="B2052" t="s">
        <v>43</v>
      </c>
      <c r="C2052">
        <v>0.83333333300000001</v>
      </c>
      <c r="D2052">
        <v>1.88</v>
      </c>
      <c r="E2052" s="29">
        <v>0.44326241129999999</v>
      </c>
      <c r="F2052">
        <v>7.51</v>
      </c>
      <c r="G2052">
        <v>0.47</v>
      </c>
      <c r="H2052">
        <v>7.98</v>
      </c>
      <c r="I2052" s="29">
        <v>0.94110000000000005</v>
      </c>
      <c r="J2052" s="29">
        <v>0.10439999999999999</v>
      </c>
      <c r="K2052" s="9">
        <v>45342</v>
      </c>
      <c r="L2052">
        <f xml:space="preserve"> (交易處理資料__3[[#This Row],[售出工時]] * 60) / 5</f>
        <v>9.9999999959999997</v>
      </c>
      <c r="M2052" t="str">
        <f>VLOOKUP(交易處理資料__3[[#This Row],[人員代號]],團隊分組!$B$1:$C$52,2,FALSE)</f>
        <v>查修團隊B</v>
      </c>
      <c r="N2052" t="str">
        <f>IF(交易處理資料__3[[#This Row],[上班時間]]=0,"否","是")</f>
        <v>是</v>
      </c>
      <c r="O2052" t="s">
        <v>76</v>
      </c>
      <c r="P2052" s="37">
        <v>0.44326241129999999</v>
      </c>
      <c r="Q2052" s="37">
        <v>0.10439999999999999</v>
      </c>
      <c r="R2052" s="37">
        <v>0.94110000000000005</v>
      </c>
    </row>
    <row r="2053" spans="1:18" hidden="1">
      <c r="A2053" t="s">
        <v>76</v>
      </c>
      <c r="B2053" t="s">
        <v>44</v>
      </c>
      <c r="C2053">
        <v>8.8333333330000006</v>
      </c>
      <c r="D2053">
        <v>6.77</v>
      </c>
      <c r="E2053" s="29">
        <v>1.3047759719999998</v>
      </c>
      <c r="F2053">
        <v>7.39</v>
      </c>
      <c r="G2053">
        <v>1.52</v>
      </c>
      <c r="H2053">
        <v>8.91</v>
      </c>
      <c r="I2053" s="29">
        <v>0.82940000000000003</v>
      </c>
      <c r="J2053" s="29">
        <v>0.99140000000000006</v>
      </c>
      <c r="K2053" s="9">
        <v>45342</v>
      </c>
      <c r="L2053">
        <f xml:space="preserve"> (交易處理資料__3[[#This Row],[售出工時]] * 60) / 5</f>
        <v>105.999999996</v>
      </c>
      <c r="M2053" t="str">
        <f>VLOOKUP(交易處理資料__3[[#This Row],[人員代號]],團隊分組!$B$1:$C$52,2,FALSE)</f>
        <v>快速保養團隊B</v>
      </c>
      <c r="N2053" t="str">
        <f>IF(交易處理資料__3[[#This Row],[上班時間]]=0,"否","是")</f>
        <v>是</v>
      </c>
      <c r="O2053" t="s">
        <v>76</v>
      </c>
      <c r="P2053" s="38">
        <v>1.3047759719999998</v>
      </c>
      <c r="Q2053" s="38">
        <v>0.99140000000000006</v>
      </c>
      <c r="R2053" s="38">
        <v>0.82940000000000003</v>
      </c>
    </row>
    <row r="2054" spans="1:18" hidden="1">
      <c r="A2054" t="s">
        <v>76</v>
      </c>
      <c r="B2054" t="s">
        <v>45</v>
      </c>
      <c r="C2054">
        <v>8.9633333329999996</v>
      </c>
      <c r="D2054">
        <v>5.61</v>
      </c>
      <c r="E2054" s="29">
        <v>1.5977421269999998</v>
      </c>
      <c r="F2054">
        <v>7.33</v>
      </c>
      <c r="G2054">
        <v>0.8</v>
      </c>
      <c r="H2054">
        <v>8.1300000000000008</v>
      </c>
      <c r="I2054" s="29">
        <v>0.90159999999999996</v>
      </c>
      <c r="J2054" s="29">
        <v>1.1025</v>
      </c>
      <c r="K2054" s="9">
        <v>45342</v>
      </c>
      <c r="L2054">
        <f xml:space="preserve"> (交易處理資料__3[[#This Row],[售出工時]] * 60) / 5</f>
        <v>107.55999999599999</v>
      </c>
      <c r="M2054" t="str">
        <f>VLOOKUP(交易處理資料__3[[#This Row],[人員代號]],團隊分組!$B$1:$C$52,2,FALSE)</f>
        <v>快速保養團隊A</v>
      </c>
      <c r="N2054" t="str">
        <f>IF(交易處理資料__3[[#This Row],[上班時間]]=0,"否","是")</f>
        <v>是</v>
      </c>
      <c r="O2054" t="s">
        <v>76</v>
      </c>
      <c r="P2054" s="37">
        <v>1.5977421269999998</v>
      </c>
      <c r="Q2054" s="37">
        <v>1.1025</v>
      </c>
      <c r="R2054" s="37">
        <v>0.90159999999999996</v>
      </c>
    </row>
    <row r="2055" spans="1:18" hidden="1">
      <c r="A2055" t="s">
        <v>76</v>
      </c>
      <c r="B2055" t="s">
        <v>47</v>
      </c>
      <c r="C2055">
        <v>4.4166666670000003</v>
      </c>
      <c r="D2055">
        <v>5.65</v>
      </c>
      <c r="E2055" s="29">
        <v>0.78171091450000008</v>
      </c>
      <c r="F2055">
        <v>6.71</v>
      </c>
      <c r="G2055">
        <v>1.54</v>
      </c>
      <c r="H2055">
        <v>8.25</v>
      </c>
      <c r="I2055" s="29">
        <v>0.81330000000000002</v>
      </c>
      <c r="J2055" s="29">
        <v>0.53539999999999999</v>
      </c>
      <c r="K2055" s="9">
        <v>45342</v>
      </c>
      <c r="L2055">
        <f xml:space="preserve"> (交易處理資料__3[[#This Row],[售出工時]] * 60) / 5</f>
        <v>53.000000004</v>
      </c>
      <c r="M2055" t="str">
        <f>VLOOKUP(交易處理資料__3[[#This Row],[人員代號]],團隊分組!$B$1:$C$52,2,FALSE)</f>
        <v>查修團隊B</v>
      </c>
      <c r="N2055" t="str">
        <f>IF(交易處理資料__3[[#This Row],[上班時間]]=0,"否","是")</f>
        <v>是</v>
      </c>
      <c r="O2055" t="s">
        <v>76</v>
      </c>
      <c r="P2055" s="38">
        <v>0.78171091450000008</v>
      </c>
      <c r="Q2055" s="38">
        <v>0.53539999999999999</v>
      </c>
      <c r="R2055" s="38">
        <v>0.81330000000000002</v>
      </c>
    </row>
    <row r="2056" spans="1:18" hidden="1">
      <c r="A2056" t="s">
        <v>76</v>
      </c>
      <c r="B2056" t="s">
        <v>49</v>
      </c>
      <c r="C2056">
        <v>0</v>
      </c>
      <c r="D2056">
        <v>0</v>
      </c>
      <c r="E2056" s="29">
        <v>0</v>
      </c>
      <c r="F2056">
        <v>8.0399999999999991</v>
      </c>
      <c r="G2056">
        <v>0.18</v>
      </c>
      <c r="H2056">
        <v>8.2200000000000006</v>
      </c>
      <c r="I2056" s="29">
        <v>0.97809999999999997</v>
      </c>
      <c r="J2056" s="29">
        <v>0</v>
      </c>
      <c r="K2056" s="9">
        <v>45342</v>
      </c>
      <c r="L2056">
        <f xml:space="preserve"> (交易處理資料__3[[#This Row],[售出工時]] * 60) / 5</f>
        <v>0</v>
      </c>
      <c r="M2056" t="str">
        <f>VLOOKUP(交易處理資料__3[[#This Row],[人員代號]],團隊分組!$B$1:$C$52,2,FALSE)</f>
        <v>查修團隊A</v>
      </c>
      <c r="N2056" t="str">
        <f>IF(交易處理資料__3[[#This Row],[上班時間]]=0,"否","是")</f>
        <v>是</v>
      </c>
      <c r="O2056" t="s">
        <v>76</v>
      </c>
      <c r="P2056" s="37">
        <v>0</v>
      </c>
      <c r="Q2056" s="37">
        <v>0</v>
      </c>
      <c r="R2056" s="37">
        <v>0.97809999999999997</v>
      </c>
    </row>
    <row r="2057" spans="1:18" hidden="1">
      <c r="A2057" t="s">
        <v>76</v>
      </c>
      <c r="B2057" t="s">
        <v>50</v>
      </c>
      <c r="C2057">
        <v>9.7899999999999991</v>
      </c>
      <c r="D2057">
        <v>7.53</v>
      </c>
      <c r="E2057" s="29">
        <v>1.300132802</v>
      </c>
      <c r="F2057">
        <v>9.9499999999999993</v>
      </c>
      <c r="G2057">
        <v>0.08</v>
      </c>
      <c r="H2057">
        <v>10.029999999999999</v>
      </c>
      <c r="I2057" s="29">
        <v>0.99199999999999999</v>
      </c>
      <c r="J2057" s="29">
        <v>0.97609999999999997</v>
      </c>
      <c r="K2057" s="9">
        <v>45342</v>
      </c>
      <c r="L2057">
        <f xml:space="preserve"> (交易處理資料__3[[#This Row],[售出工時]] * 60) / 5</f>
        <v>117.47999999999999</v>
      </c>
      <c r="M2057" t="str">
        <f>VLOOKUP(交易處理資料__3[[#This Row],[人員代號]],團隊分組!$B$1:$C$52,2,FALSE)</f>
        <v>快速保養團隊B</v>
      </c>
      <c r="N2057" t="str">
        <f>IF(交易處理資料__3[[#This Row],[上班時間]]=0,"否","是")</f>
        <v>是</v>
      </c>
      <c r="O2057" t="s">
        <v>76</v>
      </c>
      <c r="P2057" s="38">
        <v>1.300132802</v>
      </c>
      <c r="Q2057" s="38">
        <v>0.97609999999999997</v>
      </c>
      <c r="R2057" s="38">
        <v>0.99199999999999999</v>
      </c>
    </row>
    <row r="2058" spans="1:18" hidden="1">
      <c r="A2058" t="s">
        <v>76</v>
      </c>
      <c r="B2058" t="s">
        <v>51</v>
      </c>
      <c r="C2058">
        <v>0</v>
      </c>
      <c r="D2058">
        <v>0</v>
      </c>
      <c r="E2058" s="29">
        <v>0</v>
      </c>
      <c r="F2058">
        <v>0</v>
      </c>
      <c r="G2058">
        <v>0</v>
      </c>
      <c r="H2058">
        <v>0</v>
      </c>
      <c r="I2058" s="29">
        <v>0</v>
      </c>
      <c r="J2058" s="29">
        <v>0</v>
      </c>
      <c r="K2058" s="9">
        <v>45342</v>
      </c>
      <c r="L2058">
        <f xml:space="preserve"> (交易處理資料__3[[#This Row],[售出工時]] * 60) / 5</f>
        <v>0</v>
      </c>
      <c r="M2058" t="str">
        <f>VLOOKUP(交易處理資料__3[[#This Row],[人員代號]],團隊分組!$B$1:$C$52,2,FALSE)</f>
        <v>無效數據</v>
      </c>
      <c r="N2058" t="str">
        <f>IF(交易處理資料__3[[#This Row],[上班時間]]=0,"否","是")</f>
        <v>否</v>
      </c>
      <c r="O2058" t="s">
        <v>76</v>
      </c>
      <c r="P2058" s="37">
        <v>0</v>
      </c>
      <c r="Q2058" s="37">
        <v>0</v>
      </c>
      <c r="R2058" s="37">
        <v>0</v>
      </c>
    </row>
    <row r="2059" spans="1:18" hidden="1">
      <c r="A2059" t="s">
        <v>76</v>
      </c>
      <c r="B2059" t="s">
        <v>53</v>
      </c>
      <c r="C2059">
        <v>5.6033333330000001</v>
      </c>
      <c r="D2059">
        <v>2.81</v>
      </c>
      <c r="E2059" s="29">
        <v>1.9940688019999999</v>
      </c>
      <c r="F2059">
        <v>9.65</v>
      </c>
      <c r="G2059">
        <v>0.33</v>
      </c>
      <c r="H2059">
        <v>9.98</v>
      </c>
      <c r="I2059" s="29">
        <v>0.96689999999999998</v>
      </c>
      <c r="J2059" s="29">
        <v>0.5615</v>
      </c>
      <c r="K2059" s="9">
        <v>45342</v>
      </c>
      <c r="L2059">
        <f xml:space="preserve"> (交易處理資料__3[[#This Row],[售出工時]] * 60) / 5</f>
        <v>67.239999996000009</v>
      </c>
      <c r="M2059" t="str">
        <f>VLOOKUP(交易處理資料__3[[#This Row],[人員代號]],團隊分組!$B$1:$C$52,2,FALSE)</f>
        <v>查修團隊A</v>
      </c>
      <c r="N2059" t="str">
        <f>IF(交易處理資料__3[[#This Row],[上班時間]]=0,"否","是")</f>
        <v>是</v>
      </c>
      <c r="O2059" t="s">
        <v>76</v>
      </c>
      <c r="P2059" s="38">
        <v>1.9940688019999999</v>
      </c>
      <c r="Q2059" s="38">
        <v>0.5615</v>
      </c>
      <c r="R2059" s="38">
        <v>0.96689999999999998</v>
      </c>
    </row>
    <row r="2060" spans="1:18" hidden="1">
      <c r="A2060" s="10" t="s">
        <v>74</v>
      </c>
      <c r="B2060" t="s">
        <v>2</v>
      </c>
      <c r="C2060">
        <v>2.0299999999999998</v>
      </c>
      <c r="D2060">
        <v>11.37</v>
      </c>
      <c r="E2060" s="29">
        <v>0.17854001759999999</v>
      </c>
      <c r="F2060">
        <v>11.45</v>
      </c>
      <c r="G2060">
        <v>0.03</v>
      </c>
      <c r="H2060">
        <v>11.48</v>
      </c>
      <c r="I2060" s="29">
        <v>0.99739999999999995</v>
      </c>
      <c r="J2060" s="29">
        <v>0.17679999999999998</v>
      </c>
      <c r="K2060" s="9">
        <v>45343</v>
      </c>
      <c r="L2060">
        <f xml:space="preserve"> (交易處理資料__3[[#This Row],[售出工時]] * 60) / 5</f>
        <v>24.359999999999996</v>
      </c>
      <c r="M2060" t="str">
        <f>VLOOKUP(交易處理資料__3[[#This Row],[人員代號]],團隊分組!$B$1:$C$52,2,FALSE)</f>
        <v>噴漆維修組</v>
      </c>
      <c r="N2060" t="str">
        <f>IF(交易處理資料__3[[#This Row],[上班時間]]=0,"否","是")</f>
        <v>是</v>
      </c>
      <c r="O2060" s="10" t="s">
        <v>74</v>
      </c>
      <c r="P2060" s="37">
        <v>0.17854001759999999</v>
      </c>
      <c r="Q2060" s="37">
        <v>0.17679999999999998</v>
      </c>
      <c r="R2060" s="37">
        <v>0.99739999999999995</v>
      </c>
    </row>
    <row r="2061" spans="1:18" hidden="1">
      <c r="A2061" s="10" t="s">
        <v>74</v>
      </c>
      <c r="B2061" t="s">
        <v>3</v>
      </c>
      <c r="C2061">
        <v>2.0299999999999998</v>
      </c>
      <c r="D2061">
        <v>11.37</v>
      </c>
      <c r="E2061" s="29">
        <v>0.17854001759999999</v>
      </c>
      <c r="F2061">
        <v>10.8</v>
      </c>
      <c r="G2061">
        <v>0.68</v>
      </c>
      <c r="H2061">
        <v>11.48</v>
      </c>
      <c r="I2061" s="29">
        <v>0.94079999999999997</v>
      </c>
      <c r="J2061" s="29">
        <v>0.17679999999999998</v>
      </c>
      <c r="K2061" s="9">
        <v>45343</v>
      </c>
      <c r="L2061">
        <f xml:space="preserve"> (交易處理資料__3[[#This Row],[售出工時]] * 60) / 5</f>
        <v>24.359999999999996</v>
      </c>
      <c r="M2061" t="str">
        <f>VLOOKUP(交易處理資料__3[[#This Row],[人員代號]],團隊分組!$B$1:$C$52,2,FALSE)</f>
        <v>噴漆維修組</v>
      </c>
      <c r="N2061" t="str">
        <f>IF(交易處理資料__3[[#This Row],[上班時間]]=0,"否","是")</f>
        <v>是</v>
      </c>
      <c r="O2061" s="10" t="s">
        <v>74</v>
      </c>
      <c r="P2061" s="38">
        <v>0.17854001759999999</v>
      </c>
      <c r="Q2061" s="38">
        <v>0.17679999999999998</v>
      </c>
      <c r="R2061" s="38">
        <v>0.94079999999999997</v>
      </c>
    </row>
    <row r="2062" spans="1:18" hidden="1">
      <c r="A2062" s="10" t="s">
        <v>74</v>
      </c>
      <c r="B2062" t="s">
        <v>5</v>
      </c>
      <c r="C2062">
        <v>2.13</v>
      </c>
      <c r="D2062">
        <v>3.97</v>
      </c>
      <c r="E2062" s="29">
        <v>0.53652392949999994</v>
      </c>
      <c r="F2062">
        <v>11.47</v>
      </c>
      <c r="G2062">
        <v>0.03</v>
      </c>
      <c r="H2062">
        <v>11.5</v>
      </c>
      <c r="I2062" s="29">
        <v>0.99739999999999995</v>
      </c>
      <c r="J2062" s="29">
        <v>0.1852</v>
      </c>
      <c r="K2062" s="9">
        <v>45343</v>
      </c>
      <c r="L2062">
        <f xml:space="preserve"> (交易處理資料__3[[#This Row],[售出工時]] * 60) / 5</f>
        <v>25.56</v>
      </c>
      <c r="M2062" t="str">
        <f>VLOOKUP(交易處理資料__3[[#This Row],[人員代號]],團隊分組!$B$1:$C$52,2,FALSE)</f>
        <v>噴漆維修組</v>
      </c>
      <c r="N2062" t="str">
        <f>IF(交易處理資料__3[[#This Row],[上班時間]]=0,"否","是")</f>
        <v>是</v>
      </c>
      <c r="O2062" s="10" t="s">
        <v>74</v>
      </c>
      <c r="P2062" s="37">
        <v>0.53652392949999994</v>
      </c>
      <c r="Q2062" s="37">
        <v>0.1852</v>
      </c>
      <c r="R2062" s="37">
        <v>0.99739999999999995</v>
      </c>
    </row>
    <row r="2063" spans="1:18">
      <c r="A2063" s="10" t="s">
        <v>74</v>
      </c>
      <c r="B2063" t="s">
        <v>7</v>
      </c>
      <c r="C2063">
        <v>3.0466666670000002</v>
      </c>
      <c r="D2063">
        <v>4.97</v>
      </c>
      <c r="E2063" s="29">
        <v>0.61301140170000001</v>
      </c>
      <c r="F2063">
        <v>11.04</v>
      </c>
      <c r="G2063">
        <v>0.04</v>
      </c>
      <c r="H2063">
        <v>11.08</v>
      </c>
      <c r="I2063" s="29">
        <v>0.99639999999999995</v>
      </c>
      <c r="J2063" s="29">
        <v>0.27500000000000002</v>
      </c>
      <c r="K2063" s="9">
        <v>45343</v>
      </c>
      <c r="L2063">
        <f xml:space="preserve"> (交易處理資料__3[[#This Row],[售出工時]] * 60) / 5</f>
        <v>36.560000004000003</v>
      </c>
      <c r="M2063" t="str">
        <f>VLOOKUP(交易處理資料__3[[#This Row],[人員代號]],團隊分組!$B$1:$C$52,2,FALSE)</f>
        <v>噴漆維修組</v>
      </c>
      <c r="N2063" t="str">
        <f>IF(交易處理資料__3[[#This Row],[上班時間]]=0,"否","是")</f>
        <v>是</v>
      </c>
      <c r="O2063" s="10" t="s">
        <v>74</v>
      </c>
      <c r="P2063" s="38">
        <v>0.61301140170000001</v>
      </c>
      <c r="Q2063" s="38">
        <v>0.27500000000000002</v>
      </c>
      <c r="R2063" s="38">
        <v>0.99639999999999995</v>
      </c>
    </row>
    <row r="2064" spans="1:18" hidden="1">
      <c r="A2064" t="s">
        <v>75</v>
      </c>
      <c r="B2064" t="s">
        <v>14</v>
      </c>
      <c r="C2064">
        <v>1.97</v>
      </c>
      <c r="D2064">
        <v>1.33</v>
      </c>
      <c r="E2064" s="29">
        <v>1.481203008</v>
      </c>
      <c r="F2064">
        <v>2.42</v>
      </c>
      <c r="G2064">
        <v>5.68</v>
      </c>
      <c r="H2064">
        <v>8.1</v>
      </c>
      <c r="I2064" s="29">
        <v>0.29880000000000001</v>
      </c>
      <c r="J2064" s="29">
        <v>0.2432</v>
      </c>
      <c r="K2064" s="9">
        <v>45343</v>
      </c>
      <c r="L2064">
        <f xml:space="preserve"> (交易處理資料__3[[#This Row],[售出工時]] * 60) / 5</f>
        <v>23.64</v>
      </c>
      <c r="M2064" t="str">
        <f>VLOOKUP(交易處理資料__3[[#This Row],[人員代號]],團隊分組!$B$1:$C$52,2,FALSE)</f>
        <v>鈑金維修組</v>
      </c>
      <c r="N2064" t="str">
        <f>IF(交易處理資料__3[[#This Row],[上班時間]]=0,"否","是")</f>
        <v>是</v>
      </c>
      <c r="O2064" t="s">
        <v>75</v>
      </c>
      <c r="P2064" s="37">
        <v>1.481203008</v>
      </c>
      <c r="Q2064" s="37">
        <v>0.2432</v>
      </c>
      <c r="R2064" s="37">
        <v>0.29880000000000001</v>
      </c>
    </row>
    <row r="2065" spans="1:18" hidden="1">
      <c r="A2065" t="s">
        <v>75</v>
      </c>
      <c r="B2065" t="s">
        <v>15</v>
      </c>
      <c r="C2065">
        <v>0</v>
      </c>
      <c r="D2065">
        <v>0</v>
      </c>
      <c r="E2065" s="29">
        <v>0</v>
      </c>
      <c r="F2065">
        <v>5.28</v>
      </c>
      <c r="G2065">
        <v>2.81</v>
      </c>
      <c r="H2065">
        <v>8.09</v>
      </c>
      <c r="I2065" s="29">
        <v>0.65269999999999995</v>
      </c>
      <c r="J2065" s="29">
        <v>0</v>
      </c>
      <c r="K2065" s="9">
        <v>45343</v>
      </c>
      <c r="L2065">
        <f xml:space="preserve"> (交易處理資料__3[[#This Row],[售出工時]] * 60) / 5</f>
        <v>0</v>
      </c>
      <c r="M2065" t="str">
        <f>VLOOKUP(交易處理資料__3[[#This Row],[人員代號]],團隊分組!$B$1:$C$52,2,FALSE)</f>
        <v>鈑金維修組</v>
      </c>
      <c r="N2065" t="str">
        <f>IF(交易處理資料__3[[#This Row],[上班時間]]=0,"否","是")</f>
        <v>是</v>
      </c>
      <c r="O2065" t="s">
        <v>75</v>
      </c>
      <c r="P2065" s="38">
        <v>0</v>
      </c>
      <c r="Q2065" s="38">
        <v>0</v>
      </c>
      <c r="R2065" s="38">
        <v>0.65269999999999995</v>
      </c>
    </row>
    <row r="2066" spans="1:18" hidden="1">
      <c r="A2066" t="s">
        <v>76</v>
      </c>
      <c r="B2066" t="s">
        <v>17</v>
      </c>
      <c r="C2066">
        <v>11.91333333</v>
      </c>
      <c r="D2066">
        <v>6.65</v>
      </c>
      <c r="E2066" s="29">
        <v>1.7914786970000001</v>
      </c>
      <c r="F2066">
        <v>6.71</v>
      </c>
      <c r="G2066">
        <v>3.51</v>
      </c>
      <c r="H2066">
        <v>10.220000000000001</v>
      </c>
      <c r="I2066" s="29">
        <v>0.65659999999999996</v>
      </c>
      <c r="J2066" s="29">
        <v>1.1657</v>
      </c>
      <c r="K2066" s="9">
        <v>45343</v>
      </c>
      <c r="L2066">
        <f xml:space="preserve"> (交易處理資料__3[[#This Row],[售出工時]] * 60) / 5</f>
        <v>142.95999996</v>
      </c>
      <c r="M2066" t="str">
        <f>VLOOKUP(交易處理資料__3[[#This Row],[人員代號]],團隊分組!$B$1:$C$52,2,FALSE)</f>
        <v>快速保養團隊A</v>
      </c>
      <c r="N2066" t="str">
        <f>IF(交易處理資料__3[[#This Row],[上班時間]]=0,"否","是")</f>
        <v>是</v>
      </c>
      <c r="O2066" t="s">
        <v>76</v>
      </c>
      <c r="P2066" s="37">
        <v>1.7914786970000001</v>
      </c>
      <c r="Q2066" s="37">
        <v>1.1657</v>
      </c>
      <c r="R2066" s="37">
        <v>0.65659999999999996</v>
      </c>
    </row>
    <row r="2067" spans="1:18" hidden="1">
      <c r="A2067" t="s">
        <v>76</v>
      </c>
      <c r="B2067" t="s">
        <v>18</v>
      </c>
      <c r="C2067">
        <v>2.25</v>
      </c>
      <c r="D2067">
        <v>6.88</v>
      </c>
      <c r="E2067" s="29">
        <v>0.3270348837</v>
      </c>
      <c r="F2067">
        <v>8.26</v>
      </c>
      <c r="G2067">
        <v>0.73</v>
      </c>
      <c r="H2067">
        <v>8.99</v>
      </c>
      <c r="I2067" s="29">
        <v>0.91879999999999995</v>
      </c>
      <c r="J2067" s="29">
        <v>0.25030000000000002</v>
      </c>
      <c r="K2067" s="9">
        <v>45343</v>
      </c>
      <c r="L2067">
        <f xml:space="preserve"> (交易處理資料__3[[#This Row],[售出工時]] * 60) / 5</f>
        <v>27</v>
      </c>
      <c r="M2067" t="str">
        <f>VLOOKUP(交易處理資料__3[[#This Row],[人員代號]],團隊分組!$B$1:$C$52,2,FALSE)</f>
        <v>查修團隊B</v>
      </c>
      <c r="N2067" t="str">
        <f>IF(交易處理資料__3[[#This Row],[上班時間]]=0,"否","是")</f>
        <v>是</v>
      </c>
      <c r="O2067" t="s">
        <v>76</v>
      </c>
      <c r="P2067" s="38">
        <v>0.3270348837</v>
      </c>
      <c r="Q2067" s="38">
        <v>0.25030000000000002</v>
      </c>
      <c r="R2067" s="38">
        <v>0.91879999999999995</v>
      </c>
    </row>
    <row r="2068" spans="1:18" hidden="1">
      <c r="A2068" t="s">
        <v>76</v>
      </c>
      <c r="B2068" t="s">
        <v>19</v>
      </c>
      <c r="C2068">
        <v>0</v>
      </c>
      <c r="D2068">
        <v>0</v>
      </c>
      <c r="E2068" s="29">
        <v>0</v>
      </c>
      <c r="F2068">
        <v>7.41</v>
      </c>
      <c r="G2068">
        <v>0.49</v>
      </c>
      <c r="H2068">
        <v>7.9</v>
      </c>
      <c r="I2068" s="29">
        <v>0.93799999999999994</v>
      </c>
      <c r="J2068" s="29">
        <v>0</v>
      </c>
      <c r="K2068" s="9">
        <v>45343</v>
      </c>
      <c r="L2068">
        <f xml:space="preserve"> (交易處理資料__3[[#This Row],[售出工時]] * 60) / 5</f>
        <v>0</v>
      </c>
      <c r="M2068" t="str">
        <f>VLOOKUP(交易處理資料__3[[#This Row],[人員代號]],團隊分組!$B$1:$C$52,2,FALSE)</f>
        <v>查修團隊A</v>
      </c>
      <c r="N2068" t="str">
        <f>IF(交易處理資料__3[[#This Row],[上班時間]]=0,"否","是")</f>
        <v>是</v>
      </c>
      <c r="O2068" t="s">
        <v>76</v>
      </c>
      <c r="P2068" s="37">
        <v>0</v>
      </c>
      <c r="Q2068" s="37">
        <v>0</v>
      </c>
      <c r="R2068" s="37">
        <v>0.93799999999999994</v>
      </c>
    </row>
    <row r="2069" spans="1:18" hidden="1">
      <c r="A2069" t="s">
        <v>76</v>
      </c>
      <c r="B2069" t="s">
        <v>20</v>
      </c>
      <c r="C2069">
        <v>3.1</v>
      </c>
      <c r="D2069">
        <v>4.1399999999999997</v>
      </c>
      <c r="E2069" s="29">
        <v>0.74879227049999997</v>
      </c>
      <c r="F2069">
        <v>1.27</v>
      </c>
      <c r="G2069">
        <v>9.18</v>
      </c>
      <c r="H2069">
        <v>10.45</v>
      </c>
      <c r="I2069" s="29">
        <v>0.1215</v>
      </c>
      <c r="J2069" s="29">
        <v>0.29670000000000002</v>
      </c>
      <c r="K2069" s="9">
        <v>45343</v>
      </c>
      <c r="L2069">
        <f xml:space="preserve"> (交易處理資料__3[[#This Row],[售出工時]] * 60) / 5</f>
        <v>37.200000000000003</v>
      </c>
      <c r="M2069" t="str">
        <f>VLOOKUP(交易處理資料__3[[#This Row],[人員代號]],團隊分組!$B$1:$C$52,2,FALSE)</f>
        <v>查修團隊B</v>
      </c>
      <c r="N2069" t="str">
        <f>IF(交易處理資料__3[[#This Row],[上班時間]]=0,"否","是")</f>
        <v>是</v>
      </c>
      <c r="O2069" t="s">
        <v>76</v>
      </c>
      <c r="P2069" s="38">
        <v>0.74879227049999997</v>
      </c>
      <c r="Q2069" s="38">
        <v>0.29670000000000002</v>
      </c>
      <c r="R2069" s="38">
        <v>0.1215</v>
      </c>
    </row>
    <row r="2070" spans="1:18" hidden="1">
      <c r="A2070" t="s">
        <v>76</v>
      </c>
      <c r="B2070" t="s">
        <v>21</v>
      </c>
      <c r="C2070">
        <v>1</v>
      </c>
      <c r="D2070">
        <v>0.4</v>
      </c>
      <c r="E2070" s="29">
        <v>2.5</v>
      </c>
      <c r="F2070">
        <v>5.86</v>
      </c>
      <c r="G2070">
        <v>2.71</v>
      </c>
      <c r="H2070">
        <v>8.57</v>
      </c>
      <c r="I2070" s="29">
        <v>0.68379999999999996</v>
      </c>
      <c r="J2070" s="29">
        <v>0.1167</v>
      </c>
      <c r="K2070" s="9">
        <v>45343</v>
      </c>
      <c r="L2070">
        <f xml:space="preserve"> (交易處理資料__3[[#This Row],[售出工時]] * 60) / 5</f>
        <v>12</v>
      </c>
      <c r="M2070" t="str">
        <f>VLOOKUP(交易處理資料__3[[#This Row],[人員代號]],團隊分組!$B$1:$C$52,2,FALSE)</f>
        <v>查修團隊B</v>
      </c>
      <c r="N2070" t="str">
        <f>IF(交易處理資料__3[[#This Row],[上班時間]]=0,"否","是")</f>
        <v>是</v>
      </c>
      <c r="O2070" t="s">
        <v>76</v>
      </c>
      <c r="P2070" s="37">
        <v>2.5</v>
      </c>
      <c r="Q2070" s="37">
        <v>0.1167</v>
      </c>
      <c r="R2070" s="37">
        <v>0.68379999999999996</v>
      </c>
    </row>
    <row r="2071" spans="1:18" hidden="1">
      <c r="A2071" t="s">
        <v>76</v>
      </c>
      <c r="B2071" t="s">
        <v>23</v>
      </c>
      <c r="C2071">
        <v>5.5033333329999996</v>
      </c>
      <c r="D2071">
        <v>2.85</v>
      </c>
      <c r="E2071" s="29">
        <v>1.930994152</v>
      </c>
      <c r="F2071">
        <v>7.61</v>
      </c>
      <c r="G2071">
        <v>0.81</v>
      </c>
      <c r="H2071">
        <v>8.42</v>
      </c>
      <c r="I2071" s="29">
        <v>0.90379999999999994</v>
      </c>
      <c r="J2071" s="29">
        <v>0.65359999999999996</v>
      </c>
      <c r="K2071" s="9">
        <v>45343</v>
      </c>
      <c r="L2071">
        <f xml:space="preserve"> (交易處理資料__3[[#This Row],[售出工時]] * 60) / 5</f>
        <v>66.039999995999992</v>
      </c>
      <c r="M2071" t="str">
        <f>VLOOKUP(交易處理資料__3[[#This Row],[人員代號]],團隊分組!$B$1:$C$52,2,FALSE)</f>
        <v>快速保養團隊B</v>
      </c>
      <c r="N2071" t="str">
        <f>IF(交易處理資料__3[[#This Row],[上班時間]]=0,"否","是")</f>
        <v>是</v>
      </c>
      <c r="O2071" t="s">
        <v>76</v>
      </c>
      <c r="P2071" s="38">
        <v>1.930994152</v>
      </c>
      <c r="Q2071" s="38">
        <v>0.65359999999999996</v>
      </c>
      <c r="R2071" s="38">
        <v>0.90379999999999994</v>
      </c>
    </row>
    <row r="2072" spans="1:18" hidden="1">
      <c r="A2072" t="s">
        <v>76</v>
      </c>
      <c r="B2072" t="s">
        <v>24</v>
      </c>
      <c r="C2072">
        <v>7.89</v>
      </c>
      <c r="D2072">
        <v>5.15</v>
      </c>
      <c r="E2072" s="29">
        <v>1.5320388349999998</v>
      </c>
      <c r="F2072">
        <v>6.15</v>
      </c>
      <c r="G2072">
        <v>2.08</v>
      </c>
      <c r="H2072">
        <v>8.23</v>
      </c>
      <c r="I2072" s="29">
        <v>0.74730000000000008</v>
      </c>
      <c r="J2072" s="29">
        <v>0.9587</v>
      </c>
      <c r="K2072" s="9">
        <v>45343</v>
      </c>
      <c r="L2072">
        <f xml:space="preserve"> (交易處理資料__3[[#This Row],[售出工時]] * 60) / 5</f>
        <v>94.679999999999993</v>
      </c>
      <c r="M2072" t="str">
        <f>VLOOKUP(交易處理資料__3[[#This Row],[人員代號]],團隊分組!$B$1:$C$52,2,FALSE)</f>
        <v>快速保養團隊A</v>
      </c>
      <c r="N2072" t="str">
        <f>IF(交易處理資料__3[[#This Row],[上班時間]]=0,"否","是")</f>
        <v>是</v>
      </c>
      <c r="O2072" t="s">
        <v>76</v>
      </c>
      <c r="P2072" s="37">
        <v>1.5320388349999998</v>
      </c>
      <c r="Q2072" s="37">
        <v>0.9587</v>
      </c>
      <c r="R2072" s="37">
        <v>0.74730000000000008</v>
      </c>
    </row>
    <row r="2073" spans="1:18" hidden="1">
      <c r="A2073" t="s">
        <v>76</v>
      </c>
      <c r="B2073" t="s">
        <v>25</v>
      </c>
      <c r="C2073">
        <v>4</v>
      </c>
      <c r="D2073">
        <v>6.83</v>
      </c>
      <c r="E2073" s="29">
        <v>0.58565153729999997</v>
      </c>
      <c r="F2073">
        <v>8.66</v>
      </c>
      <c r="G2073">
        <v>1.51</v>
      </c>
      <c r="H2073">
        <v>10.17</v>
      </c>
      <c r="I2073" s="29">
        <v>0.85150000000000003</v>
      </c>
      <c r="J2073" s="29">
        <v>0.39329999999999998</v>
      </c>
      <c r="K2073" s="9">
        <v>45343</v>
      </c>
      <c r="L2073">
        <f xml:space="preserve"> (交易處理資料__3[[#This Row],[售出工時]] * 60) / 5</f>
        <v>48</v>
      </c>
      <c r="M2073" t="str">
        <f>VLOOKUP(交易處理資料__3[[#This Row],[人員代號]],團隊分組!$B$1:$C$52,2,FALSE)</f>
        <v>查修團隊A</v>
      </c>
      <c r="N2073" t="str">
        <f>IF(交易處理資料__3[[#This Row],[上班時間]]=0,"否","是")</f>
        <v>是</v>
      </c>
      <c r="O2073" t="s">
        <v>76</v>
      </c>
      <c r="P2073" s="38">
        <v>0.58565153729999997</v>
      </c>
      <c r="Q2073" s="38">
        <v>0.39329999999999998</v>
      </c>
      <c r="R2073" s="38">
        <v>0.85150000000000003</v>
      </c>
    </row>
    <row r="2074" spans="1:18" hidden="1">
      <c r="A2074" t="s">
        <v>76</v>
      </c>
      <c r="B2074" t="s">
        <v>26</v>
      </c>
      <c r="C2074">
        <v>1</v>
      </c>
      <c r="D2074">
        <v>4.62</v>
      </c>
      <c r="E2074" s="29">
        <v>0.21645021650000001</v>
      </c>
      <c r="F2074">
        <v>0</v>
      </c>
      <c r="G2074">
        <v>9.25</v>
      </c>
      <c r="H2074">
        <v>9.25</v>
      </c>
      <c r="I2074" s="29">
        <v>0</v>
      </c>
      <c r="J2074" s="29">
        <v>0.1081</v>
      </c>
      <c r="K2074" s="9">
        <v>45343</v>
      </c>
      <c r="L2074">
        <f xml:space="preserve"> (交易處理資料__3[[#This Row],[售出工時]] * 60) / 5</f>
        <v>12</v>
      </c>
      <c r="M2074" t="str">
        <f>VLOOKUP(交易處理資料__3[[#This Row],[人員代號]],團隊分組!$B$1:$C$52,2,FALSE)</f>
        <v>查修團隊B</v>
      </c>
      <c r="N2074" t="str">
        <f>IF(交易處理資料__3[[#This Row],[上班時間]]=0,"否","是")</f>
        <v>是</v>
      </c>
      <c r="O2074" t="s">
        <v>76</v>
      </c>
      <c r="P2074" s="37">
        <v>0.21645021650000001</v>
      </c>
      <c r="Q2074" s="37">
        <v>0.1081</v>
      </c>
      <c r="R2074" s="37">
        <v>0</v>
      </c>
    </row>
    <row r="2075" spans="1:18" hidden="1">
      <c r="A2075" t="s">
        <v>76</v>
      </c>
      <c r="B2075" t="s">
        <v>27</v>
      </c>
      <c r="C2075">
        <v>7.28</v>
      </c>
      <c r="D2075">
        <v>3.37</v>
      </c>
      <c r="E2075" s="29">
        <v>2.1602373890000002</v>
      </c>
      <c r="F2075">
        <v>7.8</v>
      </c>
      <c r="G2075">
        <v>0.46</v>
      </c>
      <c r="H2075">
        <v>8.26</v>
      </c>
      <c r="I2075" s="29">
        <v>0.94430000000000003</v>
      </c>
      <c r="J2075" s="29">
        <v>0.88139999999999996</v>
      </c>
      <c r="K2075" s="9">
        <v>45343</v>
      </c>
      <c r="L2075">
        <f xml:space="preserve"> (交易處理資料__3[[#This Row],[售出工時]] * 60) / 5</f>
        <v>87.36</v>
      </c>
      <c r="M2075" t="str">
        <f>VLOOKUP(交易處理資料__3[[#This Row],[人員代號]],團隊分組!$B$1:$C$52,2,FALSE)</f>
        <v>快速保養團隊B</v>
      </c>
      <c r="N2075" t="str">
        <f>IF(交易處理資料__3[[#This Row],[上班時間]]=0,"否","是")</f>
        <v>是</v>
      </c>
      <c r="O2075" t="s">
        <v>76</v>
      </c>
      <c r="P2075" s="38">
        <v>2.1602373890000002</v>
      </c>
      <c r="Q2075" s="38">
        <v>0.88139999999999996</v>
      </c>
      <c r="R2075" s="38">
        <v>0.94430000000000003</v>
      </c>
    </row>
    <row r="2076" spans="1:18" hidden="1">
      <c r="A2076" t="s">
        <v>76</v>
      </c>
      <c r="B2076" t="s">
        <v>28</v>
      </c>
      <c r="C2076">
        <v>9.6133333329999999</v>
      </c>
      <c r="D2076">
        <v>5.47</v>
      </c>
      <c r="E2076" s="29">
        <v>1.7574649600000001</v>
      </c>
      <c r="F2076">
        <v>6.17</v>
      </c>
      <c r="G2076">
        <v>2.0299999999999998</v>
      </c>
      <c r="H2076">
        <v>8.1999999999999993</v>
      </c>
      <c r="I2076" s="29">
        <v>0.75239999999999996</v>
      </c>
      <c r="J2076" s="29">
        <v>1.1723999999999999</v>
      </c>
      <c r="K2076" s="9">
        <v>45343</v>
      </c>
      <c r="L2076">
        <f xml:space="preserve"> (交易處理資料__3[[#This Row],[售出工時]] * 60) / 5</f>
        <v>115.35999999599998</v>
      </c>
      <c r="M2076" t="str">
        <f>VLOOKUP(交易處理資料__3[[#This Row],[人員代號]],團隊分組!$B$1:$C$52,2,FALSE)</f>
        <v>快速保養團隊A</v>
      </c>
      <c r="N2076" t="str">
        <f>IF(交易處理資料__3[[#This Row],[上班時間]]=0,"否","是")</f>
        <v>是</v>
      </c>
      <c r="O2076" t="s">
        <v>76</v>
      </c>
      <c r="P2076" s="37">
        <v>1.7574649600000001</v>
      </c>
      <c r="Q2076" s="37">
        <v>1.1723999999999999</v>
      </c>
      <c r="R2076" s="37">
        <v>0.75239999999999996</v>
      </c>
    </row>
    <row r="2077" spans="1:18" hidden="1">
      <c r="A2077" t="s">
        <v>76</v>
      </c>
      <c r="B2077" t="s">
        <v>30</v>
      </c>
      <c r="C2077">
        <v>7.99</v>
      </c>
      <c r="D2077">
        <v>4.68</v>
      </c>
      <c r="E2077" s="29">
        <v>1.7072649569999998</v>
      </c>
      <c r="F2077">
        <v>8.01</v>
      </c>
      <c r="G2077">
        <v>0.23</v>
      </c>
      <c r="H2077">
        <v>8.24</v>
      </c>
      <c r="I2077" s="29">
        <v>0.97209999999999996</v>
      </c>
      <c r="J2077" s="29">
        <v>0.96970000000000001</v>
      </c>
      <c r="K2077" s="9">
        <v>45343</v>
      </c>
      <c r="L2077">
        <f xml:space="preserve"> (交易處理資料__3[[#This Row],[售出工時]] * 60) / 5</f>
        <v>95.88000000000001</v>
      </c>
      <c r="M2077" t="str">
        <f>VLOOKUP(交易處理資料__3[[#This Row],[人員代號]],團隊分組!$B$1:$C$52,2,FALSE)</f>
        <v>快速保養團隊B</v>
      </c>
      <c r="N2077" t="str">
        <f>IF(交易處理資料__3[[#This Row],[上班時間]]=0,"否","是")</f>
        <v>是</v>
      </c>
      <c r="O2077" t="s">
        <v>76</v>
      </c>
      <c r="P2077" s="38">
        <v>1.7072649569999998</v>
      </c>
      <c r="Q2077" s="38">
        <v>0.96970000000000001</v>
      </c>
      <c r="R2077" s="38">
        <v>0.97209999999999996</v>
      </c>
    </row>
    <row r="2078" spans="1:18" hidden="1">
      <c r="A2078" t="s">
        <v>76</v>
      </c>
      <c r="B2078" t="s">
        <v>32</v>
      </c>
      <c r="C2078">
        <v>9.17</v>
      </c>
      <c r="D2078">
        <v>5.33</v>
      </c>
      <c r="E2078" s="29">
        <v>1.720450281</v>
      </c>
      <c r="F2078">
        <v>9.1</v>
      </c>
      <c r="G2078">
        <v>0.85</v>
      </c>
      <c r="H2078">
        <v>9.9499999999999993</v>
      </c>
      <c r="I2078" s="29">
        <v>0.91459999999999997</v>
      </c>
      <c r="J2078" s="29">
        <v>0.92159999999999997</v>
      </c>
      <c r="K2078" s="9">
        <v>45343</v>
      </c>
      <c r="L2078">
        <f xml:space="preserve"> (交易處理資料__3[[#This Row],[售出工時]] * 60) / 5</f>
        <v>110.04</v>
      </c>
      <c r="M2078" t="str">
        <f>VLOOKUP(交易處理資料__3[[#This Row],[人員代號]],團隊分組!$B$1:$C$52,2,FALSE)</f>
        <v>快速保養團隊B</v>
      </c>
      <c r="N2078" t="str">
        <f>IF(交易處理資料__3[[#This Row],[上班時間]]=0,"否","是")</f>
        <v>是</v>
      </c>
      <c r="O2078" t="s">
        <v>76</v>
      </c>
      <c r="P2078" s="37">
        <v>1.720450281</v>
      </c>
      <c r="Q2078" s="37">
        <v>0.92159999999999997</v>
      </c>
      <c r="R2078" s="37">
        <v>0.91459999999999997</v>
      </c>
    </row>
    <row r="2079" spans="1:18" hidden="1">
      <c r="A2079" t="s">
        <v>76</v>
      </c>
      <c r="B2079" t="s">
        <v>33</v>
      </c>
      <c r="C2079">
        <v>0</v>
      </c>
      <c r="D2079">
        <v>0</v>
      </c>
      <c r="E2079" s="29">
        <v>0</v>
      </c>
      <c r="F2079">
        <v>0</v>
      </c>
      <c r="G2079">
        <v>0</v>
      </c>
      <c r="H2079">
        <v>0</v>
      </c>
      <c r="I2079" s="29">
        <v>0</v>
      </c>
      <c r="J2079" s="29">
        <v>0</v>
      </c>
      <c r="K2079" s="9">
        <v>45343</v>
      </c>
      <c r="L2079">
        <f xml:space="preserve"> (交易處理資料__3[[#This Row],[售出工時]] * 60) / 5</f>
        <v>0</v>
      </c>
      <c r="M2079" t="str">
        <f>VLOOKUP(交易處理資料__3[[#This Row],[人員代號]],團隊分組!$B$1:$C$52,2,FALSE)</f>
        <v>快速保養團隊B</v>
      </c>
      <c r="N2079" t="str">
        <f>IF(交易處理資料__3[[#This Row],[上班時間]]=0,"否","是")</f>
        <v>否</v>
      </c>
      <c r="O2079" t="s">
        <v>76</v>
      </c>
      <c r="P2079" s="38">
        <v>0</v>
      </c>
      <c r="Q2079" s="38">
        <v>0</v>
      </c>
      <c r="R2079" s="38">
        <v>0</v>
      </c>
    </row>
    <row r="2080" spans="1:18" hidden="1">
      <c r="A2080" t="s">
        <v>76</v>
      </c>
      <c r="B2080" t="s">
        <v>34</v>
      </c>
      <c r="C2080">
        <v>8.4166666669999994</v>
      </c>
      <c r="D2080">
        <v>7.5</v>
      </c>
      <c r="E2080" s="29">
        <v>1.122222222</v>
      </c>
      <c r="F2080">
        <v>8.25</v>
      </c>
      <c r="G2080">
        <v>0.02</v>
      </c>
      <c r="H2080">
        <v>8.27</v>
      </c>
      <c r="I2080" s="29">
        <v>0.99760000000000004</v>
      </c>
      <c r="J2080" s="29">
        <v>1.0177</v>
      </c>
      <c r="K2080" s="9">
        <v>45343</v>
      </c>
      <c r="L2080">
        <f xml:space="preserve"> (交易處理資料__3[[#This Row],[售出工時]] * 60) / 5</f>
        <v>101.00000000399999</v>
      </c>
      <c r="M2080" t="str">
        <f>VLOOKUP(交易處理資料__3[[#This Row],[人員代號]],團隊分組!$B$1:$C$52,2,FALSE)</f>
        <v>快速保養團隊A</v>
      </c>
      <c r="N2080" t="str">
        <f>IF(交易處理資料__3[[#This Row],[上班時間]]=0,"否","是")</f>
        <v>是</v>
      </c>
      <c r="O2080" t="s">
        <v>76</v>
      </c>
      <c r="P2080" s="37">
        <v>1.122222222</v>
      </c>
      <c r="Q2080" s="37">
        <v>1.0177</v>
      </c>
      <c r="R2080" s="37">
        <v>0.99760000000000004</v>
      </c>
    </row>
    <row r="2081" spans="1:18" hidden="1">
      <c r="A2081" t="s">
        <v>76</v>
      </c>
      <c r="B2081" t="s">
        <v>36</v>
      </c>
      <c r="C2081">
        <v>1.4266666670000001</v>
      </c>
      <c r="D2081">
        <v>1.9</v>
      </c>
      <c r="E2081" s="29">
        <v>0.750877193</v>
      </c>
      <c r="F2081">
        <v>9.61</v>
      </c>
      <c r="G2081">
        <v>1.89</v>
      </c>
      <c r="H2081">
        <v>11.5</v>
      </c>
      <c r="I2081" s="29">
        <v>0.83569999999999989</v>
      </c>
      <c r="J2081" s="29">
        <v>0.1241</v>
      </c>
      <c r="K2081" s="9">
        <v>45343</v>
      </c>
      <c r="L2081">
        <f xml:space="preserve"> (交易處理資料__3[[#This Row],[售出工時]] * 60) / 5</f>
        <v>17.120000004000001</v>
      </c>
      <c r="M2081" t="str">
        <f>VLOOKUP(交易處理資料__3[[#This Row],[人員代號]],團隊分組!$B$1:$C$52,2,FALSE)</f>
        <v>查修團隊B</v>
      </c>
      <c r="N2081" t="str">
        <f>IF(交易處理資料__3[[#This Row],[上班時間]]=0,"否","是")</f>
        <v>是</v>
      </c>
      <c r="O2081" t="s">
        <v>76</v>
      </c>
      <c r="P2081" s="38">
        <v>0.750877193</v>
      </c>
      <c r="Q2081" s="38">
        <v>0.1241</v>
      </c>
      <c r="R2081" s="38">
        <v>0.83569999999999989</v>
      </c>
    </row>
    <row r="2082" spans="1:18" hidden="1">
      <c r="A2082" t="s">
        <v>76</v>
      </c>
      <c r="B2082" t="s">
        <v>37</v>
      </c>
      <c r="C2082">
        <v>4.54</v>
      </c>
      <c r="D2082">
        <v>3.98</v>
      </c>
      <c r="E2082" s="29">
        <v>1.140703518</v>
      </c>
      <c r="F2082">
        <v>8.11</v>
      </c>
      <c r="G2082">
        <v>1.6</v>
      </c>
      <c r="H2082">
        <v>9.7100000000000009</v>
      </c>
      <c r="I2082" s="29">
        <v>0.83519999999999994</v>
      </c>
      <c r="J2082" s="29">
        <v>0.46759999999999996</v>
      </c>
      <c r="K2082" s="9">
        <v>45343</v>
      </c>
      <c r="L2082">
        <f xml:space="preserve"> (交易處理資料__3[[#This Row],[售出工時]] * 60) / 5</f>
        <v>54.48</v>
      </c>
      <c r="M2082" t="str">
        <f>VLOOKUP(交易處理資料__3[[#This Row],[人員代號]],團隊分組!$B$1:$C$52,2,FALSE)</f>
        <v>查修團隊A</v>
      </c>
      <c r="N2082" t="str">
        <f>IF(交易處理資料__3[[#This Row],[上班時間]]=0,"否","是")</f>
        <v>是</v>
      </c>
      <c r="O2082" t="s">
        <v>76</v>
      </c>
      <c r="P2082" s="37">
        <v>1.140703518</v>
      </c>
      <c r="Q2082" s="37">
        <v>0.46759999999999996</v>
      </c>
      <c r="R2082" s="37">
        <v>0.83519999999999994</v>
      </c>
    </row>
    <row r="2083" spans="1:18" hidden="1">
      <c r="A2083" t="s">
        <v>76</v>
      </c>
      <c r="B2083" t="s">
        <v>39</v>
      </c>
      <c r="C2083">
        <v>2.4166666669999999</v>
      </c>
      <c r="D2083">
        <v>4.75</v>
      </c>
      <c r="E2083" s="29">
        <v>0.50877192979999997</v>
      </c>
      <c r="F2083">
        <v>8.44</v>
      </c>
      <c r="G2083">
        <v>1.78</v>
      </c>
      <c r="H2083">
        <v>10.220000000000001</v>
      </c>
      <c r="I2083" s="29">
        <v>0.82579999999999998</v>
      </c>
      <c r="J2083" s="29">
        <v>0.23649999999999999</v>
      </c>
      <c r="K2083" s="9">
        <v>45343</v>
      </c>
      <c r="L2083">
        <f xml:space="preserve"> (交易處理資料__3[[#This Row],[售出工時]] * 60) / 5</f>
        <v>29.000000003999997</v>
      </c>
      <c r="M2083" t="str">
        <f>VLOOKUP(交易處理資料__3[[#This Row],[人員代號]],團隊分組!$B$1:$C$52,2,FALSE)</f>
        <v>查修團隊A</v>
      </c>
      <c r="N2083" t="str">
        <f>IF(交易處理資料__3[[#This Row],[上班時間]]=0,"否","是")</f>
        <v>是</v>
      </c>
      <c r="O2083" t="s">
        <v>76</v>
      </c>
      <c r="P2083" s="38">
        <v>0.50877192979999997</v>
      </c>
      <c r="Q2083" s="38">
        <v>0.23649999999999999</v>
      </c>
      <c r="R2083" s="38">
        <v>0.82579999999999998</v>
      </c>
    </row>
    <row r="2084" spans="1:18" hidden="1">
      <c r="A2084" t="s">
        <v>76</v>
      </c>
      <c r="B2084" t="s">
        <v>41</v>
      </c>
      <c r="C2084">
        <v>21.333333329999999</v>
      </c>
      <c r="D2084">
        <v>7.93</v>
      </c>
      <c r="E2084" s="29">
        <v>2.690205969</v>
      </c>
      <c r="F2084">
        <v>9.5500000000000007</v>
      </c>
      <c r="G2084">
        <v>1.17</v>
      </c>
      <c r="H2084">
        <v>10.72</v>
      </c>
      <c r="I2084" s="29">
        <v>0.89090000000000003</v>
      </c>
      <c r="J2084" s="29">
        <v>1.99</v>
      </c>
      <c r="K2084" s="9">
        <v>45343</v>
      </c>
      <c r="L2084">
        <f xml:space="preserve"> (交易處理資料__3[[#This Row],[售出工時]] * 60) / 5</f>
        <v>255.99999995999997</v>
      </c>
      <c r="M2084" t="str">
        <f>VLOOKUP(交易處理資料__3[[#This Row],[人員代號]],團隊分組!$B$1:$C$52,2,FALSE)</f>
        <v>快速保養團隊A</v>
      </c>
      <c r="N2084" t="str">
        <f>IF(交易處理資料__3[[#This Row],[上班時間]]=0,"否","是")</f>
        <v>是</v>
      </c>
      <c r="O2084" t="s">
        <v>76</v>
      </c>
      <c r="P2084" s="37">
        <v>2.690205969</v>
      </c>
      <c r="Q2084" s="37">
        <v>1.99</v>
      </c>
      <c r="R2084" s="37">
        <v>0.89090000000000003</v>
      </c>
    </row>
    <row r="2085" spans="1:18" hidden="1">
      <c r="A2085" t="s">
        <v>76</v>
      </c>
      <c r="B2085" t="s">
        <v>42</v>
      </c>
      <c r="C2085">
        <v>9.0833333330000006</v>
      </c>
      <c r="D2085">
        <v>5.8</v>
      </c>
      <c r="E2085" s="29">
        <v>1.566091954</v>
      </c>
      <c r="F2085">
        <v>7.85</v>
      </c>
      <c r="G2085">
        <v>0.82</v>
      </c>
      <c r="H2085">
        <v>8.67</v>
      </c>
      <c r="I2085" s="29">
        <v>0.90540000000000009</v>
      </c>
      <c r="J2085" s="29">
        <v>1.0476999999999999</v>
      </c>
      <c r="K2085" s="9">
        <v>45343</v>
      </c>
      <c r="L2085">
        <f xml:space="preserve"> (交易處理資料__3[[#This Row],[售出工時]] * 60) / 5</f>
        <v>108.999999996</v>
      </c>
      <c r="M2085" t="str">
        <f>VLOOKUP(交易處理資料__3[[#This Row],[人員代號]],團隊分組!$B$1:$C$52,2,FALSE)</f>
        <v>快速保養團隊A</v>
      </c>
      <c r="N2085" t="str">
        <f>IF(交易處理資料__3[[#This Row],[上班時間]]=0,"否","是")</f>
        <v>是</v>
      </c>
      <c r="O2085" t="s">
        <v>76</v>
      </c>
      <c r="P2085" s="38">
        <v>1.566091954</v>
      </c>
      <c r="Q2085" s="38">
        <v>1.0476999999999999</v>
      </c>
      <c r="R2085" s="38">
        <v>0.90540000000000009</v>
      </c>
    </row>
    <row r="2086" spans="1:18" hidden="1">
      <c r="A2086" t="s">
        <v>76</v>
      </c>
      <c r="B2086" t="s">
        <v>43</v>
      </c>
      <c r="C2086">
        <v>4.903333333</v>
      </c>
      <c r="D2086">
        <v>7.61</v>
      </c>
      <c r="E2086" s="29">
        <v>0.64432763910000002</v>
      </c>
      <c r="F2086">
        <v>7.33</v>
      </c>
      <c r="G2086">
        <v>2.2799999999999998</v>
      </c>
      <c r="H2086">
        <v>9.61</v>
      </c>
      <c r="I2086" s="29">
        <v>0.76269999999999993</v>
      </c>
      <c r="J2086" s="29">
        <v>0.51019999999999999</v>
      </c>
      <c r="K2086" s="9">
        <v>45343</v>
      </c>
      <c r="L2086">
        <f xml:space="preserve"> (交易處理資料__3[[#This Row],[售出工時]] * 60) / 5</f>
        <v>58.839999995999996</v>
      </c>
      <c r="M2086" t="str">
        <f>VLOOKUP(交易處理資料__3[[#This Row],[人員代號]],團隊分組!$B$1:$C$52,2,FALSE)</f>
        <v>查修團隊B</v>
      </c>
      <c r="N2086" t="str">
        <f>IF(交易處理資料__3[[#This Row],[上班時間]]=0,"否","是")</f>
        <v>是</v>
      </c>
      <c r="O2086" t="s">
        <v>76</v>
      </c>
      <c r="P2086" s="37">
        <v>0.64432763910000002</v>
      </c>
      <c r="Q2086" s="37">
        <v>0.51019999999999999</v>
      </c>
      <c r="R2086" s="37">
        <v>0.76269999999999993</v>
      </c>
    </row>
    <row r="2087" spans="1:18" hidden="1">
      <c r="A2087" t="s">
        <v>76</v>
      </c>
      <c r="B2087" t="s">
        <v>44</v>
      </c>
      <c r="C2087">
        <v>12.25</v>
      </c>
      <c r="D2087">
        <v>6.91</v>
      </c>
      <c r="E2087" s="29">
        <v>1.7727930540000001</v>
      </c>
      <c r="F2087">
        <v>8.31</v>
      </c>
      <c r="G2087">
        <v>0.32</v>
      </c>
      <c r="H2087">
        <v>8.6300000000000008</v>
      </c>
      <c r="I2087" s="29">
        <v>0.96290000000000009</v>
      </c>
      <c r="J2087" s="29">
        <v>1.4195</v>
      </c>
      <c r="K2087" s="9">
        <v>45343</v>
      </c>
      <c r="L2087">
        <f xml:space="preserve"> (交易處理資料__3[[#This Row],[售出工時]] * 60) / 5</f>
        <v>147</v>
      </c>
      <c r="M2087" t="str">
        <f>VLOOKUP(交易處理資料__3[[#This Row],[人員代號]],團隊分組!$B$1:$C$52,2,FALSE)</f>
        <v>快速保養團隊B</v>
      </c>
      <c r="N2087" t="str">
        <f>IF(交易處理資料__3[[#This Row],[上班時間]]=0,"否","是")</f>
        <v>是</v>
      </c>
      <c r="O2087" t="s">
        <v>76</v>
      </c>
      <c r="P2087" s="38">
        <v>1.7727930540000001</v>
      </c>
      <c r="Q2087" s="38">
        <v>1.4195</v>
      </c>
      <c r="R2087" s="38">
        <v>0.96290000000000009</v>
      </c>
    </row>
    <row r="2088" spans="1:18" hidden="1">
      <c r="A2088" t="s">
        <v>76</v>
      </c>
      <c r="B2088" t="s">
        <v>45</v>
      </c>
      <c r="C2088">
        <v>9.8333333330000006</v>
      </c>
      <c r="D2088">
        <v>6.61</v>
      </c>
      <c r="E2088" s="29">
        <v>1.4876449819999999</v>
      </c>
      <c r="F2088">
        <v>8.34</v>
      </c>
      <c r="G2088">
        <v>0.54</v>
      </c>
      <c r="H2088">
        <v>8.8800000000000008</v>
      </c>
      <c r="I2088" s="29">
        <v>0.93920000000000003</v>
      </c>
      <c r="J2088" s="29">
        <v>1.1073999999999999</v>
      </c>
      <c r="K2088" s="9">
        <v>45343</v>
      </c>
      <c r="L2088">
        <f xml:space="preserve"> (交易處理資料__3[[#This Row],[售出工時]] * 60) / 5</f>
        <v>117.999999996</v>
      </c>
      <c r="M2088" t="str">
        <f>VLOOKUP(交易處理資料__3[[#This Row],[人員代號]],團隊分組!$B$1:$C$52,2,FALSE)</f>
        <v>快速保養團隊A</v>
      </c>
      <c r="N2088" t="str">
        <f>IF(交易處理資料__3[[#This Row],[上班時間]]=0,"否","是")</f>
        <v>是</v>
      </c>
      <c r="O2088" t="s">
        <v>76</v>
      </c>
      <c r="P2088" s="37">
        <v>1.4876449819999999</v>
      </c>
      <c r="Q2088" s="37">
        <v>1.1073999999999999</v>
      </c>
      <c r="R2088" s="37">
        <v>0.93920000000000003</v>
      </c>
    </row>
    <row r="2089" spans="1:18" hidden="1">
      <c r="A2089" t="s">
        <v>76</v>
      </c>
      <c r="B2089" t="s">
        <v>46</v>
      </c>
      <c r="C2089">
        <v>0</v>
      </c>
      <c r="D2089">
        <v>0</v>
      </c>
      <c r="E2089" s="29">
        <v>0</v>
      </c>
      <c r="F2089">
        <v>6.93</v>
      </c>
      <c r="G2089">
        <v>1.17</v>
      </c>
      <c r="H2089">
        <v>8.1</v>
      </c>
      <c r="I2089" s="29">
        <v>0.85560000000000003</v>
      </c>
      <c r="J2089" s="29">
        <v>0</v>
      </c>
      <c r="K2089" s="9">
        <v>45343</v>
      </c>
      <c r="L2089">
        <f xml:space="preserve"> (交易處理資料__3[[#This Row],[售出工時]] * 60) / 5</f>
        <v>0</v>
      </c>
      <c r="M2089" t="str">
        <f>VLOOKUP(交易處理資料__3[[#This Row],[人員代號]],團隊分組!$B$1:$C$52,2,FALSE)</f>
        <v>查修團隊B</v>
      </c>
      <c r="N2089" t="str">
        <f>IF(交易處理資料__3[[#This Row],[上班時間]]=0,"否","是")</f>
        <v>是</v>
      </c>
      <c r="O2089" t="s">
        <v>76</v>
      </c>
      <c r="P2089" s="38">
        <v>0</v>
      </c>
      <c r="Q2089" s="38">
        <v>0</v>
      </c>
      <c r="R2089" s="38">
        <v>0.85560000000000003</v>
      </c>
    </row>
    <row r="2090" spans="1:18" hidden="1">
      <c r="A2090" t="s">
        <v>76</v>
      </c>
      <c r="B2090" t="s">
        <v>47</v>
      </c>
      <c r="C2090">
        <v>3.0833333330000001</v>
      </c>
      <c r="D2090">
        <v>3.14</v>
      </c>
      <c r="E2090" s="29">
        <v>0.98195329090000005</v>
      </c>
      <c r="F2090">
        <v>6.43</v>
      </c>
      <c r="G2090">
        <v>1.68</v>
      </c>
      <c r="H2090">
        <v>8.11</v>
      </c>
      <c r="I2090" s="29">
        <v>0.79280000000000006</v>
      </c>
      <c r="J2090" s="29">
        <v>0.38020000000000004</v>
      </c>
      <c r="K2090" s="9">
        <v>45343</v>
      </c>
      <c r="L2090">
        <f xml:space="preserve"> (交易處理資料__3[[#This Row],[售出工時]] * 60) / 5</f>
        <v>36.999999996</v>
      </c>
      <c r="M2090" t="str">
        <f>VLOOKUP(交易處理資料__3[[#This Row],[人員代號]],團隊分組!$B$1:$C$52,2,FALSE)</f>
        <v>查修團隊B</v>
      </c>
      <c r="N2090" t="str">
        <f>IF(交易處理資料__3[[#This Row],[上班時間]]=0,"否","是")</f>
        <v>是</v>
      </c>
      <c r="O2090" t="s">
        <v>76</v>
      </c>
      <c r="P2090" s="37">
        <v>0.98195329090000005</v>
      </c>
      <c r="Q2090" s="37">
        <v>0.38020000000000004</v>
      </c>
      <c r="R2090" s="37">
        <v>0.79280000000000006</v>
      </c>
    </row>
    <row r="2091" spans="1:18" hidden="1">
      <c r="A2091" t="s">
        <v>76</v>
      </c>
      <c r="B2091" t="s">
        <v>48</v>
      </c>
      <c r="C2091">
        <v>1.3333333329999999</v>
      </c>
      <c r="D2091">
        <v>3.23</v>
      </c>
      <c r="E2091" s="29">
        <v>0.41279669759999998</v>
      </c>
      <c r="F2091">
        <v>6.34</v>
      </c>
      <c r="G2091">
        <v>2.04</v>
      </c>
      <c r="H2091">
        <v>8.3800000000000008</v>
      </c>
      <c r="I2091" s="29">
        <v>0.75659999999999994</v>
      </c>
      <c r="J2091" s="29">
        <v>0.15909999999999999</v>
      </c>
      <c r="K2091" s="9">
        <v>45343</v>
      </c>
      <c r="L2091">
        <f xml:space="preserve"> (交易處理資料__3[[#This Row],[售出工時]] * 60) / 5</f>
        <v>15.999999996</v>
      </c>
      <c r="M2091" t="str">
        <f>VLOOKUP(交易處理資料__3[[#This Row],[人員代號]],團隊分組!$B$1:$C$52,2,FALSE)</f>
        <v>查修團隊A</v>
      </c>
      <c r="N2091" t="str">
        <f>IF(交易處理資料__3[[#This Row],[上班時間]]=0,"否","是")</f>
        <v>是</v>
      </c>
      <c r="O2091" t="s">
        <v>76</v>
      </c>
      <c r="P2091" s="38">
        <v>0.41279669759999998</v>
      </c>
      <c r="Q2091" s="38">
        <v>0.15909999999999999</v>
      </c>
      <c r="R2091" s="38">
        <v>0.75659999999999994</v>
      </c>
    </row>
    <row r="2092" spans="1:18" hidden="1">
      <c r="A2092" t="s">
        <v>76</v>
      </c>
      <c r="B2092" t="s">
        <v>49</v>
      </c>
      <c r="C2092">
        <v>3.8333333330000001</v>
      </c>
      <c r="D2092">
        <v>3.36</v>
      </c>
      <c r="E2092" s="29">
        <v>1.140873016</v>
      </c>
      <c r="F2092">
        <v>7.32</v>
      </c>
      <c r="G2092">
        <v>0.51</v>
      </c>
      <c r="H2092">
        <v>7.83</v>
      </c>
      <c r="I2092" s="29">
        <v>0.93489999999999995</v>
      </c>
      <c r="J2092" s="29">
        <v>0.48960000000000004</v>
      </c>
      <c r="K2092" s="9">
        <v>45343</v>
      </c>
      <c r="L2092">
        <f xml:space="preserve"> (交易處理資料__3[[#This Row],[售出工時]] * 60) / 5</f>
        <v>45.999999996</v>
      </c>
      <c r="M2092" t="str">
        <f>VLOOKUP(交易處理資料__3[[#This Row],[人員代號]],團隊分組!$B$1:$C$52,2,FALSE)</f>
        <v>查修團隊A</v>
      </c>
      <c r="N2092" t="str">
        <f>IF(交易處理資料__3[[#This Row],[上班時間]]=0,"否","是")</f>
        <v>是</v>
      </c>
      <c r="O2092" t="s">
        <v>76</v>
      </c>
      <c r="P2092" s="37">
        <v>1.140873016</v>
      </c>
      <c r="Q2092" s="37">
        <v>0.48960000000000004</v>
      </c>
      <c r="R2092" s="37">
        <v>0.93489999999999995</v>
      </c>
    </row>
    <row r="2093" spans="1:18" hidden="1">
      <c r="A2093" t="s">
        <v>76</v>
      </c>
      <c r="B2093" t="s">
        <v>51</v>
      </c>
      <c r="C2093">
        <v>0</v>
      </c>
      <c r="D2093">
        <v>0</v>
      </c>
      <c r="E2093" s="29">
        <v>0</v>
      </c>
      <c r="F2093">
        <v>0</v>
      </c>
      <c r="G2093">
        <v>0</v>
      </c>
      <c r="H2093">
        <v>0</v>
      </c>
      <c r="I2093" s="29">
        <v>0</v>
      </c>
      <c r="J2093" s="29">
        <v>0</v>
      </c>
      <c r="K2093" s="9">
        <v>45343</v>
      </c>
      <c r="L2093">
        <f xml:space="preserve"> (交易處理資料__3[[#This Row],[售出工時]] * 60) / 5</f>
        <v>0</v>
      </c>
      <c r="M2093" t="str">
        <f>VLOOKUP(交易處理資料__3[[#This Row],[人員代號]],團隊分組!$B$1:$C$52,2,FALSE)</f>
        <v>無效數據</v>
      </c>
      <c r="N2093" t="str">
        <f>IF(交易處理資料__3[[#This Row],[上班時間]]=0,"否","是")</f>
        <v>否</v>
      </c>
      <c r="O2093" t="s">
        <v>76</v>
      </c>
      <c r="P2093" s="38">
        <v>0</v>
      </c>
      <c r="Q2093" s="38">
        <v>0</v>
      </c>
      <c r="R2093" s="38">
        <v>0</v>
      </c>
    </row>
    <row r="2094" spans="1:18" hidden="1">
      <c r="A2094" t="s">
        <v>76</v>
      </c>
      <c r="B2094" t="s">
        <v>53</v>
      </c>
      <c r="C2094">
        <v>6.6666666670000003</v>
      </c>
      <c r="D2094">
        <v>9.32</v>
      </c>
      <c r="E2094" s="29">
        <v>0.71530758230000002</v>
      </c>
      <c r="F2094">
        <v>8.9600000000000009</v>
      </c>
      <c r="G2094">
        <v>1.2</v>
      </c>
      <c r="H2094">
        <v>10.16</v>
      </c>
      <c r="I2094" s="29">
        <v>0.88190000000000002</v>
      </c>
      <c r="J2094" s="29">
        <v>0.65620000000000001</v>
      </c>
      <c r="K2094" s="9">
        <v>45343</v>
      </c>
      <c r="L2094">
        <f xml:space="preserve"> (交易處理資料__3[[#This Row],[售出工時]] * 60) / 5</f>
        <v>80.000000004</v>
      </c>
      <c r="M2094" t="str">
        <f>VLOOKUP(交易處理資料__3[[#This Row],[人員代號]],團隊分組!$B$1:$C$52,2,FALSE)</f>
        <v>查修團隊A</v>
      </c>
      <c r="N2094" t="str">
        <f>IF(交易處理資料__3[[#This Row],[上班時間]]=0,"否","是")</f>
        <v>是</v>
      </c>
      <c r="O2094" t="s">
        <v>76</v>
      </c>
      <c r="P2094" s="37">
        <v>0.71530758230000002</v>
      </c>
      <c r="Q2094" s="37">
        <v>0.65620000000000001</v>
      </c>
      <c r="R2094" s="37">
        <v>0.88190000000000002</v>
      </c>
    </row>
    <row r="2095" spans="1:18" hidden="1">
      <c r="A2095" s="10" t="s">
        <v>74</v>
      </c>
      <c r="B2095" t="s">
        <v>2</v>
      </c>
      <c r="C2095">
        <v>0</v>
      </c>
      <c r="D2095">
        <v>0</v>
      </c>
      <c r="E2095" s="29">
        <v>0</v>
      </c>
      <c r="F2095">
        <v>10.3</v>
      </c>
      <c r="G2095">
        <v>0.22</v>
      </c>
      <c r="H2095">
        <v>10.52</v>
      </c>
      <c r="I2095" s="29">
        <v>0.97909999999999997</v>
      </c>
      <c r="J2095" s="29">
        <v>0</v>
      </c>
      <c r="K2095" s="9">
        <v>45344</v>
      </c>
      <c r="L2095">
        <f xml:space="preserve"> (交易處理資料__3[[#This Row],[售出工時]] * 60) / 5</f>
        <v>0</v>
      </c>
      <c r="M2095" t="str">
        <f>VLOOKUP(交易處理資料__3[[#This Row],[人員代號]],團隊分組!$B$1:$C$52,2,FALSE)</f>
        <v>噴漆維修組</v>
      </c>
      <c r="N2095" t="str">
        <f>IF(交易處理資料__3[[#This Row],[上班時間]]=0,"否","是")</f>
        <v>是</v>
      </c>
      <c r="O2095" s="10" t="s">
        <v>74</v>
      </c>
      <c r="P2095" s="38">
        <v>0</v>
      </c>
      <c r="Q2095" s="38">
        <v>0</v>
      </c>
      <c r="R2095" s="38">
        <v>0.97909999999999997</v>
      </c>
    </row>
    <row r="2096" spans="1:18" hidden="1">
      <c r="A2096" s="10" t="s">
        <v>74</v>
      </c>
      <c r="B2096" t="s">
        <v>3</v>
      </c>
      <c r="C2096">
        <v>0</v>
      </c>
      <c r="D2096">
        <v>0</v>
      </c>
      <c r="E2096" s="29">
        <v>0</v>
      </c>
      <c r="F2096">
        <v>10.3</v>
      </c>
      <c r="G2096">
        <v>0.22</v>
      </c>
      <c r="H2096">
        <v>10.52</v>
      </c>
      <c r="I2096" s="29">
        <v>0.97909999999999997</v>
      </c>
      <c r="J2096" s="29">
        <v>0</v>
      </c>
      <c r="K2096" s="9">
        <v>45344</v>
      </c>
      <c r="L2096">
        <f xml:space="preserve"> (交易處理資料__3[[#This Row],[售出工時]] * 60) / 5</f>
        <v>0</v>
      </c>
      <c r="M2096" t="str">
        <f>VLOOKUP(交易處理資料__3[[#This Row],[人員代號]],團隊分組!$B$1:$C$52,2,FALSE)</f>
        <v>噴漆維修組</v>
      </c>
      <c r="N2096" t="str">
        <f>IF(交易處理資料__3[[#This Row],[上班時間]]=0,"否","是")</f>
        <v>是</v>
      </c>
      <c r="O2096" s="10" t="s">
        <v>74</v>
      </c>
      <c r="P2096" s="37">
        <v>0</v>
      </c>
      <c r="Q2096" s="37">
        <v>0</v>
      </c>
      <c r="R2096" s="37">
        <v>0.97909999999999997</v>
      </c>
    </row>
    <row r="2097" spans="1:18" hidden="1">
      <c r="A2097" s="10" t="s">
        <v>74</v>
      </c>
      <c r="B2097" t="s">
        <v>4</v>
      </c>
      <c r="C2097">
        <v>0</v>
      </c>
      <c r="D2097">
        <v>0</v>
      </c>
      <c r="E2097" s="29">
        <v>0</v>
      </c>
      <c r="F2097">
        <v>7.23</v>
      </c>
      <c r="G2097">
        <v>0.92</v>
      </c>
      <c r="H2097">
        <v>8.15</v>
      </c>
      <c r="I2097" s="29">
        <v>0.88709999999999989</v>
      </c>
      <c r="J2097" s="29">
        <v>0</v>
      </c>
      <c r="K2097" s="9">
        <v>45344</v>
      </c>
      <c r="L2097">
        <f xml:space="preserve"> (交易處理資料__3[[#This Row],[售出工時]] * 60) / 5</f>
        <v>0</v>
      </c>
      <c r="M2097" t="str">
        <f>VLOOKUP(交易處理資料__3[[#This Row],[人員代號]],團隊分組!$B$1:$C$52,2,FALSE)</f>
        <v>噴漆維修組</v>
      </c>
      <c r="N2097" t="str">
        <f>IF(交易處理資料__3[[#This Row],[上班時間]]=0,"否","是")</f>
        <v>是</v>
      </c>
      <c r="O2097" s="10" t="s">
        <v>74</v>
      </c>
      <c r="P2097" s="38">
        <v>0</v>
      </c>
      <c r="Q2097" s="38">
        <v>0</v>
      </c>
      <c r="R2097" s="38">
        <v>0.88709999999999989</v>
      </c>
    </row>
    <row r="2098" spans="1:18" hidden="1">
      <c r="A2098" s="10" t="s">
        <v>74</v>
      </c>
      <c r="B2098" t="s">
        <v>5</v>
      </c>
      <c r="C2098">
        <v>0</v>
      </c>
      <c r="D2098">
        <v>0</v>
      </c>
      <c r="E2098" s="29">
        <v>0</v>
      </c>
      <c r="F2098">
        <v>9.68</v>
      </c>
      <c r="G2098">
        <v>0.33</v>
      </c>
      <c r="H2098">
        <v>10.01</v>
      </c>
      <c r="I2098" s="29">
        <v>0.96700000000000008</v>
      </c>
      <c r="J2098" s="29">
        <v>0</v>
      </c>
      <c r="K2098" s="9">
        <v>45344</v>
      </c>
      <c r="L2098">
        <f xml:space="preserve"> (交易處理資料__3[[#This Row],[售出工時]] * 60) / 5</f>
        <v>0</v>
      </c>
      <c r="M2098" t="str">
        <f>VLOOKUP(交易處理資料__3[[#This Row],[人員代號]],團隊分組!$B$1:$C$52,2,FALSE)</f>
        <v>噴漆維修組</v>
      </c>
      <c r="N2098" t="str">
        <f>IF(交易處理資料__3[[#This Row],[上班時間]]=0,"否","是")</f>
        <v>是</v>
      </c>
      <c r="O2098" s="10" t="s">
        <v>74</v>
      </c>
      <c r="P2098" s="37">
        <v>0</v>
      </c>
      <c r="Q2098" s="37">
        <v>0</v>
      </c>
      <c r="R2098" s="37">
        <v>0.96700000000000008</v>
      </c>
    </row>
    <row r="2099" spans="1:18" hidden="1">
      <c r="A2099" s="10" t="s">
        <v>74</v>
      </c>
      <c r="B2099" t="s">
        <v>6</v>
      </c>
      <c r="C2099">
        <v>0</v>
      </c>
      <c r="D2099">
        <v>0</v>
      </c>
      <c r="E2099" s="29">
        <v>0</v>
      </c>
      <c r="F2099">
        <v>10.3</v>
      </c>
      <c r="G2099">
        <v>0.22</v>
      </c>
      <c r="H2099">
        <v>10.52</v>
      </c>
      <c r="I2099" s="29">
        <v>0.97909999999999997</v>
      </c>
      <c r="J2099" s="29">
        <v>0</v>
      </c>
      <c r="K2099" s="9">
        <v>45344</v>
      </c>
      <c r="L2099">
        <f xml:space="preserve"> (交易處理資料__3[[#This Row],[售出工時]] * 60) / 5</f>
        <v>0</v>
      </c>
      <c r="M2099" t="str">
        <f>VLOOKUP(交易處理資料__3[[#This Row],[人員代號]],團隊分組!$B$1:$C$52,2,FALSE)</f>
        <v>噴漆維修組</v>
      </c>
      <c r="N2099" t="str">
        <f>IF(交易處理資料__3[[#This Row],[上班時間]]=0,"否","是")</f>
        <v>是</v>
      </c>
      <c r="O2099" s="10" t="s">
        <v>74</v>
      </c>
      <c r="P2099" s="38">
        <v>0</v>
      </c>
      <c r="Q2099" s="38">
        <v>0</v>
      </c>
      <c r="R2099" s="38">
        <v>0.97909999999999997</v>
      </c>
    </row>
    <row r="2100" spans="1:18">
      <c r="A2100" s="10" t="s">
        <v>74</v>
      </c>
      <c r="B2100" t="s">
        <v>7</v>
      </c>
      <c r="C2100">
        <v>0</v>
      </c>
      <c r="D2100">
        <v>0</v>
      </c>
      <c r="E2100" s="29">
        <v>0</v>
      </c>
      <c r="F2100">
        <v>10.210000000000001</v>
      </c>
      <c r="G2100">
        <v>0.22</v>
      </c>
      <c r="H2100">
        <v>10.43</v>
      </c>
      <c r="I2100" s="29">
        <v>0.97889999999999999</v>
      </c>
      <c r="J2100" s="29">
        <v>0</v>
      </c>
      <c r="K2100" s="9">
        <v>45344</v>
      </c>
      <c r="L2100">
        <f xml:space="preserve"> (交易處理資料__3[[#This Row],[售出工時]] * 60) / 5</f>
        <v>0</v>
      </c>
      <c r="M2100" t="str">
        <f>VLOOKUP(交易處理資料__3[[#This Row],[人員代號]],團隊分組!$B$1:$C$52,2,FALSE)</f>
        <v>噴漆維修組</v>
      </c>
      <c r="N2100" t="str">
        <f>IF(交易處理資料__3[[#This Row],[上班時間]]=0,"否","是")</f>
        <v>是</v>
      </c>
      <c r="O2100" s="10" t="s">
        <v>74</v>
      </c>
      <c r="P2100" s="37">
        <v>0</v>
      </c>
      <c r="Q2100" s="37">
        <v>0</v>
      </c>
      <c r="R2100" s="37">
        <v>0.97889999999999999</v>
      </c>
    </row>
    <row r="2101" spans="1:18" hidden="1">
      <c r="A2101" s="10" t="s">
        <v>74</v>
      </c>
      <c r="B2101" t="s">
        <v>8</v>
      </c>
      <c r="C2101">
        <v>0</v>
      </c>
      <c r="D2101">
        <v>0</v>
      </c>
      <c r="E2101" s="29">
        <v>0</v>
      </c>
      <c r="F2101">
        <v>7.21</v>
      </c>
      <c r="G2101">
        <v>0.94</v>
      </c>
      <c r="H2101">
        <v>8.15</v>
      </c>
      <c r="I2101" s="29">
        <v>0.88470000000000004</v>
      </c>
      <c r="J2101" s="29">
        <v>0</v>
      </c>
      <c r="K2101" s="9">
        <v>45344</v>
      </c>
      <c r="L2101">
        <f xml:space="preserve"> (交易處理資料__3[[#This Row],[售出工時]] * 60) / 5</f>
        <v>0</v>
      </c>
      <c r="M2101" t="str">
        <f>VLOOKUP(交易處理資料__3[[#This Row],[人員代號]],團隊分組!$B$1:$C$52,2,FALSE)</f>
        <v>噴漆維修組</v>
      </c>
      <c r="N2101" t="str">
        <f>IF(交易處理資料__3[[#This Row],[上班時間]]=0,"否","是")</f>
        <v>是</v>
      </c>
      <c r="O2101" s="10" t="s">
        <v>74</v>
      </c>
      <c r="P2101" s="38">
        <v>0</v>
      </c>
      <c r="Q2101" s="38">
        <v>0</v>
      </c>
      <c r="R2101" s="38">
        <v>0.88470000000000004</v>
      </c>
    </row>
    <row r="2102" spans="1:18" hidden="1">
      <c r="A2102" s="10" t="s">
        <v>74</v>
      </c>
      <c r="B2102" t="s">
        <v>9</v>
      </c>
      <c r="C2102">
        <v>4.5833333329999997</v>
      </c>
      <c r="D2102">
        <v>4.1900000000000004</v>
      </c>
      <c r="E2102" s="29">
        <v>1.0938743040000001</v>
      </c>
      <c r="F2102">
        <v>7.25</v>
      </c>
      <c r="G2102">
        <v>0.88</v>
      </c>
      <c r="H2102">
        <v>8.1300000000000008</v>
      </c>
      <c r="I2102" s="29">
        <v>0.89180000000000004</v>
      </c>
      <c r="J2102" s="29">
        <v>0.56380000000000008</v>
      </c>
      <c r="K2102" s="9">
        <v>45344</v>
      </c>
      <c r="L2102">
        <f xml:space="preserve"> (交易處理資料__3[[#This Row],[售出工時]] * 60) / 5</f>
        <v>54.999999996</v>
      </c>
      <c r="M2102" t="str">
        <f>VLOOKUP(交易處理資料__3[[#This Row],[人員代號]],團隊分組!$B$1:$C$52,2,FALSE)</f>
        <v>噴漆維修組</v>
      </c>
      <c r="N2102" t="str">
        <f>IF(交易處理資料__3[[#This Row],[上班時間]]=0,"否","是")</f>
        <v>是</v>
      </c>
      <c r="O2102" s="10" t="s">
        <v>74</v>
      </c>
      <c r="P2102" s="37">
        <v>1.0938743040000001</v>
      </c>
      <c r="Q2102" s="37">
        <v>0.56380000000000008</v>
      </c>
      <c r="R2102" s="37">
        <v>0.89180000000000004</v>
      </c>
    </row>
    <row r="2103" spans="1:18" hidden="1">
      <c r="A2103" t="s">
        <v>75</v>
      </c>
      <c r="B2103" t="s">
        <v>11</v>
      </c>
      <c r="C2103">
        <v>0</v>
      </c>
      <c r="D2103">
        <v>0</v>
      </c>
      <c r="E2103" s="29">
        <v>0</v>
      </c>
      <c r="F2103">
        <v>6.42</v>
      </c>
      <c r="G2103">
        <v>1.67</v>
      </c>
      <c r="H2103">
        <v>8.09</v>
      </c>
      <c r="I2103" s="29">
        <v>0.79359999999999997</v>
      </c>
      <c r="J2103" s="29">
        <v>0</v>
      </c>
      <c r="K2103" s="9">
        <v>45344</v>
      </c>
      <c r="L2103">
        <f xml:space="preserve"> (交易處理資料__3[[#This Row],[售出工時]] * 60) / 5</f>
        <v>0</v>
      </c>
      <c r="M2103" t="str">
        <f>VLOOKUP(交易處理資料__3[[#This Row],[人員代號]],團隊分組!$B$1:$C$52,2,FALSE)</f>
        <v>鈑金維修組</v>
      </c>
      <c r="N2103" t="str">
        <f>IF(交易處理資料__3[[#This Row],[上班時間]]=0,"否","是")</f>
        <v>是</v>
      </c>
      <c r="O2103" t="s">
        <v>75</v>
      </c>
      <c r="P2103" s="38">
        <v>0</v>
      </c>
      <c r="Q2103" s="38">
        <v>0</v>
      </c>
      <c r="R2103" s="38">
        <v>0.79359999999999997</v>
      </c>
    </row>
    <row r="2104" spans="1:18" hidden="1">
      <c r="A2104" t="s">
        <v>75</v>
      </c>
      <c r="B2104" t="s">
        <v>12</v>
      </c>
      <c r="C2104">
        <v>6.8333333329999997</v>
      </c>
      <c r="D2104">
        <v>2.35</v>
      </c>
      <c r="E2104" s="29">
        <v>2.907801418</v>
      </c>
      <c r="F2104">
        <v>6.67</v>
      </c>
      <c r="G2104">
        <v>3.46</v>
      </c>
      <c r="H2104">
        <v>10.130000000000001</v>
      </c>
      <c r="I2104" s="29">
        <v>0.65839999999999999</v>
      </c>
      <c r="J2104" s="29">
        <v>0.67459999999999998</v>
      </c>
      <c r="K2104" s="9">
        <v>45344</v>
      </c>
      <c r="L2104">
        <f xml:space="preserve"> (交易處理資料__3[[#This Row],[售出工時]] * 60) / 5</f>
        <v>81.999999996</v>
      </c>
      <c r="M2104" t="str">
        <f>VLOOKUP(交易處理資料__3[[#This Row],[人員代號]],團隊分組!$B$1:$C$52,2,FALSE)</f>
        <v>鈑金維修組</v>
      </c>
      <c r="N2104" t="str">
        <f>IF(交易處理資料__3[[#This Row],[上班時間]]=0,"否","是")</f>
        <v>是</v>
      </c>
      <c r="O2104" t="s">
        <v>75</v>
      </c>
      <c r="P2104" s="37">
        <v>2.907801418</v>
      </c>
      <c r="Q2104" s="37">
        <v>0.67459999999999998</v>
      </c>
      <c r="R2104" s="37">
        <v>0.65839999999999999</v>
      </c>
    </row>
    <row r="2105" spans="1:18" hidden="1">
      <c r="A2105" t="s">
        <v>75</v>
      </c>
      <c r="B2105" t="s">
        <v>13</v>
      </c>
      <c r="C2105">
        <v>0</v>
      </c>
      <c r="D2105">
        <v>0</v>
      </c>
      <c r="E2105" s="29">
        <v>0</v>
      </c>
      <c r="F2105">
        <v>7.05</v>
      </c>
      <c r="G2105">
        <v>1.8</v>
      </c>
      <c r="H2105">
        <v>8.85</v>
      </c>
      <c r="I2105" s="29">
        <v>0.79659999999999997</v>
      </c>
      <c r="J2105" s="29">
        <v>0</v>
      </c>
      <c r="K2105" s="9">
        <v>45344</v>
      </c>
      <c r="L2105">
        <f xml:space="preserve"> (交易處理資料__3[[#This Row],[售出工時]] * 60) / 5</f>
        <v>0</v>
      </c>
      <c r="M2105" t="str">
        <f>VLOOKUP(交易處理資料__3[[#This Row],[人員代號]],團隊分組!$B$1:$C$52,2,FALSE)</f>
        <v>鈑金維修組</v>
      </c>
      <c r="N2105" t="str">
        <f>IF(交易處理資料__3[[#This Row],[上班時間]]=0,"否","是")</f>
        <v>是</v>
      </c>
      <c r="O2105" t="s">
        <v>75</v>
      </c>
      <c r="P2105" s="38">
        <v>0</v>
      </c>
      <c r="Q2105" s="38">
        <v>0</v>
      </c>
      <c r="R2105" s="38">
        <v>0.79659999999999997</v>
      </c>
    </row>
    <row r="2106" spans="1:18" hidden="1">
      <c r="A2106" t="s">
        <v>75</v>
      </c>
      <c r="B2106" t="s">
        <v>14</v>
      </c>
      <c r="C2106">
        <v>4.4166666670000003</v>
      </c>
      <c r="D2106">
        <v>3.7</v>
      </c>
      <c r="E2106" s="29">
        <v>1.193693694</v>
      </c>
      <c r="F2106">
        <v>3.76</v>
      </c>
      <c r="G2106">
        <v>5.86</v>
      </c>
      <c r="H2106">
        <v>9.6199999999999992</v>
      </c>
      <c r="I2106" s="29">
        <v>0.39090000000000003</v>
      </c>
      <c r="J2106" s="29">
        <v>0.45909999999999995</v>
      </c>
      <c r="K2106" s="9">
        <v>45344</v>
      </c>
      <c r="L2106">
        <f xml:space="preserve"> (交易處理資料__3[[#This Row],[售出工時]] * 60) / 5</f>
        <v>53.000000004</v>
      </c>
      <c r="M2106" t="str">
        <f>VLOOKUP(交易處理資料__3[[#This Row],[人員代號]],團隊分組!$B$1:$C$52,2,FALSE)</f>
        <v>鈑金維修組</v>
      </c>
      <c r="N2106" t="str">
        <f>IF(交易處理資料__3[[#This Row],[上班時間]]=0,"否","是")</f>
        <v>是</v>
      </c>
      <c r="O2106" t="s">
        <v>75</v>
      </c>
      <c r="P2106" s="37">
        <v>1.193693694</v>
      </c>
      <c r="Q2106" s="37">
        <v>0.45909999999999995</v>
      </c>
      <c r="R2106" s="37">
        <v>0.39090000000000003</v>
      </c>
    </row>
    <row r="2107" spans="1:18" hidden="1">
      <c r="A2107" t="s">
        <v>75</v>
      </c>
      <c r="B2107" t="s">
        <v>15</v>
      </c>
      <c r="C2107">
        <v>0</v>
      </c>
      <c r="D2107">
        <v>0</v>
      </c>
      <c r="E2107" s="29">
        <v>0</v>
      </c>
      <c r="F2107">
        <v>3.75</v>
      </c>
      <c r="G2107">
        <v>5.88</v>
      </c>
      <c r="H2107">
        <v>9.6300000000000008</v>
      </c>
      <c r="I2107" s="29">
        <v>0.38939999999999997</v>
      </c>
      <c r="J2107" s="29">
        <v>0</v>
      </c>
      <c r="K2107" s="9">
        <v>45344</v>
      </c>
      <c r="L2107">
        <f xml:space="preserve"> (交易處理資料__3[[#This Row],[售出工時]] * 60) / 5</f>
        <v>0</v>
      </c>
      <c r="M2107" t="str">
        <f>VLOOKUP(交易處理資料__3[[#This Row],[人員代號]],團隊分組!$B$1:$C$52,2,FALSE)</f>
        <v>鈑金維修組</v>
      </c>
      <c r="N2107" t="str">
        <f>IF(交易處理資料__3[[#This Row],[上班時間]]=0,"否","是")</f>
        <v>是</v>
      </c>
      <c r="O2107" t="s">
        <v>75</v>
      </c>
      <c r="P2107" s="38">
        <v>0</v>
      </c>
      <c r="Q2107" s="38">
        <v>0</v>
      </c>
      <c r="R2107" s="38">
        <v>0.38939999999999997</v>
      </c>
    </row>
    <row r="2108" spans="1:18" hidden="1">
      <c r="A2108" t="s">
        <v>76</v>
      </c>
      <c r="B2108" t="s">
        <v>18</v>
      </c>
      <c r="C2108">
        <v>7.25</v>
      </c>
      <c r="D2108">
        <v>8.07</v>
      </c>
      <c r="E2108" s="29">
        <v>0.8983890954</v>
      </c>
      <c r="F2108">
        <v>8.4499999999999993</v>
      </c>
      <c r="G2108">
        <v>1.1200000000000001</v>
      </c>
      <c r="H2108">
        <v>9.57</v>
      </c>
      <c r="I2108" s="29">
        <v>0.88300000000000001</v>
      </c>
      <c r="J2108" s="29">
        <v>0.75760000000000005</v>
      </c>
      <c r="K2108" s="9">
        <v>45344</v>
      </c>
      <c r="L2108">
        <f xml:space="preserve"> (交易處理資料__3[[#This Row],[售出工時]] * 60) / 5</f>
        <v>87</v>
      </c>
      <c r="M2108" t="str">
        <f>VLOOKUP(交易處理資料__3[[#This Row],[人員代號]],團隊分組!$B$1:$C$52,2,FALSE)</f>
        <v>查修團隊B</v>
      </c>
      <c r="N2108" t="str">
        <f>IF(交易處理資料__3[[#This Row],[上班時間]]=0,"否","是")</f>
        <v>是</v>
      </c>
      <c r="O2108" t="s">
        <v>76</v>
      </c>
      <c r="P2108" s="37">
        <v>0.8983890954</v>
      </c>
      <c r="Q2108" s="37">
        <v>0.75760000000000005</v>
      </c>
      <c r="R2108" s="37">
        <v>0.88300000000000001</v>
      </c>
    </row>
    <row r="2109" spans="1:18" hidden="1">
      <c r="A2109" t="s">
        <v>76</v>
      </c>
      <c r="B2109" t="s">
        <v>19</v>
      </c>
      <c r="C2109">
        <v>3.12</v>
      </c>
      <c r="D2109">
        <v>3.79</v>
      </c>
      <c r="E2109" s="29">
        <v>0.82321899740000004</v>
      </c>
      <c r="F2109">
        <v>7.49</v>
      </c>
      <c r="G2109">
        <v>0.28000000000000003</v>
      </c>
      <c r="H2109">
        <v>7.77</v>
      </c>
      <c r="I2109" s="29">
        <v>0.96400000000000008</v>
      </c>
      <c r="J2109" s="29">
        <v>0.40149999999999997</v>
      </c>
      <c r="K2109" s="9">
        <v>45344</v>
      </c>
      <c r="L2109">
        <f xml:space="preserve"> (交易處理資料__3[[#This Row],[售出工時]] * 60) / 5</f>
        <v>37.440000000000005</v>
      </c>
      <c r="M2109" t="str">
        <f>VLOOKUP(交易處理資料__3[[#This Row],[人員代號]],團隊分組!$B$1:$C$52,2,FALSE)</f>
        <v>查修團隊A</v>
      </c>
      <c r="N2109" t="str">
        <f>IF(交易處理資料__3[[#This Row],[上班時間]]=0,"否","是")</f>
        <v>是</v>
      </c>
      <c r="O2109" t="s">
        <v>76</v>
      </c>
      <c r="P2109" s="38">
        <v>0.82321899740000004</v>
      </c>
      <c r="Q2109" s="38">
        <v>0.40149999999999997</v>
      </c>
      <c r="R2109" s="38">
        <v>0.96400000000000008</v>
      </c>
    </row>
    <row r="2110" spans="1:18" hidden="1">
      <c r="A2110" t="s">
        <v>76</v>
      </c>
      <c r="B2110" t="s">
        <v>21</v>
      </c>
      <c r="C2110">
        <v>6.5833333329999997</v>
      </c>
      <c r="D2110">
        <v>7.71</v>
      </c>
      <c r="E2110" s="29">
        <v>0.85386943360000001</v>
      </c>
      <c r="F2110">
        <v>8.66</v>
      </c>
      <c r="G2110">
        <v>2.81</v>
      </c>
      <c r="H2110">
        <v>11.47</v>
      </c>
      <c r="I2110" s="29">
        <v>0.755</v>
      </c>
      <c r="J2110" s="29">
        <v>0.57399999999999995</v>
      </c>
      <c r="K2110" s="9">
        <v>45344</v>
      </c>
      <c r="L2110">
        <f xml:space="preserve"> (交易處理資料__3[[#This Row],[售出工時]] * 60) / 5</f>
        <v>78.999999996</v>
      </c>
      <c r="M2110" t="str">
        <f>VLOOKUP(交易處理資料__3[[#This Row],[人員代號]],團隊分組!$B$1:$C$52,2,FALSE)</f>
        <v>查修團隊B</v>
      </c>
      <c r="N2110" t="str">
        <f>IF(交易處理資料__3[[#This Row],[上班時間]]=0,"否","是")</f>
        <v>是</v>
      </c>
      <c r="O2110" t="s">
        <v>76</v>
      </c>
      <c r="P2110" s="37">
        <v>0.85386943360000001</v>
      </c>
      <c r="Q2110" s="37">
        <v>0.57399999999999995</v>
      </c>
      <c r="R2110" s="37">
        <v>0.755</v>
      </c>
    </row>
    <row r="2111" spans="1:18" hidden="1">
      <c r="A2111" t="s">
        <v>76</v>
      </c>
      <c r="B2111" t="s">
        <v>22</v>
      </c>
      <c r="C2111">
        <v>11.553333329999999</v>
      </c>
      <c r="D2111">
        <v>7.59</v>
      </c>
      <c r="E2111" s="29">
        <v>1.522178305</v>
      </c>
      <c r="F2111">
        <v>7.8</v>
      </c>
      <c r="G2111">
        <v>0.13</v>
      </c>
      <c r="H2111">
        <v>7.93</v>
      </c>
      <c r="I2111" s="29">
        <v>0.98360000000000003</v>
      </c>
      <c r="J2111" s="29">
        <v>1.4569000000000001</v>
      </c>
      <c r="K2111" s="9">
        <v>45344</v>
      </c>
      <c r="L2111">
        <f xml:space="preserve"> (交易處理資料__3[[#This Row],[售出工時]] * 60) / 5</f>
        <v>138.63999996000001</v>
      </c>
      <c r="M2111" t="str">
        <f>VLOOKUP(交易處理資料__3[[#This Row],[人員代號]],團隊分組!$B$1:$C$52,2,FALSE)</f>
        <v>快速保養團隊A</v>
      </c>
      <c r="N2111" t="str">
        <f>IF(交易處理資料__3[[#This Row],[上班時間]]=0,"否","是")</f>
        <v>是</v>
      </c>
      <c r="O2111" t="s">
        <v>76</v>
      </c>
      <c r="P2111" s="38">
        <v>1.522178305</v>
      </c>
      <c r="Q2111" s="38">
        <v>1.4569000000000001</v>
      </c>
      <c r="R2111" s="38">
        <v>0.98360000000000003</v>
      </c>
    </row>
    <row r="2112" spans="1:18" hidden="1">
      <c r="A2112" t="s">
        <v>76</v>
      </c>
      <c r="B2112" t="s">
        <v>23</v>
      </c>
      <c r="C2112">
        <v>5.0633333330000001</v>
      </c>
      <c r="D2112">
        <v>5.6</v>
      </c>
      <c r="E2112" s="29">
        <v>0.90416666670000001</v>
      </c>
      <c r="F2112">
        <v>10.38</v>
      </c>
      <c r="G2112">
        <v>0.44</v>
      </c>
      <c r="H2112">
        <v>10.82</v>
      </c>
      <c r="I2112" s="29">
        <v>0.95930000000000004</v>
      </c>
      <c r="J2112" s="29">
        <v>0.46799999999999997</v>
      </c>
      <c r="K2112" s="9">
        <v>45344</v>
      </c>
      <c r="L2112">
        <f xml:space="preserve"> (交易處理資料__3[[#This Row],[售出工時]] * 60) / 5</f>
        <v>60.759999995999998</v>
      </c>
      <c r="M2112" t="str">
        <f>VLOOKUP(交易處理資料__3[[#This Row],[人員代號]],團隊分組!$B$1:$C$52,2,FALSE)</f>
        <v>快速保養團隊B</v>
      </c>
      <c r="N2112" t="str">
        <f>IF(交易處理資料__3[[#This Row],[上班時間]]=0,"否","是")</f>
        <v>是</v>
      </c>
      <c r="O2112" t="s">
        <v>76</v>
      </c>
      <c r="P2112" s="37">
        <v>0.90416666670000001</v>
      </c>
      <c r="Q2112" s="37">
        <v>0.46799999999999997</v>
      </c>
      <c r="R2112" s="37">
        <v>0.95930000000000004</v>
      </c>
    </row>
    <row r="2113" spans="1:18" hidden="1">
      <c r="A2113" t="s">
        <v>76</v>
      </c>
      <c r="B2113" t="s">
        <v>24</v>
      </c>
      <c r="C2113">
        <v>11.213333329999999</v>
      </c>
      <c r="D2113">
        <v>8.2899999999999991</v>
      </c>
      <c r="E2113" s="29">
        <v>1.3526336950000002</v>
      </c>
      <c r="F2113">
        <v>8.73</v>
      </c>
      <c r="G2113">
        <v>0.46</v>
      </c>
      <c r="H2113">
        <v>9.19</v>
      </c>
      <c r="I2113" s="29">
        <v>0.94989999999999997</v>
      </c>
      <c r="J2113" s="29">
        <v>1.2202</v>
      </c>
      <c r="K2113" s="9">
        <v>45344</v>
      </c>
      <c r="L2113">
        <f xml:space="preserve"> (交易處理資料__3[[#This Row],[售出工時]] * 60) / 5</f>
        <v>134.55999995999997</v>
      </c>
      <c r="M2113" t="str">
        <f>VLOOKUP(交易處理資料__3[[#This Row],[人員代號]],團隊分組!$B$1:$C$52,2,FALSE)</f>
        <v>快速保養團隊A</v>
      </c>
      <c r="N2113" t="str">
        <f>IF(交易處理資料__3[[#This Row],[上班時間]]=0,"否","是")</f>
        <v>是</v>
      </c>
      <c r="O2113" t="s">
        <v>76</v>
      </c>
      <c r="P2113" s="38">
        <v>1.3526336950000002</v>
      </c>
      <c r="Q2113" s="38">
        <v>1.2202</v>
      </c>
      <c r="R2113" s="38">
        <v>0.94989999999999997</v>
      </c>
    </row>
    <row r="2114" spans="1:18" hidden="1">
      <c r="A2114" t="s">
        <v>76</v>
      </c>
      <c r="B2114" t="s">
        <v>26</v>
      </c>
      <c r="C2114">
        <v>2.6666666669999999</v>
      </c>
      <c r="D2114">
        <v>4.8899999999999997</v>
      </c>
      <c r="E2114" s="29">
        <v>0.5453306067</v>
      </c>
      <c r="F2114">
        <v>1.8</v>
      </c>
      <c r="G2114">
        <v>9.2100000000000009</v>
      </c>
      <c r="H2114">
        <v>11.01</v>
      </c>
      <c r="I2114" s="29">
        <v>0.16350000000000001</v>
      </c>
      <c r="J2114" s="29">
        <v>0.2422</v>
      </c>
      <c r="K2114" s="9">
        <v>45344</v>
      </c>
      <c r="L2114">
        <f xml:space="preserve"> (交易處理資料__3[[#This Row],[售出工時]] * 60) / 5</f>
        <v>32.000000004</v>
      </c>
      <c r="M2114" t="str">
        <f>VLOOKUP(交易處理資料__3[[#This Row],[人員代號]],團隊分組!$B$1:$C$52,2,FALSE)</f>
        <v>查修團隊B</v>
      </c>
      <c r="N2114" t="str">
        <f>IF(交易處理資料__3[[#This Row],[上班時間]]=0,"否","是")</f>
        <v>是</v>
      </c>
      <c r="O2114" t="s">
        <v>76</v>
      </c>
      <c r="P2114" s="37">
        <v>0.5453306067</v>
      </c>
      <c r="Q2114" s="37">
        <v>0.2422</v>
      </c>
      <c r="R2114" s="37">
        <v>0.16350000000000001</v>
      </c>
    </row>
    <row r="2115" spans="1:18" hidden="1">
      <c r="A2115" t="s">
        <v>76</v>
      </c>
      <c r="B2115" t="s">
        <v>28</v>
      </c>
      <c r="C2115">
        <v>7.21</v>
      </c>
      <c r="D2115">
        <v>6.97</v>
      </c>
      <c r="E2115" s="29">
        <v>1.0344332860000001</v>
      </c>
      <c r="F2115">
        <v>7.98</v>
      </c>
      <c r="G2115">
        <v>0.5</v>
      </c>
      <c r="H2115">
        <v>8.48</v>
      </c>
      <c r="I2115" s="29">
        <v>0.94099999999999995</v>
      </c>
      <c r="J2115" s="29">
        <v>0.85019999999999996</v>
      </c>
      <c r="K2115" s="9">
        <v>45344</v>
      </c>
      <c r="L2115">
        <f xml:space="preserve"> (交易處理資料__3[[#This Row],[售出工時]] * 60) / 5</f>
        <v>86.52000000000001</v>
      </c>
      <c r="M2115" t="str">
        <f>VLOOKUP(交易處理資料__3[[#This Row],[人員代號]],團隊分組!$B$1:$C$52,2,FALSE)</f>
        <v>快速保養團隊A</v>
      </c>
      <c r="N2115" t="str">
        <f>IF(交易處理資料__3[[#This Row],[上班時間]]=0,"否","是")</f>
        <v>是</v>
      </c>
      <c r="O2115" t="s">
        <v>76</v>
      </c>
      <c r="P2115" s="38">
        <v>1.0344332860000001</v>
      </c>
      <c r="Q2115" s="38">
        <v>0.85019999999999996</v>
      </c>
      <c r="R2115" s="38">
        <v>0.94099999999999995</v>
      </c>
    </row>
    <row r="2116" spans="1:18" hidden="1">
      <c r="A2116" t="s">
        <v>76</v>
      </c>
      <c r="B2116" t="s">
        <v>29</v>
      </c>
      <c r="C2116">
        <v>0</v>
      </c>
      <c r="D2116">
        <v>0</v>
      </c>
      <c r="E2116" s="29">
        <v>0</v>
      </c>
      <c r="F2116">
        <v>9.25</v>
      </c>
      <c r="G2116">
        <v>1.73</v>
      </c>
      <c r="H2116">
        <v>10.98</v>
      </c>
      <c r="I2116" s="29">
        <v>0.84239999999999993</v>
      </c>
      <c r="J2116" s="29">
        <v>0</v>
      </c>
      <c r="K2116" s="9">
        <v>45344</v>
      </c>
      <c r="L2116">
        <f xml:space="preserve"> (交易處理資料__3[[#This Row],[售出工時]] * 60) / 5</f>
        <v>0</v>
      </c>
      <c r="M2116" t="str">
        <f>VLOOKUP(交易處理資料__3[[#This Row],[人員代號]],團隊分組!$B$1:$C$52,2,FALSE)</f>
        <v>查修團隊B</v>
      </c>
      <c r="N2116" t="str">
        <f>IF(交易處理資料__3[[#This Row],[上班時間]]=0,"否","是")</f>
        <v>是</v>
      </c>
      <c r="O2116" t="s">
        <v>76</v>
      </c>
      <c r="P2116" s="37">
        <v>0</v>
      </c>
      <c r="Q2116" s="37">
        <v>0</v>
      </c>
      <c r="R2116" s="37">
        <v>0.84239999999999993</v>
      </c>
    </row>
    <row r="2117" spans="1:18" hidden="1">
      <c r="A2117" t="s">
        <v>76</v>
      </c>
      <c r="B2117" t="s">
        <v>32</v>
      </c>
      <c r="C2117">
        <v>10.19</v>
      </c>
      <c r="D2117">
        <v>7.33</v>
      </c>
      <c r="E2117" s="29">
        <v>1.3901773529999999</v>
      </c>
      <c r="F2117">
        <v>10.66</v>
      </c>
      <c r="G2117">
        <v>0.14000000000000001</v>
      </c>
      <c r="H2117">
        <v>10.8</v>
      </c>
      <c r="I2117" s="29">
        <v>0.98699999999999999</v>
      </c>
      <c r="J2117" s="29">
        <v>0.94349999999999989</v>
      </c>
      <c r="K2117" s="9">
        <v>45344</v>
      </c>
      <c r="L2117">
        <f xml:space="preserve"> (交易處理資料__3[[#This Row],[售出工時]] * 60) / 5</f>
        <v>122.28</v>
      </c>
      <c r="M2117" t="str">
        <f>VLOOKUP(交易處理資料__3[[#This Row],[人員代號]],團隊分組!$B$1:$C$52,2,FALSE)</f>
        <v>快速保養團隊B</v>
      </c>
      <c r="N2117" t="str">
        <f>IF(交易處理資料__3[[#This Row],[上班時間]]=0,"否","是")</f>
        <v>是</v>
      </c>
      <c r="O2117" t="s">
        <v>76</v>
      </c>
      <c r="P2117" s="38">
        <v>1.3901773529999999</v>
      </c>
      <c r="Q2117" s="38">
        <v>0.94349999999999989</v>
      </c>
      <c r="R2117" s="38">
        <v>0.98699999999999999</v>
      </c>
    </row>
    <row r="2118" spans="1:18" hidden="1">
      <c r="A2118" t="s">
        <v>76</v>
      </c>
      <c r="B2118" t="s">
        <v>33</v>
      </c>
      <c r="C2118">
        <v>0</v>
      </c>
      <c r="D2118">
        <v>0</v>
      </c>
      <c r="E2118" s="29">
        <v>0</v>
      </c>
      <c r="F2118">
        <v>0</v>
      </c>
      <c r="G2118">
        <v>0</v>
      </c>
      <c r="H2118">
        <v>0</v>
      </c>
      <c r="I2118" s="29">
        <v>0</v>
      </c>
      <c r="J2118" s="29">
        <v>0</v>
      </c>
      <c r="K2118" s="9">
        <v>45344</v>
      </c>
      <c r="L2118">
        <f xml:space="preserve"> (交易處理資料__3[[#This Row],[售出工時]] * 60) / 5</f>
        <v>0</v>
      </c>
      <c r="M2118" t="str">
        <f>VLOOKUP(交易處理資料__3[[#This Row],[人員代號]],團隊分組!$B$1:$C$52,2,FALSE)</f>
        <v>快速保養團隊B</v>
      </c>
      <c r="N2118" t="str">
        <f>IF(交易處理資料__3[[#This Row],[上班時間]]=0,"否","是")</f>
        <v>否</v>
      </c>
      <c r="O2118" t="s">
        <v>76</v>
      </c>
      <c r="P2118" s="37">
        <v>0</v>
      </c>
      <c r="Q2118" s="37">
        <v>0</v>
      </c>
      <c r="R2118" s="37">
        <v>0</v>
      </c>
    </row>
    <row r="2119" spans="1:18" hidden="1">
      <c r="A2119" t="s">
        <v>76</v>
      </c>
      <c r="B2119" t="s">
        <v>34</v>
      </c>
      <c r="C2119">
        <v>7.8333333329999997</v>
      </c>
      <c r="D2119">
        <v>6.27</v>
      </c>
      <c r="E2119" s="29">
        <v>1.2493354600000002</v>
      </c>
      <c r="F2119">
        <v>8.09</v>
      </c>
      <c r="G2119">
        <v>0.18</v>
      </c>
      <c r="H2119">
        <v>8.27</v>
      </c>
      <c r="I2119" s="29">
        <v>0.97819999999999996</v>
      </c>
      <c r="J2119" s="29">
        <v>0.94720000000000004</v>
      </c>
      <c r="K2119" s="9">
        <v>45344</v>
      </c>
      <c r="L2119">
        <f xml:space="preserve"> (交易處理資料__3[[#This Row],[售出工時]] * 60) / 5</f>
        <v>93.999999996</v>
      </c>
      <c r="M2119" t="str">
        <f>VLOOKUP(交易處理資料__3[[#This Row],[人員代號]],團隊分組!$B$1:$C$52,2,FALSE)</f>
        <v>快速保養團隊A</v>
      </c>
      <c r="N2119" t="str">
        <f>IF(交易處理資料__3[[#This Row],[上班時間]]=0,"否","是")</f>
        <v>是</v>
      </c>
      <c r="O2119" t="s">
        <v>76</v>
      </c>
      <c r="P2119" s="38">
        <v>1.2493354600000002</v>
      </c>
      <c r="Q2119" s="38">
        <v>0.94720000000000004</v>
      </c>
      <c r="R2119" s="38">
        <v>0.97819999999999996</v>
      </c>
    </row>
    <row r="2120" spans="1:18" hidden="1">
      <c r="A2120" t="s">
        <v>76</v>
      </c>
      <c r="B2120" t="s">
        <v>37</v>
      </c>
      <c r="C2120">
        <v>2.75</v>
      </c>
      <c r="D2120">
        <v>3.4</v>
      </c>
      <c r="E2120" s="29">
        <v>0.80882352940000002</v>
      </c>
      <c r="F2120">
        <v>7.53</v>
      </c>
      <c r="G2120">
        <v>2.2999999999999998</v>
      </c>
      <c r="H2120">
        <v>9.83</v>
      </c>
      <c r="I2120" s="29">
        <v>0.7659999999999999</v>
      </c>
      <c r="J2120" s="29">
        <v>0.27979999999999999</v>
      </c>
      <c r="K2120" s="9">
        <v>45344</v>
      </c>
      <c r="L2120">
        <f xml:space="preserve"> (交易處理資料__3[[#This Row],[售出工時]] * 60) / 5</f>
        <v>33</v>
      </c>
      <c r="M2120" t="str">
        <f>VLOOKUP(交易處理資料__3[[#This Row],[人員代號]],團隊分組!$B$1:$C$52,2,FALSE)</f>
        <v>查修團隊A</v>
      </c>
      <c r="N2120" t="str">
        <f>IF(交易處理資料__3[[#This Row],[上班時間]]=0,"否","是")</f>
        <v>是</v>
      </c>
      <c r="O2120" t="s">
        <v>76</v>
      </c>
      <c r="P2120" s="37">
        <v>0.80882352940000002</v>
      </c>
      <c r="Q2120" s="37">
        <v>0.27979999999999999</v>
      </c>
      <c r="R2120" s="37">
        <v>0.7659999999999999</v>
      </c>
    </row>
    <row r="2121" spans="1:18" hidden="1">
      <c r="A2121" t="s">
        <v>76</v>
      </c>
      <c r="B2121" t="s">
        <v>38</v>
      </c>
      <c r="C2121">
        <v>0</v>
      </c>
      <c r="D2121">
        <v>0</v>
      </c>
      <c r="E2121" s="29">
        <v>0</v>
      </c>
      <c r="F2121">
        <v>0</v>
      </c>
      <c r="G2121">
        <v>0</v>
      </c>
      <c r="H2121">
        <v>0</v>
      </c>
      <c r="I2121" s="29">
        <v>0</v>
      </c>
      <c r="J2121" s="29">
        <v>0</v>
      </c>
      <c r="K2121" s="9">
        <v>45344</v>
      </c>
      <c r="L2121">
        <f xml:space="preserve"> (交易處理資料__3[[#This Row],[售出工時]] * 60) / 5</f>
        <v>0</v>
      </c>
      <c r="M2121" t="str">
        <f>VLOOKUP(交易處理資料__3[[#This Row],[人員代號]],團隊分組!$B$1:$C$52,2,FALSE)</f>
        <v>快速保養團隊A</v>
      </c>
      <c r="N2121" t="str">
        <f>IF(交易處理資料__3[[#This Row],[上班時間]]=0,"否","是")</f>
        <v>否</v>
      </c>
      <c r="O2121" t="s">
        <v>76</v>
      </c>
      <c r="P2121" s="38">
        <v>0</v>
      </c>
      <c r="Q2121" s="38">
        <v>0</v>
      </c>
      <c r="R2121" s="38">
        <v>0</v>
      </c>
    </row>
    <row r="2122" spans="1:18" hidden="1">
      <c r="A2122" t="s">
        <v>76</v>
      </c>
      <c r="B2122" t="s">
        <v>39</v>
      </c>
      <c r="C2122">
        <v>3.0833333330000001</v>
      </c>
      <c r="D2122">
        <v>3.92</v>
      </c>
      <c r="E2122" s="29">
        <v>0.78656462590000009</v>
      </c>
      <c r="F2122">
        <v>8.1199999999999992</v>
      </c>
      <c r="G2122">
        <v>1.93</v>
      </c>
      <c r="H2122">
        <v>10.050000000000001</v>
      </c>
      <c r="I2122" s="29">
        <v>0.80799999999999994</v>
      </c>
      <c r="J2122" s="29">
        <v>0.30680000000000002</v>
      </c>
      <c r="K2122" s="9">
        <v>45344</v>
      </c>
      <c r="L2122">
        <f xml:space="preserve"> (交易處理資料__3[[#This Row],[售出工時]] * 60) / 5</f>
        <v>36.999999996</v>
      </c>
      <c r="M2122" t="str">
        <f>VLOOKUP(交易處理資料__3[[#This Row],[人員代號]],團隊分組!$B$1:$C$52,2,FALSE)</f>
        <v>查修團隊A</v>
      </c>
      <c r="N2122" t="str">
        <f>IF(交易處理資料__3[[#This Row],[上班時間]]=0,"否","是")</f>
        <v>是</v>
      </c>
      <c r="O2122" t="s">
        <v>76</v>
      </c>
      <c r="P2122" s="37">
        <v>0.78656462590000009</v>
      </c>
      <c r="Q2122" s="37">
        <v>0.30680000000000002</v>
      </c>
      <c r="R2122" s="37">
        <v>0.80799999999999994</v>
      </c>
    </row>
    <row r="2123" spans="1:18" hidden="1">
      <c r="A2123" t="s">
        <v>76</v>
      </c>
      <c r="B2123" t="s">
        <v>40</v>
      </c>
      <c r="C2123">
        <v>5.75</v>
      </c>
      <c r="D2123">
        <v>5.54</v>
      </c>
      <c r="E2123" s="29">
        <v>1.037906137</v>
      </c>
      <c r="F2123">
        <v>7.37</v>
      </c>
      <c r="G2123">
        <v>0.99</v>
      </c>
      <c r="H2123">
        <v>8.36</v>
      </c>
      <c r="I2123" s="29">
        <v>0.88159999999999994</v>
      </c>
      <c r="J2123" s="29">
        <v>0.68779999999999997</v>
      </c>
      <c r="K2123" s="9">
        <v>45344</v>
      </c>
      <c r="L2123">
        <f xml:space="preserve"> (交易處理資料__3[[#This Row],[售出工時]] * 60) / 5</f>
        <v>69</v>
      </c>
      <c r="M2123" t="str">
        <f>VLOOKUP(交易處理資料__3[[#This Row],[人員代號]],團隊分組!$B$1:$C$52,2,FALSE)</f>
        <v>查修團隊A</v>
      </c>
      <c r="N2123" t="str">
        <f>IF(交易處理資料__3[[#This Row],[上班時間]]=0,"否","是")</f>
        <v>是</v>
      </c>
      <c r="O2123" t="s">
        <v>76</v>
      </c>
      <c r="P2123" s="38">
        <v>1.037906137</v>
      </c>
      <c r="Q2123" s="38">
        <v>0.68779999999999997</v>
      </c>
      <c r="R2123" s="38">
        <v>0.88159999999999994</v>
      </c>
    </row>
    <row r="2124" spans="1:18" hidden="1">
      <c r="A2124" t="s">
        <v>76</v>
      </c>
      <c r="B2124" t="s">
        <v>41</v>
      </c>
      <c r="C2124">
        <v>10.75</v>
      </c>
      <c r="D2124">
        <v>4.84</v>
      </c>
      <c r="E2124" s="29">
        <v>2.2210743800000001</v>
      </c>
      <c r="F2124">
        <v>9.1</v>
      </c>
      <c r="G2124">
        <v>0.26</v>
      </c>
      <c r="H2124">
        <v>9.36</v>
      </c>
      <c r="I2124" s="29">
        <v>0.97219999999999995</v>
      </c>
      <c r="J2124" s="29">
        <v>1.1484999999999999</v>
      </c>
      <c r="K2124" s="9">
        <v>45344</v>
      </c>
      <c r="L2124">
        <f xml:space="preserve"> (交易處理資料__3[[#This Row],[售出工時]] * 60) / 5</f>
        <v>129</v>
      </c>
      <c r="M2124" t="str">
        <f>VLOOKUP(交易處理資料__3[[#This Row],[人員代號]],團隊分組!$B$1:$C$52,2,FALSE)</f>
        <v>快速保養團隊A</v>
      </c>
      <c r="N2124" t="str">
        <f>IF(交易處理資料__3[[#This Row],[上班時間]]=0,"否","是")</f>
        <v>是</v>
      </c>
      <c r="O2124" t="s">
        <v>76</v>
      </c>
      <c r="P2124" s="37">
        <v>2.2210743800000001</v>
      </c>
      <c r="Q2124" s="37">
        <v>1.1484999999999999</v>
      </c>
      <c r="R2124" s="37">
        <v>0.97219999999999995</v>
      </c>
    </row>
    <row r="2125" spans="1:18" hidden="1">
      <c r="A2125" t="s">
        <v>76</v>
      </c>
      <c r="B2125" t="s">
        <v>43</v>
      </c>
      <c r="C2125">
        <v>7.5833333329999997</v>
      </c>
      <c r="D2125">
        <v>6.72</v>
      </c>
      <c r="E2125" s="29">
        <v>1.1284722220000001</v>
      </c>
      <c r="F2125">
        <v>6.65</v>
      </c>
      <c r="G2125">
        <v>2.36</v>
      </c>
      <c r="H2125">
        <v>9.01</v>
      </c>
      <c r="I2125" s="29">
        <v>0.73809999999999998</v>
      </c>
      <c r="J2125" s="29">
        <v>0.8417</v>
      </c>
      <c r="K2125" s="9">
        <v>45344</v>
      </c>
      <c r="L2125">
        <f xml:space="preserve"> (交易處理資料__3[[#This Row],[售出工時]] * 60) / 5</f>
        <v>90.999999996</v>
      </c>
      <c r="M2125" t="str">
        <f>VLOOKUP(交易處理資料__3[[#This Row],[人員代號]],團隊分組!$B$1:$C$52,2,FALSE)</f>
        <v>查修團隊B</v>
      </c>
      <c r="N2125" t="str">
        <f>IF(交易處理資料__3[[#This Row],[上班時間]]=0,"否","是")</f>
        <v>是</v>
      </c>
      <c r="O2125" t="s">
        <v>76</v>
      </c>
      <c r="P2125" s="38">
        <v>1.1284722220000001</v>
      </c>
      <c r="Q2125" s="38">
        <v>0.8417</v>
      </c>
      <c r="R2125" s="38">
        <v>0.73809999999999998</v>
      </c>
    </row>
    <row r="2126" spans="1:18" hidden="1">
      <c r="A2126" t="s">
        <v>76</v>
      </c>
      <c r="B2126" t="s">
        <v>46</v>
      </c>
      <c r="C2126">
        <v>3.8333333330000001</v>
      </c>
      <c r="D2126">
        <v>1.68</v>
      </c>
      <c r="E2126" s="29">
        <v>2.281746032</v>
      </c>
      <c r="F2126">
        <v>6.28</v>
      </c>
      <c r="G2126">
        <v>2.83</v>
      </c>
      <c r="H2126">
        <v>9.11</v>
      </c>
      <c r="I2126" s="29">
        <v>0.68940000000000001</v>
      </c>
      <c r="J2126" s="29">
        <v>0.42080000000000001</v>
      </c>
      <c r="K2126" s="9">
        <v>45344</v>
      </c>
      <c r="L2126">
        <f xml:space="preserve"> (交易處理資料__3[[#This Row],[售出工時]] * 60) / 5</f>
        <v>45.999999996</v>
      </c>
      <c r="M2126" t="str">
        <f>VLOOKUP(交易處理資料__3[[#This Row],[人員代號]],團隊分組!$B$1:$C$52,2,FALSE)</f>
        <v>查修團隊B</v>
      </c>
      <c r="N2126" t="str">
        <f>IF(交易處理資料__3[[#This Row],[上班時間]]=0,"否","是")</f>
        <v>是</v>
      </c>
      <c r="O2126" t="s">
        <v>76</v>
      </c>
      <c r="P2126" s="37">
        <v>2.281746032</v>
      </c>
      <c r="Q2126" s="37">
        <v>0.42080000000000001</v>
      </c>
      <c r="R2126" s="37">
        <v>0.68940000000000001</v>
      </c>
    </row>
    <row r="2127" spans="1:18" hidden="1">
      <c r="A2127" t="s">
        <v>76</v>
      </c>
      <c r="B2127" t="s">
        <v>48</v>
      </c>
      <c r="C2127">
        <v>1</v>
      </c>
      <c r="D2127">
        <v>1.82</v>
      </c>
      <c r="E2127" s="29">
        <v>0.54945054949999994</v>
      </c>
      <c r="F2127">
        <v>7.69</v>
      </c>
      <c r="G2127">
        <v>0.69</v>
      </c>
      <c r="H2127">
        <v>8.3800000000000008</v>
      </c>
      <c r="I2127" s="29">
        <v>0.91769999999999996</v>
      </c>
      <c r="J2127" s="29">
        <v>0.1193</v>
      </c>
      <c r="K2127" s="9">
        <v>45344</v>
      </c>
      <c r="L2127">
        <f xml:space="preserve"> (交易處理資料__3[[#This Row],[售出工時]] * 60) / 5</f>
        <v>12</v>
      </c>
      <c r="M2127" t="str">
        <f>VLOOKUP(交易處理資料__3[[#This Row],[人員代號]],團隊分組!$B$1:$C$52,2,FALSE)</f>
        <v>查修團隊A</v>
      </c>
      <c r="N2127" t="str">
        <f>IF(交易處理資料__3[[#This Row],[上班時間]]=0,"否","是")</f>
        <v>是</v>
      </c>
      <c r="O2127" t="s">
        <v>76</v>
      </c>
      <c r="P2127" s="38">
        <v>0.54945054949999994</v>
      </c>
      <c r="Q2127" s="38">
        <v>0.1193</v>
      </c>
      <c r="R2127" s="38">
        <v>0.91769999999999996</v>
      </c>
    </row>
    <row r="2128" spans="1:18" hidden="1">
      <c r="A2128" t="s">
        <v>76</v>
      </c>
      <c r="B2128" t="s">
        <v>49</v>
      </c>
      <c r="C2128">
        <v>3.12</v>
      </c>
      <c r="D2128">
        <v>3.79</v>
      </c>
      <c r="E2128" s="29">
        <v>0.82321899740000004</v>
      </c>
      <c r="F2128">
        <v>7.51</v>
      </c>
      <c r="G2128">
        <v>0.28000000000000003</v>
      </c>
      <c r="H2128">
        <v>7.79</v>
      </c>
      <c r="I2128" s="29">
        <v>0.96409999999999996</v>
      </c>
      <c r="J2128" s="29">
        <v>0.40049999999999997</v>
      </c>
      <c r="K2128" s="9">
        <v>45344</v>
      </c>
      <c r="L2128">
        <f xml:space="preserve"> (交易處理資料__3[[#This Row],[售出工時]] * 60) / 5</f>
        <v>37.440000000000005</v>
      </c>
      <c r="M2128" t="str">
        <f>VLOOKUP(交易處理資料__3[[#This Row],[人員代號]],團隊分組!$B$1:$C$52,2,FALSE)</f>
        <v>查修團隊A</v>
      </c>
      <c r="N2128" t="str">
        <f>IF(交易處理資料__3[[#This Row],[上班時間]]=0,"否","是")</f>
        <v>是</v>
      </c>
      <c r="O2128" t="s">
        <v>76</v>
      </c>
      <c r="P2128" s="37">
        <v>0.82321899740000004</v>
      </c>
      <c r="Q2128" s="37">
        <v>0.40049999999999997</v>
      </c>
      <c r="R2128" s="37">
        <v>0.96409999999999996</v>
      </c>
    </row>
    <row r="2129" spans="1:18" hidden="1">
      <c r="A2129" t="s">
        <v>76</v>
      </c>
      <c r="B2129" t="s">
        <v>51</v>
      </c>
      <c r="C2129">
        <v>0</v>
      </c>
      <c r="D2129">
        <v>0</v>
      </c>
      <c r="E2129" s="29">
        <v>0</v>
      </c>
      <c r="F2129">
        <v>0</v>
      </c>
      <c r="G2129">
        <v>0</v>
      </c>
      <c r="H2129">
        <v>0</v>
      </c>
      <c r="I2129" s="29">
        <v>0</v>
      </c>
      <c r="J2129" s="29">
        <v>0</v>
      </c>
      <c r="K2129" s="9">
        <v>45344</v>
      </c>
      <c r="L2129">
        <f xml:space="preserve"> (交易處理資料__3[[#This Row],[售出工時]] * 60) / 5</f>
        <v>0</v>
      </c>
      <c r="M2129" t="str">
        <f>VLOOKUP(交易處理資料__3[[#This Row],[人員代號]],團隊分組!$B$1:$C$52,2,FALSE)</f>
        <v>無效數據</v>
      </c>
      <c r="N2129" t="str">
        <f>IF(交易處理資料__3[[#This Row],[上班時間]]=0,"否","是")</f>
        <v>否</v>
      </c>
      <c r="O2129" t="s">
        <v>76</v>
      </c>
      <c r="P2129" s="38">
        <v>0</v>
      </c>
      <c r="Q2129" s="38">
        <v>0</v>
      </c>
      <c r="R2129" s="38">
        <v>0</v>
      </c>
    </row>
    <row r="2130" spans="1:18" hidden="1">
      <c r="A2130" s="10" t="s">
        <v>74</v>
      </c>
      <c r="B2130" t="s">
        <v>1</v>
      </c>
      <c r="C2130">
        <v>0</v>
      </c>
      <c r="D2130">
        <v>0</v>
      </c>
      <c r="E2130" s="29">
        <v>0</v>
      </c>
      <c r="F2130">
        <v>6.6</v>
      </c>
      <c r="G2130">
        <v>1.44</v>
      </c>
      <c r="H2130">
        <v>8.0399999999999991</v>
      </c>
      <c r="I2130" s="29">
        <v>0.82090000000000007</v>
      </c>
      <c r="J2130" s="29">
        <v>0</v>
      </c>
      <c r="K2130" s="9">
        <v>45345</v>
      </c>
      <c r="L2130">
        <f xml:space="preserve"> (交易處理資料__3[[#This Row],[售出工時]] * 60) / 5</f>
        <v>0</v>
      </c>
      <c r="M2130" t="str">
        <f>VLOOKUP(交易處理資料__3[[#This Row],[人員代號]],團隊分組!$B$1:$C$52,2,FALSE)</f>
        <v>噴漆維修組</v>
      </c>
      <c r="N2130" t="str">
        <f>IF(交易處理資料__3[[#This Row],[上班時間]]=0,"否","是")</f>
        <v>是</v>
      </c>
      <c r="O2130" s="10" t="s">
        <v>74</v>
      </c>
      <c r="P2130" s="37">
        <v>0</v>
      </c>
      <c r="Q2130" s="37">
        <v>0</v>
      </c>
      <c r="R2130" s="37">
        <v>0.82090000000000007</v>
      </c>
    </row>
    <row r="2131" spans="1:18" hidden="1">
      <c r="A2131" s="10" t="s">
        <v>74</v>
      </c>
      <c r="B2131" t="s">
        <v>4</v>
      </c>
      <c r="C2131">
        <v>0</v>
      </c>
      <c r="D2131">
        <v>0</v>
      </c>
      <c r="E2131" s="29">
        <v>0</v>
      </c>
      <c r="F2131">
        <v>6.65</v>
      </c>
      <c r="G2131">
        <v>1.41</v>
      </c>
      <c r="H2131">
        <v>8.06</v>
      </c>
      <c r="I2131" s="29">
        <v>0.82510000000000006</v>
      </c>
      <c r="J2131" s="29">
        <v>0</v>
      </c>
      <c r="K2131" s="9">
        <v>45345</v>
      </c>
      <c r="L2131">
        <f xml:space="preserve"> (交易處理資料__3[[#This Row],[售出工時]] * 60) / 5</f>
        <v>0</v>
      </c>
      <c r="M2131" t="str">
        <f>VLOOKUP(交易處理資料__3[[#This Row],[人員代號]],團隊分組!$B$1:$C$52,2,FALSE)</f>
        <v>噴漆維修組</v>
      </c>
      <c r="N2131" t="str">
        <f>IF(交易處理資料__3[[#This Row],[上班時間]]=0,"否","是")</f>
        <v>是</v>
      </c>
      <c r="O2131" s="10" t="s">
        <v>74</v>
      </c>
      <c r="P2131" s="38">
        <v>0</v>
      </c>
      <c r="Q2131" s="38">
        <v>0</v>
      </c>
      <c r="R2131" s="38">
        <v>0.82510000000000006</v>
      </c>
    </row>
    <row r="2132" spans="1:18" hidden="1">
      <c r="A2132" s="10" t="s">
        <v>74</v>
      </c>
      <c r="B2132" t="s">
        <v>5</v>
      </c>
      <c r="C2132">
        <v>0</v>
      </c>
      <c r="D2132">
        <v>0</v>
      </c>
      <c r="E2132" s="29">
        <v>0</v>
      </c>
      <c r="F2132">
        <v>7.97</v>
      </c>
      <c r="G2132">
        <v>0.06</v>
      </c>
      <c r="H2132">
        <v>8.0299999999999994</v>
      </c>
      <c r="I2132" s="29">
        <v>0.99250000000000005</v>
      </c>
      <c r="J2132" s="29">
        <v>0</v>
      </c>
      <c r="K2132" s="9">
        <v>45345</v>
      </c>
      <c r="L2132">
        <f xml:space="preserve"> (交易處理資料__3[[#This Row],[售出工時]] * 60) / 5</f>
        <v>0</v>
      </c>
      <c r="M2132" t="str">
        <f>VLOOKUP(交易處理資料__3[[#This Row],[人員代號]],團隊分組!$B$1:$C$52,2,FALSE)</f>
        <v>噴漆維修組</v>
      </c>
      <c r="N2132" t="str">
        <f>IF(交易處理資料__3[[#This Row],[上班時間]]=0,"否","是")</f>
        <v>是</v>
      </c>
      <c r="O2132" s="10" t="s">
        <v>74</v>
      </c>
      <c r="P2132" s="37">
        <v>0</v>
      </c>
      <c r="Q2132" s="37">
        <v>0</v>
      </c>
      <c r="R2132" s="37">
        <v>0.99250000000000005</v>
      </c>
    </row>
    <row r="2133" spans="1:18">
      <c r="A2133" s="10" t="s">
        <v>74</v>
      </c>
      <c r="B2133" t="s">
        <v>7</v>
      </c>
      <c r="C2133">
        <v>7.1666666670000003</v>
      </c>
      <c r="D2133">
        <v>5.8</v>
      </c>
      <c r="E2133" s="29">
        <v>1.235632184</v>
      </c>
      <c r="F2133">
        <v>7.97</v>
      </c>
      <c r="G2133">
        <v>0.06</v>
      </c>
      <c r="H2133">
        <v>8.0299999999999994</v>
      </c>
      <c r="I2133" s="29">
        <v>0.99250000000000005</v>
      </c>
      <c r="J2133" s="29">
        <v>0.89249999999999996</v>
      </c>
      <c r="K2133" s="9">
        <v>45345</v>
      </c>
      <c r="L2133">
        <f xml:space="preserve"> (交易處理資料__3[[#This Row],[售出工時]] * 60) / 5</f>
        <v>86.000000004</v>
      </c>
      <c r="M2133" t="str">
        <f>VLOOKUP(交易處理資料__3[[#This Row],[人員代號]],團隊分組!$B$1:$C$52,2,FALSE)</f>
        <v>噴漆維修組</v>
      </c>
      <c r="N2133" t="str">
        <f>IF(交易處理資料__3[[#This Row],[上班時間]]=0,"否","是")</f>
        <v>是</v>
      </c>
      <c r="O2133" s="10" t="s">
        <v>74</v>
      </c>
      <c r="P2133" s="38">
        <v>1.235632184</v>
      </c>
      <c r="Q2133" s="38">
        <v>0.89249999999999996</v>
      </c>
      <c r="R2133" s="38">
        <v>0.99250000000000005</v>
      </c>
    </row>
    <row r="2134" spans="1:18" hidden="1">
      <c r="A2134" s="10" t="s">
        <v>74</v>
      </c>
      <c r="B2134" t="s">
        <v>8</v>
      </c>
      <c r="C2134">
        <v>0</v>
      </c>
      <c r="D2134">
        <v>0</v>
      </c>
      <c r="E2134" s="29">
        <v>0</v>
      </c>
      <c r="F2134">
        <v>6.67</v>
      </c>
      <c r="G2134">
        <v>1.39</v>
      </c>
      <c r="H2134">
        <v>8.06</v>
      </c>
      <c r="I2134" s="29">
        <v>0.82750000000000001</v>
      </c>
      <c r="J2134" s="29">
        <v>0</v>
      </c>
      <c r="K2134" s="9">
        <v>45345</v>
      </c>
      <c r="L2134">
        <f xml:space="preserve"> (交易處理資料__3[[#This Row],[售出工時]] * 60) / 5</f>
        <v>0</v>
      </c>
      <c r="M2134" t="str">
        <f>VLOOKUP(交易處理資料__3[[#This Row],[人員代號]],團隊分組!$B$1:$C$52,2,FALSE)</f>
        <v>噴漆維修組</v>
      </c>
      <c r="N2134" t="str">
        <f>IF(交易處理資料__3[[#This Row],[上班時間]]=0,"否","是")</f>
        <v>是</v>
      </c>
      <c r="O2134" s="10" t="s">
        <v>74</v>
      </c>
      <c r="P2134" s="37">
        <v>0</v>
      </c>
      <c r="Q2134" s="37">
        <v>0</v>
      </c>
      <c r="R2134" s="37">
        <v>0.82750000000000001</v>
      </c>
    </row>
    <row r="2135" spans="1:18" hidden="1">
      <c r="A2135" s="10" t="s">
        <v>74</v>
      </c>
      <c r="B2135" t="s">
        <v>9</v>
      </c>
      <c r="C2135">
        <v>5.8333333329999997</v>
      </c>
      <c r="D2135">
        <v>7.7</v>
      </c>
      <c r="E2135" s="29">
        <v>0.75757575759999995</v>
      </c>
      <c r="F2135">
        <v>6.64</v>
      </c>
      <c r="G2135">
        <v>1.45</v>
      </c>
      <c r="H2135">
        <v>8.09</v>
      </c>
      <c r="I2135" s="29">
        <v>0.82079999999999997</v>
      </c>
      <c r="J2135" s="29">
        <v>0.72109999999999996</v>
      </c>
      <c r="K2135" s="9">
        <v>45345</v>
      </c>
      <c r="L2135">
        <f xml:space="preserve"> (交易處理資料__3[[#This Row],[售出工時]] * 60) / 5</f>
        <v>69.999999996</v>
      </c>
      <c r="M2135" t="str">
        <f>VLOOKUP(交易處理資料__3[[#This Row],[人員代號]],團隊分組!$B$1:$C$52,2,FALSE)</f>
        <v>噴漆維修組</v>
      </c>
      <c r="N2135" t="str">
        <f>IF(交易處理資料__3[[#This Row],[上班時間]]=0,"否","是")</f>
        <v>是</v>
      </c>
      <c r="O2135" s="10" t="s">
        <v>74</v>
      </c>
      <c r="P2135" s="38">
        <v>0.75757575759999995</v>
      </c>
      <c r="Q2135" s="38">
        <v>0.72109999999999996</v>
      </c>
      <c r="R2135" s="38">
        <v>0.82079999999999997</v>
      </c>
    </row>
    <row r="2136" spans="1:18" hidden="1">
      <c r="A2136" t="s">
        <v>75</v>
      </c>
      <c r="B2136" t="s">
        <v>12</v>
      </c>
      <c r="C2136">
        <v>4</v>
      </c>
      <c r="D2136">
        <v>0.9</v>
      </c>
      <c r="E2136" s="29">
        <v>4.4444444440000002</v>
      </c>
      <c r="F2136">
        <v>6.75</v>
      </c>
      <c r="G2136">
        <v>1.34</v>
      </c>
      <c r="H2136">
        <v>8.09</v>
      </c>
      <c r="I2136" s="29">
        <v>0.83440000000000003</v>
      </c>
      <c r="J2136" s="29">
        <v>0.49439999999999995</v>
      </c>
      <c r="K2136" s="9">
        <v>45345</v>
      </c>
      <c r="L2136">
        <f xml:space="preserve"> (交易處理資料__3[[#This Row],[售出工時]] * 60) / 5</f>
        <v>48</v>
      </c>
      <c r="M2136" t="str">
        <f>VLOOKUP(交易處理資料__3[[#This Row],[人員代號]],團隊分組!$B$1:$C$52,2,FALSE)</f>
        <v>鈑金維修組</v>
      </c>
      <c r="N2136" t="str">
        <f>IF(交易處理資料__3[[#This Row],[上班時間]]=0,"否","是")</f>
        <v>是</v>
      </c>
      <c r="O2136" t="s">
        <v>75</v>
      </c>
      <c r="P2136" s="37">
        <v>4.4444444440000002</v>
      </c>
      <c r="Q2136" s="37">
        <v>0.49439999999999995</v>
      </c>
      <c r="R2136" s="37">
        <v>0.83440000000000003</v>
      </c>
    </row>
    <row r="2137" spans="1:18" hidden="1">
      <c r="A2137" t="s">
        <v>75</v>
      </c>
      <c r="B2137" t="s">
        <v>13</v>
      </c>
      <c r="C2137">
        <v>0</v>
      </c>
      <c r="D2137">
        <v>0</v>
      </c>
      <c r="E2137" s="29">
        <v>0</v>
      </c>
      <c r="F2137">
        <v>3.66</v>
      </c>
      <c r="G2137">
        <v>4.43</v>
      </c>
      <c r="H2137">
        <v>8.09</v>
      </c>
      <c r="I2137" s="29">
        <v>0.45240000000000002</v>
      </c>
      <c r="J2137" s="29">
        <v>0</v>
      </c>
      <c r="K2137" s="9">
        <v>45345</v>
      </c>
      <c r="L2137">
        <f xml:space="preserve"> (交易處理資料__3[[#This Row],[售出工時]] * 60) / 5</f>
        <v>0</v>
      </c>
      <c r="M2137" t="str">
        <f>VLOOKUP(交易處理資料__3[[#This Row],[人員代號]],團隊分組!$B$1:$C$52,2,FALSE)</f>
        <v>鈑金維修組</v>
      </c>
      <c r="N2137" t="str">
        <f>IF(交易處理資料__3[[#This Row],[上班時間]]=0,"否","是")</f>
        <v>是</v>
      </c>
      <c r="O2137" t="s">
        <v>75</v>
      </c>
      <c r="P2137" s="38">
        <v>0</v>
      </c>
      <c r="Q2137" s="38">
        <v>0</v>
      </c>
      <c r="R2137" s="38">
        <v>0.45240000000000002</v>
      </c>
    </row>
    <row r="2138" spans="1:18" hidden="1">
      <c r="A2138" t="s">
        <v>75</v>
      </c>
      <c r="B2138" t="s">
        <v>15</v>
      </c>
      <c r="C2138">
        <v>2.4</v>
      </c>
      <c r="D2138">
        <v>4.1500000000000004</v>
      </c>
      <c r="E2138" s="29">
        <v>0.57831325300000003</v>
      </c>
      <c r="F2138">
        <v>6.55</v>
      </c>
      <c r="G2138">
        <v>1.56</v>
      </c>
      <c r="H2138">
        <v>8.11</v>
      </c>
      <c r="I2138" s="29">
        <v>0.8076000000000001</v>
      </c>
      <c r="J2138" s="29">
        <v>0.2959</v>
      </c>
      <c r="K2138" s="9">
        <v>45345</v>
      </c>
      <c r="L2138">
        <f xml:space="preserve"> (交易處理資料__3[[#This Row],[售出工時]] * 60) / 5</f>
        <v>28.8</v>
      </c>
      <c r="M2138" t="str">
        <f>VLOOKUP(交易處理資料__3[[#This Row],[人員代號]],團隊分組!$B$1:$C$52,2,FALSE)</f>
        <v>鈑金維修組</v>
      </c>
      <c r="N2138" t="str">
        <f>IF(交易處理資料__3[[#This Row],[上班時間]]=0,"否","是")</f>
        <v>是</v>
      </c>
      <c r="O2138" t="s">
        <v>75</v>
      </c>
      <c r="P2138" s="37">
        <v>0.57831325300000003</v>
      </c>
      <c r="Q2138" s="37">
        <v>0.2959</v>
      </c>
      <c r="R2138" s="37">
        <v>0.8076000000000001</v>
      </c>
    </row>
    <row r="2139" spans="1:18" hidden="1">
      <c r="A2139" t="s">
        <v>76</v>
      </c>
      <c r="B2139" t="s">
        <v>17</v>
      </c>
      <c r="C2139">
        <v>8.0633333329999992</v>
      </c>
      <c r="D2139">
        <v>6.21</v>
      </c>
      <c r="E2139" s="29">
        <v>1.2984433709999998</v>
      </c>
      <c r="F2139">
        <v>7.58</v>
      </c>
      <c r="G2139">
        <v>0.39</v>
      </c>
      <c r="H2139">
        <v>7.97</v>
      </c>
      <c r="I2139" s="29">
        <v>0.95109999999999995</v>
      </c>
      <c r="J2139" s="29">
        <v>1.0117</v>
      </c>
      <c r="K2139" s="9">
        <v>45345</v>
      </c>
      <c r="L2139">
        <f xml:space="preserve"> (交易處理資料__3[[#This Row],[售出工時]] * 60) / 5</f>
        <v>96.759999995999991</v>
      </c>
      <c r="M2139" t="str">
        <f>VLOOKUP(交易處理資料__3[[#This Row],[人員代號]],團隊分組!$B$1:$C$52,2,FALSE)</f>
        <v>快速保養團隊A</v>
      </c>
      <c r="N2139" t="str">
        <f>IF(交易處理資料__3[[#This Row],[上班時間]]=0,"否","是")</f>
        <v>是</v>
      </c>
      <c r="O2139" t="s">
        <v>76</v>
      </c>
      <c r="P2139" s="38">
        <v>1.2984433709999998</v>
      </c>
      <c r="Q2139" s="38">
        <v>1.0117</v>
      </c>
      <c r="R2139" s="38">
        <v>0.95109999999999995</v>
      </c>
    </row>
    <row r="2140" spans="1:18" hidden="1">
      <c r="A2140" t="s">
        <v>76</v>
      </c>
      <c r="B2140" t="s">
        <v>18</v>
      </c>
      <c r="C2140">
        <v>1.25</v>
      </c>
      <c r="D2140">
        <v>1.95</v>
      </c>
      <c r="E2140" s="29">
        <v>0.64102564099999992</v>
      </c>
      <c r="F2140">
        <v>7.22</v>
      </c>
      <c r="G2140">
        <v>1.34</v>
      </c>
      <c r="H2140">
        <v>8.56</v>
      </c>
      <c r="I2140" s="29">
        <v>0.84349999999999992</v>
      </c>
      <c r="J2140" s="29">
        <v>0.14599999999999999</v>
      </c>
      <c r="K2140" s="9">
        <v>45345</v>
      </c>
      <c r="L2140">
        <f xml:space="preserve"> (交易處理資料__3[[#This Row],[售出工時]] * 60) / 5</f>
        <v>15</v>
      </c>
      <c r="M2140" t="str">
        <f>VLOOKUP(交易處理資料__3[[#This Row],[人員代號]],團隊分組!$B$1:$C$52,2,FALSE)</f>
        <v>查修團隊B</v>
      </c>
      <c r="N2140" t="str">
        <f>IF(交易處理資料__3[[#This Row],[上班時間]]=0,"否","是")</f>
        <v>是</v>
      </c>
      <c r="O2140" t="s">
        <v>76</v>
      </c>
      <c r="P2140" s="37">
        <v>0.64102564099999992</v>
      </c>
      <c r="Q2140" s="37">
        <v>0.14599999999999999</v>
      </c>
      <c r="R2140" s="37">
        <v>0.84349999999999992</v>
      </c>
    </row>
    <row r="2141" spans="1:18" hidden="1">
      <c r="A2141" t="s">
        <v>76</v>
      </c>
      <c r="B2141" t="s">
        <v>19</v>
      </c>
      <c r="C2141">
        <v>0.5</v>
      </c>
      <c r="D2141">
        <v>0.4</v>
      </c>
      <c r="E2141" s="29">
        <v>1.25</v>
      </c>
      <c r="F2141">
        <v>7.61</v>
      </c>
      <c r="G2141">
        <v>0.74</v>
      </c>
      <c r="H2141">
        <v>8.35</v>
      </c>
      <c r="I2141" s="29">
        <v>0.91139999999999999</v>
      </c>
      <c r="J2141" s="29">
        <v>5.9900000000000002E-2</v>
      </c>
      <c r="K2141" s="9">
        <v>45345</v>
      </c>
      <c r="L2141">
        <f xml:space="preserve"> (交易處理資料__3[[#This Row],[售出工時]] * 60) / 5</f>
        <v>6</v>
      </c>
      <c r="M2141" t="str">
        <f>VLOOKUP(交易處理資料__3[[#This Row],[人員代號]],團隊分組!$B$1:$C$52,2,FALSE)</f>
        <v>查修團隊A</v>
      </c>
      <c r="N2141" t="str">
        <f>IF(交易處理資料__3[[#This Row],[上班時間]]=0,"否","是")</f>
        <v>是</v>
      </c>
      <c r="O2141" t="s">
        <v>76</v>
      </c>
      <c r="P2141" s="38">
        <v>1.25</v>
      </c>
      <c r="Q2141" s="38">
        <v>5.9900000000000002E-2</v>
      </c>
      <c r="R2141" s="38">
        <v>0.91139999999999999</v>
      </c>
    </row>
    <row r="2142" spans="1:18" hidden="1">
      <c r="A2142" t="s">
        <v>76</v>
      </c>
      <c r="B2142" t="s">
        <v>20</v>
      </c>
      <c r="C2142">
        <v>1.4</v>
      </c>
      <c r="D2142">
        <v>7.83</v>
      </c>
      <c r="E2142" s="29">
        <v>0.17879948909999999</v>
      </c>
      <c r="F2142">
        <v>5.78</v>
      </c>
      <c r="G2142">
        <v>4.34</v>
      </c>
      <c r="H2142">
        <v>10.119999999999999</v>
      </c>
      <c r="I2142" s="29">
        <v>0.57109999999999994</v>
      </c>
      <c r="J2142" s="29">
        <v>0.13830000000000001</v>
      </c>
      <c r="K2142" s="9">
        <v>45345</v>
      </c>
      <c r="L2142">
        <f xml:space="preserve"> (交易處理資料__3[[#This Row],[售出工時]] * 60) / 5</f>
        <v>16.8</v>
      </c>
      <c r="M2142" t="str">
        <f>VLOOKUP(交易處理資料__3[[#This Row],[人員代號]],團隊分組!$B$1:$C$52,2,FALSE)</f>
        <v>查修團隊B</v>
      </c>
      <c r="N2142" t="str">
        <f>IF(交易處理資料__3[[#This Row],[上班時間]]=0,"否","是")</f>
        <v>是</v>
      </c>
      <c r="O2142" t="s">
        <v>76</v>
      </c>
      <c r="P2142" s="37">
        <v>0.17879948909999999</v>
      </c>
      <c r="Q2142" s="37">
        <v>0.13830000000000001</v>
      </c>
      <c r="R2142" s="37">
        <v>0.57109999999999994</v>
      </c>
    </row>
    <row r="2143" spans="1:18" hidden="1">
      <c r="A2143" t="s">
        <v>76</v>
      </c>
      <c r="B2143" t="s">
        <v>21</v>
      </c>
      <c r="C2143">
        <v>1.9166666670000001</v>
      </c>
      <c r="D2143">
        <v>3.6</v>
      </c>
      <c r="E2143" s="29">
        <v>0.53240740740000003</v>
      </c>
      <c r="F2143">
        <v>5.85</v>
      </c>
      <c r="G2143">
        <v>2.2599999999999998</v>
      </c>
      <c r="H2143">
        <v>8.11</v>
      </c>
      <c r="I2143" s="29">
        <v>0.72129999999999994</v>
      </c>
      <c r="J2143" s="29">
        <v>0.23629999999999998</v>
      </c>
      <c r="K2143" s="9">
        <v>45345</v>
      </c>
      <c r="L2143">
        <f xml:space="preserve"> (交易處理資料__3[[#This Row],[售出工時]] * 60) / 5</f>
        <v>23.000000004</v>
      </c>
      <c r="M2143" t="str">
        <f>VLOOKUP(交易處理資料__3[[#This Row],[人員代號]],團隊分組!$B$1:$C$52,2,FALSE)</f>
        <v>查修團隊B</v>
      </c>
      <c r="N2143" t="str">
        <f>IF(交易處理資料__3[[#This Row],[上班時間]]=0,"否","是")</f>
        <v>是</v>
      </c>
      <c r="O2143" t="s">
        <v>76</v>
      </c>
      <c r="P2143" s="38">
        <v>0.53240740740000003</v>
      </c>
      <c r="Q2143" s="38">
        <v>0.23629999999999998</v>
      </c>
      <c r="R2143" s="38">
        <v>0.72129999999999994</v>
      </c>
    </row>
    <row r="2144" spans="1:18" hidden="1">
      <c r="A2144" t="s">
        <v>76</v>
      </c>
      <c r="B2144" t="s">
        <v>22</v>
      </c>
      <c r="C2144">
        <v>7.4933333329999998</v>
      </c>
      <c r="D2144">
        <v>5.44</v>
      </c>
      <c r="E2144" s="29">
        <v>1.3774509800000001</v>
      </c>
      <c r="F2144">
        <v>7.44</v>
      </c>
      <c r="G2144">
        <v>0.55000000000000004</v>
      </c>
      <c r="H2144">
        <v>7.99</v>
      </c>
      <c r="I2144" s="29">
        <v>0.93120000000000003</v>
      </c>
      <c r="J2144" s="29">
        <v>0.93779999999999997</v>
      </c>
      <c r="K2144" s="9">
        <v>45345</v>
      </c>
      <c r="L2144">
        <f xml:space="preserve"> (交易處理資料__3[[#This Row],[售出工時]] * 60) / 5</f>
        <v>89.919999996000001</v>
      </c>
      <c r="M2144" t="str">
        <f>VLOOKUP(交易處理資料__3[[#This Row],[人員代號]],團隊分組!$B$1:$C$52,2,FALSE)</f>
        <v>快速保養團隊A</v>
      </c>
      <c r="N2144" t="str">
        <f>IF(交易處理資料__3[[#This Row],[上班時間]]=0,"否","是")</f>
        <v>是</v>
      </c>
      <c r="O2144" t="s">
        <v>76</v>
      </c>
      <c r="P2144" s="37">
        <v>1.3774509800000001</v>
      </c>
      <c r="Q2144" s="37">
        <v>0.93779999999999997</v>
      </c>
      <c r="R2144" s="37">
        <v>0.93120000000000003</v>
      </c>
    </row>
    <row r="2145" spans="1:18" hidden="1">
      <c r="A2145" t="s">
        <v>76</v>
      </c>
      <c r="B2145" t="s">
        <v>23</v>
      </c>
      <c r="C2145">
        <v>9.91</v>
      </c>
      <c r="D2145">
        <v>6.22</v>
      </c>
      <c r="E2145" s="29">
        <v>1.5932475880000001</v>
      </c>
      <c r="F2145">
        <v>6.1</v>
      </c>
      <c r="G2145">
        <v>3.69</v>
      </c>
      <c r="H2145">
        <v>9.7899999999999991</v>
      </c>
      <c r="I2145" s="29">
        <v>0.62309999999999999</v>
      </c>
      <c r="J2145" s="29">
        <v>1.0123</v>
      </c>
      <c r="K2145" s="9">
        <v>45345</v>
      </c>
      <c r="L2145">
        <f xml:space="preserve"> (交易處理資料__3[[#This Row],[售出工時]] * 60) / 5</f>
        <v>118.92</v>
      </c>
      <c r="M2145" t="str">
        <f>VLOOKUP(交易處理資料__3[[#This Row],[人員代號]],團隊分組!$B$1:$C$52,2,FALSE)</f>
        <v>快速保養團隊B</v>
      </c>
      <c r="N2145" t="str">
        <f>IF(交易處理資料__3[[#This Row],[上班時間]]=0,"否","是")</f>
        <v>是</v>
      </c>
      <c r="O2145" t="s">
        <v>76</v>
      </c>
      <c r="P2145" s="38">
        <v>1.5932475880000001</v>
      </c>
      <c r="Q2145" s="38">
        <v>1.0123</v>
      </c>
      <c r="R2145" s="38">
        <v>0.62309999999999999</v>
      </c>
    </row>
    <row r="2146" spans="1:18" hidden="1">
      <c r="A2146" t="s">
        <v>76</v>
      </c>
      <c r="B2146" t="s">
        <v>26</v>
      </c>
      <c r="C2146">
        <v>0</v>
      </c>
      <c r="D2146">
        <v>0</v>
      </c>
      <c r="E2146" s="29">
        <v>0</v>
      </c>
      <c r="F2146">
        <v>1.38</v>
      </c>
      <c r="G2146">
        <v>8.0399999999999991</v>
      </c>
      <c r="H2146">
        <v>9.42</v>
      </c>
      <c r="I2146" s="29">
        <v>0.14649999999999999</v>
      </c>
      <c r="J2146" s="29">
        <v>0</v>
      </c>
      <c r="K2146" s="9">
        <v>45345</v>
      </c>
      <c r="L2146">
        <f xml:space="preserve"> (交易處理資料__3[[#This Row],[售出工時]] * 60) / 5</f>
        <v>0</v>
      </c>
      <c r="M2146" t="str">
        <f>VLOOKUP(交易處理資料__3[[#This Row],[人員代號]],團隊分組!$B$1:$C$52,2,FALSE)</f>
        <v>查修團隊B</v>
      </c>
      <c r="N2146" t="str">
        <f>IF(交易處理資料__3[[#This Row],[上班時間]]=0,"否","是")</f>
        <v>是</v>
      </c>
      <c r="O2146" t="s">
        <v>76</v>
      </c>
      <c r="P2146" s="37">
        <v>0</v>
      </c>
      <c r="Q2146" s="37">
        <v>0</v>
      </c>
      <c r="R2146" s="37">
        <v>0.14649999999999999</v>
      </c>
    </row>
    <row r="2147" spans="1:18" hidden="1">
      <c r="A2147" t="s">
        <v>76</v>
      </c>
      <c r="B2147" t="s">
        <v>28</v>
      </c>
      <c r="C2147">
        <v>7.46</v>
      </c>
      <c r="D2147">
        <v>4</v>
      </c>
      <c r="E2147" s="29">
        <v>1.865</v>
      </c>
      <c r="F2147">
        <v>6.19</v>
      </c>
      <c r="G2147">
        <v>3.17</v>
      </c>
      <c r="H2147">
        <v>9.36</v>
      </c>
      <c r="I2147" s="29">
        <v>0.6613</v>
      </c>
      <c r="J2147" s="29">
        <v>0.79700000000000004</v>
      </c>
      <c r="K2147" s="9">
        <v>45345</v>
      </c>
      <c r="L2147">
        <f xml:space="preserve"> (交易處理資料__3[[#This Row],[售出工時]] * 60) / 5</f>
        <v>89.52000000000001</v>
      </c>
      <c r="M2147" t="str">
        <f>VLOOKUP(交易處理資料__3[[#This Row],[人員代號]],團隊分組!$B$1:$C$52,2,FALSE)</f>
        <v>快速保養團隊A</v>
      </c>
      <c r="N2147" t="str">
        <f>IF(交易處理資料__3[[#This Row],[上班時間]]=0,"否","是")</f>
        <v>是</v>
      </c>
      <c r="O2147" t="s">
        <v>76</v>
      </c>
      <c r="P2147" s="38">
        <v>1.865</v>
      </c>
      <c r="Q2147" s="38">
        <v>0.79700000000000004</v>
      </c>
      <c r="R2147" s="38">
        <v>0.6613</v>
      </c>
    </row>
    <row r="2148" spans="1:18" hidden="1">
      <c r="A2148" t="s">
        <v>76</v>
      </c>
      <c r="B2148" t="s">
        <v>32</v>
      </c>
      <c r="C2148">
        <v>14.196666670000001</v>
      </c>
      <c r="D2148">
        <v>8.01</v>
      </c>
      <c r="E2148" s="29">
        <v>1.7723678730000001</v>
      </c>
      <c r="F2148">
        <v>5.86</v>
      </c>
      <c r="G2148">
        <v>2.1800000000000002</v>
      </c>
      <c r="H2148">
        <v>8.0399999999999991</v>
      </c>
      <c r="I2148" s="29">
        <v>0.72889999999999999</v>
      </c>
      <c r="J2148" s="29">
        <v>1.7658</v>
      </c>
      <c r="K2148" s="9">
        <v>45345</v>
      </c>
      <c r="L2148">
        <f xml:space="preserve"> (交易處理資料__3[[#This Row],[售出工時]] * 60) / 5</f>
        <v>170.36000003999999</v>
      </c>
      <c r="M2148" t="str">
        <f>VLOOKUP(交易處理資料__3[[#This Row],[人員代號]],團隊分組!$B$1:$C$52,2,FALSE)</f>
        <v>快速保養團隊B</v>
      </c>
      <c r="N2148" t="str">
        <f>IF(交易處理資料__3[[#This Row],[上班時間]]=0,"否","是")</f>
        <v>是</v>
      </c>
      <c r="O2148" t="s">
        <v>76</v>
      </c>
      <c r="P2148" s="37">
        <v>1.7723678730000001</v>
      </c>
      <c r="Q2148" s="37">
        <v>1.7658</v>
      </c>
      <c r="R2148" s="37">
        <v>0.72889999999999999</v>
      </c>
    </row>
    <row r="2149" spans="1:18" hidden="1">
      <c r="A2149" t="s">
        <v>76</v>
      </c>
      <c r="B2149" t="s">
        <v>33</v>
      </c>
      <c r="C2149">
        <v>0</v>
      </c>
      <c r="D2149">
        <v>0</v>
      </c>
      <c r="E2149" s="29">
        <v>0</v>
      </c>
      <c r="F2149">
        <v>0</v>
      </c>
      <c r="G2149">
        <v>0</v>
      </c>
      <c r="H2149">
        <v>0</v>
      </c>
      <c r="I2149" s="29">
        <v>0</v>
      </c>
      <c r="J2149" s="29">
        <v>0</v>
      </c>
      <c r="K2149" s="9">
        <v>45345</v>
      </c>
      <c r="L2149">
        <f xml:space="preserve"> (交易處理資料__3[[#This Row],[售出工時]] * 60) / 5</f>
        <v>0</v>
      </c>
      <c r="M2149" t="str">
        <f>VLOOKUP(交易處理資料__3[[#This Row],[人員代號]],團隊分組!$B$1:$C$52,2,FALSE)</f>
        <v>快速保養團隊B</v>
      </c>
      <c r="N2149" t="str">
        <f>IF(交易處理資料__3[[#This Row],[上班時間]]=0,"否","是")</f>
        <v>否</v>
      </c>
      <c r="O2149" t="s">
        <v>76</v>
      </c>
      <c r="P2149" s="38">
        <v>0</v>
      </c>
      <c r="Q2149" s="38">
        <v>0</v>
      </c>
      <c r="R2149" s="38">
        <v>0</v>
      </c>
    </row>
    <row r="2150" spans="1:18" hidden="1">
      <c r="A2150" t="s">
        <v>76</v>
      </c>
      <c r="B2150" t="s">
        <v>35</v>
      </c>
      <c r="C2150">
        <v>1.35</v>
      </c>
      <c r="D2150">
        <v>5.26</v>
      </c>
      <c r="E2150" s="29">
        <v>0.25665399239999998</v>
      </c>
      <c r="F2150">
        <v>6.09</v>
      </c>
      <c r="G2150">
        <v>4.0199999999999996</v>
      </c>
      <c r="H2150">
        <v>10.11</v>
      </c>
      <c r="I2150" s="29">
        <v>0.60240000000000005</v>
      </c>
      <c r="J2150" s="29">
        <v>0.13350000000000001</v>
      </c>
      <c r="K2150" s="9">
        <v>45345</v>
      </c>
      <c r="L2150">
        <f xml:space="preserve"> (交易處理資料__3[[#This Row],[售出工時]] * 60) / 5</f>
        <v>16.2</v>
      </c>
      <c r="M2150" t="str">
        <f>VLOOKUP(交易處理資料__3[[#This Row],[人員代號]],團隊分組!$B$1:$C$52,2,FALSE)</f>
        <v>查修團隊B</v>
      </c>
      <c r="N2150" t="str">
        <f>IF(交易處理資料__3[[#This Row],[上班時間]]=0,"否","是")</f>
        <v>是</v>
      </c>
      <c r="O2150" t="s">
        <v>76</v>
      </c>
      <c r="P2150" s="37">
        <v>0.25665399239999998</v>
      </c>
      <c r="Q2150" s="37">
        <v>0.13350000000000001</v>
      </c>
      <c r="R2150" s="37">
        <v>0.60240000000000005</v>
      </c>
    </row>
    <row r="2151" spans="1:18" hidden="1">
      <c r="A2151" t="s">
        <v>76</v>
      </c>
      <c r="B2151" t="s">
        <v>36</v>
      </c>
      <c r="C2151">
        <v>3.13</v>
      </c>
      <c r="D2151">
        <v>4.5599999999999996</v>
      </c>
      <c r="E2151" s="29">
        <v>0.68640350880000001</v>
      </c>
      <c r="F2151">
        <v>8.19</v>
      </c>
      <c r="G2151">
        <v>0.92</v>
      </c>
      <c r="H2151">
        <v>9.11</v>
      </c>
      <c r="I2151" s="29">
        <v>0.89900000000000002</v>
      </c>
      <c r="J2151" s="29">
        <v>0.34360000000000002</v>
      </c>
      <c r="K2151" s="9">
        <v>45345</v>
      </c>
      <c r="L2151">
        <f xml:space="preserve"> (交易處理資料__3[[#This Row],[售出工時]] * 60) / 5</f>
        <v>37.559999999999995</v>
      </c>
      <c r="M2151" t="str">
        <f>VLOOKUP(交易處理資料__3[[#This Row],[人員代號]],團隊分組!$B$1:$C$52,2,FALSE)</f>
        <v>查修團隊B</v>
      </c>
      <c r="N2151" t="str">
        <f>IF(交易處理資料__3[[#This Row],[上班時間]]=0,"否","是")</f>
        <v>是</v>
      </c>
      <c r="O2151" t="s">
        <v>76</v>
      </c>
      <c r="P2151" s="38">
        <v>0.68640350880000001</v>
      </c>
      <c r="Q2151" s="38">
        <v>0.34360000000000002</v>
      </c>
      <c r="R2151" s="38">
        <v>0.89900000000000002</v>
      </c>
    </row>
    <row r="2152" spans="1:18" hidden="1">
      <c r="A2152" t="s">
        <v>76</v>
      </c>
      <c r="B2152" t="s">
        <v>37</v>
      </c>
      <c r="C2152">
        <v>4</v>
      </c>
      <c r="D2152">
        <v>4.22</v>
      </c>
      <c r="E2152" s="29">
        <v>0.94786729859999996</v>
      </c>
      <c r="F2152">
        <v>6.22</v>
      </c>
      <c r="G2152">
        <v>1.78</v>
      </c>
      <c r="H2152">
        <v>8</v>
      </c>
      <c r="I2152" s="29">
        <v>0.77749999999999997</v>
      </c>
      <c r="J2152" s="29">
        <v>0.5</v>
      </c>
      <c r="K2152" s="9">
        <v>45345</v>
      </c>
      <c r="L2152">
        <f xml:space="preserve"> (交易處理資料__3[[#This Row],[售出工時]] * 60) / 5</f>
        <v>48</v>
      </c>
      <c r="M2152" t="str">
        <f>VLOOKUP(交易處理資料__3[[#This Row],[人員代號]],團隊分組!$B$1:$C$52,2,FALSE)</f>
        <v>查修團隊A</v>
      </c>
      <c r="N2152" t="str">
        <f>IF(交易處理資料__3[[#This Row],[上班時間]]=0,"否","是")</f>
        <v>是</v>
      </c>
      <c r="O2152" t="s">
        <v>76</v>
      </c>
      <c r="P2152" s="37">
        <v>0.94786729859999996</v>
      </c>
      <c r="Q2152" s="37">
        <v>0.5</v>
      </c>
      <c r="R2152" s="37">
        <v>0.77749999999999997</v>
      </c>
    </row>
    <row r="2153" spans="1:18" hidden="1">
      <c r="A2153" t="s">
        <v>76</v>
      </c>
      <c r="B2153" t="s">
        <v>38</v>
      </c>
      <c r="C2153">
        <v>15.66666667</v>
      </c>
      <c r="D2153">
        <v>5.53</v>
      </c>
      <c r="E2153" s="29">
        <v>2.8330319470000003</v>
      </c>
      <c r="F2153">
        <v>9.61</v>
      </c>
      <c r="G2153">
        <v>0.47</v>
      </c>
      <c r="H2153">
        <v>10.08</v>
      </c>
      <c r="I2153" s="29">
        <v>0.95340000000000003</v>
      </c>
      <c r="J2153" s="29">
        <v>1.5541999999999998</v>
      </c>
      <c r="K2153" s="9">
        <v>45345</v>
      </c>
      <c r="L2153">
        <f xml:space="preserve"> (交易處理資料__3[[#This Row],[售出工時]] * 60) / 5</f>
        <v>188.00000003999997</v>
      </c>
      <c r="M2153" t="str">
        <f>VLOOKUP(交易處理資料__3[[#This Row],[人員代號]],團隊分組!$B$1:$C$52,2,FALSE)</f>
        <v>快速保養團隊A</v>
      </c>
      <c r="N2153" t="str">
        <f>IF(交易處理資料__3[[#This Row],[上班時間]]=0,"否","是")</f>
        <v>是</v>
      </c>
      <c r="O2153" t="s">
        <v>76</v>
      </c>
      <c r="P2153" s="38">
        <v>2.8330319470000003</v>
      </c>
      <c r="Q2153" s="38">
        <v>1.5541999999999998</v>
      </c>
      <c r="R2153" s="38">
        <v>0.95340000000000003</v>
      </c>
    </row>
    <row r="2154" spans="1:18" hidden="1">
      <c r="A2154" t="s">
        <v>76</v>
      </c>
      <c r="B2154" t="s">
        <v>45</v>
      </c>
      <c r="C2154">
        <v>7.75</v>
      </c>
      <c r="D2154">
        <v>5.18</v>
      </c>
      <c r="E2154" s="29">
        <v>1.496138996</v>
      </c>
      <c r="F2154">
        <v>6.78</v>
      </c>
      <c r="G2154">
        <v>1.1399999999999999</v>
      </c>
      <c r="H2154">
        <v>7.92</v>
      </c>
      <c r="I2154" s="29">
        <v>0.85609999999999997</v>
      </c>
      <c r="J2154" s="29">
        <v>0.97849999999999993</v>
      </c>
      <c r="K2154" s="9">
        <v>45345</v>
      </c>
      <c r="L2154">
        <f xml:space="preserve"> (交易處理資料__3[[#This Row],[售出工時]] * 60) / 5</f>
        <v>93</v>
      </c>
      <c r="M2154" t="str">
        <f>VLOOKUP(交易處理資料__3[[#This Row],[人員代號]],團隊分組!$B$1:$C$52,2,FALSE)</f>
        <v>快速保養團隊A</v>
      </c>
      <c r="N2154" t="str">
        <f>IF(交易處理資料__3[[#This Row],[上班時間]]=0,"否","是")</f>
        <v>是</v>
      </c>
      <c r="O2154" t="s">
        <v>76</v>
      </c>
      <c r="P2154" s="37">
        <v>1.496138996</v>
      </c>
      <c r="Q2154" s="37">
        <v>0.97849999999999993</v>
      </c>
      <c r="R2154" s="37">
        <v>0.85609999999999997</v>
      </c>
    </row>
    <row r="2155" spans="1:18" hidden="1">
      <c r="A2155" t="s">
        <v>76</v>
      </c>
      <c r="B2155" t="s">
        <v>46</v>
      </c>
      <c r="C2155">
        <v>0</v>
      </c>
      <c r="D2155">
        <v>0</v>
      </c>
      <c r="E2155" s="29">
        <v>0</v>
      </c>
      <c r="F2155">
        <v>5.75</v>
      </c>
      <c r="G2155">
        <v>2.35</v>
      </c>
      <c r="H2155">
        <v>8.1</v>
      </c>
      <c r="I2155" s="29">
        <v>0.70989999999999998</v>
      </c>
      <c r="J2155" s="29">
        <v>0</v>
      </c>
      <c r="K2155" s="9">
        <v>45345</v>
      </c>
      <c r="L2155">
        <f xml:space="preserve"> (交易處理資料__3[[#This Row],[售出工時]] * 60) / 5</f>
        <v>0</v>
      </c>
      <c r="M2155" t="str">
        <f>VLOOKUP(交易處理資料__3[[#This Row],[人員代號]],團隊分組!$B$1:$C$52,2,FALSE)</f>
        <v>查修團隊B</v>
      </c>
      <c r="N2155" t="str">
        <f>IF(交易處理資料__3[[#This Row],[上班時間]]=0,"否","是")</f>
        <v>是</v>
      </c>
      <c r="O2155" t="s">
        <v>76</v>
      </c>
      <c r="P2155" s="38">
        <v>0</v>
      </c>
      <c r="Q2155" s="38">
        <v>0</v>
      </c>
      <c r="R2155" s="38">
        <v>0.70989999999999998</v>
      </c>
    </row>
    <row r="2156" spans="1:18" hidden="1">
      <c r="A2156" t="s">
        <v>76</v>
      </c>
      <c r="B2156" t="s">
        <v>47</v>
      </c>
      <c r="C2156">
        <v>2.75</v>
      </c>
      <c r="D2156">
        <v>7.19</v>
      </c>
      <c r="E2156" s="29">
        <v>0.38247566059999999</v>
      </c>
      <c r="F2156">
        <v>3.73</v>
      </c>
      <c r="G2156">
        <v>4.37</v>
      </c>
      <c r="H2156">
        <v>8.1</v>
      </c>
      <c r="I2156" s="29">
        <v>0.46049999999999996</v>
      </c>
      <c r="J2156" s="29">
        <v>0.33950000000000002</v>
      </c>
      <c r="K2156" s="9">
        <v>45345</v>
      </c>
      <c r="L2156">
        <f xml:space="preserve"> (交易處理資料__3[[#This Row],[售出工時]] * 60) / 5</f>
        <v>33</v>
      </c>
      <c r="M2156" t="str">
        <f>VLOOKUP(交易處理資料__3[[#This Row],[人員代號]],團隊分組!$B$1:$C$52,2,FALSE)</f>
        <v>查修團隊B</v>
      </c>
      <c r="N2156" t="str">
        <f>IF(交易處理資料__3[[#This Row],[上班時間]]=0,"否","是")</f>
        <v>是</v>
      </c>
      <c r="O2156" t="s">
        <v>76</v>
      </c>
      <c r="P2156" s="37">
        <v>0.38247566059999999</v>
      </c>
      <c r="Q2156" s="37">
        <v>0.33950000000000002</v>
      </c>
      <c r="R2156" s="37">
        <v>0.46049999999999996</v>
      </c>
    </row>
    <row r="2157" spans="1:18" hidden="1">
      <c r="A2157" t="s">
        <v>76</v>
      </c>
      <c r="B2157" t="s">
        <v>48</v>
      </c>
      <c r="C2157">
        <v>2</v>
      </c>
      <c r="D2157">
        <v>4.78</v>
      </c>
      <c r="E2157" s="29">
        <v>0.41841004179999997</v>
      </c>
      <c r="F2157">
        <v>6.62</v>
      </c>
      <c r="G2157">
        <v>1.58</v>
      </c>
      <c r="H2157">
        <v>8.1999999999999993</v>
      </c>
      <c r="I2157" s="29">
        <v>0.80730000000000002</v>
      </c>
      <c r="J2157" s="29">
        <v>0.24390000000000001</v>
      </c>
      <c r="K2157" s="9">
        <v>45345</v>
      </c>
      <c r="L2157">
        <f xml:space="preserve"> (交易處理資料__3[[#This Row],[售出工時]] * 60) / 5</f>
        <v>24</v>
      </c>
      <c r="M2157" t="str">
        <f>VLOOKUP(交易處理資料__3[[#This Row],[人員代號]],團隊分組!$B$1:$C$52,2,FALSE)</f>
        <v>查修團隊A</v>
      </c>
      <c r="N2157" t="str">
        <f>IF(交易處理資料__3[[#This Row],[上班時間]]=0,"否","是")</f>
        <v>是</v>
      </c>
      <c r="O2157" t="s">
        <v>76</v>
      </c>
      <c r="P2157" s="38">
        <v>0.41841004179999997</v>
      </c>
      <c r="Q2157" s="38">
        <v>0.24390000000000001</v>
      </c>
      <c r="R2157" s="38">
        <v>0.80730000000000002</v>
      </c>
    </row>
    <row r="2158" spans="1:18" hidden="1">
      <c r="A2158" t="s">
        <v>76</v>
      </c>
      <c r="B2158" t="s">
        <v>49</v>
      </c>
      <c r="C2158">
        <v>0.5</v>
      </c>
      <c r="D2158">
        <v>0.4</v>
      </c>
      <c r="E2158" s="29">
        <v>1.25</v>
      </c>
      <c r="F2158">
        <v>7.63</v>
      </c>
      <c r="G2158">
        <v>0.73</v>
      </c>
      <c r="H2158">
        <v>8.36</v>
      </c>
      <c r="I2158" s="29">
        <v>0.91269999999999996</v>
      </c>
      <c r="J2158" s="29">
        <v>5.9800000000000006E-2</v>
      </c>
      <c r="K2158" s="9">
        <v>45345</v>
      </c>
      <c r="L2158">
        <f xml:space="preserve"> (交易處理資料__3[[#This Row],[售出工時]] * 60) / 5</f>
        <v>6</v>
      </c>
      <c r="M2158" t="str">
        <f>VLOOKUP(交易處理資料__3[[#This Row],[人員代號]],團隊分組!$B$1:$C$52,2,FALSE)</f>
        <v>查修團隊A</v>
      </c>
      <c r="N2158" t="str">
        <f>IF(交易處理資料__3[[#This Row],[上班時間]]=0,"否","是")</f>
        <v>是</v>
      </c>
      <c r="O2158" t="s">
        <v>76</v>
      </c>
      <c r="P2158" s="37">
        <v>1.25</v>
      </c>
      <c r="Q2158" s="37">
        <v>5.9800000000000006E-2</v>
      </c>
      <c r="R2158" s="37">
        <v>0.91269999999999996</v>
      </c>
    </row>
    <row r="2159" spans="1:18" hidden="1">
      <c r="A2159" t="s">
        <v>76</v>
      </c>
      <c r="B2159" t="s">
        <v>51</v>
      </c>
      <c r="C2159">
        <v>0</v>
      </c>
      <c r="D2159">
        <v>0</v>
      </c>
      <c r="E2159" s="29">
        <v>0</v>
      </c>
      <c r="F2159">
        <v>0</v>
      </c>
      <c r="G2159">
        <v>0</v>
      </c>
      <c r="H2159">
        <v>0</v>
      </c>
      <c r="I2159" s="29">
        <v>0</v>
      </c>
      <c r="J2159" s="29">
        <v>0</v>
      </c>
      <c r="K2159" s="9">
        <v>45345</v>
      </c>
      <c r="L2159">
        <f xml:space="preserve"> (交易處理資料__3[[#This Row],[售出工時]] * 60) / 5</f>
        <v>0</v>
      </c>
      <c r="M2159" t="str">
        <f>VLOOKUP(交易處理資料__3[[#This Row],[人員代號]],團隊分組!$B$1:$C$52,2,FALSE)</f>
        <v>無效數據</v>
      </c>
      <c r="N2159" t="str">
        <f>IF(交易處理資料__3[[#This Row],[上班時間]]=0,"否","是")</f>
        <v>否</v>
      </c>
      <c r="O2159" t="s">
        <v>76</v>
      </c>
      <c r="P2159" s="38">
        <v>0</v>
      </c>
      <c r="Q2159" s="38">
        <v>0</v>
      </c>
      <c r="R2159" s="38">
        <v>0</v>
      </c>
    </row>
    <row r="2160" spans="1:18" hidden="1">
      <c r="A2160" t="s">
        <v>76</v>
      </c>
      <c r="B2160" t="s">
        <v>52</v>
      </c>
      <c r="C2160">
        <v>0</v>
      </c>
      <c r="D2160">
        <v>0</v>
      </c>
      <c r="E2160" s="29">
        <v>0</v>
      </c>
      <c r="F2160">
        <v>0</v>
      </c>
      <c r="G2160">
        <v>0</v>
      </c>
      <c r="H2160">
        <v>0</v>
      </c>
      <c r="I2160" s="29">
        <v>0</v>
      </c>
      <c r="J2160" s="29">
        <v>0</v>
      </c>
      <c r="K2160" s="9">
        <v>45345</v>
      </c>
      <c r="L2160">
        <f xml:space="preserve"> (交易處理資料__3[[#This Row],[售出工時]] * 60) / 5</f>
        <v>0</v>
      </c>
      <c r="M2160" t="str">
        <f>VLOOKUP(交易處理資料__3[[#This Row],[人員代號]],團隊分組!$B$1:$C$52,2,FALSE)</f>
        <v>查修團隊B</v>
      </c>
      <c r="N2160" t="str">
        <f>IF(交易處理資料__3[[#This Row],[上班時間]]=0,"否","是")</f>
        <v>否</v>
      </c>
      <c r="O2160" t="s">
        <v>76</v>
      </c>
      <c r="P2160" s="37">
        <v>0</v>
      </c>
      <c r="Q2160" s="37">
        <v>0</v>
      </c>
      <c r="R2160" s="37">
        <v>0</v>
      </c>
    </row>
    <row r="2161" spans="1:18" hidden="1">
      <c r="A2161" t="s">
        <v>76</v>
      </c>
      <c r="B2161" t="s">
        <v>53</v>
      </c>
      <c r="C2161">
        <v>4.1666666670000003</v>
      </c>
      <c r="D2161">
        <v>4.16</v>
      </c>
      <c r="E2161" s="29">
        <v>1.0016025639999999</v>
      </c>
      <c r="F2161">
        <v>6.84</v>
      </c>
      <c r="G2161">
        <v>1.1499999999999999</v>
      </c>
      <c r="H2161">
        <v>7.99</v>
      </c>
      <c r="I2161" s="29">
        <v>0.85609999999999997</v>
      </c>
      <c r="J2161" s="29">
        <v>0.52149999999999996</v>
      </c>
      <c r="K2161" s="9">
        <v>45345</v>
      </c>
      <c r="L2161">
        <f xml:space="preserve"> (交易處理資料__3[[#This Row],[售出工時]] * 60) / 5</f>
        <v>50.000000004</v>
      </c>
      <c r="M2161" t="str">
        <f>VLOOKUP(交易處理資料__3[[#This Row],[人員代號]],團隊分組!$B$1:$C$52,2,FALSE)</f>
        <v>查修團隊A</v>
      </c>
      <c r="N2161" t="str">
        <f>IF(交易處理資料__3[[#This Row],[上班時間]]=0,"否","是")</f>
        <v>是</v>
      </c>
      <c r="O2161" t="s">
        <v>76</v>
      </c>
      <c r="P2161" s="38">
        <v>1.0016025639999999</v>
      </c>
      <c r="Q2161" s="38">
        <v>0.52149999999999996</v>
      </c>
      <c r="R2161" s="38">
        <v>0.85609999999999997</v>
      </c>
    </row>
    <row r="2162" spans="1:18" hidden="1">
      <c r="A2162" s="10" t="s">
        <v>74</v>
      </c>
      <c r="B2162" t="s">
        <v>1</v>
      </c>
      <c r="C2162">
        <v>0</v>
      </c>
      <c r="D2162">
        <v>0</v>
      </c>
      <c r="E2162" s="29">
        <v>0</v>
      </c>
      <c r="F2162">
        <v>0</v>
      </c>
      <c r="G2162">
        <v>0</v>
      </c>
      <c r="H2162">
        <v>0</v>
      </c>
      <c r="I2162" s="29">
        <v>0</v>
      </c>
      <c r="J2162" s="29">
        <v>0</v>
      </c>
      <c r="K2162" s="9">
        <v>45346</v>
      </c>
      <c r="L2162">
        <f xml:space="preserve"> (交易處理資料__3[[#This Row],[售出工時]] * 60) / 5</f>
        <v>0</v>
      </c>
      <c r="M2162" t="str">
        <f>VLOOKUP(交易處理資料__3[[#This Row],[人員代號]],團隊分組!$B$1:$C$52,2,FALSE)</f>
        <v>噴漆維修組</v>
      </c>
      <c r="N2162" t="str">
        <f>IF(交易處理資料__3[[#This Row],[上班時間]]=0,"否","是")</f>
        <v>否</v>
      </c>
      <c r="O2162" s="10" t="s">
        <v>74</v>
      </c>
      <c r="P2162" s="37">
        <v>0</v>
      </c>
      <c r="Q2162" s="37">
        <v>0</v>
      </c>
      <c r="R2162" s="37">
        <v>0</v>
      </c>
    </row>
    <row r="2163" spans="1:18" hidden="1">
      <c r="A2163" s="10" t="s">
        <v>74</v>
      </c>
      <c r="B2163" t="s">
        <v>2</v>
      </c>
      <c r="C2163">
        <v>0</v>
      </c>
      <c r="D2163">
        <v>0</v>
      </c>
      <c r="E2163" s="29">
        <v>0</v>
      </c>
      <c r="F2163">
        <v>0</v>
      </c>
      <c r="G2163">
        <v>0</v>
      </c>
      <c r="H2163">
        <v>0</v>
      </c>
      <c r="I2163" s="29">
        <v>0</v>
      </c>
      <c r="J2163" s="29">
        <v>0</v>
      </c>
      <c r="K2163" s="9">
        <v>45346</v>
      </c>
      <c r="L2163">
        <f xml:space="preserve"> (交易處理資料__3[[#This Row],[售出工時]] * 60) / 5</f>
        <v>0</v>
      </c>
      <c r="M2163" t="str">
        <f>VLOOKUP(交易處理資料__3[[#This Row],[人員代號]],團隊分組!$B$1:$C$52,2,FALSE)</f>
        <v>噴漆維修組</v>
      </c>
      <c r="N2163" t="str">
        <f>IF(交易處理資料__3[[#This Row],[上班時間]]=0,"否","是")</f>
        <v>否</v>
      </c>
      <c r="O2163" s="10" t="s">
        <v>74</v>
      </c>
      <c r="P2163" s="38">
        <v>0</v>
      </c>
      <c r="Q2163" s="38">
        <v>0</v>
      </c>
      <c r="R2163" s="38">
        <v>0</v>
      </c>
    </row>
    <row r="2164" spans="1:18" hidden="1">
      <c r="A2164" s="10" t="s">
        <v>74</v>
      </c>
      <c r="B2164" t="s">
        <v>3</v>
      </c>
      <c r="C2164">
        <v>0</v>
      </c>
      <c r="D2164">
        <v>0</v>
      </c>
      <c r="E2164" s="29">
        <v>0</v>
      </c>
      <c r="F2164">
        <v>0</v>
      </c>
      <c r="G2164">
        <v>0</v>
      </c>
      <c r="H2164">
        <v>0</v>
      </c>
      <c r="I2164" s="29">
        <v>0</v>
      </c>
      <c r="J2164" s="29">
        <v>0</v>
      </c>
      <c r="K2164" s="9">
        <v>45346</v>
      </c>
      <c r="L2164">
        <f xml:space="preserve"> (交易處理資料__3[[#This Row],[售出工時]] * 60) / 5</f>
        <v>0</v>
      </c>
      <c r="M2164" t="str">
        <f>VLOOKUP(交易處理資料__3[[#This Row],[人員代號]],團隊分組!$B$1:$C$52,2,FALSE)</f>
        <v>噴漆維修組</v>
      </c>
      <c r="N2164" t="str">
        <f>IF(交易處理資料__3[[#This Row],[上班時間]]=0,"否","是")</f>
        <v>否</v>
      </c>
      <c r="O2164" s="10" t="s">
        <v>74</v>
      </c>
      <c r="P2164" s="37">
        <v>0</v>
      </c>
      <c r="Q2164" s="37">
        <v>0</v>
      </c>
      <c r="R2164" s="37">
        <v>0</v>
      </c>
    </row>
    <row r="2165" spans="1:18" hidden="1">
      <c r="A2165" s="10" t="s">
        <v>74</v>
      </c>
      <c r="B2165" t="s">
        <v>4</v>
      </c>
      <c r="C2165">
        <v>0</v>
      </c>
      <c r="D2165">
        <v>0</v>
      </c>
      <c r="E2165" s="29">
        <v>0</v>
      </c>
      <c r="F2165">
        <v>0</v>
      </c>
      <c r="G2165">
        <v>0</v>
      </c>
      <c r="H2165">
        <v>0</v>
      </c>
      <c r="I2165" s="29">
        <v>0</v>
      </c>
      <c r="J2165" s="29">
        <v>0</v>
      </c>
      <c r="K2165" s="9">
        <v>45346</v>
      </c>
      <c r="L2165">
        <f xml:space="preserve"> (交易處理資料__3[[#This Row],[售出工時]] * 60) / 5</f>
        <v>0</v>
      </c>
      <c r="M2165" t="str">
        <f>VLOOKUP(交易處理資料__3[[#This Row],[人員代號]],團隊分組!$B$1:$C$52,2,FALSE)</f>
        <v>噴漆維修組</v>
      </c>
      <c r="N2165" t="str">
        <f>IF(交易處理資料__3[[#This Row],[上班時間]]=0,"否","是")</f>
        <v>否</v>
      </c>
      <c r="O2165" s="10" t="s">
        <v>74</v>
      </c>
      <c r="P2165" s="38">
        <v>0</v>
      </c>
      <c r="Q2165" s="38">
        <v>0</v>
      </c>
      <c r="R2165" s="38">
        <v>0</v>
      </c>
    </row>
    <row r="2166" spans="1:18" hidden="1">
      <c r="A2166" s="10" t="s">
        <v>74</v>
      </c>
      <c r="B2166" t="s">
        <v>5</v>
      </c>
      <c r="C2166">
        <v>0</v>
      </c>
      <c r="D2166">
        <v>0</v>
      </c>
      <c r="E2166" s="29">
        <v>0</v>
      </c>
      <c r="F2166">
        <v>7.53</v>
      </c>
      <c r="G2166">
        <v>0.45</v>
      </c>
      <c r="H2166">
        <v>7.98</v>
      </c>
      <c r="I2166" s="29">
        <v>0.94359999999999999</v>
      </c>
      <c r="J2166" s="29">
        <v>0</v>
      </c>
      <c r="K2166" s="9">
        <v>45346</v>
      </c>
      <c r="L2166">
        <f xml:space="preserve"> (交易處理資料__3[[#This Row],[售出工時]] * 60) / 5</f>
        <v>0</v>
      </c>
      <c r="M2166" t="str">
        <f>VLOOKUP(交易處理資料__3[[#This Row],[人員代號]],團隊分組!$B$1:$C$52,2,FALSE)</f>
        <v>噴漆維修組</v>
      </c>
      <c r="N2166" t="str">
        <f>IF(交易處理資料__3[[#This Row],[上班時間]]=0,"否","是")</f>
        <v>是</v>
      </c>
      <c r="O2166" s="10" t="s">
        <v>74</v>
      </c>
      <c r="P2166" s="37">
        <v>0</v>
      </c>
      <c r="Q2166" s="37">
        <v>0</v>
      </c>
      <c r="R2166" s="37">
        <v>0.94359999999999999</v>
      </c>
    </row>
    <row r="2167" spans="1:18" hidden="1">
      <c r="A2167" s="10" t="s">
        <v>74</v>
      </c>
      <c r="B2167" t="s">
        <v>6</v>
      </c>
      <c r="C2167">
        <v>0</v>
      </c>
      <c r="D2167">
        <v>0</v>
      </c>
      <c r="E2167" s="29">
        <v>0</v>
      </c>
      <c r="F2167">
        <v>7.55</v>
      </c>
      <c r="G2167">
        <v>0.43</v>
      </c>
      <c r="H2167">
        <v>7.98</v>
      </c>
      <c r="I2167" s="29">
        <v>0.94609999999999994</v>
      </c>
      <c r="J2167" s="29">
        <v>0</v>
      </c>
      <c r="K2167" s="9">
        <v>45346</v>
      </c>
      <c r="L2167">
        <f xml:space="preserve"> (交易處理資料__3[[#This Row],[售出工時]] * 60) / 5</f>
        <v>0</v>
      </c>
      <c r="M2167" t="str">
        <f>VLOOKUP(交易處理資料__3[[#This Row],[人員代號]],團隊分組!$B$1:$C$52,2,FALSE)</f>
        <v>噴漆維修組</v>
      </c>
      <c r="N2167" t="str">
        <f>IF(交易處理資料__3[[#This Row],[上班時間]]=0,"否","是")</f>
        <v>是</v>
      </c>
      <c r="O2167" s="10" t="s">
        <v>74</v>
      </c>
      <c r="P2167" s="38">
        <v>0</v>
      </c>
      <c r="Q2167" s="38">
        <v>0</v>
      </c>
      <c r="R2167" s="38">
        <v>0.94609999999999994</v>
      </c>
    </row>
    <row r="2168" spans="1:18">
      <c r="A2168" s="10" t="s">
        <v>74</v>
      </c>
      <c r="B2168" t="s">
        <v>7</v>
      </c>
      <c r="C2168">
        <v>0</v>
      </c>
      <c r="D2168">
        <v>0</v>
      </c>
      <c r="E2168" s="29">
        <v>0</v>
      </c>
      <c r="F2168">
        <v>7.56</v>
      </c>
      <c r="G2168">
        <v>0.44</v>
      </c>
      <c r="H2168">
        <v>8</v>
      </c>
      <c r="I2168" s="29">
        <v>0.94499999999999995</v>
      </c>
      <c r="J2168" s="29">
        <v>0</v>
      </c>
      <c r="K2168" s="9">
        <v>45346</v>
      </c>
      <c r="L2168">
        <f xml:space="preserve"> (交易處理資料__3[[#This Row],[售出工時]] * 60) / 5</f>
        <v>0</v>
      </c>
      <c r="M2168" t="str">
        <f>VLOOKUP(交易處理資料__3[[#This Row],[人員代號]],團隊分組!$B$1:$C$52,2,FALSE)</f>
        <v>噴漆維修組</v>
      </c>
      <c r="N2168" t="str">
        <f>IF(交易處理資料__3[[#This Row],[上班時間]]=0,"否","是")</f>
        <v>是</v>
      </c>
      <c r="O2168" s="10" t="s">
        <v>74</v>
      </c>
      <c r="P2168" s="37">
        <v>0</v>
      </c>
      <c r="Q2168" s="37">
        <v>0</v>
      </c>
      <c r="R2168" s="37">
        <v>0.94499999999999995</v>
      </c>
    </row>
    <row r="2169" spans="1:18" hidden="1">
      <c r="A2169" s="10" t="s">
        <v>74</v>
      </c>
      <c r="B2169" t="s">
        <v>8</v>
      </c>
      <c r="C2169">
        <v>0</v>
      </c>
      <c r="D2169">
        <v>0</v>
      </c>
      <c r="E2169" s="29">
        <v>0</v>
      </c>
      <c r="F2169">
        <v>0</v>
      </c>
      <c r="G2169">
        <v>0</v>
      </c>
      <c r="H2169">
        <v>0</v>
      </c>
      <c r="I2169" s="29">
        <v>0</v>
      </c>
      <c r="J2169" s="29">
        <v>0</v>
      </c>
      <c r="K2169" s="9">
        <v>45346</v>
      </c>
      <c r="L2169">
        <f xml:space="preserve"> (交易處理資料__3[[#This Row],[售出工時]] * 60) / 5</f>
        <v>0</v>
      </c>
      <c r="M2169" t="str">
        <f>VLOOKUP(交易處理資料__3[[#This Row],[人員代號]],團隊分組!$B$1:$C$52,2,FALSE)</f>
        <v>噴漆維修組</v>
      </c>
      <c r="N2169" t="str">
        <f>IF(交易處理資料__3[[#This Row],[上班時間]]=0,"否","是")</f>
        <v>否</v>
      </c>
      <c r="O2169" s="10" t="s">
        <v>74</v>
      </c>
      <c r="P2169" s="38">
        <v>0</v>
      </c>
      <c r="Q2169" s="38">
        <v>0</v>
      </c>
      <c r="R2169" s="38">
        <v>0</v>
      </c>
    </row>
    <row r="2170" spans="1:18" hidden="1">
      <c r="A2170" s="10" t="s">
        <v>74</v>
      </c>
      <c r="B2170" t="s">
        <v>9</v>
      </c>
      <c r="C2170">
        <v>0</v>
      </c>
      <c r="D2170">
        <v>0</v>
      </c>
      <c r="E2170" s="29">
        <v>0</v>
      </c>
      <c r="F2170">
        <v>0</v>
      </c>
      <c r="G2170">
        <v>0</v>
      </c>
      <c r="H2170">
        <v>0</v>
      </c>
      <c r="I2170" s="29">
        <v>0</v>
      </c>
      <c r="J2170" s="29">
        <v>0</v>
      </c>
      <c r="K2170" s="9">
        <v>45346</v>
      </c>
      <c r="L2170">
        <f xml:space="preserve"> (交易處理資料__3[[#This Row],[售出工時]] * 60) / 5</f>
        <v>0</v>
      </c>
      <c r="M2170" t="str">
        <f>VLOOKUP(交易處理資料__3[[#This Row],[人員代號]],團隊分組!$B$1:$C$52,2,FALSE)</f>
        <v>噴漆維修組</v>
      </c>
      <c r="N2170" t="str">
        <f>IF(交易處理資料__3[[#This Row],[上班時間]]=0,"否","是")</f>
        <v>否</v>
      </c>
      <c r="O2170" s="10" t="s">
        <v>74</v>
      </c>
      <c r="P2170" s="37">
        <v>0</v>
      </c>
      <c r="Q2170" s="37">
        <v>0</v>
      </c>
      <c r="R2170" s="37">
        <v>0</v>
      </c>
    </row>
    <row r="2171" spans="1:18" hidden="1">
      <c r="A2171" t="s">
        <v>75</v>
      </c>
      <c r="B2171" t="s">
        <v>11</v>
      </c>
      <c r="C2171">
        <v>0</v>
      </c>
      <c r="D2171">
        <v>0</v>
      </c>
      <c r="E2171" s="29">
        <v>0</v>
      </c>
      <c r="F2171">
        <v>3.57</v>
      </c>
      <c r="G2171">
        <v>4.37</v>
      </c>
      <c r="H2171">
        <v>7.94</v>
      </c>
      <c r="I2171" s="29">
        <v>0.4496</v>
      </c>
      <c r="J2171" s="29">
        <v>0</v>
      </c>
      <c r="K2171" s="9">
        <v>45346</v>
      </c>
      <c r="L2171">
        <f xml:space="preserve"> (交易處理資料__3[[#This Row],[售出工時]] * 60) / 5</f>
        <v>0</v>
      </c>
      <c r="M2171" t="str">
        <f>VLOOKUP(交易處理資料__3[[#This Row],[人員代號]],團隊分組!$B$1:$C$52,2,FALSE)</f>
        <v>鈑金維修組</v>
      </c>
      <c r="N2171" t="str">
        <f>IF(交易處理資料__3[[#This Row],[上班時間]]=0,"否","是")</f>
        <v>是</v>
      </c>
      <c r="O2171" t="s">
        <v>75</v>
      </c>
      <c r="P2171" s="38">
        <v>0</v>
      </c>
      <c r="Q2171" s="38">
        <v>0</v>
      </c>
      <c r="R2171" s="38">
        <v>0.4496</v>
      </c>
    </row>
    <row r="2172" spans="1:18" hidden="1">
      <c r="A2172" t="s">
        <v>75</v>
      </c>
      <c r="B2172" t="s">
        <v>12</v>
      </c>
      <c r="C2172">
        <v>0</v>
      </c>
      <c r="D2172">
        <v>0</v>
      </c>
      <c r="E2172" s="29">
        <v>0</v>
      </c>
      <c r="F2172">
        <v>0</v>
      </c>
      <c r="G2172">
        <v>0</v>
      </c>
      <c r="H2172">
        <v>0</v>
      </c>
      <c r="I2172" s="29">
        <v>0</v>
      </c>
      <c r="J2172" s="29">
        <v>0</v>
      </c>
      <c r="K2172" s="9">
        <v>45346</v>
      </c>
      <c r="L2172">
        <f xml:space="preserve"> (交易處理資料__3[[#This Row],[售出工時]] * 60) / 5</f>
        <v>0</v>
      </c>
      <c r="M2172" t="str">
        <f>VLOOKUP(交易處理資料__3[[#This Row],[人員代號]],團隊分組!$B$1:$C$52,2,FALSE)</f>
        <v>鈑金維修組</v>
      </c>
      <c r="N2172" t="str">
        <f>IF(交易處理資料__3[[#This Row],[上班時間]]=0,"否","是")</f>
        <v>否</v>
      </c>
      <c r="O2172" t="s">
        <v>75</v>
      </c>
      <c r="P2172" s="37">
        <v>0</v>
      </c>
      <c r="Q2172" s="37">
        <v>0</v>
      </c>
      <c r="R2172" s="37">
        <v>0</v>
      </c>
    </row>
    <row r="2173" spans="1:18" hidden="1">
      <c r="A2173" t="s">
        <v>75</v>
      </c>
      <c r="B2173" t="s">
        <v>13</v>
      </c>
      <c r="C2173">
        <v>0</v>
      </c>
      <c r="D2173">
        <v>0</v>
      </c>
      <c r="E2173" s="29">
        <v>0</v>
      </c>
      <c r="F2173">
        <v>0</v>
      </c>
      <c r="G2173">
        <v>0</v>
      </c>
      <c r="H2173">
        <v>0</v>
      </c>
      <c r="I2173" s="29">
        <v>0</v>
      </c>
      <c r="J2173" s="29">
        <v>0</v>
      </c>
      <c r="K2173" s="9">
        <v>45346</v>
      </c>
      <c r="L2173">
        <f xml:space="preserve"> (交易處理資料__3[[#This Row],[售出工時]] * 60) / 5</f>
        <v>0</v>
      </c>
      <c r="M2173" t="str">
        <f>VLOOKUP(交易處理資料__3[[#This Row],[人員代號]],團隊分組!$B$1:$C$52,2,FALSE)</f>
        <v>鈑金維修組</v>
      </c>
      <c r="N2173" t="str">
        <f>IF(交易處理資料__3[[#This Row],[上班時間]]=0,"否","是")</f>
        <v>否</v>
      </c>
      <c r="O2173" t="s">
        <v>75</v>
      </c>
      <c r="P2173" s="38">
        <v>0</v>
      </c>
      <c r="Q2173" s="38">
        <v>0</v>
      </c>
      <c r="R2173" s="38">
        <v>0</v>
      </c>
    </row>
    <row r="2174" spans="1:18" hidden="1">
      <c r="A2174" t="s">
        <v>75</v>
      </c>
      <c r="B2174" t="s">
        <v>14</v>
      </c>
      <c r="C2174">
        <v>0</v>
      </c>
      <c r="D2174">
        <v>0</v>
      </c>
      <c r="E2174" s="29">
        <v>0</v>
      </c>
      <c r="F2174">
        <v>0</v>
      </c>
      <c r="G2174">
        <v>0</v>
      </c>
      <c r="H2174">
        <v>0</v>
      </c>
      <c r="I2174" s="29">
        <v>0</v>
      </c>
      <c r="J2174" s="29">
        <v>0</v>
      </c>
      <c r="K2174" s="9">
        <v>45346</v>
      </c>
      <c r="L2174">
        <f xml:space="preserve"> (交易處理資料__3[[#This Row],[售出工時]] * 60) / 5</f>
        <v>0</v>
      </c>
      <c r="M2174" t="str">
        <f>VLOOKUP(交易處理資料__3[[#This Row],[人員代號]],團隊分組!$B$1:$C$52,2,FALSE)</f>
        <v>鈑金維修組</v>
      </c>
      <c r="N2174" t="str">
        <f>IF(交易處理資料__3[[#This Row],[上班時間]]=0,"否","是")</f>
        <v>否</v>
      </c>
      <c r="O2174" t="s">
        <v>75</v>
      </c>
      <c r="P2174" s="37">
        <v>0</v>
      </c>
      <c r="Q2174" s="37">
        <v>0</v>
      </c>
      <c r="R2174" s="37">
        <v>0</v>
      </c>
    </row>
    <row r="2175" spans="1:18" hidden="1">
      <c r="A2175" t="s">
        <v>75</v>
      </c>
      <c r="B2175" t="s">
        <v>15</v>
      </c>
      <c r="C2175">
        <v>0</v>
      </c>
      <c r="D2175">
        <v>0</v>
      </c>
      <c r="E2175" s="29">
        <v>0</v>
      </c>
      <c r="F2175">
        <v>0</v>
      </c>
      <c r="G2175">
        <v>0</v>
      </c>
      <c r="H2175">
        <v>0</v>
      </c>
      <c r="I2175" s="29">
        <v>0</v>
      </c>
      <c r="J2175" s="29">
        <v>0</v>
      </c>
      <c r="K2175" s="9">
        <v>45346</v>
      </c>
      <c r="L2175">
        <f xml:space="preserve"> (交易處理資料__3[[#This Row],[售出工時]] * 60) / 5</f>
        <v>0</v>
      </c>
      <c r="M2175" t="str">
        <f>VLOOKUP(交易處理資料__3[[#This Row],[人員代號]],團隊分組!$B$1:$C$52,2,FALSE)</f>
        <v>鈑金維修組</v>
      </c>
      <c r="N2175" t="str">
        <f>IF(交易處理資料__3[[#This Row],[上班時間]]=0,"否","是")</f>
        <v>否</v>
      </c>
      <c r="O2175" t="s">
        <v>75</v>
      </c>
      <c r="P2175" s="38">
        <v>0</v>
      </c>
      <c r="Q2175" s="38">
        <v>0</v>
      </c>
      <c r="R2175" s="38">
        <v>0</v>
      </c>
    </row>
    <row r="2176" spans="1:18" hidden="1">
      <c r="A2176" t="s">
        <v>76</v>
      </c>
      <c r="B2176" t="s">
        <v>17</v>
      </c>
      <c r="C2176">
        <v>4.75</v>
      </c>
      <c r="D2176">
        <v>2.76</v>
      </c>
      <c r="E2176" s="29">
        <v>1.7210144930000002</v>
      </c>
      <c r="F2176">
        <v>4.5199999999999996</v>
      </c>
      <c r="G2176">
        <v>1.35</v>
      </c>
      <c r="H2176">
        <v>5.87</v>
      </c>
      <c r="I2176" s="29">
        <v>0.77</v>
      </c>
      <c r="J2176" s="29">
        <v>0.80920000000000003</v>
      </c>
      <c r="K2176" s="9">
        <v>45346</v>
      </c>
      <c r="L2176">
        <f xml:space="preserve"> (交易處理資料__3[[#This Row],[售出工時]] * 60) / 5</f>
        <v>57</v>
      </c>
      <c r="M2176" t="str">
        <f>VLOOKUP(交易處理資料__3[[#This Row],[人員代號]],團隊分組!$B$1:$C$52,2,FALSE)</f>
        <v>快速保養團隊A</v>
      </c>
      <c r="N2176" t="str">
        <f>IF(交易處理資料__3[[#This Row],[上班時間]]=0,"否","是")</f>
        <v>是</v>
      </c>
      <c r="O2176" t="s">
        <v>76</v>
      </c>
      <c r="P2176" s="37">
        <v>1.7210144930000002</v>
      </c>
      <c r="Q2176" s="37">
        <v>0.80920000000000003</v>
      </c>
      <c r="R2176" s="37">
        <v>0.77</v>
      </c>
    </row>
    <row r="2177" spans="1:18" hidden="1">
      <c r="A2177" t="s">
        <v>76</v>
      </c>
      <c r="B2177" t="s">
        <v>20</v>
      </c>
      <c r="C2177">
        <v>1.34</v>
      </c>
      <c r="D2177">
        <v>1.65</v>
      </c>
      <c r="E2177" s="29">
        <v>0.8121212121000001</v>
      </c>
      <c r="F2177">
        <v>1.65</v>
      </c>
      <c r="G2177">
        <v>2.31</v>
      </c>
      <c r="H2177">
        <v>3.96</v>
      </c>
      <c r="I2177" s="29">
        <v>0.41670000000000001</v>
      </c>
      <c r="J2177" s="29">
        <v>0.33840000000000003</v>
      </c>
      <c r="K2177" s="9">
        <v>45346</v>
      </c>
      <c r="L2177">
        <f xml:space="preserve"> (交易處理資料__3[[#This Row],[售出工時]] * 60) / 5</f>
        <v>16.080000000000002</v>
      </c>
      <c r="M2177" t="str">
        <f>VLOOKUP(交易處理資料__3[[#This Row],[人員代號]],團隊分組!$B$1:$C$52,2,FALSE)</f>
        <v>查修團隊B</v>
      </c>
      <c r="N2177" t="str">
        <f>IF(交易處理資料__3[[#This Row],[上班時間]]=0,"否","是")</f>
        <v>是</v>
      </c>
      <c r="O2177" t="s">
        <v>76</v>
      </c>
      <c r="P2177" s="38">
        <v>0.8121212121000001</v>
      </c>
      <c r="Q2177" s="38">
        <v>0.33840000000000003</v>
      </c>
      <c r="R2177" s="38">
        <v>0.41670000000000001</v>
      </c>
    </row>
    <row r="2178" spans="1:18" hidden="1">
      <c r="A2178" t="s">
        <v>76</v>
      </c>
      <c r="B2178" t="s">
        <v>22</v>
      </c>
      <c r="C2178">
        <v>0</v>
      </c>
      <c r="D2178">
        <v>0</v>
      </c>
      <c r="E2178" s="29">
        <v>0</v>
      </c>
      <c r="F2178">
        <v>0</v>
      </c>
      <c r="G2178">
        <v>0</v>
      </c>
      <c r="H2178">
        <v>0</v>
      </c>
      <c r="I2178" s="29">
        <v>0</v>
      </c>
      <c r="J2178" s="29">
        <v>0</v>
      </c>
      <c r="K2178" s="9">
        <v>45346</v>
      </c>
      <c r="L2178">
        <f xml:space="preserve"> (交易處理資料__3[[#This Row],[售出工時]] * 60) / 5</f>
        <v>0</v>
      </c>
      <c r="M2178" t="str">
        <f>VLOOKUP(交易處理資料__3[[#This Row],[人員代號]],團隊分組!$B$1:$C$52,2,FALSE)</f>
        <v>快速保養團隊A</v>
      </c>
      <c r="N2178" t="str">
        <f>IF(交易處理資料__3[[#This Row],[上班時間]]=0,"否","是")</f>
        <v>否</v>
      </c>
      <c r="O2178" t="s">
        <v>76</v>
      </c>
      <c r="P2178" s="37">
        <v>0</v>
      </c>
      <c r="Q2178" s="37">
        <v>0</v>
      </c>
      <c r="R2178" s="37">
        <v>0</v>
      </c>
    </row>
    <row r="2179" spans="1:18" hidden="1">
      <c r="A2179" t="s">
        <v>76</v>
      </c>
      <c r="B2179" t="s">
        <v>23</v>
      </c>
      <c r="C2179">
        <v>5.27</v>
      </c>
      <c r="D2179">
        <v>5.98</v>
      </c>
      <c r="E2179" s="29">
        <v>0.88127090300000011</v>
      </c>
      <c r="F2179">
        <v>5.45</v>
      </c>
      <c r="G2179">
        <v>2.4900000000000002</v>
      </c>
      <c r="H2179">
        <v>7.94</v>
      </c>
      <c r="I2179" s="29">
        <v>0.68640000000000001</v>
      </c>
      <c r="J2179" s="29">
        <v>0.66370000000000007</v>
      </c>
      <c r="K2179" s="9">
        <v>45346</v>
      </c>
      <c r="L2179">
        <f xml:space="preserve"> (交易處理資料__3[[#This Row],[售出工時]] * 60) / 5</f>
        <v>63.239999999999995</v>
      </c>
      <c r="M2179" t="str">
        <f>VLOOKUP(交易處理資料__3[[#This Row],[人員代號]],團隊分組!$B$1:$C$52,2,FALSE)</f>
        <v>快速保養團隊B</v>
      </c>
      <c r="N2179" t="str">
        <f>IF(交易處理資料__3[[#This Row],[上班時間]]=0,"否","是")</f>
        <v>是</v>
      </c>
      <c r="O2179" t="s">
        <v>76</v>
      </c>
      <c r="P2179" s="38">
        <v>0.88127090300000011</v>
      </c>
      <c r="Q2179" s="38">
        <v>0.66370000000000007</v>
      </c>
      <c r="R2179" s="38">
        <v>0.68640000000000001</v>
      </c>
    </row>
    <row r="2180" spans="1:18" hidden="1">
      <c r="A2180" t="s">
        <v>76</v>
      </c>
      <c r="B2180" t="s">
        <v>24</v>
      </c>
      <c r="C2180">
        <v>0</v>
      </c>
      <c r="D2180">
        <v>0</v>
      </c>
      <c r="E2180" s="29">
        <v>0</v>
      </c>
      <c r="F2180">
        <v>0</v>
      </c>
      <c r="G2180">
        <v>0</v>
      </c>
      <c r="H2180">
        <v>0</v>
      </c>
      <c r="I2180" s="29">
        <v>0</v>
      </c>
      <c r="J2180" s="29">
        <v>0</v>
      </c>
      <c r="K2180" s="9">
        <v>45346</v>
      </c>
      <c r="L2180">
        <f xml:space="preserve"> (交易處理資料__3[[#This Row],[售出工時]] * 60) / 5</f>
        <v>0</v>
      </c>
      <c r="M2180" t="str">
        <f>VLOOKUP(交易處理資料__3[[#This Row],[人員代號]],團隊分組!$B$1:$C$52,2,FALSE)</f>
        <v>快速保養團隊A</v>
      </c>
      <c r="N2180" t="str">
        <f>IF(交易處理資料__3[[#This Row],[上班時間]]=0,"否","是")</f>
        <v>否</v>
      </c>
      <c r="O2180" t="s">
        <v>76</v>
      </c>
      <c r="P2180" s="37">
        <v>0</v>
      </c>
      <c r="Q2180" s="37">
        <v>0</v>
      </c>
      <c r="R2180" s="37">
        <v>0</v>
      </c>
    </row>
    <row r="2181" spans="1:18" hidden="1">
      <c r="A2181" t="s">
        <v>76</v>
      </c>
      <c r="B2181" t="s">
        <v>25</v>
      </c>
      <c r="C2181">
        <v>6.0366666670000004</v>
      </c>
      <c r="D2181">
        <v>5</v>
      </c>
      <c r="E2181" s="29">
        <v>1.207333333</v>
      </c>
      <c r="F2181">
        <v>5.27</v>
      </c>
      <c r="G2181">
        <v>2.56</v>
      </c>
      <c r="H2181">
        <v>7.83</v>
      </c>
      <c r="I2181" s="29">
        <v>0.67310000000000003</v>
      </c>
      <c r="J2181" s="29">
        <v>0.77099999999999991</v>
      </c>
      <c r="K2181" s="9">
        <v>45346</v>
      </c>
      <c r="L2181">
        <f xml:space="preserve"> (交易處理資料__3[[#This Row],[售出工時]] * 60) / 5</f>
        <v>72.440000003999998</v>
      </c>
      <c r="M2181" t="str">
        <f>VLOOKUP(交易處理資料__3[[#This Row],[人員代號]],團隊分組!$B$1:$C$52,2,FALSE)</f>
        <v>查修團隊A</v>
      </c>
      <c r="N2181" t="str">
        <f>IF(交易處理資料__3[[#This Row],[上班時間]]=0,"否","是")</f>
        <v>是</v>
      </c>
      <c r="O2181" t="s">
        <v>76</v>
      </c>
      <c r="P2181" s="38">
        <v>1.207333333</v>
      </c>
      <c r="Q2181" s="38">
        <v>0.77099999999999991</v>
      </c>
      <c r="R2181" s="38">
        <v>0.67310000000000003</v>
      </c>
    </row>
    <row r="2182" spans="1:18" hidden="1">
      <c r="A2182" t="s">
        <v>76</v>
      </c>
      <c r="B2182" t="s">
        <v>27</v>
      </c>
      <c r="C2182">
        <v>0</v>
      </c>
      <c r="D2182">
        <v>0</v>
      </c>
      <c r="E2182" s="29">
        <v>0</v>
      </c>
      <c r="F2182">
        <v>0</v>
      </c>
      <c r="G2182">
        <v>0</v>
      </c>
      <c r="H2182">
        <v>0</v>
      </c>
      <c r="I2182" s="29">
        <v>0</v>
      </c>
      <c r="J2182" s="29">
        <v>0</v>
      </c>
      <c r="K2182" s="9">
        <v>45346</v>
      </c>
      <c r="L2182">
        <f xml:space="preserve"> (交易處理資料__3[[#This Row],[售出工時]] * 60) / 5</f>
        <v>0</v>
      </c>
      <c r="M2182" t="str">
        <f>VLOOKUP(交易處理資料__3[[#This Row],[人員代號]],團隊分組!$B$1:$C$52,2,FALSE)</f>
        <v>快速保養團隊B</v>
      </c>
      <c r="N2182" t="str">
        <f>IF(交易處理資料__3[[#This Row],[上班時間]]=0,"否","是")</f>
        <v>否</v>
      </c>
      <c r="O2182" t="s">
        <v>76</v>
      </c>
      <c r="P2182" s="37">
        <v>0</v>
      </c>
      <c r="Q2182" s="37">
        <v>0</v>
      </c>
      <c r="R2182" s="37">
        <v>0</v>
      </c>
    </row>
    <row r="2183" spans="1:18" hidden="1">
      <c r="A2183" t="s">
        <v>76</v>
      </c>
      <c r="B2183" t="s">
        <v>30</v>
      </c>
      <c r="C2183">
        <v>0</v>
      </c>
      <c r="D2183">
        <v>0</v>
      </c>
      <c r="E2183" s="29">
        <v>0</v>
      </c>
      <c r="F2183">
        <v>0</v>
      </c>
      <c r="G2183">
        <v>0</v>
      </c>
      <c r="H2183">
        <v>0</v>
      </c>
      <c r="I2183" s="29">
        <v>0</v>
      </c>
      <c r="J2183" s="29">
        <v>0</v>
      </c>
      <c r="K2183" s="9">
        <v>45346</v>
      </c>
      <c r="L2183">
        <f xml:space="preserve"> (交易處理資料__3[[#This Row],[售出工時]] * 60) / 5</f>
        <v>0</v>
      </c>
      <c r="M2183" t="str">
        <f>VLOOKUP(交易處理資料__3[[#This Row],[人員代號]],團隊分組!$B$1:$C$52,2,FALSE)</f>
        <v>快速保養團隊B</v>
      </c>
      <c r="N2183" t="str">
        <f>IF(交易處理資料__3[[#This Row],[上班時間]]=0,"否","是")</f>
        <v>否</v>
      </c>
      <c r="O2183" t="s">
        <v>76</v>
      </c>
      <c r="P2183" s="38">
        <v>0</v>
      </c>
      <c r="Q2183" s="38">
        <v>0</v>
      </c>
      <c r="R2183" s="38">
        <v>0</v>
      </c>
    </row>
    <row r="2184" spans="1:18" hidden="1">
      <c r="A2184" t="s">
        <v>76</v>
      </c>
      <c r="B2184" t="s">
        <v>33</v>
      </c>
      <c r="C2184">
        <v>0</v>
      </c>
      <c r="D2184">
        <v>0</v>
      </c>
      <c r="E2184" s="29">
        <v>0</v>
      </c>
      <c r="F2184">
        <v>0</v>
      </c>
      <c r="G2184">
        <v>0</v>
      </c>
      <c r="H2184">
        <v>0</v>
      </c>
      <c r="I2184" s="29">
        <v>0</v>
      </c>
      <c r="J2184" s="29">
        <v>0</v>
      </c>
      <c r="K2184" s="9">
        <v>45346</v>
      </c>
      <c r="L2184">
        <f xml:space="preserve"> (交易處理資料__3[[#This Row],[售出工時]] * 60) / 5</f>
        <v>0</v>
      </c>
      <c r="M2184" t="str">
        <f>VLOOKUP(交易處理資料__3[[#This Row],[人員代號]],團隊分組!$B$1:$C$52,2,FALSE)</f>
        <v>快速保養團隊B</v>
      </c>
      <c r="N2184" t="str">
        <f>IF(交易處理資料__3[[#This Row],[上班時間]]=0,"否","是")</f>
        <v>否</v>
      </c>
      <c r="O2184" t="s">
        <v>76</v>
      </c>
      <c r="P2184" s="37">
        <v>0</v>
      </c>
      <c r="Q2184" s="37">
        <v>0</v>
      </c>
      <c r="R2184" s="37">
        <v>0</v>
      </c>
    </row>
    <row r="2185" spans="1:18" hidden="1">
      <c r="A2185" t="s">
        <v>76</v>
      </c>
      <c r="B2185" t="s">
        <v>34</v>
      </c>
      <c r="C2185">
        <v>0</v>
      </c>
      <c r="D2185">
        <v>0</v>
      </c>
      <c r="E2185" s="29">
        <v>0</v>
      </c>
      <c r="F2185">
        <v>0</v>
      </c>
      <c r="G2185">
        <v>0</v>
      </c>
      <c r="H2185">
        <v>0</v>
      </c>
      <c r="I2185" s="29">
        <v>0</v>
      </c>
      <c r="J2185" s="29">
        <v>0</v>
      </c>
      <c r="K2185" s="9">
        <v>45346</v>
      </c>
      <c r="L2185">
        <f xml:space="preserve"> (交易處理資料__3[[#This Row],[售出工時]] * 60) / 5</f>
        <v>0</v>
      </c>
      <c r="M2185" t="str">
        <f>VLOOKUP(交易處理資料__3[[#This Row],[人員代號]],團隊分組!$B$1:$C$52,2,FALSE)</f>
        <v>快速保養團隊A</v>
      </c>
      <c r="N2185" t="str">
        <f>IF(交易處理資料__3[[#This Row],[上班時間]]=0,"否","是")</f>
        <v>否</v>
      </c>
      <c r="O2185" t="s">
        <v>76</v>
      </c>
      <c r="P2185" s="38">
        <v>0</v>
      </c>
      <c r="Q2185" s="38">
        <v>0</v>
      </c>
      <c r="R2185" s="38">
        <v>0</v>
      </c>
    </row>
    <row r="2186" spans="1:18" hidden="1">
      <c r="A2186" t="s">
        <v>76</v>
      </c>
      <c r="B2186" t="s">
        <v>35</v>
      </c>
      <c r="C2186">
        <v>7.2633333330000003</v>
      </c>
      <c r="D2186">
        <v>6.04</v>
      </c>
      <c r="E2186" s="29">
        <v>1.2025386310000001</v>
      </c>
      <c r="F2186">
        <v>5.26</v>
      </c>
      <c r="G2186">
        <v>2.62</v>
      </c>
      <c r="H2186">
        <v>7.88</v>
      </c>
      <c r="I2186" s="29">
        <v>0.66749999999999998</v>
      </c>
      <c r="J2186" s="29">
        <v>0.92169999999999996</v>
      </c>
      <c r="K2186" s="9">
        <v>45346</v>
      </c>
      <c r="L2186">
        <f xml:space="preserve"> (交易處理資料__3[[#This Row],[售出工時]] * 60) / 5</f>
        <v>87.159999995999996</v>
      </c>
      <c r="M2186" t="str">
        <f>VLOOKUP(交易處理資料__3[[#This Row],[人員代號]],團隊分組!$B$1:$C$52,2,FALSE)</f>
        <v>查修團隊B</v>
      </c>
      <c r="N2186" t="str">
        <f>IF(交易處理資料__3[[#This Row],[上班時間]]=0,"否","是")</f>
        <v>是</v>
      </c>
      <c r="O2186" t="s">
        <v>76</v>
      </c>
      <c r="P2186" s="37">
        <v>1.2025386310000001</v>
      </c>
      <c r="Q2186" s="37">
        <v>0.92169999999999996</v>
      </c>
      <c r="R2186" s="37">
        <v>0.66749999999999998</v>
      </c>
    </row>
    <row r="2187" spans="1:18" hidden="1">
      <c r="A2187" t="s">
        <v>76</v>
      </c>
      <c r="B2187" t="s">
        <v>36</v>
      </c>
      <c r="C2187">
        <v>2.4700000000000002</v>
      </c>
      <c r="D2187">
        <v>3.33</v>
      </c>
      <c r="E2187" s="29">
        <v>0.74174174169999996</v>
      </c>
      <c r="F2187">
        <v>4.38</v>
      </c>
      <c r="G2187">
        <v>3.48</v>
      </c>
      <c r="H2187">
        <v>7.86</v>
      </c>
      <c r="I2187" s="29">
        <v>0.55730000000000002</v>
      </c>
      <c r="J2187" s="29">
        <v>0.31420000000000003</v>
      </c>
      <c r="K2187" s="9">
        <v>45346</v>
      </c>
      <c r="L2187">
        <f xml:space="preserve"> (交易處理資料__3[[#This Row],[售出工時]] * 60) / 5</f>
        <v>29.640000000000004</v>
      </c>
      <c r="M2187" t="str">
        <f>VLOOKUP(交易處理資料__3[[#This Row],[人員代號]],團隊分組!$B$1:$C$52,2,FALSE)</f>
        <v>查修團隊B</v>
      </c>
      <c r="N2187" t="str">
        <f>IF(交易處理資料__3[[#This Row],[上班時間]]=0,"否","是")</f>
        <v>是</v>
      </c>
      <c r="O2187" t="s">
        <v>76</v>
      </c>
      <c r="P2187" s="38">
        <v>0.74174174169999996</v>
      </c>
      <c r="Q2187" s="38">
        <v>0.31420000000000003</v>
      </c>
      <c r="R2187" s="38">
        <v>0.55730000000000002</v>
      </c>
    </row>
    <row r="2188" spans="1:18" hidden="1">
      <c r="A2188" t="s">
        <v>76</v>
      </c>
      <c r="B2188" t="s">
        <v>37</v>
      </c>
      <c r="C2188">
        <v>7.65</v>
      </c>
      <c r="D2188">
        <v>6.83</v>
      </c>
      <c r="E2188" s="29">
        <v>1.1200585649999999</v>
      </c>
      <c r="F2188">
        <v>5.95</v>
      </c>
      <c r="G2188">
        <v>1.92</v>
      </c>
      <c r="H2188">
        <v>7.87</v>
      </c>
      <c r="I2188" s="29">
        <v>0.75599999999999989</v>
      </c>
      <c r="J2188" s="29">
        <v>0.97199999999999998</v>
      </c>
      <c r="K2188" s="9">
        <v>45346</v>
      </c>
      <c r="L2188">
        <f xml:space="preserve"> (交易處理資料__3[[#This Row],[售出工時]] * 60) / 5</f>
        <v>91.8</v>
      </c>
      <c r="M2188" t="str">
        <f>VLOOKUP(交易處理資料__3[[#This Row],[人員代號]],團隊分組!$B$1:$C$52,2,FALSE)</f>
        <v>查修團隊A</v>
      </c>
      <c r="N2188" t="str">
        <f>IF(交易處理資料__3[[#This Row],[上班時間]]=0,"否","是")</f>
        <v>是</v>
      </c>
      <c r="O2188" t="s">
        <v>76</v>
      </c>
      <c r="P2188" s="37">
        <v>1.1200585649999999</v>
      </c>
      <c r="Q2188" s="37">
        <v>0.97199999999999998</v>
      </c>
      <c r="R2188" s="37">
        <v>0.75599999999999989</v>
      </c>
    </row>
    <row r="2189" spans="1:18" hidden="1">
      <c r="A2189" t="s">
        <v>76</v>
      </c>
      <c r="B2189" t="s">
        <v>38</v>
      </c>
      <c r="C2189">
        <v>11.91666667</v>
      </c>
      <c r="D2189">
        <v>5.91</v>
      </c>
      <c r="E2189" s="29">
        <v>2.0163564579999997</v>
      </c>
      <c r="F2189">
        <v>5.83</v>
      </c>
      <c r="G2189">
        <v>2.0299999999999998</v>
      </c>
      <c r="H2189">
        <v>7.86</v>
      </c>
      <c r="I2189" s="29">
        <v>0.74170000000000003</v>
      </c>
      <c r="J2189" s="29">
        <v>1.5161000000000002</v>
      </c>
      <c r="K2189" s="9">
        <v>45346</v>
      </c>
      <c r="L2189">
        <f xml:space="preserve"> (交易處理資料__3[[#This Row],[售出工時]] * 60) / 5</f>
        <v>143.00000003999997</v>
      </c>
      <c r="M2189" t="str">
        <f>VLOOKUP(交易處理資料__3[[#This Row],[人員代號]],團隊分組!$B$1:$C$52,2,FALSE)</f>
        <v>快速保養團隊A</v>
      </c>
      <c r="N2189" t="str">
        <f>IF(交易處理資料__3[[#This Row],[上班時間]]=0,"否","是")</f>
        <v>是</v>
      </c>
      <c r="O2189" t="s">
        <v>76</v>
      </c>
      <c r="P2189" s="38">
        <v>2.0163564579999997</v>
      </c>
      <c r="Q2189" s="38">
        <v>1.5161000000000002</v>
      </c>
      <c r="R2189" s="38">
        <v>0.74170000000000003</v>
      </c>
    </row>
    <row r="2190" spans="1:18" hidden="1">
      <c r="A2190" t="s">
        <v>76</v>
      </c>
      <c r="B2190" t="s">
        <v>39</v>
      </c>
      <c r="C2190">
        <v>2.82</v>
      </c>
      <c r="D2190">
        <v>2.79</v>
      </c>
      <c r="E2190" s="29">
        <v>1.010752688</v>
      </c>
      <c r="F2190">
        <v>4.0599999999999996</v>
      </c>
      <c r="G2190">
        <v>3.8</v>
      </c>
      <c r="H2190">
        <v>7.86</v>
      </c>
      <c r="I2190" s="29">
        <v>0.51649999999999996</v>
      </c>
      <c r="J2190" s="29">
        <v>0.35880000000000001</v>
      </c>
      <c r="K2190" s="9">
        <v>45346</v>
      </c>
      <c r="L2190">
        <f xml:space="preserve"> (交易處理資料__3[[#This Row],[售出工時]] * 60) / 5</f>
        <v>33.839999999999996</v>
      </c>
      <c r="M2190" t="str">
        <f>VLOOKUP(交易處理資料__3[[#This Row],[人員代號]],團隊分組!$B$1:$C$52,2,FALSE)</f>
        <v>查修團隊A</v>
      </c>
      <c r="N2190" t="str">
        <f>IF(交易處理資料__3[[#This Row],[上班時間]]=0,"否","是")</f>
        <v>是</v>
      </c>
      <c r="O2190" t="s">
        <v>76</v>
      </c>
      <c r="P2190" s="37">
        <v>1.010752688</v>
      </c>
      <c r="Q2190" s="37">
        <v>0.35880000000000001</v>
      </c>
      <c r="R2190" s="37">
        <v>0.51649999999999996</v>
      </c>
    </row>
    <row r="2191" spans="1:18" hidden="1">
      <c r="A2191" t="s">
        <v>76</v>
      </c>
      <c r="B2191" t="s">
        <v>40</v>
      </c>
      <c r="C2191">
        <v>2.3333333330000001</v>
      </c>
      <c r="D2191">
        <v>1.99</v>
      </c>
      <c r="E2191" s="29">
        <v>1.1725293130000001</v>
      </c>
      <c r="F2191">
        <v>5.95</v>
      </c>
      <c r="G2191">
        <v>1.91</v>
      </c>
      <c r="H2191">
        <v>7.86</v>
      </c>
      <c r="I2191" s="29">
        <v>0.75700000000000001</v>
      </c>
      <c r="J2191" s="29">
        <v>0.2969</v>
      </c>
      <c r="K2191" s="9">
        <v>45346</v>
      </c>
      <c r="L2191">
        <f xml:space="preserve"> (交易處理資料__3[[#This Row],[售出工時]] * 60) / 5</f>
        <v>27.999999996000003</v>
      </c>
      <c r="M2191" t="str">
        <f>VLOOKUP(交易處理資料__3[[#This Row],[人員代號]],團隊分組!$B$1:$C$52,2,FALSE)</f>
        <v>查修團隊A</v>
      </c>
      <c r="N2191" t="str">
        <f>IF(交易處理資料__3[[#This Row],[上班時間]]=0,"否","是")</f>
        <v>是</v>
      </c>
      <c r="O2191" t="s">
        <v>76</v>
      </c>
      <c r="P2191" s="38">
        <v>1.1725293130000001</v>
      </c>
      <c r="Q2191" s="38">
        <v>0.2969</v>
      </c>
      <c r="R2191" s="38">
        <v>0.75700000000000001</v>
      </c>
    </row>
    <row r="2192" spans="1:18" hidden="1">
      <c r="A2192" t="s">
        <v>76</v>
      </c>
      <c r="B2192" t="s">
        <v>41</v>
      </c>
      <c r="C2192">
        <v>7.9533333329999998</v>
      </c>
      <c r="D2192">
        <v>6.24</v>
      </c>
      <c r="E2192" s="29">
        <v>1.2745726500000001</v>
      </c>
      <c r="F2192">
        <v>6.24</v>
      </c>
      <c r="G2192">
        <v>1.62</v>
      </c>
      <c r="H2192">
        <v>7.86</v>
      </c>
      <c r="I2192" s="29">
        <v>0.79390000000000005</v>
      </c>
      <c r="J2192" s="29">
        <v>1.0119</v>
      </c>
      <c r="K2192" s="9">
        <v>45346</v>
      </c>
      <c r="L2192">
        <f xml:space="preserve"> (交易處理資料__3[[#This Row],[售出工時]] * 60) / 5</f>
        <v>95.439999995999997</v>
      </c>
      <c r="M2192" t="str">
        <f>VLOOKUP(交易處理資料__3[[#This Row],[人員代號]],團隊分組!$B$1:$C$52,2,FALSE)</f>
        <v>快速保養團隊A</v>
      </c>
      <c r="N2192" t="str">
        <f>IF(交易處理資料__3[[#This Row],[上班時間]]=0,"否","是")</f>
        <v>是</v>
      </c>
      <c r="O2192" t="s">
        <v>76</v>
      </c>
      <c r="P2192" s="37">
        <v>1.2745726500000001</v>
      </c>
      <c r="Q2192" s="37">
        <v>1.0119</v>
      </c>
      <c r="R2192" s="37">
        <v>0.79390000000000005</v>
      </c>
    </row>
    <row r="2193" spans="1:18" hidden="1">
      <c r="A2193" t="s">
        <v>76</v>
      </c>
      <c r="B2193" t="s">
        <v>42</v>
      </c>
      <c r="C2193">
        <v>0</v>
      </c>
      <c r="D2193">
        <v>0</v>
      </c>
      <c r="E2193" s="29">
        <v>0</v>
      </c>
      <c r="F2193">
        <v>0</v>
      </c>
      <c r="G2193">
        <v>0</v>
      </c>
      <c r="H2193">
        <v>0</v>
      </c>
      <c r="I2193" s="29">
        <v>0</v>
      </c>
      <c r="J2193" s="29">
        <v>0</v>
      </c>
      <c r="K2193" s="9">
        <v>45346</v>
      </c>
      <c r="L2193">
        <f xml:space="preserve"> (交易處理資料__3[[#This Row],[售出工時]] * 60) / 5</f>
        <v>0</v>
      </c>
      <c r="M2193" t="str">
        <f>VLOOKUP(交易處理資料__3[[#This Row],[人員代號]],團隊分組!$B$1:$C$52,2,FALSE)</f>
        <v>快速保養團隊A</v>
      </c>
      <c r="N2193" t="str">
        <f>IF(交易處理資料__3[[#This Row],[上班時間]]=0,"否","是")</f>
        <v>否</v>
      </c>
      <c r="O2193" t="s">
        <v>76</v>
      </c>
      <c r="P2193" s="38">
        <v>0</v>
      </c>
      <c r="Q2193" s="38">
        <v>0</v>
      </c>
      <c r="R2193" s="38">
        <v>0</v>
      </c>
    </row>
    <row r="2194" spans="1:18" hidden="1">
      <c r="A2194" t="s">
        <v>76</v>
      </c>
      <c r="B2194" t="s">
        <v>43</v>
      </c>
      <c r="C2194">
        <v>2.4900000000000002</v>
      </c>
      <c r="D2194">
        <v>3.35</v>
      </c>
      <c r="E2194" s="29">
        <v>0.74328358210000001</v>
      </c>
      <c r="F2194">
        <v>4.38</v>
      </c>
      <c r="G2194">
        <v>3.48</v>
      </c>
      <c r="H2194">
        <v>7.86</v>
      </c>
      <c r="I2194" s="29">
        <v>0.55730000000000002</v>
      </c>
      <c r="J2194" s="29">
        <v>0.31679999999999997</v>
      </c>
      <c r="K2194" s="9">
        <v>45346</v>
      </c>
      <c r="L2194">
        <f xml:space="preserve"> (交易處理資料__3[[#This Row],[售出工時]] * 60) / 5</f>
        <v>29.880000000000003</v>
      </c>
      <c r="M2194" t="str">
        <f>VLOOKUP(交易處理資料__3[[#This Row],[人員代號]],團隊分組!$B$1:$C$52,2,FALSE)</f>
        <v>查修團隊B</v>
      </c>
      <c r="N2194" t="str">
        <f>IF(交易處理資料__3[[#This Row],[上班時間]]=0,"否","是")</f>
        <v>是</v>
      </c>
      <c r="O2194" t="s">
        <v>76</v>
      </c>
      <c r="P2194" s="37">
        <v>0.74328358210000001</v>
      </c>
      <c r="Q2194" s="37">
        <v>0.31679999999999997</v>
      </c>
      <c r="R2194" s="37">
        <v>0.55730000000000002</v>
      </c>
    </row>
    <row r="2195" spans="1:18" hidden="1">
      <c r="A2195" t="s">
        <v>76</v>
      </c>
      <c r="B2195" t="s">
        <v>44</v>
      </c>
      <c r="C2195">
        <v>2.88</v>
      </c>
      <c r="D2195">
        <v>3.08</v>
      </c>
      <c r="E2195" s="29">
        <v>0.93506493509999999</v>
      </c>
      <c r="F2195">
        <v>5.07</v>
      </c>
      <c r="G2195">
        <v>2.79</v>
      </c>
      <c r="H2195">
        <v>7.86</v>
      </c>
      <c r="I2195" s="29">
        <v>0.64500000000000002</v>
      </c>
      <c r="J2195" s="29">
        <v>0.3664</v>
      </c>
      <c r="K2195" s="9">
        <v>45346</v>
      </c>
      <c r="L2195">
        <f xml:space="preserve"> (交易處理資料__3[[#This Row],[售出工時]] * 60) / 5</f>
        <v>34.559999999999995</v>
      </c>
      <c r="M2195" t="str">
        <f>VLOOKUP(交易處理資料__3[[#This Row],[人員代號]],團隊分組!$B$1:$C$52,2,FALSE)</f>
        <v>快速保養團隊B</v>
      </c>
      <c r="N2195" t="str">
        <f>IF(交易處理資料__3[[#This Row],[上班時間]]=0,"否","是")</f>
        <v>是</v>
      </c>
      <c r="O2195" t="s">
        <v>76</v>
      </c>
      <c r="P2195" s="38">
        <v>0.93506493509999999</v>
      </c>
      <c r="Q2195" s="38">
        <v>0.3664</v>
      </c>
      <c r="R2195" s="38">
        <v>0.64500000000000002</v>
      </c>
    </row>
    <row r="2196" spans="1:18" hidden="1">
      <c r="A2196" t="s">
        <v>76</v>
      </c>
      <c r="B2196" t="s">
        <v>45</v>
      </c>
      <c r="C2196">
        <v>7.8333333329999997</v>
      </c>
      <c r="D2196">
        <v>6.42</v>
      </c>
      <c r="E2196" s="29">
        <v>1.2201453789999999</v>
      </c>
      <c r="F2196">
        <v>4.82</v>
      </c>
      <c r="G2196">
        <v>3.08</v>
      </c>
      <c r="H2196">
        <v>7.9</v>
      </c>
      <c r="I2196" s="29">
        <v>0.61009999999999998</v>
      </c>
      <c r="J2196" s="29">
        <v>0.99159999999999993</v>
      </c>
      <c r="K2196" s="9">
        <v>45346</v>
      </c>
      <c r="L2196">
        <f xml:space="preserve"> (交易處理資料__3[[#This Row],[售出工時]] * 60) / 5</f>
        <v>93.999999996</v>
      </c>
      <c r="M2196" t="str">
        <f>VLOOKUP(交易處理資料__3[[#This Row],[人員代號]],團隊分組!$B$1:$C$52,2,FALSE)</f>
        <v>快速保養團隊A</v>
      </c>
      <c r="N2196" t="str">
        <f>IF(交易處理資料__3[[#This Row],[上班時間]]=0,"否","是")</f>
        <v>是</v>
      </c>
      <c r="O2196" t="s">
        <v>76</v>
      </c>
      <c r="P2196" s="37">
        <v>1.2201453789999999</v>
      </c>
      <c r="Q2196" s="37">
        <v>0.99159999999999993</v>
      </c>
      <c r="R2196" s="37">
        <v>0.61009999999999998</v>
      </c>
    </row>
    <row r="2197" spans="1:18" hidden="1">
      <c r="A2197" t="s">
        <v>76</v>
      </c>
      <c r="B2197" t="s">
        <v>46</v>
      </c>
      <c r="C2197">
        <v>0</v>
      </c>
      <c r="D2197">
        <v>0</v>
      </c>
      <c r="E2197" s="29">
        <v>0</v>
      </c>
      <c r="F2197">
        <v>0</v>
      </c>
      <c r="G2197">
        <v>0</v>
      </c>
      <c r="H2197">
        <v>0</v>
      </c>
      <c r="I2197" s="29">
        <v>0</v>
      </c>
      <c r="J2197" s="29">
        <v>0</v>
      </c>
      <c r="K2197" s="9">
        <v>45346</v>
      </c>
      <c r="L2197">
        <f xml:space="preserve"> (交易處理資料__3[[#This Row],[售出工時]] * 60) / 5</f>
        <v>0</v>
      </c>
      <c r="M2197" t="str">
        <f>VLOOKUP(交易處理資料__3[[#This Row],[人員代號]],團隊分組!$B$1:$C$52,2,FALSE)</f>
        <v>查修團隊B</v>
      </c>
      <c r="N2197" t="str">
        <f>IF(交易處理資料__3[[#This Row],[上班時間]]=0,"否","是")</f>
        <v>否</v>
      </c>
      <c r="O2197" t="s">
        <v>76</v>
      </c>
      <c r="P2197" s="38">
        <v>0</v>
      </c>
      <c r="Q2197" s="38">
        <v>0</v>
      </c>
      <c r="R2197" s="38">
        <v>0</v>
      </c>
    </row>
    <row r="2198" spans="1:18" hidden="1">
      <c r="A2198" t="s">
        <v>76</v>
      </c>
      <c r="B2198" t="s">
        <v>47</v>
      </c>
      <c r="C2198">
        <v>2.9366666669999999</v>
      </c>
      <c r="D2198">
        <v>3.07</v>
      </c>
      <c r="E2198" s="29">
        <v>0.95656894679999993</v>
      </c>
      <c r="F2198">
        <v>5.05</v>
      </c>
      <c r="G2198">
        <v>2.82</v>
      </c>
      <c r="H2198">
        <v>7.87</v>
      </c>
      <c r="I2198" s="29">
        <v>0.64170000000000005</v>
      </c>
      <c r="J2198" s="29">
        <v>0.37310000000000004</v>
      </c>
      <c r="K2198" s="9">
        <v>45346</v>
      </c>
      <c r="L2198">
        <f xml:space="preserve"> (交易處理資料__3[[#This Row],[售出工時]] * 60) / 5</f>
        <v>35.240000004000002</v>
      </c>
      <c r="M2198" t="str">
        <f>VLOOKUP(交易處理資料__3[[#This Row],[人員代號]],團隊分組!$B$1:$C$52,2,FALSE)</f>
        <v>查修團隊B</v>
      </c>
      <c r="N2198" t="str">
        <f>IF(交易處理資料__3[[#This Row],[上班時間]]=0,"否","是")</f>
        <v>是</v>
      </c>
      <c r="O2198" t="s">
        <v>76</v>
      </c>
      <c r="P2198" s="37">
        <v>0.95656894679999993</v>
      </c>
      <c r="Q2198" s="37">
        <v>0.37310000000000004</v>
      </c>
      <c r="R2198" s="37">
        <v>0.64170000000000005</v>
      </c>
    </row>
    <row r="2199" spans="1:18" hidden="1">
      <c r="A2199" t="s">
        <v>76</v>
      </c>
      <c r="B2199" t="s">
        <v>50</v>
      </c>
      <c r="C2199">
        <v>0</v>
      </c>
      <c r="D2199">
        <v>0</v>
      </c>
      <c r="E2199" s="29">
        <v>0</v>
      </c>
      <c r="F2199">
        <v>0</v>
      </c>
      <c r="G2199">
        <v>0</v>
      </c>
      <c r="H2199">
        <v>0</v>
      </c>
      <c r="I2199" s="29">
        <v>0</v>
      </c>
      <c r="J2199" s="29">
        <v>0</v>
      </c>
      <c r="K2199" s="9">
        <v>45346</v>
      </c>
      <c r="L2199">
        <f xml:space="preserve"> (交易處理資料__3[[#This Row],[售出工時]] * 60) / 5</f>
        <v>0</v>
      </c>
      <c r="M2199" t="str">
        <f>VLOOKUP(交易處理資料__3[[#This Row],[人員代號]],團隊分組!$B$1:$C$52,2,FALSE)</f>
        <v>快速保養團隊B</v>
      </c>
      <c r="N2199" t="str">
        <f>IF(交易處理資料__3[[#This Row],[上班時間]]=0,"否","是")</f>
        <v>否</v>
      </c>
      <c r="O2199" t="s">
        <v>76</v>
      </c>
      <c r="P2199" s="38">
        <v>0</v>
      </c>
      <c r="Q2199" s="38">
        <v>0</v>
      </c>
      <c r="R2199" s="38">
        <v>0</v>
      </c>
    </row>
    <row r="2200" spans="1:18" hidden="1">
      <c r="A2200" t="s">
        <v>76</v>
      </c>
      <c r="B2200" t="s">
        <v>51</v>
      </c>
      <c r="C2200">
        <v>0</v>
      </c>
      <c r="D2200">
        <v>0</v>
      </c>
      <c r="E2200" s="29">
        <v>0</v>
      </c>
      <c r="F2200">
        <v>0</v>
      </c>
      <c r="G2200">
        <v>0</v>
      </c>
      <c r="H2200">
        <v>0</v>
      </c>
      <c r="I2200" s="29">
        <v>0</v>
      </c>
      <c r="J2200" s="29">
        <v>0</v>
      </c>
      <c r="K2200" s="9">
        <v>45346</v>
      </c>
      <c r="L2200">
        <f xml:space="preserve"> (交易處理資料__3[[#This Row],[售出工時]] * 60) / 5</f>
        <v>0</v>
      </c>
      <c r="M2200" t="str">
        <f>VLOOKUP(交易處理資料__3[[#This Row],[人員代號]],團隊分組!$B$1:$C$52,2,FALSE)</f>
        <v>無效數據</v>
      </c>
      <c r="N2200" t="str">
        <f>IF(交易處理資料__3[[#This Row],[上班時間]]=0,"否","是")</f>
        <v>否</v>
      </c>
      <c r="O2200" t="s">
        <v>76</v>
      </c>
      <c r="P2200" s="37">
        <v>0</v>
      </c>
      <c r="Q2200" s="37">
        <v>0</v>
      </c>
      <c r="R2200" s="37">
        <v>0</v>
      </c>
    </row>
    <row r="2201" spans="1:18" hidden="1">
      <c r="A2201" t="s">
        <v>76</v>
      </c>
      <c r="B2201" t="s">
        <v>52</v>
      </c>
      <c r="C2201">
        <v>0</v>
      </c>
      <c r="D2201">
        <v>0</v>
      </c>
      <c r="E2201" s="29">
        <v>0</v>
      </c>
      <c r="F2201">
        <v>0</v>
      </c>
      <c r="G2201">
        <v>0</v>
      </c>
      <c r="H2201">
        <v>0</v>
      </c>
      <c r="I2201" s="29">
        <v>0</v>
      </c>
      <c r="J2201" s="29">
        <v>0</v>
      </c>
      <c r="K2201" s="9">
        <v>45346</v>
      </c>
      <c r="L2201">
        <f xml:space="preserve"> (交易處理資料__3[[#This Row],[售出工時]] * 60) / 5</f>
        <v>0</v>
      </c>
      <c r="M2201" t="str">
        <f>VLOOKUP(交易處理資料__3[[#This Row],[人員代號]],團隊分組!$B$1:$C$52,2,FALSE)</f>
        <v>查修團隊B</v>
      </c>
      <c r="N2201" t="str">
        <f>IF(交易處理資料__3[[#This Row],[上班時間]]=0,"否","是")</f>
        <v>否</v>
      </c>
      <c r="O2201" t="s">
        <v>76</v>
      </c>
      <c r="P2201" s="38">
        <v>0</v>
      </c>
      <c r="Q2201" s="38">
        <v>0</v>
      </c>
      <c r="R2201" s="38">
        <v>0</v>
      </c>
    </row>
    <row r="2202" spans="1:18" hidden="1">
      <c r="A2202" s="10" t="s">
        <v>74</v>
      </c>
      <c r="B2202" t="s">
        <v>1</v>
      </c>
      <c r="C2202">
        <v>0</v>
      </c>
      <c r="D2202">
        <v>0</v>
      </c>
      <c r="E2202" s="29">
        <v>0</v>
      </c>
      <c r="F2202">
        <v>0</v>
      </c>
      <c r="G2202">
        <v>0</v>
      </c>
      <c r="H2202">
        <v>0</v>
      </c>
      <c r="I2202" s="29">
        <v>0</v>
      </c>
      <c r="J2202" s="29">
        <v>0</v>
      </c>
      <c r="K2202" s="9">
        <v>45347</v>
      </c>
      <c r="L2202">
        <f xml:space="preserve"> (交易處理資料__3[[#This Row],[售出工時]] * 60) / 5</f>
        <v>0</v>
      </c>
      <c r="M2202" t="str">
        <f>VLOOKUP(交易處理資料__3[[#This Row],[人員代號]],團隊分組!$B$1:$C$52,2,FALSE)</f>
        <v>噴漆維修組</v>
      </c>
      <c r="N2202" t="str">
        <f>IF(交易處理資料__3[[#This Row],[上班時間]]=0,"否","是")</f>
        <v>否</v>
      </c>
      <c r="O2202" s="10" t="s">
        <v>74</v>
      </c>
      <c r="P2202" s="37">
        <v>0</v>
      </c>
      <c r="Q2202" s="37">
        <v>0</v>
      </c>
      <c r="R2202" s="37">
        <v>0</v>
      </c>
    </row>
    <row r="2203" spans="1:18" hidden="1">
      <c r="A2203" s="10" t="s">
        <v>74</v>
      </c>
      <c r="B2203" t="s">
        <v>2</v>
      </c>
      <c r="C2203">
        <v>0</v>
      </c>
      <c r="D2203">
        <v>0</v>
      </c>
      <c r="E2203" s="29">
        <v>0</v>
      </c>
      <c r="F2203">
        <v>0</v>
      </c>
      <c r="G2203">
        <v>0</v>
      </c>
      <c r="H2203">
        <v>0</v>
      </c>
      <c r="I2203" s="29">
        <v>0</v>
      </c>
      <c r="J2203" s="29">
        <v>0</v>
      </c>
      <c r="K2203" s="9">
        <v>45347</v>
      </c>
      <c r="L2203">
        <f xml:space="preserve"> (交易處理資料__3[[#This Row],[售出工時]] * 60) / 5</f>
        <v>0</v>
      </c>
      <c r="M2203" t="str">
        <f>VLOOKUP(交易處理資料__3[[#This Row],[人員代號]],團隊分組!$B$1:$C$52,2,FALSE)</f>
        <v>噴漆維修組</v>
      </c>
      <c r="N2203" t="str">
        <f>IF(交易處理資料__3[[#This Row],[上班時間]]=0,"否","是")</f>
        <v>否</v>
      </c>
      <c r="O2203" s="10" t="s">
        <v>74</v>
      </c>
      <c r="P2203" s="38">
        <v>0</v>
      </c>
      <c r="Q2203" s="38">
        <v>0</v>
      </c>
      <c r="R2203" s="38">
        <v>0</v>
      </c>
    </row>
    <row r="2204" spans="1:18" hidden="1">
      <c r="A2204" s="10" t="s">
        <v>74</v>
      </c>
      <c r="B2204" t="s">
        <v>3</v>
      </c>
      <c r="C2204">
        <v>0</v>
      </c>
      <c r="D2204">
        <v>0</v>
      </c>
      <c r="E2204" s="29">
        <v>0</v>
      </c>
      <c r="F2204">
        <v>0</v>
      </c>
      <c r="G2204">
        <v>0</v>
      </c>
      <c r="H2204">
        <v>0</v>
      </c>
      <c r="I2204" s="29">
        <v>0</v>
      </c>
      <c r="J2204" s="29">
        <v>0</v>
      </c>
      <c r="K2204" s="9">
        <v>45347</v>
      </c>
      <c r="L2204">
        <f xml:space="preserve"> (交易處理資料__3[[#This Row],[售出工時]] * 60) / 5</f>
        <v>0</v>
      </c>
      <c r="M2204" t="str">
        <f>VLOOKUP(交易處理資料__3[[#This Row],[人員代號]],團隊分組!$B$1:$C$52,2,FALSE)</f>
        <v>噴漆維修組</v>
      </c>
      <c r="N2204" t="str">
        <f>IF(交易處理資料__3[[#This Row],[上班時間]]=0,"否","是")</f>
        <v>否</v>
      </c>
      <c r="O2204" s="10" t="s">
        <v>74</v>
      </c>
      <c r="P2204" s="37">
        <v>0</v>
      </c>
      <c r="Q2204" s="37">
        <v>0</v>
      </c>
      <c r="R2204" s="37">
        <v>0</v>
      </c>
    </row>
    <row r="2205" spans="1:18" hidden="1">
      <c r="A2205" s="10" t="s">
        <v>74</v>
      </c>
      <c r="B2205" t="s">
        <v>4</v>
      </c>
      <c r="C2205">
        <v>0</v>
      </c>
      <c r="D2205">
        <v>0</v>
      </c>
      <c r="E2205" s="29">
        <v>0</v>
      </c>
      <c r="F2205">
        <v>0</v>
      </c>
      <c r="G2205">
        <v>0</v>
      </c>
      <c r="H2205">
        <v>0</v>
      </c>
      <c r="I2205" s="29">
        <v>0</v>
      </c>
      <c r="J2205" s="29">
        <v>0</v>
      </c>
      <c r="K2205" s="9">
        <v>45347</v>
      </c>
      <c r="L2205">
        <f xml:space="preserve"> (交易處理資料__3[[#This Row],[售出工時]] * 60) / 5</f>
        <v>0</v>
      </c>
      <c r="M2205" t="str">
        <f>VLOOKUP(交易處理資料__3[[#This Row],[人員代號]],團隊分組!$B$1:$C$52,2,FALSE)</f>
        <v>噴漆維修組</v>
      </c>
      <c r="N2205" t="str">
        <f>IF(交易處理資料__3[[#This Row],[上班時間]]=0,"否","是")</f>
        <v>否</v>
      </c>
      <c r="O2205" s="10" t="s">
        <v>74</v>
      </c>
      <c r="P2205" s="38">
        <v>0</v>
      </c>
      <c r="Q2205" s="38">
        <v>0</v>
      </c>
      <c r="R2205" s="38">
        <v>0</v>
      </c>
    </row>
    <row r="2206" spans="1:18" hidden="1">
      <c r="A2206" s="10" t="s">
        <v>74</v>
      </c>
      <c r="B2206" t="s">
        <v>5</v>
      </c>
      <c r="C2206">
        <v>0</v>
      </c>
      <c r="D2206">
        <v>0</v>
      </c>
      <c r="E2206" s="29">
        <v>0</v>
      </c>
      <c r="F2206">
        <v>0</v>
      </c>
      <c r="G2206">
        <v>0</v>
      </c>
      <c r="H2206">
        <v>0</v>
      </c>
      <c r="I2206" s="29">
        <v>0</v>
      </c>
      <c r="J2206" s="29">
        <v>0</v>
      </c>
      <c r="K2206" s="9">
        <v>45347</v>
      </c>
      <c r="L2206">
        <f xml:space="preserve"> (交易處理資料__3[[#This Row],[售出工時]] * 60) / 5</f>
        <v>0</v>
      </c>
      <c r="M2206" t="str">
        <f>VLOOKUP(交易處理資料__3[[#This Row],[人員代號]],團隊分組!$B$1:$C$52,2,FALSE)</f>
        <v>噴漆維修組</v>
      </c>
      <c r="N2206" t="str">
        <f>IF(交易處理資料__3[[#This Row],[上班時間]]=0,"否","是")</f>
        <v>否</v>
      </c>
      <c r="O2206" s="10" t="s">
        <v>74</v>
      </c>
      <c r="P2206" s="37">
        <v>0</v>
      </c>
      <c r="Q2206" s="37">
        <v>0</v>
      </c>
      <c r="R2206" s="37">
        <v>0</v>
      </c>
    </row>
    <row r="2207" spans="1:18" hidden="1">
      <c r="A2207" s="10" t="s">
        <v>74</v>
      </c>
      <c r="B2207" t="s">
        <v>6</v>
      </c>
      <c r="C2207">
        <v>0</v>
      </c>
      <c r="D2207">
        <v>0</v>
      </c>
      <c r="E2207" s="29">
        <v>0</v>
      </c>
      <c r="F2207">
        <v>0</v>
      </c>
      <c r="G2207">
        <v>0</v>
      </c>
      <c r="H2207">
        <v>0</v>
      </c>
      <c r="I2207" s="29">
        <v>0</v>
      </c>
      <c r="J2207" s="29">
        <v>0</v>
      </c>
      <c r="K2207" s="9">
        <v>45347</v>
      </c>
      <c r="L2207">
        <f xml:space="preserve"> (交易處理資料__3[[#This Row],[售出工時]] * 60) / 5</f>
        <v>0</v>
      </c>
      <c r="M2207" t="str">
        <f>VLOOKUP(交易處理資料__3[[#This Row],[人員代號]],團隊分組!$B$1:$C$52,2,FALSE)</f>
        <v>噴漆維修組</v>
      </c>
      <c r="N2207" t="str">
        <f>IF(交易處理資料__3[[#This Row],[上班時間]]=0,"否","是")</f>
        <v>否</v>
      </c>
      <c r="O2207" s="10" t="s">
        <v>74</v>
      </c>
      <c r="P2207" s="38">
        <v>0</v>
      </c>
      <c r="Q2207" s="38">
        <v>0</v>
      </c>
      <c r="R2207" s="38">
        <v>0</v>
      </c>
    </row>
    <row r="2208" spans="1:18">
      <c r="A2208" s="10" t="s">
        <v>74</v>
      </c>
      <c r="B2208" t="s">
        <v>7</v>
      </c>
      <c r="C2208">
        <v>0</v>
      </c>
      <c r="D2208">
        <v>0</v>
      </c>
      <c r="E2208" s="29">
        <v>0</v>
      </c>
      <c r="F2208">
        <v>0</v>
      </c>
      <c r="G2208">
        <v>0</v>
      </c>
      <c r="H2208">
        <v>0</v>
      </c>
      <c r="I2208" s="29">
        <v>0</v>
      </c>
      <c r="J2208" s="29">
        <v>0</v>
      </c>
      <c r="K2208" s="9">
        <v>45347</v>
      </c>
      <c r="L2208">
        <f xml:space="preserve"> (交易處理資料__3[[#This Row],[售出工時]] * 60) / 5</f>
        <v>0</v>
      </c>
      <c r="M2208" t="str">
        <f>VLOOKUP(交易處理資料__3[[#This Row],[人員代號]],團隊分組!$B$1:$C$52,2,FALSE)</f>
        <v>噴漆維修組</v>
      </c>
      <c r="N2208" t="str">
        <f>IF(交易處理資料__3[[#This Row],[上班時間]]=0,"否","是")</f>
        <v>否</v>
      </c>
      <c r="O2208" s="10" t="s">
        <v>74</v>
      </c>
      <c r="P2208" s="37">
        <v>0</v>
      </c>
      <c r="Q2208" s="37">
        <v>0</v>
      </c>
      <c r="R2208" s="37">
        <v>0</v>
      </c>
    </row>
    <row r="2209" spans="1:18" hidden="1">
      <c r="A2209" s="10" t="s">
        <v>74</v>
      </c>
      <c r="B2209" t="s">
        <v>8</v>
      </c>
      <c r="C2209">
        <v>0</v>
      </c>
      <c r="D2209">
        <v>0</v>
      </c>
      <c r="E2209" s="29">
        <v>0</v>
      </c>
      <c r="F2209">
        <v>0</v>
      </c>
      <c r="G2209">
        <v>0</v>
      </c>
      <c r="H2209">
        <v>0</v>
      </c>
      <c r="I2209" s="29">
        <v>0</v>
      </c>
      <c r="J2209" s="29">
        <v>0</v>
      </c>
      <c r="K2209" s="9">
        <v>45347</v>
      </c>
      <c r="L2209">
        <f xml:space="preserve"> (交易處理資料__3[[#This Row],[售出工時]] * 60) / 5</f>
        <v>0</v>
      </c>
      <c r="M2209" t="str">
        <f>VLOOKUP(交易處理資料__3[[#This Row],[人員代號]],團隊分組!$B$1:$C$52,2,FALSE)</f>
        <v>噴漆維修組</v>
      </c>
      <c r="N2209" t="str">
        <f>IF(交易處理資料__3[[#This Row],[上班時間]]=0,"否","是")</f>
        <v>否</v>
      </c>
      <c r="O2209" s="10" t="s">
        <v>74</v>
      </c>
      <c r="P2209" s="38">
        <v>0</v>
      </c>
      <c r="Q2209" s="38">
        <v>0</v>
      </c>
      <c r="R2209" s="38">
        <v>0</v>
      </c>
    </row>
    <row r="2210" spans="1:18" hidden="1">
      <c r="A2210" s="10" t="s">
        <v>74</v>
      </c>
      <c r="B2210" t="s">
        <v>9</v>
      </c>
      <c r="C2210">
        <v>0</v>
      </c>
      <c r="D2210">
        <v>0</v>
      </c>
      <c r="E2210" s="29">
        <v>0</v>
      </c>
      <c r="F2210">
        <v>0</v>
      </c>
      <c r="G2210">
        <v>0</v>
      </c>
      <c r="H2210">
        <v>0</v>
      </c>
      <c r="I2210" s="29">
        <v>0</v>
      </c>
      <c r="J2210" s="29">
        <v>0</v>
      </c>
      <c r="K2210" s="9">
        <v>45347</v>
      </c>
      <c r="L2210">
        <f xml:space="preserve"> (交易處理資料__3[[#This Row],[售出工時]] * 60) / 5</f>
        <v>0</v>
      </c>
      <c r="M2210" t="str">
        <f>VLOOKUP(交易處理資料__3[[#This Row],[人員代號]],團隊分組!$B$1:$C$52,2,FALSE)</f>
        <v>噴漆維修組</v>
      </c>
      <c r="N2210" t="str">
        <f>IF(交易處理資料__3[[#This Row],[上班時間]]=0,"否","是")</f>
        <v>否</v>
      </c>
      <c r="O2210" s="10" t="s">
        <v>74</v>
      </c>
      <c r="P2210" s="37">
        <v>0</v>
      </c>
      <c r="Q2210" s="37">
        <v>0</v>
      </c>
      <c r="R2210" s="37">
        <v>0</v>
      </c>
    </row>
    <row r="2211" spans="1:18" hidden="1">
      <c r="A2211" t="s">
        <v>75</v>
      </c>
      <c r="B2211" t="s">
        <v>11</v>
      </c>
      <c r="C2211">
        <v>0</v>
      </c>
      <c r="D2211">
        <v>0</v>
      </c>
      <c r="E2211" s="29">
        <v>0</v>
      </c>
      <c r="F2211">
        <v>0</v>
      </c>
      <c r="G2211">
        <v>0</v>
      </c>
      <c r="H2211">
        <v>0</v>
      </c>
      <c r="I2211" s="29">
        <v>0</v>
      </c>
      <c r="J2211" s="29">
        <v>0</v>
      </c>
      <c r="K2211" s="9">
        <v>45347</v>
      </c>
      <c r="L2211">
        <f xml:space="preserve"> (交易處理資料__3[[#This Row],[售出工時]] * 60) / 5</f>
        <v>0</v>
      </c>
      <c r="M2211" t="str">
        <f>VLOOKUP(交易處理資料__3[[#This Row],[人員代號]],團隊分組!$B$1:$C$52,2,FALSE)</f>
        <v>鈑金維修組</v>
      </c>
      <c r="N2211" t="str">
        <f>IF(交易處理資料__3[[#This Row],[上班時間]]=0,"否","是")</f>
        <v>否</v>
      </c>
      <c r="O2211" t="s">
        <v>75</v>
      </c>
      <c r="P2211" s="38">
        <v>0</v>
      </c>
      <c r="Q2211" s="38">
        <v>0</v>
      </c>
      <c r="R2211" s="38">
        <v>0</v>
      </c>
    </row>
    <row r="2212" spans="1:18" hidden="1">
      <c r="A2212" t="s">
        <v>75</v>
      </c>
      <c r="B2212" t="s">
        <v>12</v>
      </c>
      <c r="C2212">
        <v>0</v>
      </c>
      <c r="D2212">
        <v>0</v>
      </c>
      <c r="E2212" s="29">
        <v>0</v>
      </c>
      <c r="F2212">
        <v>0</v>
      </c>
      <c r="G2212">
        <v>0</v>
      </c>
      <c r="H2212">
        <v>0</v>
      </c>
      <c r="I2212" s="29">
        <v>0</v>
      </c>
      <c r="J2212" s="29">
        <v>0</v>
      </c>
      <c r="K2212" s="9">
        <v>45347</v>
      </c>
      <c r="L2212">
        <f xml:space="preserve"> (交易處理資料__3[[#This Row],[售出工時]] * 60) / 5</f>
        <v>0</v>
      </c>
      <c r="M2212" t="str">
        <f>VLOOKUP(交易處理資料__3[[#This Row],[人員代號]],團隊分組!$B$1:$C$52,2,FALSE)</f>
        <v>鈑金維修組</v>
      </c>
      <c r="N2212" t="str">
        <f>IF(交易處理資料__3[[#This Row],[上班時間]]=0,"否","是")</f>
        <v>否</v>
      </c>
      <c r="O2212" t="s">
        <v>75</v>
      </c>
      <c r="P2212" s="37">
        <v>0</v>
      </c>
      <c r="Q2212" s="37">
        <v>0</v>
      </c>
      <c r="R2212" s="37">
        <v>0</v>
      </c>
    </row>
    <row r="2213" spans="1:18" hidden="1">
      <c r="A2213" t="s">
        <v>75</v>
      </c>
      <c r="B2213" t="s">
        <v>13</v>
      </c>
      <c r="C2213">
        <v>0</v>
      </c>
      <c r="D2213">
        <v>0</v>
      </c>
      <c r="E2213" s="29">
        <v>0</v>
      </c>
      <c r="F2213">
        <v>0</v>
      </c>
      <c r="G2213">
        <v>0</v>
      </c>
      <c r="H2213">
        <v>0</v>
      </c>
      <c r="I2213" s="29">
        <v>0</v>
      </c>
      <c r="J2213" s="29">
        <v>0</v>
      </c>
      <c r="K2213" s="9">
        <v>45347</v>
      </c>
      <c r="L2213">
        <f xml:space="preserve"> (交易處理資料__3[[#This Row],[售出工時]] * 60) / 5</f>
        <v>0</v>
      </c>
      <c r="M2213" t="str">
        <f>VLOOKUP(交易處理資料__3[[#This Row],[人員代號]],團隊分組!$B$1:$C$52,2,FALSE)</f>
        <v>鈑金維修組</v>
      </c>
      <c r="N2213" t="str">
        <f>IF(交易處理資料__3[[#This Row],[上班時間]]=0,"否","是")</f>
        <v>否</v>
      </c>
      <c r="O2213" t="s">
        <v>75</v>
      </c>
      <c r="P2213" s="38">
        <v>0</v>
      </c>
      <c r="Q2213" s="38">
        <v>0</v>
      </c>
      <c r="R2213" s="38">
        <v>0</v>
      </c>
    </row>
    <row r="2214" spans="1:18" hidden="1">
      <c r="A2214" t="s">
        <v>75</v>
      </c>
      <c r="B2214" t="s">
        <v>14</v>
      </c>
      <c r="C2214">
        <v>0</v>
      </c>
      <c r="D2214">
        <v>0</v>
      </c>
      <c r="E2214" s="29">
        <v>0</v>
      </c>
      <c r="F2214">
        <v>0</v>
      </c>
      <c r="G2214">
        <v>0</v>
      </c>
      <c r="H2214">
        <v>0</v>
      </c>
      <c r="I2214" s="29">
        <v>0</v>
      </c>
      <c r="J2214" s="29">
        <v>0</v>
      </c>
      <c r="K2214" s="9">
        <v>45347</v>
      </c>
      <c r="L2214">
        <f xml:space="preserve"> (交易處理資料__3[[#This Row],[售出工時]] * 60) / 5</f>
        <v>0</v>
      </c>
      <c r="M2214" t="str">
        <f>VLOOKUP(交易處理資料__3[[#This Row],[人員代號]],團隊分組!$B$1:$C$52,2,FALSE)</f>
        <v>鈑金維修組</v>
      </c>
      <c r="N2214" t="str">
        <f>IF(交易處理資料__3[[#This Row],[上班時間]]=0,"否","是")</f>
        <v>否</v>
      </c>
      <c r="O2214" t="s">
        <v>75</v>
      </c>
      <c r="P2214" s="37">
        <v>0</v>
      </c>
      <c r="Q2214" s="37">
        <v>0</v>
      </c>
      <c r="R2214" s="37">
        <v>0</v>
      </c>
    </row>
    <row r="2215" spans="1:18" hidden="1">
      <c r="A2215" t="s">
        <v>75</v>
      </c>
      <c r="B2215" t="s">
        <v>15</v>
      </c>
      <c r="C2215">
        <v>0</v>
      </c>
      <c r="D2215">
        <v>0</v>
      </c>
      <c r="E2215" s="29">
        <v>0</v>
      </c>
      <c r="F2215">
        <v>0</v>
      </c>
      <c r="G2215">
        <v>0</v>
      </c>
      <c r="H2215">
        <v>0</v>
      </c>
      <c r="I2215" s="29">
        <v>0</v>
      </c>
      <c r="J2215" s="29">
        <v>0</v>
      </c>
      <c r="K2215" s="9">
        <v>45347</v>
      </c>
      <c r="L2215">
        <f xml:space="preserve"> (交易處理資料__3[[#This Row],[售出工時]] * 60) / 5</f>
        <v>0</v>
      </c>
      <c r="M2215" t="str">
        <f>VLOOKUP(交易處理資料__3[[#This Row],[人員代號]],團隊分組!$B$1:$C$52,2,FALSE)</f>
        <v>鈑金維修組</v>
      </c>
      <c r="N2215" t="str">
        <f>IF(交易處理資料__3[[#This Row],[上班時間]]=0,"否","是")</f>
        <v>否</v>
      </c>
      <c r="O2215" t="s">
        <v>75</v>
      </c>
      <c r="P2215" s="38">
        <v>0</v>
      </c>
      <c r="Q2215" s="38">
        <v>0</v>
      </c>
      <c r="R2215" s="38">
        <v>0</v>
      </c>
    </row>
    <row r="2216" spans="1:18" hidden="1">
      <c r="A2216" t="s">
        <v>76</v>
      </c>
      <c r="B2216" t="s">
        <v>17</v>
      </c>
      <c r="C2216">
        <v>0</v>
      </c>
      <c r="D2216">
        <v>0</v>
      </c>
      <c r="E2216" s="29">
        <v>0</v>
      </c>
      <c r="F2216">
        <v>0</v>
      </c>
      <c r="G2216">
        <v>0</v>
      </c>
      <c r="H2216">
        <v>0</v>
      </c>
      <c r="I2216" s="29">
        <v>0</v>
      </c>
      <c r="J2216" s="29">
        <v>0</v>
      </c>
      <c r="K2216" s="9">
        <v>45347</v>
      </c>
      <c r="L2216">
        <f xml:space="preserve"> (交易處理資料__3[[#This Row],[售出工時]] * 60) / 5</f>
        <v>0</v>
      </c>
      <c r="M2216" t="str">
        <f>VLOOKUP(交易處理資料__3[[#This Row],[人員代號]],團隊分組!$B$1:$C$52,2,FALSE)</f>
        <v>快速保養團隊A</v>
      </c>
      <c r="N2216" t="str">
        <f>IF(交易處理資料__3[[#This Row],[上班時間]]=0,"否","是")</f>
        <v>否</v>
      </c>
      <c r="O2216" t="s">
        <v>76</v>
      </c>
      <c r="P2216" s="37">
        <v>0</v>
      </c>
      <c r="Q2216" s="37">
        <v>0</v>
      </c>
      <c r="R2216" s="37">
        <v>0</v>
      </c>
    </row>
    <row r="2217" spans="1:18" hidden="1">
      <c r="A2217" t="s">
        <v>76</v>
      </c>
      <c r="B2217" t="s">
        <v>18</v>
      </c>
      <c r="C2217">
        <v>0</v>
      </c>
      <c r="D2217">
        <v>0</v>
      </c>
      <c r="E2217" s="29">
        <v>0</v>
      </c>
      <c r="F2217">
        <v>0</v>
      </c>
      <c r="G2217">
        <v>0</v>
      </c>
      <c r="H2217">
        <v>0</v>
      </c>
      <c r="I2217" s="29">
        <v>0</v>
      </c>
      <c r="J2217" s="29">
        <v>0</v>
      </c>
      <c r="K2217" s="9">
        <v>45347</v>
      </c>
      <c r="L2217">
        <f xml:space="preserve"> (交易處理資料__3[[#This Row],[售出工時]] * 60) / 5</f>
        <v>0</v>
      </c>
      <c r="M2217" t="str">
        <f>VLOOKUP(交易處理資料__3[[#This Row],[人員代號]],團隊分組!$B$1:$C$52,2,FALSE)</f>
        <v>查修團隊B</v>
      </c>
      <c r="N2217" t="str">
        <f>IF(交易處理資料__3[[#This Row],[上班時間]]=0,"否","是")</f>
        <v>否</v>
      </c>
      <c r="O2217" t="s">
        <v>76</v>
      </c>
      <c r="P2217" s="38">
        <v>0</v>
      </c>
      <c r="Q2217" s="38">
        <v>0</v>
      </c>
      <c r="R2217" s="38">
        <v>0</v>
      </c>
    </row>
    <row r="2218" spans="1:18" hidden="1">
      <c r="A2218" t="s">
        <v>76</v>
      </c>
      <c r="B2218" t="s">
        <v>19</v>
      </c>
      <c r="C2218">
        <v>0</v>
      </c>
      <c r="D2218">
        <v>0</v>
      </c>
      <c r="E2218" s="29">
        <v>0</v>
      </c>
      <c r="F2218">
        <v>0</v>
      </c>
      <c r="G2218">
        <v>0</v>
      </c>
      <c r="H2218">
        <v>0</v>
      </c>
      <c r="I2218" s="29">
        <v>0</v>
      </c>
      <c r="J2218" s="29">
        <v>0</v>
      </c>
      <c r="K2218" s="9">
        <v>45347</v>
      </c>
      <c r="L2218">
        <f xml:space="preserve"> (交易處理資料__3[[#This Row],[售出工時]] * 60) / 5</f>
        <v>0</v>
      </c>
      <c r="M2218" t="str">
        <f>VLOOKUP(交易處理資料__3[[#This Row],[人員代號]],團隊分組!$B$1:$C$52,2,FALSE)</f>
        <v>查修團隊A</v>
      </c>
      <c r="N2218" t="str">
        <f>IF(交易處理資料__3[[#This Row],[上班時間]]=0,"否","是")</f>
        <v>否</v>
      </c>
      <c r="O2218" t="s">
        <v>76</v>
      </c>
      <c r="P2218" s="37">
        <v>0</v>
      </c>
      <c r="Q2218" s="37">
        <v>0</v>
      </c>
      <c r="R2218" s="37">
        <v>0</v>
      </c>
    </row>
    <row r="2219" spans="1:18" hidden="1">
      <c r="A2219" t="s">
        <v>76</v>
      </c>
      <c r="B2219" t="s">
        <v>20</v>
      </c>
      <c r="C2219">
        <v>0</v>
      </c>
      <c r="D2219">
        <v>0</v>
      </c>
      <c r="E2219" s="29">
        <v>0</v>
      </c>
      <c r="F2219">
        <v>0</v>
      </c>
      <c r="G2219">
        <v>0</v>
      </c>
      <c r="H2219">
        <v>0</v>
      </c>
      <c r="I2219" s="29">
        <v>0</v>
      </c>
      <c r="J2219" s="29">
        <v>0</v>
      </c>
      <c r="K2219" s="9">
        <v>45347</v>
      </c>
      <c r="L2219">
        <f xml:space="preserve"> (交易處理資料__3[[#This Row],[售出工時]] * 60) / 5</f>
        <v>0</v>
      </c>
      <c r="M2219" t="str">
        <f>VLOOKUP(交易處理資料__3[[#This Row],[人員代號]],團隊分組!$B$1:$C$52,2,FALSE)</f>
        <v>查修團隊B</v>
      </c>
      <c r="N2219" t="str">
        <f>IF(交易處理資料__3[[#This Row],[上班時間]]=0,"否","是")</f>
        <v>否</v>
      </c>
      <c r="O2219" t="s">
        <v>76</v>
      </c>
      <c r="P2219" s="38">
        <v>0</v>
      </c>
      <c r="Q2219" s="38">
        <v>0</v>
      </c>
      <c r="R2219" s="38">
        <v>0</v>
      </c>
    </row>
    <row r="2220" spans="1:18" hidden="1">
      <c r="A2220" t="s">
        <v>76</v>
      </c>
      <c r="B2220" t="s">
        <v>21</v>
      </c>
      <c r="C2220">
        <v>0</v>
      </c>
      <c r="D2220">
        <v>0</v>
      </c>
      <c r="E2220" s="29">
        <v>0</v>
      </c>
      <c r="F2220">
        <v>0</v>
      </c>
      <c r="G2220">
        <v>0</v>
      </c>
      <c r="H2220">
        <v>0</v>
      </c>
      <c r="I2220" s="29">
        <v>0</v>
      </c>
      <c r="J2220" s="29">
        <v>0</v>
      </c>
      <c r="K2220" s="9">
        <v>45347</v>
      </c>
      <c r="L2220">
        <f xml:space="preserve"> (交易處理資料__3[[#This Row],[售出工時]] * 60) / 5</f>
        <v>0</v>
      </c>
      <c r="M2220" t="str">
        <f>VLOOKUP(交易處理資料__3[[#This Row],[人員代號]],團隊分組!$B$1:$C$52,2,FALSE)</f>
        <v>查修團隊B</v>
      </c>
      <c r="N2220" t="str">
        <f>IF(交易處理資料__3[[#This Row],[上班時間]]=0,"否","是")</f>
        <v>否</v>
      </c>
      <c r="O2220" t="s">
        <v>76</v>
      </c>
      <c r="P2220" s="37">
        <v>0</v>
      </c>
      <c r="Q2220" s="37">
        <v>0</v>
      </c>
      <c r="R2220" s="37">
        <v>0</v>
      </c>
    </row>
    <row r="2221" spans="1:18" hidden="1">
      <c r="A2221" t="s">
        <v>76</v>
      </c>
      <c r="B2221" t="s">
        <v>22</v>
      </c>
      <c r="C2221">
        <v>0</v>
      </c>
      <c r="D2221">
        <v>0</v>
      </c>
      <c r="E2221" s="29">
        <v>0</v>
      </c>
      <c r="F2221">
        <v>0</v>
      </c>
      <c r="G2221">
        <v>0</v>
      </c>
      <c r="H2221">
        <v>0</v>
      </c>
      <c r="I2221" s="29">
        <v>0</v>
      </c>
      <c r="J2221" s="29">
        <v>0</v>
      </c>
      <c r="K2221" s="9">
        <v>45347</v>
      </c>
      <c r="L2221">
        <f xml:space="preserve"> (交易處理資料__3[[#This Row],[售出工時]] * 60) / 5</f>
        <v>0</v>
      </c>
      <c r="M2221" t="str">
        <f>VLOOKUP(交易處理資料__3[[#This Row],[人員代號]],團隊分組!$B$1:$C$52,2,FALSE)</f>
        <v>快速保養團隊A</v>
      </c>
      <c r="N2221" t="str">
        <f>IF(交易處理資料__3[[#This Row],[上班時間]]=0,"否","是")</f>
        <v>否</v>
      </c>
      <c r="O2221" t="s">
        <v>76</v>
      </c>
      <c r="P2221" s="38">
        <v>0</v>
      </c>
      <c r="Q2221" s="38">
        <v>0</v>
      </c>
      <c r="R2221" s="38">
        <v>0</v>
      </c>
    </row>
    <row r="2222" spans="1:18" hidden="1">
      <c r="A2222" t="s">
        <v>76</v>
      </c>
      <c r="B2222" t="s">
        <v>23</v>
      </c>
      <c r="C2222">
        <v>0</v>
      </c>
      <c r="D2222">
        <v>0</v>
      </c>
      <c r="E2222" s="29">
        <v>0</v>
      </c>
      <c r="F2222">
        <v>0</v>
      </c>
      <c r="G2222">
        <v>0</v>
      </c>
      <c r="H2222">
        <v>0</v>
      </c>
      <c r="I2222" s="29">
        <v>0</v>
      </c>
      <c r="J2222" s="29">
        <v>0</v>
      </c>
      <c r="K2222" s="9">
        <v>45347</v>
      </c>
      <c r="L2222">
        <f xml:space="preserve"> (交易處理資料__3[[#This Row],[售出工時]] * 60) / 5</f>
        <v>0</v>
      </c>
      <c r="M2222" t="str">
        <f>VLOOKUP(交易處理資料__3[[#This Row],[人員代號]],團隊分組!$B$1:$C$52,2,FALSE)</f>
        <v>快速保養團隊B</v>
      </c>
      <c r="N2222" t="str">
        <f>IF(交易處理資料__3[[#This Row],[上班時間]]=0,"否","是")</f>
        <v>否</v>
      </c>
      <c r="O2222" t="s">
        <v>76</v>
      </c>
      <c r="P2222" s="37">
        <v>0</v>
      </c>
      <c r="Q2222" s="37">
        <v>0</v>
      </c>
      <c r="R2222" s="37">
        <v>0</v>
      </c>
    </row>
    <row r="2223" spans="1:18" hidden="1">
      <c r="A2223" t="s">
        <v>76</v>
      </c>
      <c r="B2223" t="s">
        <v>24</v>
      </c>
      <c r="C2223">
        <v>0</v>
      </c>
      <c r="D2223">
        <v>0</v>
      </c>
      <c r="E2223" s="29">
        <v>0</v>
      </c>
      <c r="F2223">
        <v>0</v>
      </c>
      <c r="G2223">
        <v>0</v>
      </c>
      <c r="H2223">
        <v>0</v>
      </c>
      <c r="I2223" s="29">
        <v>0</v>
      </c>
      <c r="J2223" s="29">
        <v>0</v>
      </c>
      <c r="K2223" s="9">
        <v>45347</v>
      </c>
      <c r="L2223">
        <f xml:space="preserve"> (交易處理資料__3[[#This Row],[售出工時]] * 60) / 5</f>
        <v>0</v>
      </c>
      <c r="M2223" t="str">
        <f>VLOOKUP(交易處理資料__3[[#This Row],[人員代號]],團隊分組!$B$1:$C$52,2,FALSE)</f>
        <v>快速保養團隊A</v>
      </c>
      <c r="N2223" t="str">
        <f>IF(交易處理資料__3[[#This Row],[上班時間]]=0,"否","是")</f>
        <v>否</v>
      </c>
      <c r="O2223" t="s">
        <v>76</v>
      </c>
      <c r="P2223" s="38">
        <v>0</v>
      </c>
      <c r="Q2223" s="38">
        <v>0</v>
      </c>
      <c r="R2223" s="38">
        <v>0</v>
      </c>
    </row>
    <row r="2224" spans="1:18" hidden="1">
      <c r="A2224" t="s">
        <v>76</v>
      </c>
      <c r="B2224" t="s">
        <v>25</v>
      </c>
      <c r="C2224">
        <v>0</v>
      </c>
      <c r="D2224">
        <v>0</v>
      </c>
      <c r="E2224" s="29">
        <v>0</v>
      </c>
      <c r="F2224">
        <v>0</v>
      </c>
      <c r="G2224">
        <v>0</v>
      </c>
      <c r="H2224">
        <v>0</v>
      </c>
      <c r="I2224" s="29">
        <v>0</v>
      </c>
      <c r="J2224" s="29">
        <v>0</v>
      </c>
      <c r="K2224" s="9">
        <v>45347</v>
      </c>
      <c r="L2224">
        <f xml:space="preserve"> (交易處理資料__3[[#This Row],[售出工時]] * 60) / 5</f>
        <v>0</v>
      </c>
      <c r="M2224" t="str">
        <f>VLOOKUP(交易處理資料__3[[#This Row],[人員代號]],團隊分組!$B$1:$C$52,2,FALSE)</f>
        <v>查修團隊A</v>
      </c>
      <c r="N2224" t="str">
        <f>IF(交易處理資料__3[[#This Row],[上班時間]]=0,"否","是")</f>
        <v>否</v>
      </c>
      <c r="O2224" t="s">
        <v>76</v>
      </c>
      <c r="P2224" s="37">
        <v>0</v>
      </c>
      <c r="Q2224" s="37">
        <v>0</v>
      </c>
      <c r="R2224" s="37">
        <v>0</v>
      </c>
    </row>
    <row r="2225" spans="1:18" hidden="1">
      <c r="A2225" t="s">
        <v>76</v>
      </c>
      <c r="B2225" t="s">
        <v>26</v>
      </c>
      <c r="C2225">
        <v>0</v>
      </c>
      <c r="D2225">
        <v>0</v>
      </c>
      <c r="E2225" s="29">
        <v>0</v>
      </c>
      <c r="F2225">
        <v>0</v>
      </c>
      <c r="G2225">
        <v>0</v>
      </c>
      <c r="H2225">
        <v>0</v>
      </c>
      <c r="I2225" s="29">
        <v>0</v>
      </c>
      <c r="J2225" s="29">
        <v>0</v>
      </c>
      <c r="K2225" s="9">
        <v>45347</v>
      </c>
      <c r="L2225">
        <f xml:space="preserve"> (交易處理資料__3[[#This Row],[售出工時]] * 60) / 5</f>
        <v>0</v>
      </c>
      <c r="M2225" t="str">
        <f>VLOOKUP(交易處理資料__3[[#This Row],[人員代號]],團隊分組!$B$1:$C$52,2,FALSE)</f>
        <v>查修團隊B</v>
      </c>
      <c r="N2225" t="str">
        <f>IF(交易處理資料__3[[#This Row],[上班時間]]=0,"否","是")</f>
        <v>否</v>
      </c>
      <c r="O2225" t="s">
        <v>76</v>
      </c>
      <c r="P2225" s="38">
        <v>0</v>
      </c>
      <c r="Q2225" s="38">
        <v>0</v>
      </c>
      <c r="R2225" s="38">
        <v>0</v>
      </c>
    </row>
    <row r="2226" spans="1:18" hidden="1">
      <c r="A2226" t="s">
        <v>76</v>
      </c>
      <c r="B2226" t="s">
        <v>27</v>
      </c>
      <c r="C2226">
        <v>0</v>
      </c>
      <c r="D2226">
        <v>0</v>
      </c>
      <c r="E2226" s="29">
        <v>0</v>
      </c>
      <c r="F2226">
        <v>0</v>
      </c>
      <c r="G2226">
        <v>0</v>
      </c>
      <c r="H2226">
        <v>0</v>
      </c>
      <c r="I2226" s="29">
        <v>0</v>
      </c>
      <c r="J2226" s="29">
        <v>0</v>
      </c>
      <c r="K2226" s="9">
        <v>45347</v>
      </c>
      <c r="L2226">
        <f xml:space="preserve"> (交易處理資料__3[[#This Row],[售出工時]] * 60) / 5</f>
        <v>0</v>
      </c>
      <c r="M2226" t="str">
        <f>VLOOKUP(交易處理資料__3[[#This Row],[人員代號]],團隊分組!$B$1:$C$52,2,FALSE)</f>
        <v>快速保養團隊B</v>
      </c>
      <c r="N2226" t="str">
        <f>IF(交易處理資料__3[[#This Row],[上班時間]]=0,"否","是")</f>
        <v>否</v>
      </c>
      <c r="O2226" t="s">
        <v>76</v>
      </c>
      <c r="P2226" s="37">
        <v>0</v>
      </c>
      <c r="Q2226" s="37">
        <v>0</v>
      </c>
      <c r="R2226" s="37">
        <v>0</v>
      </c>
    </row>
    <row r="2227" spans="1:18" hidden="1">
      <c r="A2227" t="s">
        <v>76</v>
      </c>
      <c r="B2227" t="s">
        <v>28</v>
      </c>
      <c r="C2227">
        <v>0</v>
      </c>
      <c r="D2227">
        <v>0</v>
      </c>
      <c r="E2227" s="29">
        <v>0</v>
      </c>
      <c r="F2227">
        <v>0</v>
      </c>
      <c r="G2227">
        <v>0</v>
      </c>
      <c r="H2227">
        <v>0</v>
      </c>
      <c r="I2227" s="29">
        <v>0</v>
      </c>
      <c r="J2227" s="29">
        <v>0</v>
      </c>
      <c r="K2227" s="9">
        <v>45347</v>
      </c>
      <c r="L2227">
        <f xml:space="preserve"> (交易處理資料__3[[#This Row],[售出工時]] * 60) / 5</f>
        <v>0</v>
      </c>
      <c r="M2227" t="str">
        <f>VLOOKUP(交易處理資料__3[[#This Row],[人員代號]],團隊分組!$B$1:$C$52,2,FALSE)</f>
        <v>快速保養團隊A</v>
      </c>
      <c r="N2227" t="str">
        <f>IF(交易處理資料__3[[#This Row],[上班時間]]=0,"否","是")</f>
        <v>否</v>
      </c>
      <c r="O2227" t="s">
        <v>76</v>
      </c>
      <c r="P2227" s="38">
        <v>0</v>
      </c>
      <c r="Q2227" s="38">
        <v>0</v>
      </c>
      <c r="R2227" s="38">
        <v>0</v>
      </c>
    </row>
    <row r="2228" spans="1:18" hidden="1">
      <c r="A2228" t="s">
        <v>76</v>
      </c>
      <c r="B2228" t="s">
        <v>29</v>
      </c>
      <c r="C2228">
        <v>0</v>
      </c>
      <c r="D2228">
        <v>0</v>
      </c>
      <c r="E2228" s="29">
        <v>0</v>
      </c>
      <c r="F2228">
        <v>0</v>
      </c>
      <c r="G2228">
        <v>0</v>
      </c>
      <c r="H2228">
        <v>0</v>
      </c>
      <c r="I2228" s="29">
        <v>0</v>
      </c>
      <c r="J2228" s="29">
        <v>0</v>
      </c>
      <c r="K2228" s="9">
        <v>45347</v>
      </c>
      <c r="L2228">
        <f xml:space="preserve"> (交易處理資料__3[[#This Row],[售出工時]] * 60) / 5</f>
        <v>0</v>
      </c>
      <c r="M2228" t="str">
        <f>VLOOKUP(交易處理資料__3[[#This Row],[人員代號]],團隊分組!$B$1:$C$52,2,FALSE)</f>
        <v>查修團隊B</v>
      </c>
      <c r="N2228" t="str">
        <f>IF(交易處理資料__3[[#This Row],[上班時間]]=0,"否","是")</f>
        <v>否</v>
      </c>
      <c r="O2228" t="s">
        <v>76</v>
      </c>
      <c r="P2228" s="37">
        <v>0</v>
      </c>
      <c r="Q2228" s="37">
        <v>0</v>
      </c>
      <c r="R2228" s="37">
        <v>0</v>
      </c>
    </row>
    <row r="2229" spans="1:18" hidden="1">
      <c r="A2229" t="s">
        <v>76</v>
      </c>
      <c r="B2229" t="s">
        <v>30</v>
      </c>
      <c r="C2229">
        <v>0</v>
      </c>
      <c r="D2229">
        <v>0</v>
      </c>
      <c r="E2229" s="29">
        <v>0</v>
      </c>
      <c r="F2229">
        <v>0</v>
      </c>
      <c r="G2229">
        <v>0</v>
      </c>
      <c r="H2229">
        <v>0</v>
      </c>
      <c r="I2229" s="29">
        <v>0</v>
      </c>
      <c r="J2229" s="29">
        <v>0</v>
      </c>
      <c r="K2229" s="9">
        <v>45347</v>
      </c>
      <c r="L2229">
        <f xml:space="preserve"> (交易處理資料__3[[#This Row],[售出工時]] * 60) / 5</f>
        <v>0</v>
      </c>
      <c r="M2229" t="str">
        <f>VLOOKUP(交易處理資料__3[[#This Row],[人員代號]],團隊分組!$B$1:$C$52,2,FALSE)</f>
        <v>快速保養團隊B</v>
      </c>
      <c r="N2229" t="str">
        <f>IF(交易處理資料__3[[#This Row],[上班時間]]=0,"否","是")</f>
        <v>否</v>
      </c>
      <c r="O2229" t="s">
        <v>76</v>
      </c>
      <c r="P2229" s="38">
        <v>0</v>
      </c>
      <c r="Q2229" s="38">
        <v>0</v>
      </c>
      <c r="R2229" s="38">
        <v>0</v>
      </c>
    </row>
    <row r="2230" spans="1:18" hidden="1">
      <c r="A2230" t="s">
        <v>76</v>
      </c>
      <c r="B2230" t="s">
        <v>32</v>
      </c>
      <c r="C2230">
        <v>0</v>
      </c>
      <c r="D2230">
        <v>0</v>
      </c>
      <c r="E2230" s="29">
        <v>0</v>
      </c>
      <c r="F2230">
        <v>0</v>
      </c>
      <c r="G2230">
        <v>0</v>
      </c>
      <c r="H2230">
        <v>0</v>
      </c>
      <c r="I2230" s="29">
        <v>0</v>
      </c>
      <c r="J2230" s="29">
        <v>0</v>
      </c>
      <c r="K2230" s="9">
        <v>45347</v>
      </c>
      <c r="L2230">
        <f xml:space="preserve"> (交易處理資料__3[[#This Row],[售出工時]] * 60) / 5</f>
        <v>0</v>
      </c>
      <c r="M2230" t="str">
        <f>VLOOKUP(交易處理資料__3[[#This Row],[人員代號]],團隊分組!$B$1:$C$52,2,FALSE)</f>
        <v>快速保養團隊B</v>
      </c>
      <c r="N2230" t="str">
        <f>IF(交易處理資料__3[[#This Row],[上班時間]]=0,"否","是")</f>
        <v>否</v>
      </c>
      <c r="O2230" t="s">
        <v>76</v>
      </c>
      <c r="P2230" s="37">
        <v>0</v>
      </c>
      <c r="Q2230" s="37">
        <v>0</v>
      </c>
      <c r="R2230" s="37">
        <v>0</v>
      </c>
    </row>
    <row r="2231" spans="1:18" hidden="1">
      <c r="A2231" t="s">
        <v>76</v>
      </c>
      <c r="B2231" t="s">
        <v>33</v>
      </c>
      <c r="C2231">
        <v>0</v>
      </c>
      <c r="D2231">
        <v>0</v>
      </c>
      <c r="E2231" s="29">
        <v>0</v>
      </c>
      <c r="F2231">
        <v>0</v>
      </c>
      <c r="G2231">
        <v>0</v>
      </c>
      <c r="H2231">
        <v>0</v>
      </c>
      <c r="I2231" s="29">
        <v>0</v>
      </c>
      <c r="J2231" s="29">
        <v>0</v>
      </c>
      <c r="K2231" s="9">
        <v>45347</v>
      </c>
      <c r="L2231">
        <f xml:space="preserve"> (交易處理資料__3[[#This Row],[售出工時]] * 60) / 5</f>
        <v>0</v>
      </c>
      <c r="M2231" t="str">
        <f>VLOOKUP(交易處理資料__3[[#This Row],[人員代號]],團隊分組!$B$1:$C$52,2,FALSE)</f>
        <v>快速保養團隊B</v>
      </c>
      <c r="N2231" t="str">
        <f>IF(交易處理資料__3[[#This Row],[上班時間]]=0,"否","是")</f>
        <v>否</v>
      </c>
      <c r="O2231" t="s">
        <v>76</v>
      </c>
      <c r="P2231" s="38">
        <v>0</v>
      </c>
      <c r="Q2231" s="38">
        <v>0</v>
      </c>
      <c r="R2231" s="38">
        <v>0</v>
      </c>
    </row>
    <row r="2232" spans="1:18" hidden="1">
      <c r="A2232" t="s">
        <v>76</v>
      </c>
      <c r="B2232" t="s">
        <v>34</v>
      </c>
      <c r="C2232">
        <v>0</v>
      </c>
      <c r="D2232">
        <v>0</v>
      </c>
      <c r="E2232" s="29">
        <v>0</v>
      </c>
      <c r="F2232">
        <v>0</v>
      </c>
      <c r="G2232">
        <v>0</v>
      </c>
      <c r="H2232">
        <v>0</v>
      </c>
      <c r="I2232" s="29">
        <v>0</v>
      </c>
      <c r="J2232" s="29">
        <v>0</v>
      </c>
      <c r="K2232" s="9">
        <v>45347</v>
      </c>
      <c r="L2232">
        <f xml:space="preserve"> (交易處理資料__3[[#This Row],[售出工時]] * 60) / 5</f>
        <v>0</v>
      </c>
      <c r="M2232" t="str">
        <f>VLOOKUP(交易處理資料__3[[#This Row],[人員代號]],團隊分組!$B$1:$C$52,2,FALSE)</f>
        <v>快速保養團隊A</v>
      </c>
      <c r="N2232" t="str">
        <f>IF(交易處理資料__3[[#This Row],[上班時間]]=0,"否","是")</f>
        <v>否</v>
      </c>
      <c r="O2232" t="s">
        <v>76</v>
      </c>
      <c r="P2232" s="37">
        <v>0</v>
      </c>
      <c r="Q2232" s="37">
        <v>0</v>
      </c>
      <c r="R2232" s="37">
        <v>0</v>
      </c>
    </row>
    <row r="2233" spans="1:18" hidden="1">
      <c r="A2233" t="s">
        <v>76</v>
      </c>
      <c r="B2233" t="s">
        <v>35</v>
      </c>
      <c r="C2233">
        <v>0</v>
      </c>
      <c r="D2233">
        <v>0</v>
      </c>
      <c r="E2233" s="29">
        <v>0</v>
      </c>
      <c r="F2233">
        <v>0</v>
      </c>
      <c r="G2233">
        <v>0</v>
      </c>
      <c r="H2233">
        <v>0</v>
      </c>
      <c r="I2233" s="29">
        <v>0</v>
      </c>
      <c r="J2233" s="29">
        <v>0</v>
      </c>
      <c r="K2233" s="9">
        <v>45347</v>
      </c>
      <c r="L2233">
        <f xml:space="preserve"> (交易處理資料__3[[#This Row],[售出工時]] * 60) / 5</f>
        <v>0</v>
      </c>
      <c r="M2233" t="str">
        <f>VLOOKUP(交易處理資料__3[[#This Row],[人員代號]],團隊分組!$B$1:$C$52,2,FALSE)</f>
        <v>查修團隊B</v>
      </c>
      <c r="N2233" t="str">
        <f>IF(交易處理資料__3[[#This Row],[上班時間]]=0,"否","是")</f>
        <v>否</v>
      </c>
      <c r="O2233" t="s">
        <v>76</v>
      </c>
      <c r="P2233" s="38">
        <v>0</v>
      </c>
      <c r="Q2233" s="38">
        <v>0</v>
      </c>
      <c r="R2233" s="38">
        <v>0</v>
      </c>
    </row>
    <row r="2234" spans="1:18" hidden="1">
      <c r="A2234" t="s">
        <v>76</v>
      </c>
      <c r="B2234" t="s">
        <v>36</v>
      </c>
      <c r="C2234">
        <v>0</v>
      </c>
      <c r="D2234">
        <v>0</v>
      </c>
      <c r="E2234" s="29">
        <v>0</v>
      </c>
      <c r="F2234">
        <v>0</v>
      </c>
      <c r="G2234">
        <v>0</v>
      </c>
      <c r="H2234">
        <v>0</v>
      </c>
      <c r="I2234" s="29">
        <v>0</v>
      </c>
      <c r="J2234" s="29">
        <v>0</v>
      </c>
      <c r="K2234" s="9">
        <v>45347</v>
      </c>
      <c r="L2234">
        <f xml:space="preserve"> (交易處理資料__3[[#This Row],[售出工時]] * 60) / 5</f>
        <v>0</v>
      </c>
      <c r="M2234" t="str">
        <f>VLOOKUP(交易處理資料__3[[#This Row],[人員代號]],團隊分組!$B$1:$C$52,2,FALSE)</f>
        <v>查修團隊B</v>
      </c>
      <c r="N2234" t="str">
        <f>IF(交易處理資料__3[[#This Row],[上班時間]]=0,"否","是")</f>
        <v>否</v>
      </c>
      <c r="O2234" t="s">
        <v>76</v>
      </c>
      <c r="P2234" s="37">
        <v>0</v>
      </c>
      <c r="Q2234" s="37">
        <v>0</v>
      </c>
      <c r="R2234" s="37">
        <v>0</v>
      </c>
    </row>
    <row r="2235" spans="1:18" hidden="1">
      <c r="A2235" t="s">
        <v>76</v>
      </c>
      <c r="B2235" t="s">
        <v>37</v>
      </c>
      <c r="C2235">
        <v>0</v>
      </c>
      <c r="D2235">
        <v>0</v>
      </c>
      <c r="E2235" s="29">
        <v>0</v>
      </c>
      <c r="F2235">
        <v>0</v>
      </c>
      <c r="G2235">
        <v>0</v>
      </c>
      <c r="H2235">
        <v>0</v>
      </c>
      <c r="I2235" s="29">
        <v>0</v>
      </c>
      <c r="J2235" s="29">
        <v>0</v>
      </c>
      <c r="K2235" s="9">
        <v>45347</v>
      </c>
      <c r="L2235">
        <f xml:space="preserve"> (交易處理資料__3[[#This Row],[售出工時]] * 60) / 5</f>
        <v>0</v>
      </c>
      <c r="M2235" t="str">
        <f>VLOOKUP(交易處理資料__3[[#This Row],[人員代號]],團隊分組!$B$1:$C$52,2,FALSE)</f>
        <v>查修團隊A</v>
      </c>
      <c r="N2235" t="str">
        <f>IF(交易處理資料__3[[#This Row],[上班時間]]=0,"否","是")</f>
        <v>否</v>
      </c>
      <c r="O2235" t="s">
        <v>76</v>
      </c>
      <c r="P2235" s="38">
        <v>0</v>
      </c>
      <c r="Q2235" s="38">
        <v>0</v>
      </c>
      <c r="R2235" s="38">
        <v>0</v>
      </c>
    </row>
    <row r="2236" spans="1:18" hidden="1">
      <c r="A2236" t="s">
        <v>76</v>
      </c>
      <c r="B2236" t="s">
        <v>38</v>
      </c>
      <c r="C2236">
        <v>0</v>
      </c>
      <c r="D2236">
        <v>0</v>
      </c>
      <c r="E2236" s="29">
        <v>0</v>
      </c>
      <c r="F2236">
        <v>0</v>
      </c>
      <c r="G2236">
        <v>0</v>
      </c>
      <c r="H2236">
        <v>0</v>
      </c>
      <c r="I2236" s="29">
        <v>0</v>
      </c>
      <c r="J2236" s="29">
        <v>0</v>
      </c>
      <c r="K2236" s="9">
        <v>45347</v>
      </c>
      <c r="L2236">
        <f xml:space="preserve"> (交易處理資料__3[[#This Row],[售出工時]] * 60) / 5</f>
        <v>0</v>
      </c>
      <c r="M2236" t="str">
        <f>VLOOKUP(交易處理資料__3[[#This Row],[人員代號]],團隊分組!$B$1:$C$52,2,FALSE)</f>
        <v>快速保養團隊A</v>
      </c>
      <c r="N2236" t="str">
        <f>IF(交易處理資料__3[[#This Row],[上班時間]]=0,"否","是")</f>
        <v>否</v>
      </c>
      <c r="O2236" t="s">
        <v>76</v>
      </c>
      <c r="P2236" s="37">
        <v>0</v>
      </c>
      <c r="Q2236" s="37">
        <v>0</v>
      </c>
      <c r="R2236" s="37">
        <v>0</v>
      </c>
    </row>
    <row r="2237" spans="1:18" hidden="1">
      <c r="A2237" t="s">
        <v>76</v>
      </c>
      <c r="B2237" t="s">
        <v>39</v>
      </c>
      <c r="C2237">
        <v>0</v>
      </c>
      <c r="D2237">
        <v>0</v>
      </c>
      <c r="E2237" s="29">
        <v>0</v>
      </c>
      <c r="F2237">
        <v>0</v>
      </c>
      <c r="G2237">
        <v>0</v>
      </c>
      <c r="H2237">
        <v>0</v>
      </c>
      <c r="I2237" s="29">
        <v>0</v>
      </c>
      <c r="J2237" s="29">
        <v>0</v>
      </c>
      <c r="K2237" s="9">
        <v>45347</v>
      </c>
      <c r="L2237">
        <f xml:space="preserve"> (交易處理資料__3[[#This Row],[售出工時]] * 60) / 5</f>
        <v>0</v>
      </c>
      <c r="M2237" t="str">
        <f>VLOOKUP(交易處理資料__3[[#This Row],[人員代號]],團隊分組!$B$1:$C$52,2,FALSE)</f>
        <v>查修團隊A</v>
      </c>
      <c r="N2237" t="str">
        <f>IF(交易處理資料__3[[#This Row],[上班時間]]=0,"否","是")</f>
        <v>否</v>
      </c>
      <c r="O2237" t="s">
        <v>76</v>
      </c>
      <c r="P2237" s="38">
        <v>0</v>
      </c>
      <c r="Q2237" s="38">
        <v>0</v>
      </c>
      <c r="R2237" s="38">
        <v>0</v>
      </c>
    </row>
    <row r="2238" spans="1:18" hidden="1">
      <c r="A2238" t="s">
        <v>76</v>
      </c>
      <c r="B2238" t="s">
        <v>40</v>
      </c>
      <c r="C2238">
        <v>0</v>
      </c>
      <c r="D2238">
        <v>0</v>
      </c>
      <c r="E2238" s="29">
        <v>0</v>
      </c>
      <c r="F2238">
        <v>0</v>
      </c>
      <c r="G2238">
        <v>0</v>
      </c>
      <c r="H2238">
        <v>0</v>
      </c>
      <c r="I2238" s="29">
        <v>0</v>
      </c>
      <c r="J2238" s="29">
        <v>0</v>
      </c>
      <c r="K2238" s="9">
        <v>45347</v>
      </c>
      <c r="L2238">
        <f xml:space="preserve"> (交易處理資料__3[[#This Row],[售出工時]] * 60) / 5</f>
        <v>0</v>
      </c>
      <c r="M2238" t="str">
        <f>VLOOKUP(交易處理資料__3[[#This Row],[人員代號]],團隊分組!$B$1:$C$52,2,FALSE)</f>
        <v>查修團隊A</v>
      </c>
      <c r="N2238" t="str">
        <f>IF(交易處理資料__3[[#This Row],[上班時間]]=0,"否","是")</f>
        <v>否</v>
      </c>
      <c r="O2238" t="s">
        <v>76</v>
      </c>
      <c r="P2238" s="37">
        <v>0</v>
      </c>
      <c r="Q2238" s="37">
        <v>0</v>
      </c>
      <c r="R2238" s="37">
        <v>0</v>
      </c>
    </row>
    <row r="2239" spans="1:18" hidden="1">
      <c r="A2239" t="s">
        <v>76</v>
      </c>
      <c r="B2239" t="s">
        <v>41</v>
      </c>
      <c r="C2239">
        <v>0</v>
      </c>
      <c r="D2239">
        <v>0</v>
      </c>
      <c r="E2239" s="29">
        <v>0</v>
      </c>
      <c r="F2239">
        <v>0</v>
      </c>
      <c r="G2239">
        <v>0</v>
      </c>
      <c r="H2239">
        <v>0</v>
      </c>
      <c r="I2239" s="29">
        <v>0</v>
      </c>
      <c r="J2239" s="29">
        <v>0</v>
      </c>
      <c r="K2239" s="9">
        <v>45347</v>
      </c>
      <c r="L2239">
        <f xml:space="preserve"> (交易處理資料__3[[#This Row],[售出工時]] * 60) / 5</f>
        <v>0</v>
      </c>
      <c r="M2239" t="str">
        <f>VLOOKUP(交易處理資料__3[[#This Row],[人員代號]],團隊分組!$B$1:$C$52,2,FALSE)</f>
        <v>快速保養團隊A</v>
      </c>
      <c r="N2239" t="str">
        <f>IF(交易處理資料__3[[#This Row],[上班時間]]=0,"否","是")</f>
        <v>否</v>
      </c>
      <c r="O2239" t="s">
        <v>76</v>
      </c>
      <c r="P2239" s="38">
        <v>0</v>
      </c>
      <c r="Q2239" s="38">
        <v>0</v>
      </c>
      <c r="R2239" s="38">
        <v>0</v>
      </c>
    </row>
    <row r="2240" spans="1:18" hidden="1">
      <c r="A2240" t="s">
        <v>76</v>
      </c>
      <c r="B2240" t="s">
        <v>42</v>
      </c>
      <c r="C2240">
        <v>0</v>
      </c>
      <c r="D2240">
        <v>0</v>
      </c>
      <c r="E2240" s="29">
        <v>0</v>
      </c>
      <c r="F2240">
        <v>0</v>
      </c>
      <c r="G2240">
        <v>0</v>
      </c>
      <c r="H2240">
        <v>0</v>
      </c>
      <c r="I2240" s="29">
        <v>0</v>
      </c>
      <c r="J2240" s="29">
        <v>0</v>
      </c>
      <c r="K2240" s="9">
        <v>45347</v>
      </c>
      <c r="L2240">
        <f xml:space="preserve"> (交易處理資料__3[[#This Row],[售出工時]] * 60) / 5</f>
        <v>0</v>
      </c>
      <c r="M2240" t="str">
        <f>VLOOKUP(交易處理資料__3[[#This Row],[人員代號]],團隊分組!$B$1:$C$52,2,FALSE)</f>
        <v>快速保養團隊A</v>
      </c>
      <c r="N2240" t="str">
        <f>IF(交易處理資料__3[[#This Row],[上班時間]]=0,"否","是")</f>
        <v>否</v>
      </c>
      <c r="O2240" t="s">
        <v>76</v>
      </c>
      <c r="P2240" s="37">
        <v>0</v>
      </c>
      <c r="Q2240" s="37">
        <v>0</v>
      </c>
      <c r="R2240" s="37">
        <v>0</v>
      </c>
    </row>
    <row r="2241" spans="1:18" hidden="1">
      <c r="A2241" t="s">
        <v>76</v>
      </c>
      <c r="B2241" t="s">
        <v>43</v>
      </c>
      <c r="C2241">
        <v>0</v>
      </c>
      <c r="D2241">
        <v>0</v>
      </c>
      <c r="E2241" s="29">
        <v>0</v>
      </c>
      <c r="F2241">
        <v>0</v>
      </c>
      <c r="G2241">
        <v>0</v>
      </c>
      <c r="H2241">
        <v>0</v>
      </c>
      <c r="I2241" s="29">
        <v>0</v>
      </c>
      <c r="J2241" s="29">
        <v>0</v>
      </c>
      <c r="K2241" s="9">
        <v>45347</v>
      </c>
      <c r="L2241">
        <f xml:space="preserve"> (交易處理資料__3[[#This Row],[售出工時]] * 60) / 5</f>
        <v>0</v>
      </c>
      <c r="M2241" t="str">
        <f>VLOOKUP(交易處理資料__3[[#This Row],[人員代號]],團隊分組!$B$1:$C$52,2,FALSE)</f>
        <v>查修團隊B</v>
      </c>
      <c r="N2241" t="str">
        <f>IF(交易處理資料__3[[#This Row],[上班時間]]=0,"否","是")</f>
        <v>否</v>
      </c>
      <c r="O2241" t="s">
        <v>76</v>
      </c>
      <c r="P2241" s="38">
        <v>0</v>
      </c>
      <c r="Q2241" s="38">
        <v>0</v>
      </c>
      <c r="R2241" s="38">
        <v>0</v>
      </c>
    </row>
    <row r="2242" spans="1:18" hidden="1">
      <c r="A2242" t="s">
        <v>76</v>
      </c>
      <c r="B2242" t="s">
        <v>44</v>
      </c>
      <c r="C2242">
        <v>0</v>
      </c>
      <c r="D2242">
        <v>0</v>
      </c>
      <c r="E2242" s="29">
        <v>0</v>
      </c>
      <c r="F2242">
        <v>0</v>
      </c>
      <c r="G2242">
        <v>0</v>
      </c>
      <c r="H2242">
        <v>0</v>
      </c>
      <c r="I2242" s="29">
        <v>0</v>
      </c>
      <c r="J2242" s="29">
        <v>0</v>
      </c>
      <c r="K2242" s="9">
        <v>45347</v>
      </c>
      <c r="L2242">
        <f xml:space="preserve"> (交易處理資料__3[[#This Row],[售出工時]] * 60) / 5</f>
        <v>0</v>
      </c>
      <c r="M2242" t="str">
        <f>VLOOKUP(交易處理資料__3[[#This Row],[人員代號]],團隊分組!$B$1:$C$52,2,FALSE)</f>
        <v>快速保養團隊B</v>
      </c>
      <c r="N2242" t="str">
        <f>IF(交易處理資料__3[[#This Row],[上班時間]]=0,"否","是")</f>
        <v>否</v>
      </c>
      <c r="O2242" t="s">
        <v>76</v>
      </c>
      <c r="P2242" s="37">
        <v>0</v>
      </c>
      <c r="Q2242" s="37">
        <v>0</v>
      </c>
      <c r="R2242" s="37">
        <v>0</v>
      </c>
    </row>
    <row r="2243" spans="1:18" hidden="1">
      <c r="A2243" t="s">
        <v>76</v>
      </c>
      <c r="B2243" t="s">
        <v>45</v>
      </c>
      <c r="C2243">
        <v>0</v>
      </c>
      <c r="D2243">
        <v>0</v>
      </c>
      <c r="E2243" s="29">
        <v>0</v>
      </c>
      <c r="F2243">
        <v>0</v>
      </c>
      <c r="G2243">
        <v>0</v>
      </c>
      <c r="H2243">
        <v>0</v>
      </c>
      <c r="I2243" s="29">
        <v>0</v>
      </c>
      <c r="J2243" s="29">
        <v>0</v>
      </c>
      <c r="K2243" s="9">
        <v>45347</v>
      </c>
      <c r="L2243">
        <f xml:space="preserve"> (交易處理資料__3[[#This Row],[售出工時]] * 60) / 5</f>
        <v>0</v>
      </c>
      <c r="M2243" t="str">
        <f>VLOOKUP(交易處理資料__3[[#This Row],[人員代號]],團隊分組!$B$1:$C$52,2,FALSE)</f>
        <v>快速保養團隊A</v>
      </c>
      <c r="N2243" t="str">
        <f>IF(交易處理資料__3[[#This Row],[上班時間]]=0,"否","是")</f>
        <v>否</v>
      </c>
      <c r="O2243" t="s">
        <v>76</v>
      </c>
      <c r="P2243" s="38">
        <v>0</v>
      </c>
      <c r="Q2243" s="38">
        <v>0</v>
      </c>
      <c r="R2243" s="38">
        <v>0</v>
      </c>
    </row>
    <row r="2244" spans="1:18" hidden="1">
      <c r="A2244" t="s">
        <v>76</v>
      </c>
      <c r="B2244" t="s">
        <v>46</v>
      </c>
      <c r="C2244">
        <v>0</v>
      </c>
      <c r="D2244">
        <v>0</v>
      </c>
      <c r="E2244" s="29">
        <v>0</v>
      </c>
      <c r="F2244">
        <v>0</v>
      </c>
      <c r="G2244">
        <v>0</v>
      </c>
      <c r="H2244">
        <v>0</v>
      </c>
      <c r="I2244" s="29">
        <v>0</v>
      </c>
      <c r="J2244" s="29">
        <v>0</v>
      </c>
      <c r="K2244" s="9">
        <v>45347</v>
      </c>
      <c r="L2244">
        <f xml:space="preserve"> (交易處理資料__3[[#This Row],[售出工時]] * 60) / 5</f>
        <v>0</v>
      </c>
      <c r="M2244" t="str">
        <f>VLOOKUP(交易處理資料__3[[#This Row],[人員代號]],團隊分組!$B$1:$C$52,2,FALSE)</f>
        <v>查修團隊B</v>
      </c>
      <c r="N2244" t="str">
        <f>IF(交易處理資料__3[[#This Row],[上班時間]]=0,"否","是")</f>
        <v>否</v>
      </c>
      <c r="O2244" t="s">
        <v>76</v>
      </c>
      <c r="P2244" s="37">
        <v>0</v>
      </c>
      <c r="Q2244" s="37">
        <v>0</v>
      </c>
      <c r="R2244" s="37">
        <v>0</v>
      </c>
    </row>
    <row r="2245" spans="1:18" hidden="1">
      <c r="A2245" t="s">
        <v>76</v>
      </c>
      <c r="B2245" t="s">
        <v>47</v>
      </c>
      <c r="C2245">
        <v>0</v>
      </c>
      <c r="D2245">
        <v>0</v>
      </c>
      <c r="E2245" s="29">
        <v>0</v>
      </c>
      <c r="F2245">
        <v>0</v>
      </c>
      <c r="G2245">
        <v>0</v>
      </c>
      <c r="H2245">
        <v>0</v>
      </c>
      <c r="I2245" s="29">
        <v>0</v>
      </c>
      <c r="J2245" s="29">
        <v>0</v>
      </c>
      <c r="K2245" s="9">
        <v>45347</v>
      </c>
      <c r="L2245">
        <f xml:space="preserve"> (交易處理資料__3[[#This Row],[售出工時]] * 60) / 5</f>
        <v>0</v>
      </c>
      <c r="M2245" t="str">
        <f>VLOOKUP(交易處理資料__3[[#This Row],[人員代號]],團隊分組!$B$1:$C$52,2,FALSE)</f>
        <v>查修團隊B</v>
      </c>
      <c r="N2245" t="str">
        <f>IF(交易處理資料__3[[#This Row],[上班時間]]=0,"否","是")</f>
        <v>否</v>
      </c>
      <c r="O2245" t="s">
        <v>76</v>
      </c>
      <c r="P2245" s="38">
        <v>0</v>
      </c>
      <c r="Q2245" s="38">
        <v>0</v>
      </c>
      <c r="R2245" s="38">
        <v>0</v>
      </c>
    </row>
    <row r="2246" spans="1:18" hidden="1">
      <c r="A2246" t="s">
        <v>76</v>
      </c>
      <c r="B2246" t="s">
        <v>48</v>
      </c>
      <c r="C2246">
        <v>0</v>
      </c>
      <c r="D2246">
        <v>0</v>
      </c>
      <c r="E2246" s="29">
        <v>0</v>
      </c>
      <c r="F2246">
        <v>0</v>
      </c>
      <c r="G2246">
        <v>0</v>
      </c>
      <c r="H2246">
        <v>0</v>
      </c>
      <c r="I2246" s="29">
        <v>0</v>
      </c>
      <c r="J2246" s="29">
        <v>0</v>
      </c>
      <c r="K2246" s="9">
        <v>45347</v>
      </c>
      <c r="L2246">
        <f xml:space="preserve"> (交易處理資料__3[[#This Row],[售出工時]] * 60) / 5</f>
        <v>0</v>
      </c>
      <c r="M2246" t="str">
        <f>VLOOKUP(交易處理資料__3[[#This Row],[人員代號]],團隊分組!$B$1:$C$52,2,FALSE)</f>
        <v>查修團隊A</v>
      </c>
      <c r="N2246" t="str">
        <f>IF(交易處理資料__3[[#This Row],[上班時間]]=0,"否","是")</f>
        <v>否</v>
      </c>
      <c r="O2246" t="s">
        <v>76</v>
      </c>
      <c r="P2246" s="37">
        <v>0</v>
      </c>
      <c r="Q2246" s="37">
        <v>0</v>
      </c>
      <c r="R2246" s="37">
        <v>0</v>
      </c>
    </row>
    <row r="2247" spans="1:18" hidden="1">
      <c r="A2247" t="s">
        <v>76</v>
      </c>
      <c r="B2247" t="s">
        <v>49</v>
      </c>
      <c r="C2247">
        <v>0</v>
      </c>
      <c r="D2247">
        <v>0</v>
      </c>
      <c r="E2247" s="29">
        <v>0</v>
      </c>
      <c r="F2247">
        <v>0</v>
      </c>
      <c r="G2247">
        <v>0</v>
      </c>
      <c r="H2247">
        <v>0</v>
      </c>
      <c r="I2247" s="29">
        <v>0</v>
      </c>
      <c r="J2247" s="29">
        <v>0</v>
      </c>
      <c r="K2247" s="9">
        <v>45347</v>
      </c>
      <c r="L2247">
        <f xml:space="preserve"> (交易處理資料__3[[#This Row],[售出工時]] * 60) / 5</f>
        <v>0</v>
      </c>
      <c r="M2247" t="str">
        <f>VLOOKUP(交易處理資料__3[[#This Row],[人員代號]],團隊分組!$B$1:$C$52,2,FALSE)</f>
        <v>查修團隊A</v>
      </c>
      <c r="N2247" t="str">
        <f>IF(交易處理資料__3[[#This Row],[上班時間]]=0,"否","是")</f>
        <v>否</v>
      </c>
      <c r="O2247" t="s">
        <v>76</v>
      </c>
      <c r="P2247" s="38">
        <v>0</v>
      </c>
      <c r="Q2247" s="38">
        <v>0</v>
      </c>
      <c r="R2247" s="38">
        <v>0</v>
      </c>
    </row>
    <row r="2248" spans="1:18" hidden="1">
      <c r="A2248" t="s">
        <v>76</v>
      </c>
      <c r="B2248" t="s">
        <v>50</v>
      </c>
      <c r="C2248">
        <v>0</v>
      </c>
      <c r="D2248">
        <v>0</v>
      </c>
      <c r="E2248" s="29">
        <v>0</v>
      </c>
      <c r="F2248">
        <v>0</v>
      </c>
      <c r="G2248">
        <v>0</v>
      </c>
      <c r="H2248">
        <v>0</v>
      </c>
      <c r="I2248" s="29">
        <v>0</v>
      </c>
      <c r="J2248" s="29">
        <v>0</v>
      </c>
      <c r="K2248" s="9">
        <v>45347</v>
      </c>
      <c r="L2248">
        <f xml:space="preserve"> (交易處理資料__3[[#This Row],[售出工時]] * 60) / 5</f>
        <v>0</v>
      </c>
      <c r="M2248" t="str">
        <f>VLOOKUP(交易處理資料__3[[#This Row],[人員代號]],團隊分組!$B$1:$C$52,2,FALSE)</f>
        <v>快速保養團隊B</v>
      </c>
      <c r="N2248" t="str">
        <f>IF(交易處理資料__3[[#This Row],[上班時間]]=0,"否","是")</f>
        <v>否</v>
      </c>
      <c r="O2248" t="s">
        <v>76</v>
      </c>
      <c r="P2248" s="37">
        <v>0</v>
      </c>
      <c r="Q2248" s="37">
        <v>0</v>
      </c>
      <c r="R2248" s="37">
        <v>0</v>
      </c>
    </row>
    <row r="2249" spans="1:18" hidden="1">
      <c r="A2249" t="s">
        <v>76</v>
      </c>
      <c r="B2249" t="s">
        <v>51</v>
      </c>
      <c r="C2249">
        <v>0</v>
      </c>
      <c r="D2249">
        <v>0</v>
      </c>
      <c r="E2249" s="29">
        <v>0</v>
      </c>
      <c r="F2249">
        <v>0</v>
      </c>
      <c r="G2249">
        <v>0</v>
      </c>
      <c r="H2249">
        <v>0</v>
      </c>
      <c r="I2249" s="29">
        <v>0</v>
      </c>
      <c r="J2249" s="29">
        <v>0</v>
      </c>
      <c r="K2249" s="9">
        <v>45347</v>
      </c>
      <c r="L2249">
        <f xml:space="preserve"> (交易處理資料__3[[#This Row],[售出工時]] * 60) / 5</f>
        <v>0</v>
      </c>
      <c r="M2249" t="str">
        <f>VLOOKUP(交易處理資料__3[[#This Row],[人員代號]],團隊分組!$B$1:$C$52,2,FALSE)</f>
        <v>無效數據</v>
      </c>
      <c r="N2249" t="str">
        <f>IF(交易處理資料__3[[#This Row],[上班時間]]=0,"否","是")</f>
        <v>否</v>
      </c>
      <c r="O2249" t="s">
        <v>76</v>
      </c>
      <c r="P2249" s="38">
        <v>0</v>
      </c>
      <c r="Q2249" s="38">
        <v>0</v>
      </c>
      <c r="R2249" s="38">
        <v>0</v>
      </c>
    </row>
    <row r="2250" spans="1:18" hidden="1">
      <c r="A2250" t="s">
        <v>76</v>
      </c>
      <c r="B2250" t="s">
        <v>52</v>
      </c>
      <c r="C2250">
        <v>0</v>
      </c>
      <c r="D2250">
        <v>0</v>
      </c>
      <c r="E2250" s="29">
        <v>0</v>
      </c>
      <c r="F2250">
        <v>0</v>
      </c>
      <c r="G2250">
        <v>0</v>
      </c>
      <c r="H2250">
        <v>0</v>
      </c>
      <c r="I2250" s="29">
        <v>0</v>
      </c>
      <c r="J2250" s="29">
        <v>0</v>
      </c>
      <c r="K2250" s="9">
        <v>45347</v>
      </c>
      <c r="L2250">
        <f xml:space="preserve"> (交易處理資料__3[[#This Row],[售出工時]] * 60) / 5</f>
        <v>0</v>
      </c>
      <c r="M2250" t="str">
        <f>VLOOKUP(交易處理資料__3[[#This Row],[人員代號]],團隊分組!$B$1:$C$52,2,FALSE)</f>
        <v>查修團隊B</v>
      </c>
      <c r="N2250" t="str">
        <f>IF(交易處理資料__3[[#This Row],[上班時間]]=0,"否","是")</f>
        <v>否</v>
      </c>
      <c r="O2250" t="s">
        <v>76</v>
      </c>
      <c r="P2250" s="37">
        <v>0</v>
      </c>
      <c r="Q2250" s="37">
        <v>0</v>
      </c>
      <c r="R2250" s="37">
        <v>0</v>
      </c>
    </row>
    <row r="2251" spans="1:18" hidden="1">
      <c r="A2251" t="s">
        <v>76</v>
      </c>
      <c r="B2251" t="s">
        <v>53</v>
      </c>
      <c r="C2251">
        <v>0</v>
      </c>
      <c r="D2251">
        <v>0</v>
      </c>
      <c r="E2251" s="29">
        <v>0</v>
      </c>
      <c r="F2251">
        <v>0</v>
      </c>
      <c r="G2251">
        <v>0</v>
      </c>
      <c r="H2251">
        <v>0</v>
      </c>
      <c r="I2251" s="29">
        <v>0</v>
      </c>
      <c r="J2251" s="29">
        <v>0</v>
      </c>
      <c r="K2251" s="9">
        <v>45347</v>
      </c>
      <c r="L2251">
        <f xml:space="preserve"> (交易處理資料__3[[#This Row],[售出工時]] * 60) / 5</f>
        <v>0</v>
      </c>
      <c r="M2251" t="str">
        <f>VLOOKUP(交易處理資料__3[[#This Row],[人員代號]],團隊分組!$B$1:$C$52,2,FALSE)</f>
        <v>查修團隊A</v>
      </c>
      <c r="N2251" t="str">
        <f>IF(交易處理資料__3[[#This Row],[上班時間]]=0,"否","是")</f>
        <v>否</v>
      </c>
      <c r="O2251" t="s">
        <v>76</v>
      </c>
      <c r="P2251" s="38">
        <v>0</v>
      </c>
      <c r="Q2251" s="38">
        <v>0</v>
      </c>
      <c r="R2251" s="38">
        <v>0</v>
      </c>
    </row>
    <row r="2252" spans="1:18" hidden="1">
      <c r="A2252" s="10" t="s">
        <v>74</v>
      </c>
      <c r="B2252" t="s">
        <v>5</v>
      </c>
      <c r="C2252">
        <v>4.17</v>
      </c>
      <c r="D2252">
        <v>7.42</v>
      </c>
      <c r="E2252" s="29">
        <v>0.56199460919999999</v>
      </c>
      <c r="F2252">
        <v>10.48</v>
      </c>
      <c r="G2252">
        <v>0.31</v>
      </c>
      <c r="H2252">
        <v>10.79</v>
      </c>
      <c r="I2252" s="29">
        <v>0.97129999999999994</v>
      </c>
      <c r="J2252" s="29">
        <v>0.38650000000000001</v>
      </c>
      <c r="K2252" s="9">
        <v>45348</v>
      </c>
      <c r="L2252">
        <f xml:space="preserve"> (交易處理資料__3[[#This Row],[售出工時]] * 60) / 5</f>
        <v>50.04</v>
      </c>
      <c r="M2252" t="str">
        <f>VLOOKUP(交易處理資料__3[[#This Row],[人員代號]],團隊分組!$B$1:$C$52,2,FALSE)</f>
        <v>噴漆維修組</v>
      </c>
      <c r="N2252" t="str">
        <f>IF(交易處理資料__3[[#This Row],[上班時間]]=0,"否","是")</f>
        <v>是</v>
      </c>
      <c r="O2252" s="10" t="s">
        <v>74</v>
      </c>
      <c r="P2252" s="37">
        <v>0.56199460919999999</v>
      </c>
      <c r="Q2252" s="37">
        <v>0.38650000000000001</v>
      </c>
      <c r="R2252" s="37">
        <v>0.97129999999999994</v>
      </c>
    </row>
    <row r="2253" spans="1:18">
      <c r="A2253" s="10" t="s">
        <v>74</v>
      </c>
      <c r="B2253" t="s">
        <v>7</v>
      </c>
      <c r="C2253">
        <v>3.25</v>
      </c>
      <c r="D2253">
        <v>6.17</v>
      </c>
      <c r="E2253" s="29">
        <v>0.52674230150000001</v>
      </c>
      <c r="F2253">
        <v>10.48</v>
      </c>
      <c r="G2253">
        <v>0.31</v>
      </c>
      <c r="H2253">
        <v>10.79</v>
      </c>
      <c r="I2253" s="29">
        <v>0.97129999999999994</v>
      </c>
      <c r="J2253" s="29">
        <v>0.30120000000000002</v>
      </c>
      <c r="K2253" s="9">
        <v>45348</v>
      </c>
      <c r="L2253">
        <f xml:space="preserve"> (交易處理資料__3[[#This Row],[售出工時]] * 60) / 5</f>
        <v>39</v>
      </c>
      <c r="M2253" t="str">
        <f>VLOOKUP(交易處理資料__3[[#This Row],[人員代號]],團隊分組!$B$1:$C$52,2,FALSE)</f>
        <v>噴漆維修組</v>
      </c>
      <c r="N2253" t="str">
        <f>IF(交易處理資料__3[[#This Row],[上班時間]]=0,"否","是")</f>
        <v>是</v>
      </c>
      <c r="O2253" s="10" t="s">
        <v>74</v>
      </c>
      <c r="P2253" s="38">
        <v>0.52674230150000001</v>
      </c>
      <c r="Q2253" s="38">
        <v>0.30120000000000002</v>
      </c>
      <c r="R2253" s="38">
        <v>0.97129999999999994</v>
      </c>
    </row>
    <row r="2254" spans="1:18" hidden="1">
      <c r="A2254" t="s">
        <v>75</v>
      </c>
      <c r="B2254" t="s">
        <v>13</v>
      </c>
      <c r="C2254">
        <v>5.25</v>
      </c>
      <c r="D2254">
        <v>2.14</v>
      </c>
      <c r="E2254" s="29">
        <v>2.4532710280000001</v>
      </c>
      <c r="F2254">
        <v>4.66</v>
      </c>
      <c r="G2254">
        <v>3.61</v>
      </c>
      <c r="H2254">
        <v>8.27</v>
      </c>
      <c r="I2254" s="29">
        <v>0.5635</v>
      </c>
      <c r="J2254" s="29">
        <v>0.63479999999999992</v>
      </c>
      <c r="K2254" s="9">
        <v>45348</v>
      </c>
      <c r="L2254">
        <f xml:space="preserve"> (交易處理資料__3[[#This Row],[售出工時]] * 60) / 5</f>
        <v>63</v>
      </c>
      <c r="M2254" t="str">
        <f>VLOOKUP(交易處理資料__3[[#This Row],[人員代號]],團隊分組!$B$1:$C$52,2,FALSE)</f>
        <v>鈑金維修組</v>
      </c>
      <c r="N2254" t="str">
        <f>IF(交易處理資料__3[[#This Row],[上班時間]]=0,"否","是")</f>
        <v>是</v>
      </c>
      <c r="O2254" t="s">
        <v>75</v>
      </c>
      <c r="P2254" s="37">
        <v>2.4532710280000001</v>
      </c>
      <c r="Q2254" s="37">
        <v>0.63479999999999992</v>
      </c>
      <c r="R2254" s="37">
        <v>0.5635</v>
      </c>
    </row>
    <row r="2255" spans="1:18" hidden="1">
      <c r="A2255" t="s">
        <v>75</v>
      </c>
      <c r="B2255" t="s">
        <v>14</v>
      </c>
      <c r="C2255">
        <v>5.69</v>
      </c>
      <c r="D2255">
        <v>6.23</v>
      </c>
      <c r="E2255" s="29">
        <v>0.9133226324</v>
      </c>
      <c r="F2255">
        <v>4</v>
      </c>
      <c r="G2255">
        <v>4.29</v>
      </c>
      <c r="H2255">
        <v>8.2899999999999991</v>
      </c>
      <c r="I2255" s="29">
        <v>0.48249999999999998</v>
      </c>
      <c r="J2255" s="29">
        <v>0.68640000000000001</v>
      </c>
      <c r="K2255" s="9">
        <v>45348</v>
      </c>
      <c r="L2255">
        <f xml:space="preserve"> (交易處理資料__3[[#This Row],[售出工時]] * 60) / 5</f>
        <v>68.28</v>
      </c>
      <c r="M2255" t="str">
        <f>VLOOKUP(交易處理資料__3[[#This Row],[人員代號]],團隊分組!$B$1:$C$52,2,FALSE)</f>
        <v>鈑金維修組</v>
      </c>
      <c r="N2255" t="str">
        <f>IF(交易處理資料__3[[#This Row],[上班時間]]=0,"否","是")</f>
        <v>是</v>
      </c>
      <c r="O2255" t="s">
        <v>75</v>
      </c>
      <c r="P2255" s="38">
        <v>0.9133226324</v>
      </c>
      <c r="Q2255" s="38">
        <v>0.68640000000000001</v>
      </c>
      <c r="R2255" s="38">
        <v>0.48249999999999998</v>
      </c>
    </row>
    <row r="2256" spans="1:18" hidden="1">
      <c r="A2256" t="s">
        <v>75</v>
      </c>
      <c r="B2256" t="s">
        <v>15</v>
      </c>
      <c r="C2256">
        <v>0.56000000000000005</v>
      </c>
      <c r="D2256">
        <v>1.05</v>
      </c>
      <c r="E2256" s="29">
        <v>0.53333333329999999</v>
      </c>
      <c r="F2256">
        <v>4</v>
      </c>
      <c r="G2256">
        <v>4.29</v>
      </c>
      <c r="H2256">
        <v>8.2899999999999991</v>
      </c>
      <c r="I2256" s="29">
        <v>0.48249999999999998</v>
      </c>
      <c r="J2256" s="29">
        <v>6.7599999999999993E-2</v>
      </c>
      <c r="K2256" s="9">
        <v>45348</v>
      </c>
      <c r="L2256">
        <f xml:space="preserve"> (交易處理資料__3[[#This Row],[售出工時]] * 60) / 5</f>
        <v>6.7200000000000006</v>
      </c>
      <c r="M2256" t="str">
        <f>VLOOKUP(交易處理資料__3[[#This Row],[人員代號]],團隊分組!$B$1:$C$52,2,FALSE)</f>
        <v>鈑金維修組</v>
      </c>
      <c r="N2256" t="str">
        <f>IF(交易處理資料__3[[#This Row],[上班時間]]=0,"否","是")</f>
        <v>是</v>
      </c>
      <c r="O2256" t="s">
        <v>75</v>
      </c>
      <c r="P2256" s="37">
        <v>0.53333333329999999</v>
      </c>
      <c r="Q2256" s="37">
        <v>6.7599999999999993E-2</v>
      </c>
      <c r="R2256" s="37">
        <v>0.48249999999999998</v>
      </c>
    </row>
    <row r="2257" spans="1:18" hidden="1">
      <c r="A2257" t="s">
        <v>76</v>
      </c>
      <c r="B2257" t="s">
        <v>18</v>
      </c>
      <c r="C2257">
        <v>0</v>
      </c>
      <c r="D2257">
        <v>0</v>
      </c>
      <c r="E2257" s="29">
        <v>0</v>
      </c>
      <c r="F2257">
        <v>8.19</v>
      </c>
      <c r="G2257">
        <v>1.55</v>
      </c>
      <c r="H2257">
        <v>9.74</v>
      </c>
      <c r="I2257" s="29">
        <v>0.84089999999999998</v>
      </c>
      <c r="J2257" s="29">
        <v>0</v>
      </c>
      <c r="K2257" s="9">
        <v>45348</v>
      </c>
      <c r="L2257">
        <f xml:space="preserve"> (交易處理資料__3[[#This Row],[售出工時]] * 60) / 5</f>
        <v>0</v>
      </c>
      <c r="M2257" t="str">
        <f>VLOOKUP(交易處理資料__3[[#This Row],[人員代號]],團隊分組!$B$1:$C$52,2,FALSE)</f>
        <v>查修團隊B</v>
      </c>
      <c r="N2257" t="str">
        <f>IF(交易處理資料__3[[#This Row],[上班時間]]=0,"否","是")</f>
        <v>是</v>
      </c>
      <c r="O2257" t="s">
        <v>76</v>
      </c>
      <c r="P2257" s="38">
        <v>0</v>
      </c>
      <c r="Q2257" s="38">
        <v>0</v>
      </c>
      <c r="R2257" s="38">
        <v>0.84089999999999998</v>
      </c>
    </row>
    <row r="2258" spans="1:18" hidden="1">
      <c r="A2258" t="s">
        <v>76</v>
      </c>
      <c r="B2258" t="s">
        <v>20</v>
      </c>
      <c r="C2258">
        <v>0</v>
      </c>
      <c r="D2258">
        <v>0</v>
      </c>
      <c r="E2258" s="29">
        <v>0</v>
      </c>
      <c r="F2258">
        <v>1.2</v>
      </c>
      <c r="G2258">
        <v>8.9499999999999993</v>
      </c>
      <c r="H2258">
        <v>10.15</v>
      </c>
      <c r="I2258" s="29">
        <v>0.1182</v>
      </c>
      <c r="J2258" s="29">
        <v>0</v>
      </c>
      <c r="K2258" s="9">
        <v>45348</v>
      </c>
      <c r="L2258">
        <f xml:space="preserve"> (交易處理資料__3[[#This Row],[售出工時]] * 60) / 5</f>
        <v>0</v>
      </c>
      <c r="M2258" t="str">
        <f>VLOOKUP(交易處理資料__3[[#This Row],[人員代號]],團隊分組!$B$1:$C$52,2,FALSE)</f>
        <v>查修團隊B</v>
      </c>
      <c r="N2258" t="str">
        <f>IF(交易處理資料__3[[#This Row],[上班時間]]=0,"否","是")</f>
        <v>是</v>
      </c>
      <c r="O2258" t="s">
        <v>76</v>
      </c>
      <c r="P2258" s="37">
        <v>0</v>
      </c>
      <c r="Q2258" s="37">
        <v>0</v>
      </c>
      <c r="R2258" s="37">
        <v>0.1182</v>
      </c>
    </row>
    <row r="2259" spans="1:18" hidden="1">
      <c r="A2259" t="s">
        <v>76</v>
      </c>
      <c r="B2259" t="s">
        <v>21</v>
      </c>
      <c r="C2259">
        <v>0</v>
      </c>
      <c r="D2259">
        <v>0</v>
      </c>
      <c r="E2259" s="29">
        <v>0</v>
      </c>
      <c r="F2259">
        <v>8.48</v>
      </c>
      <c r="G2259">
        <v>1.71</v>
      </c>
      <c r="H2259">
        <v>10.19</v>
      </c>
      <c r="I2259" s="29">
        <v>0.83219999999999994</v>
      </c>
      <c r="J2259" s="29">
        <v>0</v>
      </c>
      <c r="K2259" s="9">
        <v>45348</v>
      </c>
      <c r="L2259">
        <f xml:space="preserve"> (交易處理資料__3[[#This Row],[售出工時]] * 60) / 5</f>
        <v>0</v>
      </c>
      <c r="M2259" t="str">
        <f>VLOOKUP(交易處理資料__3[[#This Row],[人員代號]],團隊分組!$B$1:$C$52,2,FALSE)</f>
        <v>查修團隊B</v>
      </c>
      <c r="N2259" t="str">
        <f>IF(交易處理資料__3[[#This Row],[上班時間]]=0,"否","是")</f>
        <v>是</v>
      </c>
      <c r="O2259" t="s">
        <v>76</v>
      </c>
      <c r="P2259" s="38">
        <v>0</v>
      </c>
      <c r="Q2259" s="38">
        <v>0</v>
      </c>
      <c r="R2259" s="38">
        <v>0.83219999999999994</v>
      </c>
    </row>
    <row r="2260" spans="1:18" hidden="1">
      <c r="A2260" t="s">
        <v>76</v>
      </c>
      <c r="B2260" t="s">
        <v>22</v>
      </c>
      <c r="C2260">
        <v>6.5833333329999997</v>
      </c>
      <c r="D2260">
        <v>7.45</v>
      </c>
      <c r="E2260" s="29">
        <v>0.88366890379999996</v>
      </c>
      <c r="F2260">
        <v>6.03</v>
      </c>
      <c r="G2260">
        <v>1.96</v>
      </c>
      <c r="H2260">
        <v>7.99</v>
      </c>
      <c r="I2260" s="29">
        <v>0.75470000000000004</v>
      </c>
      <c r="J2260" s="29">
        <v>0.82389999999999997</v>
      </c>
      <c r="K2260" s="9">
        <v>45348</v>
      </c>
      <c r="L2260">
        <f xml:space="preserve"> (交易處理資料__3[[#This Row],[售出工時]] * 60) / 5</f>
        <v>78.999999996</v>
      </c>
      <c r="M2260" t="str">
        <f>VLOOKUP(交易處理資料__3[[#This Row],[人員代號]],團隊分組!$B$1:$C$52,2,FALSE)</f>
        <v>快速保養團隊A</v>
      </c>
      <c r="N2260" t="str">
        <f>IF(交易處理資料__3[[#This Row],[上班時間]]=0,"否","是")</f>
        <v>是</v>
      </c>
      <c r="O2260" t="s">
        <v>76</v>
      </c>
      <c r="P2260" s="37">
        <v>0.88366890379999996</v>
      </c>
      <c r="Q2260" s="37">
        <v>0.82389999999999997</v>
      </c>
      <c r="R2260" s="37">
        <v>0.75470000000000004</v>
      </c>
    </row>
    <row r="2261" spans="1:18" hidden="1">
      <c r="A2261" t="s">
        <v>76</v>
      </c>
      <c r="B2261" t="s">
        <v>24</v>
      </c>
      <c r="C2261">
        <v>2.9333333330000002</v>
      </c>
      <c r="D2261">
        <v>4.38</v>
      </c>
      <c r="E2261" s="29">
        <v>0.66971080670000005</v>
      </c>
      <c r="F2261">
        <v>7.15</v>
      </c>
      <c r="G2261">
        <v>0.61</v>
      </c>
      <c r="H2261">
        <v>7.76</v>
      </c>
      <c r="I2261" s="29">
        <v>0.9214</v>
      </c>
      <c r="J2261" s="29">
        <v>0.37799999999999995</v>
      </c>
      <c r="K2261" s="9">
        <v>45348</v>
      </c>
      <c r="L2261">
        <f xml:space="preserve"> (交易處理資料__3[[#This Row],[售出工時]] * 60) / 5</f>
        <v>35.199999996000003</v>
      </c>
      <c r="M2261" t="str">
        <f>VLOOKUP(交易處理資料__3[[#This Row],[人員代號]],團隊分組!$B$1:$C$52,2,FALSE)</f>
        <v>快速保養團隊A</v>
      </c>
      <c r="N2261" t="str">
        <f>IF(交易處理資料__3[[#This Row],[上班時間]]=0,"否","是")</f>
        <v>是</v>
      </c>
      <c r="O2261" t="s">
        <v>76</v>
      </c>
      <c r="P2261" s="38">
        <v>0.66971080670000005</v>
      </c>
      <c r="Q2261" s="38">
        <v>0.37799999999999995</v>
      </c>
      <c r="R2261" s="38">
        <v>0.9214</v>
      </c>
    </row>
    <row r="2262" spans="1:18" hidden="1">
      <c r="A2262" t="s">
        <v>76</v>
      </c>
      <c r="B2262" t="s">
        <v>25</v>
      </c>
      <c r="C2262">
        <v>4.4966666670000004</v>
      </c>
      <c r="D2262">
        <v>5.85</v>
      </c>
      <c r="E2262" s="29">
        <v>0.76866096870000011</v>
      </c>
      <c r="F2262">
        <v>8.4499999999999993</v>
      </c>
      <c r="G2262">
        <v>2.0299999999999998</v>
      </c>
      <c r="H2262">
        <v>10.48</v>
      </c>
      <c r="I2262" s="29">
        <v>0.80629999999999991</v>
      </c>
      <c r="J2262" s="29">
        <v>0.42909999999999998</v>
      </c>
      <c r="K2262" s="9">
        <v>45348</v>
      </c>
      <c r="L2262">
        <f xml:space="preserve"> (交易處理資料__3[[#This Row],[售出工時]] * 60) / 5</f>
        <v>53.960000004000008</v>
      </c>
      <c r="M2262" t="str">
        <f>VLOOKUP(交易處理資料__3[[#This Row],[人員代號]],團隊分組!$B$1:$C$52,2,FALSE)</f>
        <v>查修團隊A</v>
      </c>
      <c r="N2262" t="str">
        <f>IF(交易處理資料__3[[#This Row],[上班時間]]=0,"否","是")</f>
        <v>是</v>
      </c>
      <c r="O2262" t="s">
        <v>76</v>
      </c>
      <c r="P2262" s="37">
        <v>0.76866096870000011</v>
      </c>
      <c r="Q2262" s="37">
        <v>0.42909999999999998</v>
      </c>
      <c r="R2262" s="37">
        <v>0.80629999999999991</v>
      </c>
    </row>
    <row r="2263" spans="1:18" hidden="1">
      <c r="A2263" t="s">
        <v>76</v>
      </c>
      <c r="B2263" t="s">
        <v>26</v>
      </c>
      <c r="C2263">
        <v>0.75</v>
      </c>
      <c r="D2263">
        <v>2.6</v>
      </c>
      <c r="E2263" s="29">
        <v>0.2884615385</v>
      </c>
      <c r="F2263">
        <v>1.77</v>
      </c>
      <c r="G2263">
        <v>8.39</v>
      </c>
      <c r="H2263">
        <v>10.16</v>
      </c>
      <c r="I2263" s="29">
        <v>0.17420000000000002</v>
      </c>
      <c r="J2263" s="29">
        <v>7.3800000000000004E-2</v>
      </c>
      <c r="K2263" s="9">
        <v>45348</v>
      </c>
      <c r="L2263">
        <f xml:space="preserve"> (交易處理資料__3[[#This Row],[售出工時]] * 60) / 5</f>
        <v>9</v>
      </c>
      <c r="M2263" t="str">
        <f>VLOOKUP(交易處理資料__3[[#This Row],[人員代號]],團隊分組!$B$1:$C$52,2,FALSE)</f>
        <v>查修團隊B</v>
      </c>
      <c r="N2263" t="str">
        <f>IF(交易處理資料__3[[#This Row],[上班時間]]=0,"否","是")</f>
        <v>是</v>
      </c>
      <c r="O2263" t="s">
        <v>76</v>
      </c>
      <c r="P2263" s="38">
        <v>0.2884615385</v>
      </c>
      <c r="Q2263" s="38">
        <v>7.3800000000000004E-2</v>
      </c>
      <c r="R2263" s="38">
        <v>0.17420000000000002</v>
      </c>
    </row>
    <row r="2264" spans="1:18" hidden="1">
      <c r="A2264" t="s">
        <v>76</v>
      </c>
      <c r="B2264" t="s">
        <v>27</v>
      </c>
      <c r="C2264">
        <v>1.37</v>
      </c>
      <c r="D2264">
        <v>1.0900000000000001</v>
      </c>
      <c r="E2264" s="29">
        <v>1.2568807339999999</v>
      </c>
      <c r="F2264">
        <v>6.73</v>
      </c>
      <c r="G2264">
        <v>1.98</v>
      </c>
      <c r="H2264">
        <v>8.7100000000000009</v>
      </c>
      <c r="I2264" s="29">
        <v>0.77269999999999994</v>
      </c>
      <c r="J2264" s="29">
        <v>0.1573</v>
      </c>
      <c r="K2264" s="9">
        <v>45348</v>
      </c>
      <c r="L2264">
        <f xml:space="preserve"> (交易處理資料__3[[#This Row],[售出工時]] * 60) / 5</f>
        <v>16.440000000000001</v>
      </c>
      <c r="M2264" t="str">
        <f>VLOOKUP(交易處理資料__3[[#This Row],[人員代號]],團隊分組!$B$1:$C$52,2,FALSE)</f>
        <v>快速保養團隊B</v>
      </c>
      <c r="N2264" t="str">
        <f>IF(交易處理資料__3[[#This Row],[上班時間]]=0,"否","是")</f>
        <v>是</v>
      </c>
      <c r="O2264" t="s">
        <v>76</v>
      </c>
      <c r="P2264" s="37">
        <v>1.2568807339999999</v>
      </c>
      <c r="Q2264" s="37">
        <v>0.1573</v>
      </c>
      <c r="R2264" s="37">
        <v>0.77269999999999994</v>
      </c>
    </row>
    <row r="2265" spans="1:18" hidden="1">
      <c r="A2265" t="s">
        <v>76</v>
      </c>
      <c r="B2265" t="s">
        <v>28</v>
      </c>
      <c r="C2265">
        <v>3.2566666670000002</v>
      </c>
      <c r="D2265">
        <v>5.15</v>
      </c>
      <c r="E2265" s="29">
        <v>0.63236245949999992</v>
      </c>
      <c r="F2265">
        <v>7.07</v>
      </c>
      <c r="G2265">
        <v>1.04</v>
      </c>
      <c r="H2265">
        <v>8.11</v>
      </c>
      <c r="I2265" s="29">
        <v>0.87180000000000002</v>
      </c>
      <c r="J2265" s="29">
        <v>0.40159999999999996</v>
      </c>
      <c r="K2265" s="9">
        <v>45348</v>
      </c>
      <c r="L2265">
        <f xml:space="preserve"> (交易處理資料__3[[#This Row],[售出工時]] * 60) / 5</f>
        <v>39.080000004000006</v>
      </c>
      <c r="M2265" t="str">
        <f>VLOOKUP(交易處理資料__3[[#This Row],[人員代號]],團隊分組!$B$1:$C$52,2,FALSE)</f>
        <v>快速保養團隊A</v>
      </c>
      <c r="N2265" t="str">
        <f>IF(交易處理資料__3[[#This Row],[上班時間]]=0,"否","是")</f>
        <v>是</v>
      </c>
      <c r="O2265" t="s">
        <v>76</v>
      </c>
      <c r="P2265" s="38">
        <v>0.63236245949999992</v>
      </c>
      <c r="Q2265" s="38">
        <v>0.40159999999999996</v>
      </c>
      <c r="R2265" s="38">
        <v>0.87180000000000002</v>
      </c>
    </row>
    <row r="2266" spans="1:18" hidden="1">
      <c r="A2266" t="s">
        <v>76</v>
      </c>
      <c r="B2266" t="s">
        <v>29</v>
      </c>
      <c r="C2266">
        <v>0.66666666699999999</v>
      </c>
      <c r="D2266">
        <v>0.54</v>
      </c>
      <c r="E2266" s="29">
        <v>1.2345679010000001</v>
      </c>
      <c r="F2266">
        <v>8.1</v>
      </c>
      <c r="G2266">
        <v>1.6</v>
      </c>
      <c r="H2266">
        <v>9.6999999999999993</v>
      </c>
      <c r="I2266" s="29">
        <v>0.83510000000000006</v>
      </c>
      <c r="J2266" s="29">
        <v>6.8699999999999997E-2</v>
      </c>
      <c r="K2266" s="9">
        <v>45348</v>
      </c>
      <c r="L2266">
        <f xml:space="preserve"> (交易處理資料__3[[#This Row],[售出工時]] * 60) / 5</f>
        <v>8.0000000040000003</v>
      </c>
      <c r="M2266" t="str">
        <f>VLOOKUP(交易處理資料__3[[#This Row],[人員代號]],團隊分組!$B$1:$C$52,2,FALSE)</f>
        <v>查修團隊B</v>
      </c>
      <c r="N2266" t="str">
        <f>IF(交易處理資料__3[[#This Row],[上班時間]]=0,"否","是")</f>
        <v>是</v>
      </c>
      <c r="O2266" t="s">
        <v>76</v>
      </c>
      <c r="P2266" s="37">
        <v>1.2345679010000001</v>
      </c>
      <c r="Q2266" s="37">
        <v>6.8699999999999997E-2</v>
      </c>
      <c r="R2266" s="37">
        <v>0.83510000000000006</v>
      </c>
    </row>
    <row r="2267" spans="1:18" hidden="1">
      <c r="A2267" t="s">
        <v>76</v>
      </c>
      <c r="B2267" t="s">
        <v>30</v>
      </c>
      <c r="C2267">
        <v>8.5333333329999999</v>
      </c>
      <c r="D2267">
        <v>2.68</v>
      </c>
      <c r="E2267" s="29">
        <v>3.1840796019999997</v>
      </c>
      <c r="F2267">
        <v>9.23</v>
      </c>
      <c r="G2267">
        <v>0.83</v>
      </c>
      <c r="H2267">
        <v>10.06</v>
      </c>
      <c r="I2267" s="29">
        <v>0.91749999999999998</v>
      </c>
      <c r="J2267" s="29">
        <v>0.84819999999999995</v>
      </c>
      <c r="K2267" s="9">
        <v>45348</v>
      </c>
      <c r="L2267">
        <f xml:space="preserve"> (交易處理資料__3[[#This Row],[售出工時]] * 60) / 5</f>
        <v>102.39999999599999</v>
      </c>
      <c r="M2267" t="str">
        <f>VLOOKUP(交易處理資料__3[[#This Row],[人員代號]],團隊分組!$B$1:$C$52,2,FALSE)</f>
        <v>快速保養團隊B</v>
      </c>
      <c r="N2267" t="str">
        <f>IF(交易處理資料__3[[#This Row],[上班時間]]=0,"否","是")</f>
        <v>是</v>
      </c>
      <c r="O2267" t="s">
        <v>76</v>
      </c>
      <c r="P2267" s="38">
        <v>3.1840796019999997</v>
      </c>
      <c r="Q2267" s="38">
        <v>0.84819999999999995</v>
      </c>
      <c r="R2267" s="38">
        <v>0.91749999999999998</v>
      </c>
    </row>
    <row r="2268" spans="1:18" hidden="1">
      <c r="A2268" t="s">
        <v>76</v>
      </c>
      <c r="B2268" t="s">
        <v>32</v>
      </c>
      <c r="C2268">
        <v>5.62</v>
      </c>
      <c r="D2268">
        <v>3.45</v>
      </c>
      <c r="E2268" s="29">
        <v>1.6289855069999999</v>
      </c>
      <c r="F2268">
        <v>7</v>
      </c>
      <c r="G2268">
        <v>1.23</v>
      </c>
      <c r="H2268">
        <v>8.23</v>
      </c>
      <c r="I2268" s="29">
        <v>0.85049999999999992</v>
      </c>
      <c r="J2268" s="29">
        <v>0.68290000000000006</v>
      </c>
      <c r="K2268" s="9">
        <v>45348</v>
      </c>
      <c r="L2268">
        <f xml:space="preserve"> (交易處理資料__3[[#This Row],[售出工時]] * 60) / 5</f>
        <v>67.44</v>
      </c>
      <c r="M2268" t="str">
        <f>VLOOKUP(交易處理資料__3[[#This Row],[人員代號]],團隊分組!$B$1:$C$52,2,FALSE)</f>
        <v>快速保養團隊B</v>
      </c>
      <c r="N2268" t="str">
        <f>IF(交易處理資料__3[[#This Row],[上班時間]]=0,"否","是")</f>
        <v>是</v>
      </c>
      <c r="O2268" t="s">
        <v>76</v>
      </c>
      <c r="P2268" s="37">
        <v>1.6289855069999999</v>
      </c>
      <c r="Q2268" s="37">
        <v>0.68290000000000006</v>
      </c>
      <c r="R2268" s="37">
        <v>0.85049999999999992</v>
      </c>
    </row>
    <row r="2269" spans="1:18" hidden="1">
      <c r="A2269" t="s">
        <v>76</v>
      </c>
      <c r="B2269" t="s">
        <v>33</v>
      </c>
      <c r="C2269">
        <v>3.08</v>
      </c>
      <c r="D2269">
        <v>1.7</v>
      </c>
      <c r="E2269" s="29">
        <v>1.8117647059999999</v>
      </c>
      <c r="F2269">
        <v>7.45</v>
      </c>
      <c r="G2269">
        <v>0.09</v>
      </c>
      <c r="H2269">
        <v>7.54</v>
      </c>
      <c r="I2269" s="29">
        <v>0.98809999999999998</v>
      </c>
      <c r="J2269" s="29">
        <v>0.40850000000000003</v>
      </c>
      <c r="K2269" s="9">
        <v>45348</v>
      </c>
      <c r="L2269">
        <f xml:space="preserve"> (交易處理資料__3[[#This Row],[售出工時]] * 60) / 5</f>
        <v>36.96</v>
      </c>
      <c r="M2269" t="str">
        <f>VLOOKUP(交易處理資料__3[[#This Row],[人員代號]],團隊分組!$B$1:$C$52,2,FALSE)</f>
        <v>快速保養團隊B</v>
      </c>
      <c r="N2269" t="str">
        <f>IF(交易處理資料__3[[#This Row],[上班時間]]=0,"否","是")</f>
        <v>是</v>
      </c>
      <c r="O2269" t="s">
        <v>76</v>
      </c>
      <c r="P2269" s="38">
        <v>1.8117647059999999</v>
      </c>
      <c r="Q2269" s="38">
        <v>0.40850000000000003</v>
      </c>
      <c r="R2269" s="38">
        <v>0.98809999999999998</v>
      </c>
    </row>
    <row r="2270" spans="1:18" hidden="1">
      <c r="A2270" t="s">
        <v>76</v>
      </c>
      <c r="B2270" t="s">
        <v>34</v>
      </c>
      <c r="C2270">
        <v>6.6666666670000003</v>
      </c>
      <c r="D2270">
        <v>4.0599999999999996</v>
      </c>
      <c r="E2270" s="29">
        <v>1.642036125</v>
      </c>
      <c r="F2270">
        <v>7</v>
      </c>
      <c r="G2270">
        <v>0.99</v>
      </c>
      <c r="H2270">
        <v>7.99</v>
      </c>
      <c r="I2270" s="29">
        <v>0.87609999999999999</v>
      </c>
      <c r="J2270" s="29">
        <v>0.83440000000000003</v>
      </c>
      <c r="K2270" s="9">
        <v>45348</v>
      </c>
      <c r="L2270">
        <f xml:space="preserve"> (交易處理資料__3[[#This Row],[售出工時]] * 60) / 5</f>
        <v>80.000000004</v>
      </c>
      <c r="M2270" t="str">
        <f>VLOOKUP(交易處理資料__3[[#This Row],[人員代號]],團隊分組!$B$1:$C$52,2,FALSE)</f>
        <v>快速保養團隊A</v>
      </c>
      <c r="N2270" t="str">
        <f>IF(交易處理資料__3[[#This Row],[上班時間]]=0,"否","是")</f>
        <v>是</v>
      </c>
      <c r="O2270" t="s">
        <v>76</v>
      </c>
      <c r="P2270" s="37">
        <v>1.642036125</v>
      </c>
      <c r="Q2270" s="37">
        <v>0.83440000000000003</v>
      </c>
      <c r="R2270" s="37">
        <v>0.87609999999999999</v>
      </c>
    </row>
    <row r="2271" spans="1:18" hidden="1">
      <c r="A2271" t="s">
        <v>76</v>
      </c>
      <c r="B2271" t="s">
        <v>35</v>
      </c>
      <c r="C2271">
        <v>1.3333333329999999</v>
      </c>
      <c r="D2271">
        <v>0.67</v>
      </c>
      <c r="E2271" s="29">
        <v>1.9900497509999999</v>
      </c>
      <c r="F2271">
        <v>8.52</v>
      </c>
      <c r="G2271">
        <v>1.65</v>
      </c>
      <c r="H2271">
        <v>10.17</v>
      </c>
      <c r="I2271" s="29">
        <v>0.83779999999999999</v>
      </c>
      <c r="J2271" s="29">
        <v>0.13109999999999999</v>
      </c>
      <c r="K2271" s="9">
        <v>45348</v>
      </c>
      <c r="L2271">
        <f xml:space="preserve"> (交易處理資料__3[[#This Row],[售出工時]] * 60) / 5</f>
        <v>15.999999996</v>
      </c>
      <c r="M2271" t="str">
        <f>VLOOKUP(交易處理資料__3[[#This Row],[人員代號]],團隊分組!$B$1:$C$52,2,FALSE)</f>
        <v>查修團隊B</v>
      </c>
      <c r="N2271" t="str">
        <f>IF(交易處理資料__3[[#This Row],[上班時間]]=0,"否","是")</f>
        <v>是</v>
      </c>
      <c r="O2271" t="s">
        <v>76</v>
      </c>
      <c r="P2271" s="38">
        <v>1.9900497509999999</v>
      </c>
      <c r="Q2271" s="38">
        <v>0.13109999999999999</v>
      </c>
      <c r="R2271" s="38">
        <v>0.83779999999999999</v>
      </c>
    </row>
    <row r="2272" spans="1:18" hidden="1">
      <c r="A2272" t="s">
        <v>76</v>
      </c>
      <c r="B2272" t="s">
        <v>36</v>
      </c>
      <c r="C2272">
        <v>1.26</v>
      </c>
      <c r="D2272">
        <v>1.05</v>
      </c>
      <c r="E2272" s="29">
        <v>1.2</v>
      </c>
      <c r="F2272">
        <v>7.26</v>
      </c>
      <c r="G2272">
        <v>2.99</v>
      </c>
      <c r="H2272">
        <v>10.25</v>
      </c>
      <c r="I2272" s="29">
        <v>0.70829999999999993</v>
      </c>
      <c r="J2272" s="29">
        <v>0.1229</v>
      </c>
      <c r="K2272" s="9">
        <v>45348</v>
      </c>
      <c r="L2272">
        <f xml:space="preserve"> (交易處理資料__3[[#This Row],[售出工時]] * 60) / 5</f>
        <v>15.12</v>
      </c>
      <c r="M2272" t="str">
        <f>VLOOKUP(交易處理資料__3[[#This Row],[人員代號]],團隊分組!$B$1:$C$52,2,FALSE)</f>
        <v>查修團隊B</v>
      </c>
      <c r="N2272" t="str">
        <f>IF(交易處理資料__3[[#This Row],[上班時間]]=0,"否","是")</f>
        <v>是</v>
      </c>
      <c r="O2272" t="s">
        <v>76</v>
      </c>
      <c r="P2272" s="37">
        <v>1.2</v>
      </c>
      <c r="Q2272" s="37">
        <v>0.1229</v>
      </c>
      <c r="R2272" s="37">
        <v>0.70829999999999993</v>
      </c>
    </row>
    <row r="2273" spans="1:18" hidden="1">
      <c r="A2273" t="s">
        <v>76</v>
      </c>
      <c r="B2273" t="s">
        <v>37</v>
      </c>
      <c r="C2273">
        <v>3.153333333</v>
      </c>
      <c r="D2273">
        <v>4.5199999999999996</v>
      </c>
      <c r="E2273" s="29">
        <v>0.69764011800000003</v>
      </c>
      <c r="F2273">
        <v>6.81</v>
      </c>
      <c r="G2273">
        <v>3.08</v>
      </c>
      <c r="H2273">
        <v>9.89</v>
      </c>
      <c r="I2273" s="29">
        <v>0.68859999999999999</v>
      </c>
      <c r="J2273" s="29">
        <v>0.31879999999999997</v>
      </c>
      <c r="K2273" s="9">
        <v>45348</v>
      </c>
      <c r="L2273">
        <f xml:space="preserve"> (交易處理資料__3[[#This Row],[售出工時]] * 60) / 5</f>
        <v>37.839999996000003</v>
      </c>
      <c r="M2273" t="str">
        <f>VLOOKUP(交易處理資料__3[[#This Row],[人員代號]],團隊分組!$B$1:$C$52,2,FALSE)</f>
        <v>查修團隊A</v>
      </c>
      <c r="N2273" t="str">
        <f>IF(交易處理資料__3[[#This Row],[上班時間]]=0,"否","是")</f>
        <v>是</v>
      </c>
      <c r="O2273" t="s">
        <v>76</v>
      </c>
      <c r="P2273" s="38">
        <v>0.69764011800000003</v>
      </c>
      <c r="Q2273" s="38">
        <v>0.31879999999999997</v>
      </c>
      <c r="R2273" s="38">
        <v>0.68859999999999999</v>
      </c>
    </row>
    <row r="2274" spans="1:18" hidden="1">
      <c r="A2274" t="s">
        <v>76</v>
      </c>
      <c r="B2274" t="s">
        <v>41</v>
      </c>
      <c r="C2274">
        <v>13.33333333</v>
      </c>
      <c r="D2274">
        <v>6.66</v>
      </c>
      <c r="E2274" s="29">
        <v>2.0020020020000002</v>
      </c>
      <c r="F2274">
        <v>6.56</v>
      </c>
      <c r="G2274">
        <v>1.43</v>
      </c>
      <c r="H2274">
        <v>7.99</v>
      </c>
      <c r="I2274" s="29">
        <v>0.82099999999999995</v>
      </c>
      <c r="J2274" s="29">
        <v>1.6688000000000001</v>
      </c>
      <c r="K2274" s="9">
        <v>45348</v>
      </c>
      <c r="L2274">
        <f xml:space="preserve"> (交易處理資料__3[[#This Row],[售出工時]] * 60) / 5</f>
        <v>159.99999996000003</v>
      </c>
      <c r="M2274" t="str">
        <f>VLOOKUP(交易處理資料__3[[#This Row],[人員代號]],團隊分組!$B$1:$C$52,2,FALSE)</f>
        <v>快速保養團隊A</v>
      </c>
      <c r="N2274" t="str">
        <f>IF(交易處理資料__3[[#This Row],[上班時間]]=0,"否","是")</f>
        <v>是</v>
      </c>
      <c r="O2274" t="s">
        <v>76</v>
      </c>
      <c r="P2274" s="37">
        <v>2.0020020020000002</v>
      </c>
      <c r="Q2274" s="37">
        <v>1.6688000000000001</v>
      </c>
      <c r="R2274" s="37">
        <v>0.82099999999999995</v>
      </c>
    </row>
    <row r="2275" spans="1:18" hidden="1">
      <c r="A2275" t="s">
        <v>76</v>
      </c>
      <c r="B2275" t="s">
        <v>42</v>
      </c>
      <c r="C2275">
        <v>8.3333333330000006</v>
      </c>
      <c r="D2275">
        <v>4.92</v>
      </c>
      <c r="E2275" s="29">
        <v>1.693766938</v>
      </c>
      <c r="F2275">
        <v>6.36</v>
      </c>
      <c r="G2275">
        <v>1.63</v>
      </c>
      <c r="H2275">
        <v>7.99</v>
      </c>
      <c r="I2275" s="29">
        <v>0.79599999999999993</v>
      </c>
      <c r="J2275" s="29">
        <v>1.0429999999999999</v>
      </c>
      <c r="K2275" s="9">
        <v>45348</v>
      </c>
      <c r="L2275">
        <f xml:space="preserve"> (交易處理資料__3[[#This Row],[售出工時]] * 60) / 5</f>
        <v>99.999999996000014</v>
      </c>
      <c r="M2275" t="str">
        <f>VLOOKUP(交易處理資料__3[[#This Row],[人員代號]],團隊分組!$B$1:$C$52,2,FALSE)</f>
        <v>快速保養團隊A</v>
      </c>
      <c r="N2275" t="str">
        <f>IF(交易處理資料__3[[#This Row],[上班時間]]=0,"否","是")</f>
        <v>是</v>
      </c>
      <c r="O2275" t="s">
        <v>76</v>
      </c>
      <c r="P2275" s="38">
        <v>1.693766938</v>
      </c>
      <c r="Q2275" s="38">
        <v>1.0429999999999999</v>
      </c>
      <c r="R2275" s="38">
        <v>0.79599999999999993</v>
      </c>
    </row>
    <row r="2276" spans="1:18" hidden="1">
      <c r="A2276" t="s">
        <v>76</v>
      </c>
      <c r="B2276" t="s">
        <v>43</v>
      </c>
      <c r="C2276">
        <v>1.24</v>
      </c>
      <c r="D2276">
        <v>1.03</v>
      </c>
      <c r="E2276" s="29">
        <v>1.2038834950000001</v>
      </c>
      <c r="F2276">
        <v>7.86</v>
      </c>
      <c r="G2276">
        <v>2.41</v>
      </c>
      <c r="H2276">
        <v>10.27</v>
      </c>
      <c r="I2276" s="29">
        <v>0.76529999999999998</v>
      </c>
      <c r="J2276" s="29">
        <v>0.1207</v>
      </c>
      <c r="K2276" s="9">
        <v>45348</v>
      </c>
      <c r="L2276">
        <f xml:space="preserve"> (交易處理資料__3[[#This Row],[售出工時]] * 60) / 5</f>
        <v>14.88</v>
      </c>
      <c r="M2276" t="str">
        <f>VLOOKUP(交易處理資料__3[[#This Row],[人員代號]],團隊分組!$B$1:$C$52,2,FALSE)</f>
        <v>查修團隊B</v>
      </c>
      <c r="N2276" t="str">
        <f>IF(交易處理資料__3[[#This Row],[上班時間]]=0,"否","是")</f>
        <v>是</v>
      </c>
      <c r="O2276" t="s">
        <v>76</v>
      </c>
      <c r="P2276" s="37">
        <v>1.2038834950000001</v>
      </c>
      <c r="Q2276" s="37">
        <v>0.1207</v>
      </c>
      <c r="R2276" s="37">
        <v>0.76529999999999998</v>
      </c>
    </row>
    <row r="2277" spans="1:18" hidden="1">
      <c r="A2277" t="s">
        <v>76</v>
      </c>
      <c r="B2277" t="s">
        <v>44</v>
      </c>
      <c r="C2277">
        <v>3.8533333330000001</v>
      </c>
      <c r="D2277">
        <v>3.29</v>
      </c>
      <c r="E2277" s="29">
        <v>1.171225937</v>
      </c>
      <c r="F2277">
        <v>7.19</v>
      </c>
      <c r="G2277">
        <v>1.02</v>
      </c>
      <c r="H2277">
        <v>8.2100000000000009</v>
      </c>
      <c r="I2277" s="29">
        <v>0.87580000000000002</v>
      </c>
      <c r="J2277" s="29">
        <v>0.46929999999999999</v>
      </c>
      <c r="K2277" s="9">
        <v>45348</v>
      </c>
      <c r="L2277">
        <f xml:space="preserve"> (交易處理資料__3[[#This Row],[售出工時]] * 60) / 5</f>
        <v>46.239999996000002</v>
      </c>
      <c r="M2277" t="str">
        <f>VLOOKUP(交易處理資料__3[[#This Row],[人員代號]],團隊分組!$B$1:$C$52,2,FALSE)</f>
        <v>快速保養團隊B</v>
      </c>
      <c r="N2277" t="str">
        <f>IF(交易處理資料__3[[#This Row],[上班時間]]=0,"否","是")</f>
        <v>是</v>
      </c>
      <c r="O2277" t="s">
        <v>76</v>
      </c>
      <c r="P2277" s="38">
        <v>1.171225937</v>
      </c>
      <c r="Q2277" s="38">
        <v>0.46929999999999999</v>
      </c>
      <c r="R2277" s="38">
        <v>0.87580000000000002</v>
      </c>
    </row>
    <row r="2278" spans="1:18" hidden="1">
      <c r="A2278" t="s">
        <v>76</v>
      </c>
      <c r="B2278" t="s">
        <v>45</v>
      </c>
      <c r="C2278">
        <v>10.58333333</v>
      </c>
      <c r="D2278">
        <v>4.0599999999999996</v>
      </c>
      <c r="E2278" s="29">
        <v>2.606732348</v>
      </c>
      <c r="F2278">
        <v>7.73</v>
      </c>
      <c r="G2278">
        <v>0.74</v>
      </c>
      <c r="H2278">
        <v>8.4700000000000006</v>
      </c>
      <c r="I2278" s="29">
        <v>0.91260000000000008</v>
      </c>
      <c r="J2278" s="29">
        <v>1.2495000000000001</v>
      </c>
      <c r="K2278" s="9">
        <v>45348</v>
      </c>
      <c r="L2278">
        <f xml:space="preserve"> (交易處理資料__3[[#This Row],[售出工時]] * 60) / 5</f>
        <v>126.99999996000001</v>
      </c>
      <c r="M2278" t="str">
        <f>VLOOKUP(交易處理資料__3[[#This Row],[人員代號]],團隊分組!$B$1:$C$52,2,FALSE)</f>
        <v>快速保養團隊A</v>
      </c>
      <c r="N2278" t="str">
        <f>IF(交易處理資料__3[[#This Row],[上班時間]]=0,"否","是")</f>
        <v>是</v>
      </c>
      <c r="O2278" t="s">
        <v>76</v>
      </c>
      <c r="P2278" s="37">
        <v>2.606732348</v>
      </c>
      <c r="Q2278" s="37">
        <v>1.2495000000000001</v>
      </c>
      <c r="R2278" s="37">
        <v>0.91260000000000008</v>
      </c>
    </row>
    <row r="2279" spans="1:18" hidden="1">
      <c r="A2279" t="s">
        <v>76</v>
      </c>
      <c r="B2279" t="s">
        <v>46</v>
      </c>
      <c r="C2279">
        <v>2.75</v>
      </c>
      <c r="D2279">
        <v>4.03</v>
      </c>
      <c r="E2279" s="29">
        <v>0.68238213400000003</v>
      </c>
      <c r="F2279">
        <v>7.47</v>
      </c>
      <c r="G2279">
        <v>2.25</v>
      </c>
      <c r="H2279">
        <v>9.7200000000000006</v>
      </c>
      <c r="I2279" s="29">
        <v>0.76849999999999996</v>
      </c>
      <c r="J2279" s="29">
        <v>0.28289999999999998</v>
      </c>
      <c r="K2279" s="9">
        <v>45348</v>
      </c>
      <c r="L2279">
        <f xml:space="preserve"> (交易處理資料__3[[#This Row],[售出工時]] * 60) / 5</f>
        <v>33</v>
      </c>
      <c r="M2279" t="str">
        <f>VLOOKUP(交易處理資料__3[[#This Row],[人員代號]],團隊分組!$B$1:$C$52,2,FALSE)</f>
        <v>查修團隊B</v>
      </c>
      <c r="N2279" t="str">
        <f>IF(交易處理資料__3[[#This Row],[上班時間]]=0,"否","是")</f>
        <v>是</v>
      </c>
      <c r="O2279" t="s">
        <v>76</v>
      </c>
      <c r="P2279" s="38">
        <v>0.68238213400000003</v>
      </c>
      <c r="Q2279" s="38">
        <v>0.28289999999999998</v>
      </c>
      <c r="R2279" s="38">
        <v>0.76849999999999996</v>
      </c>
    </row>
    <row r="2280" spans="1:18" hidden="1">
      <c r="A2280" t="s">
        <v>76</v>
      </c>
      <c r="B2280" t="s">
        <v>47</v>
      </c>
      <c r="C2280">
        <v>0</v>
      </c>
      <c r="D2280">
        <v>0</v>
      </c>
      <c r="E2280" s="29">
        <v>0</v>
      </c>
      <c r="F2280">
        <v>2.4300000000000002</v>
      </c>
      <c r="G2280">
        <v>1.74</v>
      </c>
      <c r="H2280">
        <v>4.17</v>
      </c>
      <c r="I2280" s="29">
        <v>0.5827</v>
      </c>
      <c r="J2280" s="29">
        <v>0</v>
      </c>
      <c r="K2280" s="9">
        <v>45348</v>
      </c>
      <c r="L2280">
        <f xml:space="preserve"> (交易處理資料__3[[#This Row],[售出工時]] * 60) / 5</f>
        <v>0</v>
      </c>
      <c r="M2280" t="str">
        <f>VLOOKUP(交易處理資料__3[[#This Row],[人員代號]],團隊分組!$B$1:$C$52,2,FALSE)</f>
        <v>查修團隊B</v>
      </c>
      <c r="N2280" t="str">
        <f>IF(交易處理資料__3[[#This Row],[上班時間]]=0,"否","是")</f>
        <v>是</v>
      </c>
      <c r="O2280" t="s">
        <v>76</v>
      </c>
      <c r="P2280" s="37">
        <v>0</v>
      </c>
      <c r="Q2280" s="37">
        <v>0</v>
      </c>
      <c r="R2280" s="37">
        <v>0.5827</v>
      </c>
    </row>
    <row r="2281" spans="1:18" hidden="1">
      <c r="A2281" t="s">
        <v>76</v>
      </c>
      <c r="B2281" t="s">
        <v>51</v>
      </c>
      <c r="C2281">
        <v>0</v>
      </c>
      <c r="D2281">
        <v>0</v>
      </c>
      <c r="E2281" s="29">
        <v>0</v>
      </c>
      <c r="F2281">
        <v>0</v>
      </c>
      <c r="G2281">
        <v>0</v>
      </c>
      <c r="H2281">
        <v>0</v>
      </c>
      <c r="I2281" s="29">
        <v>0</v>
      </c>
      <c r="J2281" s="29">
        <v>0</v>
      </c>
      <c r="K2281" s="9">
        <v>45348</v>
      </c>
      <c r="L2281">
        <f xml:space="preserve"> (交易處理資料__3[[#This Row],[售出工時]] * 60) / 5</f>
        <v>0</v>
      </c>
      <c r="M2281" t="str">
        <f>VLOOKUP(交易處理資料__3[[#This Row],[人員代號]],團隊分組!$B$1:$C$52,2,FALSE)</f>
        <v>無效數據</v>
      </c>
      <c r="N2281" t="str">
        <f>IF(交易處理資料__3[[#This Row],[上班時間]]=0,"否","是")</f>
        <v>否</v>
      </c>
      <c r="O2281" t="s">
        <v>76</v>
      </c>
      <c r="P2281" s="38">
        <v>0</v>
      </c>
      <c r="Q2281" s="38">
        <v>0</v>
      </c>
      <c r="R2281" s="38">
        <v>0</v>
      </c>
    </row>
    <row r="2282" spans="1:18" hidden="1">
      <c r="A2282" t="s">
        <v>76</v>
      </c>
      <c r="B2282" t="s">
        <v>52</v>
      </c>
      <c r="C2282">
        <v>2</v>
      </c>
      <c r="D2282">
        <v>5.24</v>
      </c>
      <c r="E2282" s="29">
        <v>0.3816793893</v>
      </c>
      <c r="F2282">
        <v>7.44</v>
      </c>
      <c r="G2282">
        <v>0.75</v>
      </c>
      <c r="H2282">
        <v>8.19</v>
      </c>
      <c r="I2282" s="29">
        <v>0.90839999999999999</v>
      </c>
      <c r="J2282" s="29">
        <v>0.24420000000000003</v>
      </c>
      <c r="K2282" s="9">
        <v>45348</v>
      </c>
      <c r="L2282">
        <f xml:space="preserve"> (交易處理資料__3[[#This Row],[售出工時]] * 60) / 5</f>
        <v>24</v>
      </c>
      <c r="M2282" t="str">
        <f>VLOOKUP(交易處理資料__3[[#This Row],[人員代號]],團隊分組!$B$1:$C$52,2,FALSE)</f>
        <v>查修團隊B</v>
      </c>
      <c r="N2282" t="str">
        <f>IF(交易處理資料__3[[#This Row],[上班時間]]=0,"否","是")</f>
        <v>是</v>
      </c>
      <c r="O2282" t="s">
        <v>76</v>
      </c>
      <c r="P2282" s="37">
        <v>0.3816793893</v>
      </c>
      <c r="Q2282" s="37">
        <v>0.24420000000000003</v>
      </c>
      <c r="R2282" s="37">
        <v>0.90839999999999999</v>
      </c>
    </row>
    <row r="2283" spans="1:18" hidden="1">
      <c r="A2283" t="s">
        <v>76</v>
      </c>
      <c r="B2283" t="s">
        <v>53</v>
      </c>
      <c r="C2283">
        <v>5.5833333329999997</v>
      </c>
      <c r="D2283">
        <v>7.02</v>
      </c>
      <c r="E2283" s="29">
        <v>0.79534662870000006</v>
      </c>
      <c r="F2283">
        <v>9.0399999999999991</v>
      </c>
      <c r="G2283">
        <v>0.61</v>
      </c>
      <c r="H2283">
        <v>9.65</v>
      </c>
      <c r="I2283" s="29">
        <v>0.93680000000000008</v>
      </c>
      <c r="J2283" s="29">
        <v>0.5786</v>
      </c>
      <c r="K2283" s="9">
        <v>45348</v>
      </c>
      <c r="L2283">
        <f xml:space="preserve"> (交易處理資料__3[[#This Row],[售出工時]] * 60) / 5</f>
        <v>66.999999996</v>
      </c>
      <c r="M2283" t="str">
        <f>VLOOKUP(交易處理資料__3[[#This Row],[人員代號]],團隊分組!$B$1:$C$52,2,FALSE)</f>
        <v>查修團隊A</v>
      </c>
      <c r="N2283" t="str">
        <f>IF(交易處理資料__3[[#This Row],[上班時間]]=0,"否","是")</f>
        <v>是</v>
      </c>
      <c r="O2283" t="s">
        <v>76</v>
      </c>
      <c r="P2283" s="38">
        <v>0.79534662870000006</v>
      </c>
      <c r="Q2283" s="38">
        <v>0.5786</v>
      </c>
      <c r="R2283" s="38">
        <v>0.93680000000000008</v>
      </c>
    </row>
    <row r="2284" spans="1:18" hidden="1">
      <c r="A2284" s="10" t="s">
        <v>74</v>
      </c>
      <c r="B2284" t="s">
        <v>1</v>
      </c>
      <c r="C2284">
        <v>0</v>
      </c>
      <c r="D2284">
        <v>0</v>
      </c>
      <c r="E2284" s="29">
        <v>0</v>
      </c>
      <c r="F2284">
        <v>3.2</v>
      </c>
      <c r="G2284">
        <v>4.83</v>
      </c>
      <c r="H2284">
        <v>8.0299999999999994</v>
      </c>
      <c r="I2284" s="29">
        <v>0.39850000000000002</v>
      </c>
      <c r="J2284" s="29">
        <v>0</v>
      </c>
      <c r="K2284" s="9">
        <v>45349</v>
      </c>
      <c r="L2284">
        <f xml:space="preserve"> (交易處理資料__3[[#This Row],[售出工時]] * 60) / 5</f>
        <v>0</v>
      </c>
      <c r="M2284" t="str">
        <f>VLOOKUP(交易處理資料__3[[#This Row],[人員代號]],團隊分組!$B$1:$C$52,2,FALSE)</f>
        <v>噴漆維修組</v>
      </c>
      <c r="N2284" t="str">
        <f>IF(交易處理資料__3[[#This Row],[上班時間]]=0,"否","是")</f>
        <v>是</v>
      </c>
      <c r="O2284" s="10" t="s">
        <v>74</v>
      </c>
      <c r="P2284" s="37">
        <v>0</v>
      </c>
      <c r="Q2284" s="37">
        <v>0</v>
      </c>
      <c r="R2284" s="37">
        <v>0.39850000000000002</v>
      </c>
    </row>
    <row r="2285" spans="1:18" hidden="1">
      <c r="A2285" s="10" t="s">
        <v>74</v>
      </c>
      <c r="B2285" t="s">
        <v>2</v>
      </c>
      <c r="C2285">
        <v>0</v>
      </c>
      <c r="D2285">
        <v>0</v>
      </c>
      <c r="E2285" s="29">
        <v>0</v>
      </c>
      <c r="F2285">
        <v>0</v>
      </c>
      <c r="G2285">
        <v>0</v>
      </c>
      <c r="H2285">
        <v>0</v>
      </c>
      <c r="I2285" s="29">
        <v>0</v>
      </c>
      <c r="J2285" s="29">
        <v>0</v>
      </c>
      <c r="K2285" s="9">
        <v>45349</v>
      </c>
      <c r="L2285">
        <f xml:space="preserve"> (交易處理資料__3[[#This Row],[售出工時]] * 60) / 5</f>
        <v>0</v>
      </c>
      <c r="M2285" t="str">
        <f>VLOOKUP(交易處理資料__3[[#This Row],[人員代號]],團隊分組!$B$1:$C$52,2,FALSE)</f>
        <v>噴漆維修組</v>
      </c>
      <c r="N2285" t="str">
        <f>IF(交易處理資料__3[[#This Row],[上班時間]]=0,"否","是")</f>
        <v>否</v>
      </c>
      <c r="O2285" s="10" t="s">
        <v>74</v>
      </c>
      <c r="P2285" s="38">
        <v>0</v>
      </c>
      <c r="Q2285" s="38">
        <v>0</v>
      </c>
      <c r="R2285" s="38">
        <v>0</v>
      </c>
    </row>
    <row r="2286" spans="1:18" hidden="1">
      <c r="A2286" s="10" t="s">
        <v>74</v>
      </c>
      <c r="B2286" t="s">
        <v>3</v>
      </c>
      <c r="C2286">
        <v>0</v>
      </c>
      <c r="D2286">
        <v>0</v>
      </c>
      <c r="E2286" s="29">
        <v>0</v>
      </c>
      <c r="F2286">
        <v>4</v>
      </c>
      <c r="G2286">
        <v>4.03</v>
      </c>
      <c r="H2286">
        <v>8.0299999999999994</v>
      </c>
      <c r="I2286" s="29">
        <v>0.49810000000000004</v>
      </c>
      <c r="J2286" s="29">
        <v>0</v>
      </c>
      <c r="K2286" s="9">
        <v>45349</v>
      </c>
      <c r="L2286">
        <f xml:space="preserve"> (交易處理資料__3[[#This Row],[售出工時]] * 60) / 5</f>
        <v>0</v>
      </c>
      <c r="M2286" t="str">
        <f>VLOOKUP(交易處理資料__3[[#This Row],[人員代號]],團隊分組!$B$1:$C$52,2,FALSE)</f>
        <v>噴漆維修組</v>
      </c>
      <c r="N2286" t="str">
        <f>IF(交易處理資料__3[[#This Row],[上班時間]]=0,"否","是")</f>
        <v>是</v>
      </c>
      <c r="O2286" s="10" t="s">
        <v>74</v>
      </c>
      <c r="P2286" s="37">
        <v>0</v>
      </c>
      <c r="Q2286" s="37">
        <v>0</v>
      </c>
      <c r="R2286" s="37">
        <v>0.49810000000000004</v>
      </c>
    </row>
    <row r="2287" spans="1:18" hidden="1">
      <c r="A2287" s="10" t="s">
        <v>74</v>
      </c>
      <c r="B2287" t="s">
        <v>4</v>
      </c>
      <c r="C2287">
        <v>0</v>
      </c>
      <c r="D2287">
        <v>0</v>
      </c>
      <c r="E2287" s="29">
        <v>0</v>
      </c>
      <c r="F2287">
        <v>3.2</v>
      </c>
      <c r="G2287">
        <v>4.83</v>
      </c>
      <c r="H2287">
        <v>8.0299999999999994</v>
      </c>
      <c r="I2287" s="29">
        <v>0.39850000000000002</v>
      </c>
      <c r="J2287" s="29">
        <v>0</v>
      </c>
      <c r="K2287" s="9">
        <v>45349</v>
      </c>
      <c r="L2287">
        <f xml:space="preserve"> (交易處理資料__3[[#This Row],[售出工時]] * 60) / 5</f>
        <v>0</v>
      </c>
      <c r="M2287" t="str">
        <f>VLOOKUP(交易處理資料__3[[#This Row],[人員代號]],團隊分組!$B$1:$C$52,2,FALSE)</f>
        <v>噴漆維修組</v>
      </c>
      <c r="N2287" t="str">
        <f>IF(交易處理資料__3[[#This Row],[上班時間]]=0,"否","是")</f>
        <v>是</v>
      </c>
      <c r="O2287" s="10" t="s">
        <v>74</v>
      </c>
      <c r="P2287" s="38">
        <v>0</v>
      </c>
      <c r="Q2287" s="38">
        <v>0</v>
      </c>
      <c r="R2287" s="38">
        <v>0.39850000000000002</v>
      </c>
    </row>
    <row r="2288" spans="1:18" hidden="1">
      <c r="A2288" s="10" t="s">
        <v>74</v>
      </c>
      <c r="B2288" t="s">
        <v>6</v>
      </c>
      <c r="C2288">
        <v>0</v>
      </c>
      <c r="D2288">
        <v>0</v>
      </c>
      <c r="E2288" s="29">
        <v>0</v>
      </c>
      <c r="F2288">
        <v>4</v>
      </c>
      <c r="G2288">
        <v>4.03</v>
      </c>
      <c r="H2288">
        <v>8.0299999999999994</v>
      </c>
      <c r="I2288" s="29">
        <v>0.49810000000000004</v>
      </c>
      <c r="J2288" s="29">
        <v>0</v>
      </c>
      <c r="K2288" s="9">
        <v>45349</v>
      </c>
      <c r="L2288">
        <f xml:space="preserve"> (交易處理資料__3[[#This Row],[售出工時]] * 60) / 5</f>
        <v>0</v>
      </c>
      <c r="M2288" t="str">
        <f>VLOOKUP(交易處理資料__3[[#This Row],[人員代號]],團隊分組!$B$1:$C$52,2,FALSE)</f>
        <v>噴漆維修組</v>
      </c>
      <c r="N2288" t="str">
        <f>IF(交易處理資料__3[[#This Row],[上班時間]]=0,"否","是")</f>
        <v>是</v>
      </c>
      <c r="O2288" s="10" t="s">
        <v>74</v>
      </c>
      <c r="P2288" s="37">
        <v>0</v>
      </c>
      <c r="Q2288" s="37">
        <v>0</v>
      </c>
      <c r="R2288" s="37">
        <v>0.49810000000000004</v>
      </c>
    </row>
    <row r="2289" spans="1:18" hidden="1">
      <c r="A2289" s="10" t="s">
        <v>74</v>
      </c>
      <c r="B2289" t="s">
        <v>8</v>
      </c>
      <c r="C2289">
        <v>0</v>
      </c>
      <c r="D2289">
        <v>0</v>
      </c>
      <c r="E2289" s="29">
        <v>0</v>
      </c>
      <c r="F2289">
        <v>3.2</v>
      </c>
      <c r="G2289">
        <v>4.8499999999999996</v>
      </c>
      <c r="H2289">
        <v>8.0500000000000007</v>
      </c>
      <c r="I2289" s="29">
        <v>0.39750000000000002</v>
      </c>
      <c r="J2289" s="29">
        <v>0</v>
      </c>
      <c r="K2289" s="9">
        <v>45349</v>
      </c>
      <c r="L2289">
        <f xml:space="preserve"> (交易處理資料__3[[#This Row],[售出工時]] * 60) / 5</f>
        <v>0</v>
      </c>
      <c r="M2289" t="str">
        <f>VLOOKUP(交易處理資料__3[[#This Row],[人員代號]],團隊分組!$B$1:$C$52,2,FALSE)</f>
        <v>噴漆維修組</v>
      </c>
      <c r="N2289" t="str">
        <f>IF(交易處理資料__3[[#This Row],[上班時間]]=0,"否","是")</f>
        <v>是</v>
      </c>
      <c r="O2289" s="10" t="s">
        <v>74</v>
      </c>
      <c r="P2289" s="38">
        <v>0</v>
      </c>
      <c r="Q2289" s="38">
        <v>0</v>
      </c>
      <c r="R2289" s="38">
        <v>0.39750000000000002</v>
      </c>
    </row>
    <row r="2290" spans="1:18" hidden="1">
      <c r="A2290" s="10" t="s">
        <v>74</v>
      </c>
      <c r="B2290" t="s">
        <v>9</v>
      </c>
      <c r="C2290">
        <v>6.8333333329999997</v>
      </c>
      <c r="D2290">
        <v>6.87</v>
      </c>
      <c r="E2290" s="29">
        <v>0.99466278509999995</v>
      </c>
      <c r="F2290">
        <v>6.99</v>
      </c>
      <c r="G2290">
        <v>1.07</v>
      </c>
      <c r="H2290">
        <v>8.06</v>
      </c>
      <c r="I2290" s="29">
        <v>0.86719999999999997</v>
      </c>
      <c r="J2290" s="29">
        <v>0.8478</v>
      </c>
      <c r="K2290" s="9">
        <v>45349</v>
      </c>
      <c r="L2290">
        <f xml:space="preserve"> (交易處理資料__3[[#This Row],[售出工時]] * 60) / 5</f>
        <v>81.999999996</v>
      </c>
      <c r="M2290" t="str">
        <f>VLOOKUP(交易處理資料__3[[#This Row],[人員代號]],團隊分組!$B$1:$C$52,2,FALSE)</f>
        <v>噴漆維修組</v>
      </c>
      <c r="N2290" t="str">
        <f>IF(交易處理資料__3[[#This Row],[上班時間]]=0,"否","是")</f>
        <v>是</v>
      </c>
      <c r="O2290" s="10" t="s">
        <v>74</v>
      </c>
      <c r="P2290" s="37">
        <v>0.99466278509999995</v>
      </c>
      <c r="Q2290" s="37">
        <v>0.8478</v>
      </c>
      <c r="R2290" s="37">
        <v>0.86719999999999997</v>
      </c>
    </row>
    <row r="2291" spans="1:18" hidden="1">
      <c r="A2291" t="s">
        <v>75</v>
      </c>
      <c r="B2291" t="s">
        <v>11</v>
      </c>
      <c r="C2291">
        <v>5</v>
      </c>
      <c r="D2291">
        <v>4.1500000000000004</v>
      </c>
      <c r="E2291" s="29">
        <v>1.2048192769999999</v>
      </c>
      <c r="F2291">
        <v>7.26</v>
      </c>
      <c r="G2291">
        <v>0.8</v>
      </c>
      <c r="H2291">
        <v>8.06</v>
      </c>
      <c r="I2291" s="29">
        <v>0.90069999999999995</v>
      </c>
      <c r="J2291" s="29">
        <v>0.62029999999999996</v>
      </c>
      <c r="K2291" s="9">
        <v>45349</v>
      </c>
      <c r="L2291">
        <f xml:space="preserve"> (交易處理資料__3[[#This Row],[售出工時]] * 60) / 5</f>
        <v>60</v>
      </c>
      <c r="M2291" t="str">
        <f>VLOOKUP(交易處理資料__3[[#This Row],[人員代號]],團隊分組!$B$1:$C$52,2,FALSE)</f>
        <v>鈑金維修組</v>
      </c>
      <c r="N2291" t="str">
        <f>IF(交易處理資料__3[[#This Row],[上班時間]]=0,"否","是")</f>
        <v>是</v>
      </c>
      <c r="O2291" t="s">
        <v>75</v>
      </c>
      <c r="P2291" s="38">
        <v>1.2048192769999999</v>
      </c>
      <c r="Q2291" s="38">
        <v>0.62029999999999996</v>
      </c>
      <c r="R2291" s="38">
        <v>0.90069999999999995</v>
      </c>
    </row>
    <row r="2292" spans="1:18" hidden="1">
      <c r="A2292" t="s">
        <v>75</v>
      </c>
      <c r="B2292" t="s">
        <v>12</v>
      </c>
      <c r="C2292">
        <v>15.16666667</v>
      </c>
      <c r="D2292">
        <v>6.97</v>
      </c>
      <c r="E2292" s="29">
        <v>2.1759923479999999</v>
      </c>
      <c r="F2292">
        <v>2.1</v>
      </c>
      <c r="G2292">
        <v>5.97</v>
      </c>
      <c r="H2292">
        <v>8.07</v>
      </c>
      <c r="I2292" s="29">
        <v>0.26019999999999999</v>
      </c>
      <c r="J2292" s="29">
        <v>1.8794</v>
      </c>
      <c r="K2292" s="9">
        <v>45349</v>
      </c>
      <c r="L2292">
        <f xml:space="preserve"> (交易處理資料__3[[#This Row],[售出工時]] * 60) / 5</f>
        <v>182.00000003999997</v>
      </c>
      <c r="M2292" t="str">
        <f>VLOOKUP(交易處理資料__3[[#This Row],[人員代號]],團隊分組!$B$1:$C$52,2,FALSE)</f>
        <v>鈑金維修組</v>
      </c>
      <c r="N2292" t="str">
        <f>IF(交易處理資料__3[[#This Row],[上班時間]]=0,"否","是")</f>
        <v>是</v>
      </c>
      <c r="O2292" t="s">
        <v>75</v>
      </c>
      <c r="P2292" s="37">
        <v>2.1759923479999999</v>
      </c>
      <c r="Q2292" s="37">
        <v>1.8794</v>
      </c>
      <c r="R2292" s="37">
        <v>0.26019999999999999</v>
      </c>
    </row>
    <row r="2293" spans="1:18" hidden="1">
      <c r="A2293" t="s">
        <v>75</v>
      </c>
      <c r="B2293" t="s">
        <v>13</v>
      </c>
      <c r="C2293">
        <v>2.4500000000000002</v>
      </c>
      <c r="D2293">
        <v>1.52</v>
      </c>
      <c r="E2293" s="29">
        <v>1.611842105</v>
      </c>
      <c r="F2293">
        <v>7.31</v>
      </c>
      <c r="G2293">
        <v>0.8</v>
      </c>
      <c r="H2293">
        <v>8.11</v>
      </c>
      <c r="I2293" s="29">
        <v>0.90139999999999998</v>
      </c>
      <c r="J2293" s="29">
        <v>0.30210000000000004</v>
      </c>
      <c r="K2293" s="9">
        <v>45349</v>
      </c>
      <c r="L2293">
        <f xml:space="preserve"> (交易處理資料__3[[#This Row],[售出工時]] * 60) / 5</f>
        <v>29.4</v>
      </c>
      <c r="M2293" t="str">
        <f>VLOOKUP(交易處理資料__3[[#This Row],[人員代號]],團隊分組!$B$1:$C$52,2,FALSE)</f>
        <v>鈑金維修組</v>
      </c>
      <c r="N2293" t="str">
        <f>IF(交易處理資料__3[[#This Row],[上班時間]]=0,"否","是")</f>
        <v>是</v>
      </c>
      <c r="O2293" t="s">
        <v>75</v>
      </c>
      <c r="P2293" s="38">
        <v>1.611842105</v>
      </c>
      <c r="Q2293" s="38">
        <v>0.30210000000000004</v>
      </c>
      <c r="R2293" s="38">
        <v>0.90139999999999998</v>
      </c>
    </row>
    <row r="2294" spans="1:18" hidden="1">
      <c r="A2294" t="s">
        <v>75</v>
      </c>
      <c r="B2294" t="s">
        <v>14</v>
      </c>
      <c r="C2294">
        <v>1.57</v>
      </c>
      <c r="D2294">
        <v>0.97</v>
      </c>
      <c r="E2294" s="29">
        <v>1.6185567009999999</v>
      </c>
      <c r="F2294">
        <v>5.44</v>
      </c>
      <c r="G2294">
        <v>2.64</v>
      </c>
      <c r="H2294">
        <v>8.08</v>
      </c>
      <c r="I2294" s="29">
        <v>0.67330000000000001</v>
      </c>
      <c r="J2294" s="29">
        <v>0.1943</v>
      </c>
      <c r="K2294" s="9">
        <v>45349</v>
      </c>
      <c r="L2294">
        <f xml:space="preserve"> (交易處理資料__3[[#This Row],[售出工時]] * 60) / 5</f>
        <v>18.84</v>
      </c>
      <c r="M2294" t="str">
        <f>VLOOKUP(交易處理資料__3[[#This Row],[人員代號]],團隊分組!$B$1:$C$52,2,FALSE)</f>
        <v>鈑金維修組</v>
      </c>
      <c r="N2294" t="str">
        <f>IF(交易處理資料__3[[#This Row],[上班時間]]=0,"否","是")</f>
        <v>是</v>
      </c>
      <c r="O2294" t="s">
        <v>75</v>
      </c>
      <c r="P2294" s="37">
        <v>1.6185567009999999</v>
      </c>
      <c r="Q2294" s="37">
        <v>0.1943</v>
      </c>
      <c r="R2294" s="37">
        <v>0.67330000000000001</v>
      </c>
    </row>
    <row r="2295" spans="1:18" hidden="1">
      <c r="A2295" t="s">
        <v>75</v>
      </c>
      <c r="B2295" t="s">
        <v>15</v>
      </c>
      <c r="C2295">
        <v>4.2366666669999997</v>
      </c>
      <c r="D2295">
        <v>4.28</v>
      </c>
      <c r="E2295" s="29">
        <v>0.98987538939999997</v>
      </c>
      <c r="F2295">
        <v>6.16</v>
      </c>
      <c r="G2295">
        <v>1.95</v>
      </c>
      <c r="H2295">
        <v>8.11</v>
      </c>
      <c r="I2295" s="29">
        <v>0.75959999999999994</v>
      </c>
      <c r="J2295" s="29">
        <v>0.52239999999999998</v>
      </c>
      <c r="K2295" s="9">
        <v>45349</v>
      </c>
      <c r="L2295">
        <f xml:space="preserve"> (交易處理資料__3[[#This Row],[售出工時]] * 60) / 5</f>
        <v>50.840000003999997</v>
      </c>
      <c r="M2295" t="str">
        <f>VLOOKUP(交易處理資料__3[[#This Row],[人員代號]],團隊分組!$B$1:$C$52,2,FALSE)</f>
        <v>鈑金維修組</v>
      </c>
      <c r="N2295" t="str">
        <f>IF(交易處理資料__3[[#This Row],[上班時間]]=0,"否","是")</f>
        <v>是</v>
      </c>
      <c r="O2295" t="s">
        <v>75</v>
      </c>
      <c r="P2295" s="38">
        <v>0.98987538939999997</v>
      </c>
      <c r="Q2295" s="38">
        <v>0.52239999999999998</v>
      </c>
      <c r="R2295" s="38">
        <v>0.75959999999999994</v>
      </c>
    </row>
    <row r="2296" spans="1:18" hidden="1">
      <c r="A2296" t="s">
        <v>76</v>
      </c>
      <c r="B2296" t="s">
        <v>18</v>
      </c>
      <c r="C2296">
        <v>4.8333333329999997</v>
      </c>
      <c r="D2296">
        <v>6.47</v>
      </c>
      <c r="E2296" s="29">
        <v>0.74703760949999998</v>
      </c>
      <c r="F2296">
        <v>7.74</v>
      </c>
      <c r="G2296">
        <v>0.38</v>
      </c>
      <c r="H2296">
        <v>8.1199999999999992</v>
      </c>
      <c r="I2296" s="29">
        <v>0.95319999999999994</v>
      </c>
      <c r="J2296" s="29">
        <v>0.59520000000000006</v>
      </c>
      <c r="K2296" s="9">
        <v>45349</v>
      </c>
      <c r="L2296">
        <f xml:space="preserve"> (交易處理資料__3[[#This Row],[售出工時]] * 60) / 5</f>
        <v>57.999999996</v>
      </c>
      <c r="M2296" t="str">
        <f>VLOOKUP(交易處理資料__3[[#This Row],[人員代號]],團隊分組!$B$1:$C$52,2,FALSE)</f>
        <v>查修團隊B</v>
      </c>
      <c r="N2296" t="str">
        <f>IF(交易處理資料__3[[#This Row],[上班時間]]=0,"否","是")</f>
        <v>是</v>
      </c>
      <c r="O2296" t="s">
        <v>76</v>
      </c>
      <c r="P2296" s="37">
        <v>0.74703760949999998</v>
      </c>
      <c r="Q2296" s="37">
        <v>0.59520000000000006</v>
      </c>
      <c r="R2296" s="37">
        <v>0.95319999999999994</v>
      </c>
    </row>
    <row r="2297" spans="1:18" hidden="1">
      <c r="A2297" t="s">
        <v>76</v>
      </c>
      <c r="B2297" t="s">
        <v>20</v>
      </c>
      <c r="C2297">
        <v>0.66666666699999999</v>
      </c>
      <c r="D2297">
        <v>2.4300000000000002</v>
      </c>
      <c r="E2297" s="29">
        <v>0.27434842249999997</v>
      </c>
      <c r="F2297">
        <v>2.92</v>
      </c>
      <c r="G2297">
        <v>5.62</v>
      </c>
      <c r="H2297">
        <v>8.5399999999999991</v>
      </c>
      <c r="I2297" s="29">
        <v>0.34189999999999998</v>
      </c>
      <c r="J2297" s="29">
        <v>7.8100000000000003E-2</v>
      </c>
      <c r="K2297" s="9">
        <v>45349</v>
      </c>
      <c r="L2297">
        <f xml:space="preserve"> (交易處理資料__3[[#This Row],[售出工時]] * 60) / 5</f>
        <v>8.0000000040000003</v>
      </c>
      <c r="M2297" t="str">
        <f>VLOOKUP(交易處理資料__3[[#This Row],[人員代號]],團隊分組!$B$1:$C$52,2,FALSE)</f>
        <v>查修團隊B</v>
      </c>
      <c r="N2297" t="str">
        <f>IF(交易處理資料__3[[#This Row],[上班時間]]=0,"否","是")</f>
        <v>是</v>
      </c>
      <c r="O2297" t="s">
        <v>76</v>
      </c>
      <c r="P2297" s="38">
        <v>0.27434842249999997</v>
      </c>
      <c r="Q2297" s="38">
        <v>7.8100000000000003E-2</v>
      </c>
      <c r="R2297" s="38">
        <v>0.34189999999999998</v>
      </c>
    </row>
    <row r="2298" spans="1:18" hidden="1">
      <c r="A2298" t="s">
        <v>76</v>
      </c>
      <c r="B2298" t="s">
        <v>21</v>
      </c>
      <c r="C2298">
        <v>2.6666666669999999</v>
      </c>
      <c r="D2298">
        <v>3.9</v>
      </c>
      <c r="E2298" s="29">
        <v>0.6837606838000001</v>
      </c>
      <c r="F2298">
        <v>6.53</v>
      </c>
      <c r="G2298">
        <v>1.73</v>
      </c>
      <c r="H2298">
        <v>8.26</v>
      </c>
      <c r="I2298" s="29">
        <v>0.79059999999999997</v>
      </c>
      <c r="J2298" s="29">
        <v>0.32280000000000003</v>
      </c>
      <c r="K2298" s="9">
        <v>45349</v>
      </c>
      <c r="L2298">
        <f xml:space="preserve"> (交易處理資料__3[[#This Row],[售出工時]] * 60) / 5</f>
        <v>32.000000004</v>
      </c>
      <c r="M2298" t="str">
        <f>VLOOKUP(交易處理資料__3[[#This Row],[人員代號]],團隊分組!$B$1:$C$52,2,FALSE)</f>
        <v>查修團隊B</v>
      </c>
      <c r="N2298" t="str">
        <f>IF(交易處理資料__3[[#This Row],[上班時間]]=0,"否","是")</f>
        <v>是</v>
      </c>
      <c r="O2298" t="s">
        <v>76</v>
      </c>
      <c r="P2298" s="37">
        <v>0.6837606838000001</v>
      </c>
      <c r="Q2298" s="37">
        <v>0.32280000000000003</v>
      </c>
      <c r="R2298" s="37">
        <v>0.79059999999999997</v>
      </c>
    </row>
    <row r="2299" spans="1:18" hidden="1">
      <c r="A2299" t="s">
        <v>76</v>
      </c>
      <c r="B2299" t="s">
        <v>22</v>
      </c>
      <c r="C2299">
        <v>5.5</v>
      </c>
      <c r="D2299">
        <v>2.0299999999999998</v>
      </c>
      <c r="E2299" s="29">
        <v>2.709359606</v>
      </c>
      <c r="F2299">
        <v>3.6</v>
      </c>
      <c r="G2299">
        <v>0.26</v>
      </c>
      <c r="H2299">
        <v>3.86</v>
      </c>
      <c r="I2299" s="29">
        <v>0.9326000000000001</v>
      </c>
      <c r="J2299" s="29">
        <v>1.4249000000000001</v>
      </c>
      <c r="K2299" s="9">
        <v>45349</v>
      </c>
      <c r="L2299">
        <f xml:space="preserve"> (交易處理資料__3[[#This Row],[售出工時]] * 60) / 5</f>
        <v>66</v>
      </c>
      <c r="M2299" t="str">
        <f>VLOOKUP(交易處理資料__3[[#This Row],[人員代號]],團隊分組!$B$1:$C$52,2,FALSE)</f>
        <v>快速保養團隊A</v>
      </c>
      <c r="N2299" t="str">
        <f>IF(交易處理資料__3[[#This Row],[上班時間]]=0,"否","是")</f>
        <v>是</v>
      </c>
      <c r="O2299" t="s">
        <v>76</v>
      </c>
      <c r="P2299" s="38">
        <v>2.709359606</v>
      </c>
      <c r="Q2299" s="38">
        <v>1.4249000000000001</v>
      </c>
      <c r="R2299" s="38">
        <v>0.9326000000000001</v>
      </c>
    </row>
    <row r="2300" spans="1:18" hidden="1">
      <c r="A2300" t="s">
        <v>76</v>
      </c>
      <c r="B2300" t="s">
        <v>23</v>
      </c>
      <c r="C2300">
        <v>7.17</v>
      </c>
      <c r="D2300">
        <v>3.21</v>
      </c>
      <c r="E2300" s="29">
        <v>2.2336448600000001</v>
      </c>
      <c r="F2300">
        <v>7.31</v>
      </c>
      <c r="G2300">
        <v>0.7</v>
      </c>
      <c r="H2300">
        <v>8.01</v>
      </c>
      <c r="I2300" s="29">
        <v>0.91260000000000008</v>
      </c>
      <c r="J2300" s="29">
        <v>0.89510000000000001</v>
      </c>
      <c r="K2300" s="9">
        <v>45349</v>
      </c>
      <c r="L2300">
        <f xml:space="preserve"> (交易處理資料__3[[#This Row],[售出工時]] * 60) / 5</f>
        <v>86.039999999999992</v>
      </c>
      <c r="M2300" t="str">
        <f>VLOOKUP(交易處理資料__3[[#This Row],[人員代號]],團隊分組!$B$1:$C$52,2,FALSE)</f>
        <v>快速保養團隊B</v>
      </c>
      <c r="N2300" t="str">
        <f>IF(交易處理資料__3[[#This Row],[上班時間]]=0,"否","是")</f>
        <v>是</v>
      </c>
      <c r="O2300" t="s">
        <v>76</v>
      </c>
      <c r="P2300" s="37">
        <v>2.2336448600000001</v>
      </c>
      <c r="Q2300" s="37">
        <v>0.89510000000000001</v>
      </c>
      <c r="R2300" s="37">
        <v>0.91260000000000008</v>
      </c>
    </row>
    <row r="2301" spans="1:18" hidden="1">
      <c r="A2301" t="s">
        <v>76</v>
      </c>
      <c r="B2301" t="s">
        <v>24</v>
      </c>
      <c r="C2301">
        <v>7.79</v>
      </c>
      <c r="D2301">
        <v>6.32</v>
      </c>
      <c r="E2301" s="29">
        <v>1.232594937</v>
      </c>
      <c r="F2301">
        <v>6.32</v>
      </c>
      <c r="G2301">
        <v>1.5</v>
      </c>
      <c r="H2301">
        <v>7.82</v>
      </c>
      <c r="I2301" s="29">
        <v>0.80819999999999992</v>
      </c>
      <c r="J2301" s="29">
        <v>0.99620000000000009</v>
      </c>
      <c r="K2301" s="9">
        <v>45349</v>
      </c>
      <c r="L2301">
        <f xml:space="preserve"> (交易處理資料__3[[#This Row],[售出工時]] * 60) / 5</f>
        <v>93.47999999999999</v>
      </c>
      <c r="M2301" t="str">
        <f>VLOOKUP(交易處理資料__3[[#This Row],[人員代號]],團隊分組!$B$1:$C$52,2,FALSE)</f>
        <v>快速保養團隊A</v>
      </c>
      <c r="N2301" t="str">
        <f>IF(交易處理資料__3[[#This Row],[上班時間]]=0,"否","是")</f>
        <v>是</v>
      </c>
      <c r="O2301" t="s">
        <v>76</v>
      </c>
      <c r="P2301" s="38">
        <v>1.232594937</v>
      </c>
      <c r="Q2301" s="38">
        <v>0.99620000000000009</v>
      </c>
      <c r="R2301" s="38">
        <v>0.80819999999999992</v>
      </c>
    </row>
    <row r="2302" spans="1:18" hidden="1">
      <c r="A2302" t="s">
        <v>76</v>
      </c>
      <c r="B2302" t="s">
        <v>26</v>
      </c>
      <c r="C2302">
        <v>0.49</v>
      </c>
      <c r="D2302">
        <v>4.2</v>
      </c>
      <c r="E2302" s="29">
        <v>0.11666666669999999</v>
      </c>
      <c r="F2302">
        <v>1.39</v>
      </c>
      <c r="G2302">
        <v>7.15</v>
      </c>
      <c r="H2302">
        <v>8.5399999999999991</v>
      </c>
      <c r="I2302" s="29">
        <v>0.1628</v>
      </c>
      <c r="J2302" s="29">
        <v>5.74E-2</v>
      </c>
      <c r="K2302" s="9">
        <v>45349</v>
      </c>
      <c r="L2302">
        <f xml:space="preserve"> (交易處理資料__3[[#This Row],[售出工時]] * 60) / 5</f>
        <v>5.88</v>
      </c>
      <c r="M2302" t="str">
        <f>VLOOKUP(交易處理資料__3[[#This Row],[人員代號]],團隊分組!$B$1:$C$52,2,FALSE)</f>
        <v>查修團隊B</v>
      </c>
      <c r="N2302" t="str">
        <f>IF(交易處理資料__3[[#This Row],[上班時間]]=0,"否","是")</f>
        <v>是</v>
      </c>
      <c r="O2302" t="s">
        <v>76</v>
      </c>
      <c r="P2302" s="37">
        <v>0.11666666669999999</v>
      </c>
      <c r="Q2302" s="37">
        <v>5.74E-2</v>
      </c>
      <c r="R2302" s="37">
        <v>0.1628</v>
      </c>
    </row>
    <row r="2303" spans="1:18" hidden="1">
      <c r="A2303" t="s">
        <v>76</v>
      </c>
      <c r="B2303" t="s">
        <v>27</v>
      </c>
      <c r="C2303">
        <v>4.0066666670000002</v>
      </c>
      <c r="D2303">
        <v>6.15</v>
      </c>
      <c r="E2303" s="29">
        <v>0.6514905149000001</v>
      </c>
      <c r="F2303">
        <v>7.12</v>
      </c>
      <c r="G2303">
        <v>0.87</v>
      </c>
      <c r="H2303">
        <v>7.99</v>
      </c>
      <c r="I2303" s="29">
        <v>0.8911</v>
      </c>
      <c r="J2303" s="29">
        <v>0.50149999999999995</v>
      </c>
      <c r="K2303" s="9">
        <v>45349</v>
      </c>
      <c r="L2303">
        <f xml:space="preserve"> (交易處理資料__3[[#This Row],[售出工時]] * 60) / 5</f>
        <v>48.080000004000006</v>
      </c>
      <c r="M2303" t="str">
        <f>VLOOKUP(交易處理資料__3[[#This Row],[人員代號]],團隊分組!$B$1:$C$52,2,FALSE)</f>
        <v>快速保養團隊B</v>
      </c>
      <c r="N2303" t="str">
        <f>IF(交易處理資料__3[[#This Row],[上班時間]]=0,"否","是")</f>
        <v>是</v>
      </c>
      <c r="O2303" t="s">
        <v>76</v>
      </c>
      <c r="P2303" s="38">
        <v>0.6514905149000001</v>
      </c>
      <c r="Q2303" s="38">
        <v>0.50149999999999995</v>
      </c>
      <c r="R2303" s="38">
        <v>0.8911</v>
      </c>
    </row>
    <row r="2304" spans="1:18" hidden="1">
      <c r="A2304" t="s">
        <v>76</v>
      </c>
      <c r="B2304" t="s">
        <v>28</v>
      </c>
      <c r="C2304">
        <v>8.2799999999999994</v>
      </c>
      <c r="D2304">
        <v>6.32</v>
      </c>
      <c r="E2304" s="29">
        <v>1.3101265820000001</v>
      </c>
      <c r="F2304">
        <v>6.31</v>
      </c>
      <c r="G2304">
        <v>1.51</v>
      </c>
      <c r="H2304">
        <v>7.82</v>
      </c>
      <c r="I2304" s="29">
        <v>0.80689999999999995</v>
      </c>
      <c r="J2304" s="29">
        <v>1.0588</v>
      </c>
      <c r="K2304" s="9">
        <v>45349</v>
      </c>
      <c r="L2304">
        <f xml:space="preserve"> (交易處理資料__3[[#This Row],[售出工時]] * 60) / 5</f>
        <v>99.359999999999985</v>
      </c>
      <c r="M2304" t="str">
        <f>VLOOKUP(交易處理資料__3[[#This Row],[人員代號]],團隊分組!$B$1:$C$52,2,FALSE)</f>
        <v>快速保養團隊A</v>
      </c>
      <c r="N2304" t="str">
        <f>IF(交易處理資料__3[[#This Row],[上班時間]]=0,"否","是")</f>
        <v>是</v>
      </c>
      <c r="O2304" t="s">
        <v>76</v>
      </c>
      <c r="P2304" s="37">
        <v>1.3101265820000001</v>
      </c>
      <c r="Q2304" s="37">
        <v>1.0588</v>
      </c>
      <c r="R2304" s="37">
        <v>0.80689999999999995</v>
      </c>
    </row>
    <row r="2305" spans="1:18" hidden="1">
      <c r="A2305" t="s">
        <v>76</v>
      </c>
      <c r="B2305" t="s">
        <v>29</v>
      </c>
      <c r="C2305">
        <v>2.3333333330000001</v>
      </c>
      <c r="D2305">
        <v>2.2999999999999998</v>
      </c>
      <c r="E2305" s="29">
        <v>1.0144927539999999</v>
      </c>
      <c r="F2305">
        <v>7.58</v>
      </c>
      <c r="G2305">
        <v>0.61</v>
      </c>
      <c r="H2305">
        <v>8.19</v>
      </c>
      <c r="I2305" s="29">
        <v>0.92549999999999999</v>
      </c>
      <c r="J2305" s="29">
        <v>0.28489999999999999</v>
      </c>
      <c r="K2305" s="9">
        <v>45349</v>
      </c>
      <c r="L2305">
        <f xml:space="preserve"> (交易處理資料__3[[#This Row],[售出工時]] * 60) / 5</f>
        <v>27.999999996000003</v>
      </c>
      <c r="M2305" t="str">
        <f>VLOOKUP(交易處理資料__3[[#This Row],[人員代號]],團隊分組!$B$1:$C$52,2,FALSE)</f>
        <v>查修團隊B</v>
      </c>
      <c r="N2305" t="str">
        <f>IF(交易處理資料__3[[#This Row],[上班時間]]=0,"否","是")</f>
        <v>是</v>
      </c>
      <c r="O2305" t="s">
        <v>76</v>
      </c>
      <c r="P2305" s="38">
        <v>1.0144927539999999</v>
      </c>
      <c r="Q2305" s="38">
        <v>0.28489999999999999</v>
      </c>
      <c r="R2305" s="38">
        <v>0.92549999999999999</v>
      </c>
    </row>
    <row r="2306" spans="1:18" hidden="1">
      <c r="A2306" t="s">
        <v>76</v>
      </c>
      <c r="B2306" t="s">
        <v>30</v>
      </c>
      <c r="C2306">
        <v>7.9566666670000004</v>
      </c>
      <c r="D2306">
        <v>6.59</v>
      </c>
      <c r="E2306" s="29">
        <v>1.2073849269999999</v>
      </c>
      <c r="F2306">
        <v>7.21</v>
      </c>
      <c r="G2306">
        <v>0.91</v>
      </c>
      <c r="H2306">
        <v>8.1199999999999992</v>
      </c>
      <c r="I2306" s="29">
        <v>0.88790000000000002</v>
      </c>
      <c r="J2306" s="29">
        <v>0.97989999999999999</v>
      </c>
      <c r="K2306" s="9">
        <v>45349</v>
      </c>
      <c r="L2306">
        <f xml:space="preserve"> (交易處理資料__3[[#This Row],[售出工時]] * 60) / 5</f>
        <v>95.480000004000004</v>
      </c>
      <c r="M2306" t="str">
        <f>VLOOKUP(交易處理資料__3[[#This Row],[人員代號]],團隊分組!$B$1:$C$52,2,FALSE)</f>
        <v>快速保養團隊B</v>
      </c>
      <c r="N2306" t="str">
        <f>IF(交易處理資料__3[[#This Row],[上班時間]]=0,"否","是")</f>
        <v>是</v>
      </c>
      <c r="O2306" t="s">
        <v>76</v>
      </c>
      <c r="P2306" s="37">
        <v>1.2073849269999999</v>
      </c>
      <c r="Q2306" s="37">
        <v>0.97989999999999999</v>
      </c>
      <c r="R2306" s="37">
        <v>0.88790000000000002</v>
      </c>
    </row>
    <row r="2307" spans="1:18" hidden="1">
      <c r="A2307" t="s">
        <v>76</v>
      </c>
      <c r="B2307" t="s">
        <v>32</v>
      </c>
      <c r="C2307">
        <v>5.1566666669999996</v>
      </c>
      <c r="D2307">
        <v>5.46</v>
      </c>
      <c r="E2307" s="29">
        <v>0.94444444439999997</v>
      </c>
      <c r="F2307">
        <v>7.67</v>
      </c>
      <c r="G2307">
        <v>0.35</v>
      </c>
      <c r="H2307">
        <v>8.02</v>
      </c>
      <c r="I2307" s="29">
        <v>0.95640000000000003</v>
      </c>
      <c r="J2307" s="29">
        <v>0.64300000000000002</v>
      </c>
      <c r="K2307" s="9">
        <v>45349</v>
      </c>
      <c r="L2307">
        <f xml:space="preserve"> (交易處理資料__3[[#This Row],[售出工時]] * 60) / 5</f>
        <v>61.880000003999996</v>
      </c>
      <c r="M2307" t="str">
        <f>VLOOKUP(交易處理資料__3[[#This Row],[人員代號]],團隊分組!$B$1:$C$52,2,FALSE)</f>
        <v>快速保養團隊B</v>
      </c>
      <c r="N2307" t="str">
        <f>IF(交易處理資料__3[[#This Row],[上班時間]]=0,"否","是")</f>
        <v>是</v>
      </c>
      <c r="O2307" t="s">
        <v>76</v>
      </c>
      <c r="P2307" s="38">
        <v>0.94444444439999997</v>
      </c>
      <c r="Q2307" s="38">
        <v>0.64300000000000002</v>
      </c>
      <c r="R2307" s="38">
        <v>0.95640000000000003</v>
      </c>
    </row>
    <row r="2308" spans="1:18" hidden="1">
      <c r="A2308" t="s">
        <v>76</v>
      </c>
      <c r="B2308" t="s">
        <v>33</v>
      </c>
      <c r="C2308">
        <v>1.693333333</v>
      </c>
      <c r="D2308">
        <v>1.33</v>
      </c>
      <c r="E2308" s="29">
        <v>1.2731829569999999</v>
      </c>
      <c r="F2308">
        <v>7.29</v>
      </c>
      <c r="G2308">
        <v>0.66</v>
      </c>
      <c r="H2308">
        <v>7.95</v>
      </c>
      <c r="I2308" s="29">
        <v>0.91700000000000004</v>
      </c>
      <c r="J2308" s="29">
        <v>0.21299999999999999</v>
      </c>
      <c r="K2308" s="9">
        <v>45349</v>
      </c>
      <c r="L2308">
        <f xml:space="preserve"> (交易處理資料__3[[#This Row],[售出工時]] * 60) / 5</f>
        <v>20.319999996</v>
      </c>
      <c r="M2308" t="str">
        <f>VLOOKUP(交易處理資料__3[[#This Row],[人員代號]],團隊分組!$B$1:$C$52,2,FALSE)</f>
        <v>快速保養團隊B</v>
      </c>
      <c r="N2308" t="str">
        <f>IF(交易處理資料__3[[#This Row],[上班時間]]=0,"否","是")</f>
        <v>是</v>
      </c>
      <c r="O2308" t="s">
        <v>76</v>
      </c>
      <c r="P2308" s="37">
        <v>1.2731829569999999</v>
      </c>
      <c r="Q2308" s="37">
        <v>0.21299999999999999</v>
      </c>
      <c r="R2308" s="37">
        <v>0.91700000000000004</v>
      </c>
    </row>
    <row r="2309" spans="1:18" hidden="1">
      <c r="A2309" t="s">
        <v>76</v>
      </c>
      <c r="B2309" t="s">
        <v>34</v>
      </c>
      <c r="C2309">
        <v>5.75</v>
      </c>
      <c r="D2309">
        <v>5.66</v>
      </c>
      <c r="E2309" s="29">
        <v>1.01590106</v>
      </c>
      <c r="F2309">
        <v>7.61</v>
      </c>
      <c r="G2309">
        <v>0.21</v>
      </c>
      <c r="H2309">
        <v>7.82</v>
      </c>
      <c r="I2309" s="29">
        <v>0.97310000000000008</v>
      </c>
      <c r="J2309" s="29">
        <v>0.73530000000000006</v>
      </c>
      <c r="K2309" s="9">
        <v>45349</v>
      </c>
      <c r="L2309">
        <f xml:space="preserve"> (交易處理資料__3[[#This Row],[售出工時]] * 60) / 5</f>
        <v>69</v>
      </c>
      <c r="M2309" t="str">
        <f>VLOOKUP(交易處理資料__3[[#This Row],[人員代號]],團隊分組!$B$1:$C$52,2,FALSE)</f>
        <v>快速保養團隊A</v>
      </c>
      <c r="N2309" t="str">
        <f>IF(交易處理資料__3[[#This Row],[上班時間]]=0,"否","是")</f>
        <v>是</v>
      </c>
      <c r="O2309" t="s">
        <v>76</v>
      </c>
      <c r="P2309" s="38">
        <v>1.01590106</v>
      </c>
      <c r="Q2309" s="38">
        <v>0.73530000000000006</v>
      </c>
      <c r="R2309" s="38">
        <v>0.97310000000000008</v>
      </c>
    </row>
    <row r="2310" spans="1:18" hidden="1">
      <c r="A2310" t="s">
        <v>76</v>
      </c>
      <c r="B2310" t="s">
        <v>35</v>
      </c>
      <c r="C2310">
        <v>0</v>
      </c>
      <c r="D2310">
        <v>0</v>
      </c>
      <c r="E2310" s="29">
        <v>0</v>
      </c>
      <c r="F2310">
        <v>4.4400000000000004</v>
      </c>
      <c r="G2310">
        <v>4.0999999999999996</v>
      </c>
      <c r="H2310">
        <v>8.5399999999999991</v>
      </c>
      <c r="I2310" s="29">
        <v>0.51990000000000003</v>
      </c>
      <c r="J2310" s="29">
        <v>0</v>
      </c>
      <c r="K2310" s="9">
        <v>45349</v>
      </c>
      <c r="L2310">
        <f xml:space="preserve"> (交易處理資料__3[[#This Row],[售出工時]] * 60) / 5</f>
        <v>0</v>
      </c>
      <c r="M2310" t="str">
        <f>VLOOKUP(交易處理資料__3[[#This Row],[人員代號]],團隊分組!$B$1:$C$52,2,FALSE)</f>
        <v>查修團隊B</v>
      </c>
      <c r="N2310" t="str">
        <f>IF(交易處理資料__3[[#This Row],[上班時間]]=0,"否","是")</f>
        <v>是</v>
      </c>
      <c r="O2310" t="s">
        <v>76</v>
      </c>
      <c r="P2310" s="37">
        <v>0</v>
      </c>
      <c r="Q2310" s="37">
        <v>0</v>
      </c>
      <c r="R2310" s="37">
        <v>0.51990000000000003</v>
      </c>
    </row>
    <row r="2311" spans="1:18" hidden="1">
      <c r="A2311" t="s">
        <v>76</v>
      </c>
      <c r="B2311" t="s">
        <v>36</v>
      </c>
      <c r="C2311">
        <v>5.47</v>
      </c>
      <c r="D2311">
        <v>7.18</v>
      </c>
      <c r="E2311" s="29">
        <v>0.76183844010000001</v>
      </c>
      <c r="F2311">
        <v>7.38</v>
      </c>
      <c r="G2311">
        <v>0.72</v>
      </c>
      <c r="H2311">
        <v>8.1</v>
      </c>
      <c r="I2311" s="29">
        <v>0.91110000000000002</v>
      </c>
      <c r="J2311" s="29">
        <v>0.67530000000000001</v>
      </c>
      <c r="K2311" s="9">
        <v>45349</v>
      </c>
      <c r="L2311">
        <f xml:space="preserve"> (交易處理資料__3[[#This Row],[售出工時]] * 60) / 5</f>
        <v>65.64</v>
      </c>
      <c r="M2311" t="str">
        <f>VLOOKUP(交易處理資料__3[[#This Row],[人員代號]],團隊分組!$B$1:$C$52,2,FALSE)</f>
        <v>查修團隊B</v>
      </c>
      <c r="N2311" t="str">
        <f>IF(交易處理資料__3[[#This Row],[上班時間]]=0,"否","是")</f>
        <v>是</v>
      </c>
      <c r="O2311" t="s">
        <v>76</v>
      </c>
      <c r="P2311" s="38">
        <v>0.76183844010000001</v>
      </c>
      <c r="Q2311" s="38">
        <v>0.67530000000000001</v>
      </c>
      <c r="R2311" s="38">
        <v>0.91110000000000002</v>
      </c>
    </row>
    <row r="2312" spans="1:18" hidden="1">
      <c r="A2312" t="s">
        <v>76</v>
      </c>
      <c r="B2312" t="s">
        <v>38</v>
      </c>
      <c r="C2312">
        <v>16.166666670000001</v>
      </c>
      <c r="D2312">
        <v>6.62</v>
      </c>
      <c r="E2312" s="29">
        <v>2.4420946630000002</v>
      </c>
      <c r="F2312">
        <v>7.41</v>
      </c>
      <c r="G2312">
        <v>2.39</v>
      </c>
      <c r="H2312">
        <v>9.8000000000000007</v>
      </c>
      <c r="I2312" s="29">
        <v>0.75609999999999999</v>
      </c>
      <c r="J2312" s="29">
        <v>1.6496999999999999</v>
      </c>
      <c r="K2312" s="9">
        <v>45349</v>
      </c>
      <c r="L2312">
        <f xml:space="preserve"> (交易處理資料__3[[#This Row],[售出工時]] * 60) / 5</f>
        <v>194.00000004</v>
      </c>
      <c r="M2312" t="str">
        <f>VLOOKUP(交易處理資料__3[[#This Row],[人員代號]],團隊分組!$B$1:$C$52,2,FALSE)</f>
        <v>快速保養團隊A</v>
      </c>
      <c r="N2312" t="str">
        <f>IF(交易處理資料__3[[#This Row],[上班時間]]=0,"否","是")</f>
        <v>是</v>
      </c>
      <c r="O2312" t="s">
        <v>76</v>
      </c>
      <c r="P2312" s="37">
        <v>2.4420946630000002</v>
      </c>
      <c r="Q2312" s="37">
        <v>1.6496999999999999</v>
      </c>
      <c r="R2312" s="37">
        <v>0.75609999999999999</v>
      </c>
    </row>
    <row r="2313" spans="1:18" hidden="1">
      <c r="A2313" t="s">
        <v>76</v>
      </c>
      <c r="B2313" t="s">
        <v>39</v>
      </c>
      <c r="C2313">
        <v>0</v>
      </c>
      <c r="D2313">
        <v>0</v>
      </c>
      <c r="E2313" s="29">
        <v>0</v>
      </c>
      <c r="F2313">
        <v>7.78</v>
      </c>
      <c r="G2313">
        <v>0.14000000000000001</v>
      </c>
      <c r="H2313">
        <v>7.92</v>
      </c>
      <c r="I2313" s="29">
        <v>0.98230000000000006</v>
      </c>
      <c r="J2313" s="29">
        <v>0</v>
      </c>
      <c r="K2313" s="9">
        <v>45349</v>
      </c>
      <c r="L2313">
        <f xml:space="preserve"> (交易處理資料__3[[#This Row],[售出工時]] * 60) / 5</f>
        <v>0</v>
      </c>
      <c r="M2313" t="str">
        <f>VLOOKUP(交易處理資料__3[[#This Row],[人員代號]],團隊分組!$B$1:$C$52,2,FALSE)</f>
        <v>查修團隊A</v>
      </c>
      <c r="N2313" t="str">
        <f>IF(交易處理資料__3[[#This Row],[上班時間]]=0,"否","是")</f>
        <v>是</v>
      </c>
      <c r="O2313" t="s">
        <v>76</v>
      </c>
      <c r="P2313" s="38">
        <v>0</v>
      </c>
      <c r="Q2313" s="38">
        <v>0</v>
      </c>
      <c r="R2313" s="38">
        <v>0.98230000000000006</v>
      </c>
    </row>
    <row r="2314" spans="1:18" hidden="1">
      <c r="A2314" t="s">
        <v>76</v>
      </c>
      <c r="B2314" t="s">
        <v>40</v>
      </c>
      <c r="C2314">
        <v>2.4166666669999999</v>
      </c>
      <c r="D2314">
        <v>5.86</v>
      </c>
      <c r="E2314" s="29">
        <v>0.41240045510000001</v>
      </c>
      <c r="F2314">
        <v>7.43</v>
      </c>
      <c r="G2314">
        <v>0.45</v>
      </c>
      <c r="H2314">
        <v>7.88</v>
      </c>
      <c r="I2314" s="29">
        <v>0.94290000000000007</v>
      </c>
      <c r="J2314" s="29">
        <v>0.30670000000000003</v>
      </c>
      <c r="K2314" s="9">
        <v>45349</v>
      </c>
      <c r="L2314">
        <f xml:space="preserve"> (交易處理資料__3[[#This Row],[售出工時]] * 60) / 5</f>
        <v>29.000000003999997</v>
      </c>
      <c r="M2314" t="str">
        <f>VLOOKUP(交易處理資料__3[[#This Row],[人員代號]],團隊分組!$B$1:$C$52,2,FALSE)</f>
        <v>查修團隊A</v>
      </c>
      <c r="N2314" t="str">
        <f>IF(交易處理資料__3[[#This Row],[上班時間]]=0,"否","是")</f>
        <v>是</v>
      </c>
      <c r="O2314" t="s">
        <v>76</v>
      </c>
      <c r="P2314" s="37">
        <v>0.41240045510000001</v>
      </c>
      <c r="Q2314" s="37">
        <v>0.30670000000000003</v>
      </c>
      <c r="R2314" s="37">
        <v>0.94290000000000007</v>
      </c>
    </row>
    <row r="2315" spans="1:18" hidden="1">
      <c r="A2315" t="s">
        <v>76</v>
      </c>
      <c r="B2315" t="s">
        <v>41</v>
      </c>
      <c r="C2315">
        <v>12.66666667</v>
      </c>
      <c r="D2315">
        <v>5.27</v>
      </c>
      <c r="E2315" s="29">
        <v>2.4035420620000001</v>
      </c>
      <c r="F2315">
        <v>6.77</v>
      </c>
      <c r="G2315">
        <v>2.67</v>
      </c>
      <c r="H2315">
        <v>9.44</v>
      </c>
      <c r="I2315" s="29">
        <v>0.71719999999999995</v>
      </c>
      <c r="J2315" s="29">
        <v>1.3418000000000001</v>
      </c>
      <c r="K2315" s="9">
        <v>45349</v>
      </c>
      <c r="L2315">
        <f xml:space="preserve"> (交易處理資料__3[[#This Row],[售出工時]] * 60) / 5</f>
        <v>152.00000003999997</v>
      </c>
      <c r="M2315" t="str">
        <f>VLOOKUP(交易處理資料__3[[#This Row],[人員代號]],團隊分組!$B$1:$C$52,2,FALSE)</f>
        <v>快速保養團隊A</v>
      </c>
      <c r="N2315" t="str">
        <f>IF(交易處理資料__3[[#This Row],[上班時間]]=0,"否","是")</f>
        <v>是</v>
      </c>
      <c r="O2315" t="s">
        <v>76</v>
      </c>
      <c r="P2315" s="38">
        <v>2.4035420620000001</v>
      </c>
      <c r="Q2315" s="38">
        <v>1.3418000000000001</v>
      </c>
      <c r="R2315" s="38">
        <v>0.71719999999999995</v>
      </c>
    </row>
    <row r="2316" spans="1:18" hidden="1">
      <c r="A2316" t="s">
        <v>76</v>
      </c>
      <c r="B2316" t="s">
        <v>42</v>
      </c>
      <c r="C2316">
        <v>9.9166666669999994</v>
      </c>
      <c r="D2316">
        <v>4.8600000000000003</v>
      </c>
      <c r="E2316" s="29">
        <v>2.0404663919999999</v>
      </c>
      <c r="F2316">
        <v>5.0599999999999996</v>
      </c>
      <c r="G2316">
        <v>2.76</v>
      </c>
      <c r="H2316">
        <v>7.82</v>
      </c>
      <c r="I2316" s="29">
        <v>0.6470999999999999</v>
      </c>
      <c r="J2316" s="29">
        <v>1.2681</v>
      </c>
      <c r="K2316" s="9">
        <v>45349</v>
      </c>
      <c r="L2316">
        <f xml:space="preserve"> (交易處理資料__3[[#This Row],[售出工時]] * 60) / 5</f>
        <v>119.000000004</v>
      </c>
      <c r="M2316" t="str">
        <f>VLOOKUP(交易處理資料__3[[#This Row],[人員代號]],團隊分組!$B$1:$C$52,2,FALSE)</f>
        <v>快速保養團隊A</v>
      </c>
      <c r="N2316" t="str">
        <f>IF(交易處理資料__3[[#This Row],[上班時間]]=0,"否","是")</f>
        <v>是</v>
      </c>
      <c r="O2316" t="s">
        <v>76</v>
      </c>
      <c r="P2316" s="37">
        <v>2.0404663919999999</v>
      </c>
      <c r="Q2316" s="37">
        <v>1.2681</v>
      </c>
      <c r="R2316" s="37">
        <v>0.6470999999999999</v>
      </c>
    </row>
    <row r="2317" spans="1:18" hidden="1">
      <c r="A2317" t="s">
        <v>76</v>
      </c>
      <c r="B2317" t="s">
        <v>43</v>
      </c>
      <c r="C2317">
        <v>1.05</v>
      </c>
      <c r="D2317">
        <v>2.8</v>
      </c>
      <c r="E2317" s="29">
        <v>0.375</v>
      </c>
      <c r="F2317">
        <v>7.73</v>
      </c>
      <c r="G2317">
        <v>0.4</v>
      </c>
      <c r="H2317">
        <v>8.1300000000000008</v>
      </c>
      <c r="I2317" s="29">
        <v>0.95079999999999998</v>
      </c>
      <c r="J2317" s="29">
        <v>0.12920000000000001</v>
      </c>
      <c r="K2317" s="9">
        <v>45349</v>
      </c>
      <c r="L2317">
        <f xml:space="preserve"> (交易處理資料__3[[#This Row],[售出工時]] * 60) / 5</f>
        <v>12.6</v>
      </c>
      <c r="M2317" t="str">
        <f>VLOOKUP(交易處理資料__3[[#This Row],[人員代號]],團隊分組!$B$1:$C$52,2,FALSE)</f>
        <v>查修團隊B</v>
      </c>
      <c r="N2317" t="str">
        <f>IF(交易處理資料__3[[#This Row],[上班時間]]=0,"否","是")</f>
        <v>是</v>
      </c>
      <c r="O2317" t="s">
        <v>76</v>
      </c>
      <c r="P2317" s="38">
        <v>0.375</v>
      </c>
      <c r="Q2317" s="38">
        <v>0.12920000000000001</v>
      </c>
      <c r="R2317" s="38">
        <v>0.95079999999999998</v>
      </c>
    </row>
    <row r="2318" spans="1:18" hidden="1">
      <c r="A2318" t="s">
        <v>76</v>
      </c>
      <c r="B2318" t="s">
        <v>45</v>
      </c>
      <c r="C2318">
        <v>7</v>
      </c>
      <c r="D2318">
        <v>5.15</v>
      </c>
      <c r="E2318" s="29">
        <v>1.3592233010000001</v>
      </c>
      <c r="F2318">
        <v>7.05</v>
      </c>
      <c r="G2318">
        <v>0.83</v>
      </c>
      <c r="H2318">
        <v>7.88</v>
      </c>
      <c r="I2318" s="29">
        <v>0.89469999999999994</v>
      </c>
      <c r="J2318" s="29">
        <v>0.88829999999999998</v>
      </c>
      <c r="K2318" s="9">
        <v>45349</v>
      </c>
      <c r="L2318">
        <f xml:space="preserve"> (交易處理資料__3[[#This Row],[售出工時]] * 60) / 5</f>
        <v>84</v>
      </c>
      <c r="M2318" t="str">
        <f>VLOOKUP(交易處理資料__3[[#This Row],[人員代號]],團隊分組!$B$1:$C$52,2,FALSE)</f>
        <v>快速保養團隊A</v>
      </c>
      <c r="N2318" t="str">
        <f>IF(交易處理資料__3[[#This Row],[上班時間]]=0,"否","是")</f>
        <v>是</v>
      </c>
      <c r="O2318" t="s">
        <v>76</v>
      </c>
      <c r="P2318" s="37">
        <v>1.3592233010000001</v>
      </c>
      <c r="Q2318" s="37">
        <v>0.88829999999999998</v>
      </c>
      <c r="R2318" s="37">
        <v>0.89469999999999994</v>
      </c>
    </row>
    <row r="2319" spans="1:18" hidden="1">
      <c r="A2319" t="s">
        <v>76</v>
      </c>
      <c r="B2319" t="s">
        <v>46</v>
      </c>
      <c r="C2319">
        <v>3.9166666669999999</v>
      </c>
      <c r="D2319">
        <v>5.82</v>
      </c>
      <c r="E2319" s="29">
        <v>0.67296678119999997</v>
      </c>
      <c r="F2319">
        <v>6.02</v>
      </c>
      <c r="G2319">
        <v>2.09</v>
      </c>
      <c r="H2319">
        <v>8.11</v>
      </c>
      <c r="I2319" s="29">
        <v>0.74230000000000007</v>
      </c>
      <c r="J2319" s="29">
        <v>0.4829</v>
      </c>
      <c r="K2319" s="9">
        <v>45349</v>
      </c>
      <c r="L2319">
        <f xml:space="preserve"> (交易處理資料__3[[#This Row],[售出工時]] * 60) / 5</f>
        <v>47.000000004</v>
      </c>
      <c r="M2319" t="str">
        <f>VLOOKUP(交易處理資料__3[[#This Row],[人員代號]],團隊分組!$B$1:$C$52,2,FALSE)</f>
        <v>查修團隊B</v>
      </c>
      <c r="N2319" t="str">
        <f>IF(交易處理資料__3[[#This Row],[上班時間]]=0,"否","是")</f>
        <v>是</v>
      </c>
      <c r="O2319" t="s">
        <v>76</v>
      </c>
      <c r="P2319" s="38">
        <v>0.67296678119999997</v>
      </c>
      <c r="Q2319" s="38">
        <v>0.4829</v>
      </c>
      <c r="R2319" s="38">
        <v>0.74230000000000007</v>
      </c>
    </row>
    <row r="2320" spans="1:18" hidden="1">
      <c r="A2320" t="s">
        <v>76</v>
      </c>
      <c r="B2320" t="s">
        <v>47</v>
      </c>
      <c r="C2320">
        <v>3.91</v>
      </c>
      <c r="D2320">
        <v>5.95</v>
      </c>
      <c r="E2320" s="29">
        <v>0.65714285709999998</v>
      </c>
      <c r="F2320">
        <v>5.96</v>
      </c>
      <c r="G2320">
        <v>2.2400000000000002</v>
      </c>
      <c r="H2320">
        <v>8.1999999999999993</v>
      </c>
      <c r="I2320" s="29">
        <v>0.72680000000000011</v>
      </c>
      <c r="J2320" s="29">
        <v>0.4768</v>
      </c>
      <c r="K2320" s="9">
        <v>45349</v>
      </c>
      <c r="L2320">
        <f xml:space="preserve"> (交易處理資料__3[[#This Row],[售出工時]] * 60) / 5</f>
        <v>46.92</v>
      </c>
      <c r="M2320" t="str">
        <f>VLOOKUP(交易處理資料__3[[#This Row],[人員代號]],團隊分組!$B$1:$C$52,2,FALSE)</f>
        <v>查修團隊B</v>
      </c>
      <c r="N2320" t="str">
        <f>IF(交易處理資料__3[[#This Row],[上班時間]]=0,"否","是")</f>
        <v>是</v>
      </c>
      <c r="O2320" t="s">
        <v>76</v>
      </c>
      <c r="P2320" s="37">
        <v>0.65714285709999998</v>
      </c>
      <c r="Q2320" s="37">
        <v>0.4768</v>
      </c>
      <c r="R2320" s="37">
        <v>0.72680000000000011</v>
      </c>
    </row>
    <row r="2321" spans="1:18" hidden="1">
      <c r="A2321" t="s">
        <v>76</v>
      </c>
      <c r="B2321" t="s">
        <v>48</v>
      </c>
      <c r="C2321">
        <v>0</v>
      </c>
      <c r="D2321">
        <v>0</v>
      </c>
      <c r="E2321" s="29">
        <v>0</v>
      </c>
      <c r="F2321">
        <v>7.53</v>
      </c>
      <c r="G2321">
        <v>0.51</v>
      </c>
      <c r="H2321">
        <v>8.0399999999999991</v>
      </c>
      <c r="I2321" s="29">
        <v>0.93659999999999999</v>
      </c>
      <c r="J2321" s="29">
        <v>0</v>
      </c>
      <c r="K2321" s="9">
        <v>45349</v>
      </c>
      <c r="L2321">
        <f xml:space="preserve"> (交易處理資料__3[[#This Row],[售出工時]] * 60) / 5</f>
        <v>0</v>
      </c>
      <c r="M2321" t="str">
        <f>VLOOKUP(交易處理資料__3[[#This Row],[人員代號]],團隊分組!$B$1:$C$52,2,FALSE)</f>
        <v>查修團隊A</v>
      </c>
      <c r="N2321" t="str">
        <f>IF(交易處理資料__3[[#This Row],[上班時間]]=0,"否","是")</f>
        <v>是</v>
      </c>
      <c r="O2321" t="s">
        <v>76</v>
      </c>
      <c r="P2321" s="38">
        <v>0</v>
      </c>
      <c r="Q2321" s="38">
        <v>0</v>
      </c>
      <c r="R2321" s="38">
        <v>0.93659999999999999</v>
      </c>
    </row>
    <row r="2322" spans="1:18" hidden="1">
      <c r="A2322" t="s">
        <v>76</v>
      </c>
      <c r="B2322" t="s">
        <v>51</v>
      </c>
      <c r="C2322">
        <v>0</v>
      </c>
      <c r="D2322">
        <v>0</v>
      </c>
      <c r="E2322" s="29">
        <v>0</v>
      </c>
      <c r="F2322">
        <v>0</v>
      </c>
      <c r="G2322">
        <v>0</v>
      </c>
      <c r="H2322">
        <v>0</v>
      </c>
      <c r="I2322" s="29">
        <v>0</v>
      </c>
      <c r="J2322" s="29">
        <v>0</v>
      </c>
      <c r="K2322" s="9">
        <v>45349</v>
      </c>
      <c r="L2322">
        <f xml:space="preserve"> (交易處理資料__3[[#This Row],[售出工時]] * 60) / 5</f>
        <v>0</v>
      </c>
      <c r="M2322" t="str">
        <f>VLOOKUP(交易處理資料__3[[#This Row],[人員代號]],團隊分組!$B$1:$C$52,2,FALSE)</f>
        <v>無效數據</v>
      </c>
      <c r="N2322" t="str">
        <f>IF(交易處理資料__3[[#This Row],[上班時間]]=0,"否","是")</f>
        <v>否</v>
      </c>
      <c r="O2322" t="s">
        <v>76</v>
      </c>
      <c r="P2322" s="37">
        <v>0</v>
      </c>
      <c r="Q2322" s="37">
        <v>0</v>
      </c>
      <c r="R2322" s="37">
        <v>0</v>
      </c>
    </row>
    <row r="2323" spans="1:18" hidden="1">
      <c r="A2323" t="s">
        <v>76</v>
      </c>
      <c r="B2323" t="s">
        <v>52</v>
      </c>
      <c r="C2323">
        <v>1</v>
      </c>
      <c r="D2323">
        <v>7.0000000000000007E-2</v>
      </c>
      <c r="E2323" s="29">
        <v>14.285714290000001</v>
      </c>
      <c r="F2323">
        <v>6.12</v>
      </c>
      <c r="G2323">
        <v>1.99</v>
      </c>
      <c r="H2323">
        <v>8.11</v>
      </c>
      <c r="I2323" s="29">
        <v>0.75459999999999994</v>
      </c>
      <c r="J2323" s="29">
        <v>0.12330000000000001</v>
      </c>
      <c r="K2323" s="9">
        <v>45349</v>
      </c>
      <c r="L2323">
        <f xml:space="preserve"> (交易處理資料__3[[#This Row],[售出工時]] * 60) / 5</f>
        <v>12</v>
      </c>
      <c r="M2323" t="str">
        <f>VLOOKUP(交易處理資料__3[[#This Row],[人員代號]],團隊分組!$B$1:$C$52,2,FALSE)</f>
        <v>查修團隊B</v>
      </c>
      <c r="N2323" t="str">
        <f>IF(交易處理資料__3[[#This Row],[上班時間]]=0,"否","是")</f>
        <v>是</v>
      </c>
      <c r="O2323" t="s">
        <v>76</v>
      </c>
      <c r="P2323" s="38">
        <v>14.285714290000001</v>
      </c>
      <c r="Q2323" s="38">
        <v>0.12330000000000001</v>
      </c>
      <c r="R2323" s="38">
        <v>0.75459999999999994</v>
      </c>
    </row>
    <row r="2324" spans="1:18" hidden="1">
      <c r="A2324" t="s">
        <v>76</v>
      </c>
      <c r="B2324" t="s">
        <v>53</v>
      </c>
      <c r="C2324">
        <v>6</v>
      </c>
      <c r="D2324">
        <v>5.42</v>
      </c>
      <c r="E2324" s="29">
        <v>1.10701107</v>
      </c>
      <c r="F2324">
        <v>7.23</v>
      </c>
      <c r="G2324">
        <v>0.63</v>
      </c>
      <c r="H2324">
        <v>7.86</v>
      </c>
      <c r="I2324" s="29">
        <v>0.91980000000000006</v>
      </c>
      <c r="J2324" s="29">
        <v>0.76340000000000008</v>
      </c>
      <c r="K2324" s="9">
        <v>45349</v>
      </c>
      <c r="L2324">
        <f xml:space="preserve"> (交易處理資料__3[[#This Row],[售出工時]] * 60) / 5</f>
        <v>72</v>
      </c>
      <c r="M2324" t="str">
        <f>VLOOKUP(交易處理資料__3[[#This Row],[人員代號]],團隊分組!$B$1:$C$52,2,FALSE)</f>
        <v>查修團隊A</v>
      </c>
      <c r="N2324" t="str">
        <f>IF(交易處理資料__3[[#This Row],[上班時間]]=0,"否","是")</f>
        <v>是</v>
      </c>
      <c r="O2324" t="s">
        <v>76</v>
      </c>
      <c r="P2324" s="37">
        <v>1.10701107</v>
      </c>
      <c r="Q2324" s="37">
        <v>0.76340000000000008</v>
      </c>
      <c r="R2324" s="37">
        <v>0.91980000000000006</v>
      </c>
    </row>
    <row r="2325" spans="1:18" hidden="1">
      <c r="A2325" s="10" t="s">
        <v>74</v>
      </c>
      <c r="B2325" t="s">
        <v>1</v>
      </c>
      <c r="C2325">
        <v>0</v>
      </c>
      <c r="D2325">
        <v>0</v>
      </c>
      <c r="E2325" s="29">
        <v>0</v>
      </c>
      <c r="F2325">
        <v>0</v>
      </c>
      <c r="G2325">
        <v>0</v>
      </c>
      <c r="H2325">
        <v>0</v>
      </c>
      <c r="I2325" s="29">
        <v>0</v>
      </c>
      <c r="J2325" s="29">
        <v>0</v>
      </c>
      <c r="K2325" s="9">
        <v>45350</v>
      </c>
      <c r="L2325">
        <f xml:space="preserve"> (交易處理資料__3[[#This Row],[售出工時]] * 60) / 5</f>
        <v>0</v>
      </c>
      <c r="M2325" t="str">
        <f>VLOOKUP(交易處理資料__3[[#This Row],[人員代號]],團隊分組!$B$1:$C$52,2,FALSE)</f>
        <v>噴漆維修組</v>
      </c>
      <c r="N2325" t="str">
        <f>IF(交易處理資料__3[[#This Row],[上班時間]]=0,"否","是")</f>
        <v>否</v>
      </c>
      <c r="O2325" s="10" t="s">
        <v>74</v>
      </c>
      <c r="P2325" s="38">
        <v>0</v>
      </c>
      <c r="Q2325" s="38">
        <v>0</v>
      </c>
      <c r="R2325" s="38">
        <v>0</v>
      </c>
    </row>
    <row r="2326" spans="1:18" hidden="1">
      <c r="A2326" s="10" t="s">
        <v>74</v>
      </c>
      <c r="B2326" t="s">
        <v>2</v>
      </c>
      <c r="C2326">
        <v>0</v>
      </c>
      <c r="D2326">
        <v>0</v>
      </c>
      <c r="E2326" s="29">
        <v>0</v>
      </c>
      <c r="F2326">
        <v>0</v>
      </c>
      <c r="G2326">
        <v>0</v>
      </c>
      <c r="H2326">
        <v>0</v>
      </c>
      <c r="I2326" s="29">
        <v>0</v>
      </c>
      <c r="J2326" s="29">
        <v>0</v>
      </c>
      <c r="K2326" s="9">
        <v>45350</v>
      </c>
      <c r="L2326">
        <f xml:space="preserve"> (交易處理資料__3[[#This Row],[售出工時]] * 60) / 5</f>
        <v>0</v>
      </c>
      <c r="M2326" t="str">
        <f>VLOOKUP(交易處理資料__3[[#This Row],[人員代號]],團隊分組!$B$1:$C$52,2,FALSE)</f>
        <v>噴漆維修組</v>
      </c>
      <c r="N2326" t="str">
        <f>IF(交易處理資料__3[[#This Row],[上班時間]]=0,"否","是")</f>
        <v>否</v>
      </c>
      <c r="O2326" s="10" t="s">
        <v>74</v>
      </c>
      <c r="P2326" s="37">
        <v>0</v>
      </c>
      <c r="Q2326" s="37">
        <v>0</v>
      </c>
      <c r="R2326" s="37">
        <v>0</v>
      </c>
    </row>
    <row r="2327" spans="1:18" hidden="1">
      <c r="A2327" s="10" t="s">
        <v>74</v>
      </c>
      <c r="B2327" t="s">
        <v>3</v>
      </c>
      <c r="C2327">
        <v>0</v>
      </c>
      <c r="D2327">
        <v>0</v>
      </c>
      <c r="E2327" s="29">
        <v>0</v>
      </c>
      <c r="F2327">
        <v>0</v>
      </c>
      <c r="G2327">
        <v>0</v>
      </c>
      <c r="H2327">
        <v>0</v>
      </c>
      <c r="I2327" s="29">
        <v>0</v>
      </c>
      <c r="J2327" s="29">
        <v>0</v>
      </c>
      <c r="K2327" s="9">
        <v>45350</v>
      </c>
      <c r="L2327">
        <f xml:space="preserve"> (交易處理資料__3[[#This Row],[售出工時]] * 60) / 5</f>
        <v>0</v>
      </c>
      <c r="M2327" t="str">
        <f>VLOOKUP(交易處理資料__3[[#This Row],[人員代號]],團隊分組!$B$1:$C$52,2,FALSE)</f>
        <v>噴漆維修組</v>
      </c>
      <c r="N2327" t="str">
        <f>IF(交易處理資料__3[[#This Row],[上班時間]]=0,"否","是")</f>
        <v>否</v>
      </c>
      <c r="O2327" s="10" t="s">
        <v>74</v>
      </c>
      <c r="P2327" s="38">
        <v>0</v>
      </c>
      <c r="Q2327" s="38">
        <v>0</v>
      </c>
      <c r="R2327" s="38">
        <v>0</v>
      </c>
    </row>
    <row r="2328" spans="1:18" hidden="1">
      <c r="A2328" s="10" t="s">
        <v>74</v>
      </c>
      <c r="B2328" t="s">
        <v>5</v>
      </c>
      <c r="C2328">
        <v>0</v>
      </c>
      <c r="D2328">
        <v>0</v>
      </c>
      <c r="E2328" s="29">
        <v>0</v>
      </c>
      <c r="F2328">
        <v>7.47</v>
      </c>
      <c r="G2328">
        <v>1.55</v>
      </c>
      <c r="H2328">
        <v>9.02</v>
      </c>
      <c r="I2328" s="29">
        <v>0.82819999999999994</v>
      </c>
      <c r="J2328" s="29">
        <v>0</v>
      </c>
      <c r="K2328" s="9">
        <v>45350</v>
      </c>
      <c r="L2328">
        <f xml:space="preserve"> (交易處理資料__3[[#This Row],[售出工時]] * 60) / 5</f>
        <v>0</v>
      </c>
      <c r="M2328" t="str">
        <f>VLOOKUP(交易處理資料__3[[#This Row],[人員代號]],團隊分組!$B$1:$C$52,2,FALSE)</f>
        <v>噴漆維修組</v>
      </c>
      <c r="N2328" t="str">
        <f>IF(交易處理資料__3[[#This Row],[上班時間]]=0,"否","是")</f>
        <v>是</v>
      </c>
      <c r="O2328" s="10" t="s">
        <v>74</v>
      </c>
      <c r="P2328" s="37">
        <v>0</v>
      </c>
      <c r="Q2328" s="37">
        <v>0</v>
      </c>
      <c r="R2328" s="37">
        <v>0.82819999999999994</v>
      </c>
    </row>
    <row r="2329" spans="1:18" hidden="1">
      <c r="A2329" s="10" t="s">
        <v>74</v>
      </c>
      <c r="B2329" t="s">
        <v>6</v>
      </c>
      <c r="C2329">
        <v>0</v>
      </c>
      <c r="D2329">
        <v>0</v>
      </c>
      <c r="E2329" s="29">
        <v>0</v>
      </c>
      <c r="F2329">
        <v>0</v>
      </c>
      <c r="G2329">
        <v>0</v>
      </c>
      <c r="H2329">
        <v>0</v>
      </c>
      <c r="I2329" s="29">
        <v>0</v>
      </c>
      <c r="J2329" s="29">
        <v>0</v>
      </c>
      <c r="K2329" s="9">
        <v>45350</v>
      </c>
      <c r="L2329">
        <f xml:space="preserve"> (交易處理資料__3[[#This Row],[售出工時]] * 60) / 5</f>
        <v>0</v>
      </c>
      <c r="M2329" t="str">
        <f>VLOOKUP(交易處理資料__3[[#This Row],[人員代號]],團隊分組!$B$1:$C$52,2,FALSE)</f>
        <v>噴漆維修組</v>
      </c>
      <c r="N2329" t="str">
        <f>IF(交易處理資料__3[[#This Row],[上班時間]]=0,"否","是")</f>
        <v>否</v>
      </c>
      <c r="O2329" s="10" t="s">
        <v>74</v>
      </c>
      <c r="P2329" s="38">
        <v>0</v>
      </c>
      <c r="Q2329" s="38">
        <v>0</v>
      </c>
      <c r="R2329" s="38">
        <v>0</v>
      </c>
    </row>
    <row r="2330" spans="1:18">
      <c r="A2330" s="10" t="s">
        <v>74</v>
      </c>
      <c r="B2330" t="s">
        <v>7</v>
      </c>
      <c r="C2330">
        <v>0</v>
      </c>
      <c r="D2330">
        <v>0</v>
      </c>
      <c r="E2330" s="29">
        <v>0</v>
      </c>
      <c r="F2330">
        <v>7.47</v>
      </c>
      <c r="G2330">
        <v>1.54</v>
      </c>
      <c r="H2330">
        <v>9.01</v>
      </c>
      <c r="I2330" s="29">
        <v>0.82909999999999995</v>
      </c>
      <c r="J2330" s="29">
        <v>0</v>
      </c>
      <c r="K2330" s="9">
        <v>45350</v>
      </c>
      <c r="L2330">
        <f xml:space="preserve"> (交易處理資料__3[[#This Row],[售出工時]] * 60) / 5</f>
        <v>0</v>
      </c>
      <c r="M2330" t="str">
        <f>VLOOKUP(交易處理資料__3[[#This Row],[人員代號]],團隊分組!$B$1:$C$52,2,FALSE)</f>
        <v>噴漆維修組</v>
      </c>
      <c r="N2330" t="str">
        <f>IF(交易處理資料__3[[#This Row],[上班時間]]=0,"否","是")</f>
        <v>是</v>
      </c>
      <c r="O2330" s="10" t="s">
        <v>74</v>
      </c>
      <c r="P2330" s="37">
        <v>0</v>
      </c>
      <c r="Q2330" s="37">
        <v>0</v>
      </c>
      <c r="R2330" s="37">
        <v>0.82909999999999995</v>
      </c>
    </row>
    <row r="2331" spans="1:18" hidden="1">
      <c r="A2331" s="10" t="s">
        <v>74</v>
      </c>
      <c r="B2331" t="s">
        <v>9</v>
      </c>
      <c r="C2331">
        <v>0</v>
      </c>
      <c r="D2331">
        <v>0</v>
      </c>
      <c r="E2331" s="29">
        <v>0</v>
      </c>
      <c r="F2331">
        <v>7.55</v>
      </c>
      <c r="G2331">
        <v>1.47</v>
      </c>
      <c r="H2331">
        <v>9.02</v>
      </c>
      <c r="I2331" s="29">
        <v>0.83700000000000008</v>
      </c>
      <c r="J2331" s="29">
        <v>0</v>
      </c>
      <c r="K2331" s="9">
        <v>45350</v>
      </c>
      <c r="L2331">
        <f xml:space="preserve"> (交易處理資料__3[[#This Row],[售出工時]] * 60) / 5</f>
        <v>0</v>
      </c>
      <c r="M2331" t="str">
        <f>VLOOKUP(交易處理資料__3[[#This Row],[人員代號]],團隊分組!$B$1:$C$52,2,FALSE)</f>
        <v>噴漆維修組</v>
      </c>
      <c r="N2331" t="str">
        <f>IF(交易處理資料__3[[#This Row],[上班時間]]=0,"否","是")</f>
        <v>是</v>
      </c>
      <c r="O2331" s="10" t="s">
        <v>74</v>
      </c>
      <c r="P2331" s="38">
        <v>0</v>
      </c>
      <c r="Q2331" s="38">
        <v>0</v>
      </c>
      <c r="R2331" s="38">
        <v>0.83700000000000008</v>
      </c>
    </row>
    <row r="2332" spans="1:18" hidden="1">
      <c r="A2332" t="s">
        <v>75</v>
      </c>
      <c r="B2332" t="s">
        <v>11</v>
      </c>
      <c r="C2332">
        <v>0</v>
      </c>
      <c r="D2332">
        <v>0</v>
      </c>
      <c r="E2332" s="29">
        <v>0</v>
      </c>
      <c r="F2332">
        <v>0</v>
      </c>
      <c r="G2332">
        <v>0</v>
      </c>
      <c r="H2332">
        <v>0</v>
      </c>
      <c r="I2332" s="29">
        <v>0</v>
      </c>
      <c r="J2332" s="29">
        <v>0</v>
      </c>
      <c r="K2332" s="9">
        <v>45350</v>
      </c>
      <c r="L2332">
        <f xml:space="preserve"> (交易處理資料__3[[#This Row],[售出工時]] * 60) / 5</f>
        <v>0</v>
      </c>
      <c r="M2332" t="str">
        <f>VLOOKUP(交易處理資料__3[[#This Row],[人員代號]],團隊分組!$B$1:$C$52,2,FALSE)</f>
        <v>鈑金維修組</v>
      </c>
      <c r="N2332" t="str">
        <f>IF(交易處理資料__3[[#This Row],[上班時間]]=0,"否","是")</f>
        <v>否</v>
      </c>
      <c r="O2332" t="s">
        <v>75</v>
      </c>
      <c r="P2332" s="37">
        <v>0</v>
      </c>
      <c r="Q2332" s="37">
        <v>0</v>
      </c>
      <c r="R2332" s="37">
        <v>0</v>
      </c>
    </row>
    <row r="2333" spans="1:18" hidden="1">
      <c r="A2333" t="s">
        <v>75</v>
      </c>
      <c r="B2333" t="s">
        <v>12</v>
      </c>
      <c r="C2333">
        <v>0</v>
      </c>
      <c r="D2333">
        <v>0</v>
      </c>
      <c r="E2333" s="29">
        <v>0</v>
      </c>
      <c r="F2333">
        <v>0</v>
      </c>
      <c r="G2333">
        <v>0</v>
      </c>
      <c r="H2333">
        <v>0</v>
      </c>
      <c r="I2333" s="29">
        <v>0</v>
      </c>
      <c r="J2333" s="29">
        <v>0</v>
      </c>
      <c r="K2333" s="9">
        <v>45350</v>
      </c>
      <c r="L2333">
        <f xml:space="preserve"> (交易處理資料__3[[#This Row],[售出工時]] * 60) / 5</f>
        <v>0</v>
      </c>
      <c r="M2333" t="str">
        <f>VLOOKUP(交易處理資料__3[[#This Row],[人員代號]],團隊分組!$B$1:$C$52,2,FALSE)</f>
        <v>鈑金維修組</v>
      </c>
      <c r="N2333" t="str">
        <f>IF(交易處理資料__3[[#This Row],[上班時間]]=0,"否","是")</f>
        <v>否</v>
      </c>
      <c r="O2333" t="s">
        <v>75</v>
      </c>
      <c r="P2333" s="38">
        <v>0</v>
      </c>
      <c r="Q2333" s="38">
        <v>0</v>
      </c>
      <c r="R2333" s="38">
        <v>0</v>
      </c>
    </row>
    <row r="2334" spans="1:18" hidden="1">
      <c r="A2334" t="s">
        <v>76</v>
      </c>
      <c r="B2334" t="s">
        <v>17</v>
      </c>
      <c r="C2334">
        <v>0</v>
      </c>
      <c r="D2334">
        <v>0</v>
      </c>
      <c r="E2334" s="29">
        <v>0</v>
      </c>
      <c r="F2334">
        <v>0</v>
      </c>
      <c r="G2334">
        <v>0</v>
      </c>
      <c r="H2334">
        <v>0</v>
      </c>
      <c r="I2334" s="29">
        <v>0</v>
      </c>
      <c r="J2334" s="29">
        <v>0</v>
      </c>
      <c r="K2334" s="9">
        <v>45350</v>
      </c>
      <c r="L2334">
        <f xml:space="preserve"> (交易處理資料__3[[#This Row],[售出工時]] * 60) / 5</f>
        <v>0</v>
      </c>
      <c r="M2334" t="str">
        <f>VLOOKUP(交易處理資料__3[[#This Row],[人員代號]],團隊分組!$B$1:$C$52,2,FALSE)</f>
        <v>快速保養團隊A</v>
      </c>
      <c r="N2334" t="str">
        <f>IF(交易處理資料__3[[#This Row],[上班時間]]=0,"否","是")</f>
        <v>否</v>
      </c>
      <c r="O2334" t="s">
        <v>76</v>
      </c>
      <c r="P2334" s="37">
        <v>0</v>
      </c>
      <c r="Q2334" s="37">
        <v>0</v>
      </c>
      <c r="R2334" s="37">
        <v>0</v>
      </c>
    </row>
    <row r="2335" spans="1:18" hidden="1">
      <c r="A2335" t="s">
        <v>76</v>
      </c>
      <c r="B2335" t="s">
        <v>18</v>
      </c>
      <c r="C2335">
        <v>0</v>
      </c>
      <c r="D2335">
        <v>0</v>
      </c>
      <c r="E2335" s="29">
        <v>0</v>
      </c>
      <c r="F2335">
        <v>0</v>
      </c>
      <c r="G2335">
        <v>0</v>
      </c>
      <c r="H2335">
        <v>0</v>
      </c>
      <c r="I2335" s="29">
        <v>0</v>
      </c>
      <c r="J2335" s="29">
        <v>0</v>
      </c>
      <c r="K2335" s="9">
        <v>45350</v>
      </c>
      <c r="L2335">
        <f xml:space="preserve"> (交易處理資料__3[[#This Row],[售出工時]] * 60) / 5</f>
        <v>0</v>
      </c>
      <c r="M2335" t="str">
        <f>VLOOKUP(交易處理資料__3[[#This Row],[人員代號]],團隊分組!$B$1:$C$52,2,FALSE)</f>
        <v>查修團隊B</v>
      </c>
      <c r="N2335" t="str">
        <f>IF(交易處理資料__3[[#This Row],[上班時間]]=0,"否","是")</f>
        <v>否</v>
      </c>
      <c r="O2335" t="s">
        <v>76</v>
      </c>
      <c r="P2335" s="38">
        <v>0</v>
      </c>
      <c r="Q2335" s="38">
        <v>0</v>
      </c>
      <c r="R2335" s="38">
        <v>0</v>
      </c>
    </row>
    <row r="2336" spans="1:18" hidden="1">
      <c r="A2336" t="s">
        <v>76</v>
      </c>
      <c r="B2336" t="s">
        <v>19</v>
      </c>
      <c r="C2336">
        <v>0</v>
      </c>
      <c r="D2336">
        <v>0</v>
      </c>
      <c r="E2336" s="29">
        <v>0</v>
      </c>
      <c r="F2336">
        <v>0</v>
      </c>
      <c r="G2336">
        <v>0</v>
      </c>
      <c r="H2336">
        <v>0</v>
      </c>
      <c r="I2336" s="29">
        <v>0</v>
      </c>
      <c r="J2336" s="29">
        <v>0</v>
      </c>
      <c r="K2336" s="9">
        <v>45350</v>
      </c>
      <c r="L2336">
        <f xml:space="preserve"> (交易處理資料__3[[#This Row],[售出工時]] * 60) / 5</f>
        <v>0</v>
      </c>
      <c r="M2336" t="str">
        <f>VLOOKUP(交易處理資料__3[[#This Row],[人員代號]],團隊分組!$B$1:$C$52,2,FALSE)</f>
        <v>查修團隊A</v>
      </c>
      <c r="N2336" t="str">
        <f>IF(交易處理資料__3[[#This Row],[上班時間]]=0,"否","是")</f>
        <v>否</v>
      </c>
      <c r="O2336" t="s">
        <v>76</v>
      </c>
      <c r="P2336" s="37">
        <v>0</v>
      </c>
      <c r="Q2336" s="37">
        <v>0</v>
      </c>
      <c r="R2336" s="37">
        <v>0</v>
      </c>
    </row>
    <row r="2337" spans="1:18" hidden="1">
      <c r="A2337" t="s">
        <v>76</v>
      </c>
      <c r="B2337" t="s">
        <v>20</v>
      </c>
      <c r="C2337">
        <v>0</v>
      </c>
      <c r="D2337">
        <v>0</v>
      </c>
      <c r="E2337" s="29">
        <v>0</v>
      </c>
      <c r="F2337">
        <v>0</v>
      </c>
      <c r="G2337">
        <v>0</v>
      </c>
      <c r="H2337">
        <v>0</v>
      </c>
      <c r="I2337" s="29">
        <v>0</v>
      </c>
      <c r="J2337" s="29">
        <v>0</v>
      </c>
      <c r="K2337" s="9">
        <v>45350</v>
      </c>
      <c r="L2337">
        <f xml:space="preserve"> (交易處理資料__3[[#This Row],[售出工時]] * 60) / 5</f>
        <v>0</v>
      </c>
      <c r="M2337" t="str">
        <f>VLOOKUP(交易處理資料__3[[#This Row],[人員代號]],團隊分組!$B$1:$C$52,2,FALSE)</f>
        <v>查修團隊B</v>
      </c>
      <c r="N2337" t="str">
        <f>IF(交易處理資料__3[[#This Row],[上班時間]]=0,"否","是")</f>
        <v>否</v>
      </c>
      <c r="O2337" t="s">
        <v>76</v>
      </c>
      <c r="P2337" s="38">
        <v>0</v>
      </c>
      <c r="Q2337" s="38">
        <v>0</v>
      </c>
      <c r="R2337" s="38">
        <v>0</v>
      </c>
    </row>
    <row r="2338" spans="1:18" hidden="1">
      <c r="A2338" t="s">
        <v>76</v>
      </c>
      <c r="B2338" t="s">
        <v>21</v>
      </c>
      <c r="C2338">
        <v>3.6833333330000002</v>
      </c>
      <c r="D2338">
        <v>3.93</v>
      </c>
      <c r="E2338" s="29">
        <v>0.93723494489999992</v>
      </c>
      <c r="F2338">
        <v>3.91</v>
      </c>
      <c r="G2338">
        <v>3.94</v>
      </c>
      <c r="H2338">
        <v>7.85</v>
      </c>
      <c r="I2338" s="29">
        <v>0.49810000000000004</v>
      </c>
      <c r="J2338" s="29">
        <v>0.46920000000000001</v>
      </c>
      <c r="K2338" s="9">
        <v>45350</v>
      </c>
      <c r="L2338">
        <f xml:space="preserve"> (交易處理資料__3[[#This Row],[售出工時]] * 60) / 5</f>
        <v>44.199999996000003</v>
      </c>
      <c r="M2338" t="str">
        <f>VLOOKUP(交易處理資料__3[[#This Row],[人員代號]],團隊分組!$B$1:$C$52,2,FALSE)</f>
        <v>查修團隊B</v>
      </c>
      <c r="N2338" t="str">
        <f>IF(交易處理資料__3[[#This Row],[上班時間]]=0,"否","是")</f>
        <v>是</v>
      </c>
      <c r="O2338" t="s">
        <v>76</v>
      </c>
      <c r="P2338" s="37">
        <v>0.93723494489999992</v>
      </c>
      <c r="Q2338" s="37">
        <v>0.46920000000000001</v>
      </c>
      <c r="R2338" s="37">
        <v>0.49810000000000004</v>
      </c>
    </row>
    <row r="2339" spans="1:18" hidden="1">
      <c r="A2339" t="s">
        <v>76</v>
      </c>
      <c r="B2339" t="s">
        <v>22</v>
      </c>
      <c r="C2339">
        <v>0</v>
      </c>
      <c r="D2339">
        <v>0</v>
      </c>
      <c r="E2339" s="29">
        <v>0</v>
      </c>
      <c r="F2339">
        <v>0</v>
      </c>
      <c r="G2339">
        <v>0</v>
      </c>
      <c r="H2339">
        <v>0</v>
      </c>
      <c r="I2339" s="29">
        <v>0</v>
      </c>
      <c r="J2339" s="29">
        <v>0</v>
      </c>
      <c r="K2339" s="9">
        <v>45350</v>
      </c>
      <c r="L2339">
        <f xml:space="preserve"> (交易處理資料__3[[#This Row],[售出工時]] * 60) / 5</f>
        <v>0</v>
      </c>
      <c r="M2339" t="str">
        <f>VLOOKUP(交易處理資料__3[[#This Row],[人員代號]],團隊分組!$B$1:$C$52,2,FALSE)</f>
        <v>快速保養團隊A</v>
      </c>
      <c r="N2339" t="str">
        <f>IF(交易處理資料__3[[#This Row],[上班時間]]=0,"否","是")</f>
        <v>否</v>
      </c>
      <c r="O2339" t="s">
        <v>76</v>
      </c>
      <c r="P2339" s="38">
        <v>0</v>
      </c>
      <c r="Q2339" s="38">
        <v>0</v>
      </c>
      <c r="R2339" s="38">
        <v>0</v>
      </c>
    </row>
    <row r="2340" spans="1:18" hidden="1">
      <c r="A2340" t="s">
        <v>76</v>
      </c>
      <c r="B2340" t="s">
        <v>24</v>
      </c>
      <c r="C2340">
        <v>0</v>
      </c>
      <c r="D2340">
        <v>0</v>
      </c>
      <c r="E2340" s="29">
        <v>0</v>
      </c>
      <c r="F2340">
        <v>0</v>
      </c>
      <c r="G2340">
        <v>0</v>
      </c>
      <c r="H2340">
        <v>0</v>
      </c>
      <c r="I2340" s="29">
        <v>0</v>
      </c>
      <c r="J2340" s="29">
        <v>0</v>
      </c>
      <c r="K2340" s="9">
        <v>45350</v>
      </c>
      <c r="L2340">
        <f xml:space="preserve"> (交易處理資料__3[[#This Row],[售出工時]] * 60) / 5</f>
        <v>0</v>
      </c>
      <c r="M2340" t="str">
        <f>VLOOKUP(交易處理資料__3[[#This Row],[人員代號]],團隊分組!$B$1:$C$52,2,FALSE)</f>
        <v>快速保養團隊A</v>
      </c>
      <c r="N2340" t="str">
        <f>IF(交易處理資料__3[[#This Row],[上班時間]]=0,"否","是")</f>
        <v>否</v>
      </c>
      <c r="O2340" t="s">
        <v>76</v>
      </c>
      <c r="P2340" s="37">
        <v>0</v>
      </c>
      <c r="Q2340" s="37">
        <v>0</v>
      </c>
      <c r="R2340" s="37">
        <v>0</v>
      </c>
    </row>
    <row r="2341" spans="1:18" hidden="1">
      <c r="A2341" t="s">
        <v>76</v>
      </c>
      <c r="B2341" t="s">
        <v>25</v>
      </c>
      <c r="C2341">
        <v>0</v>
      </c>
      <c r="D2341">
        <v>0</v>
      </c>
      <c r="E2341" s="29">
        <v>0</v>
      </c>
      <c r="F2341">
        <v>0</v>
      </c>
      <c r="G2341">
        <v>0</v>
      </c>
      <c r="H2341">
        <v>0</v>
      </c>
      <c r="I2341" s="29">
        <v>0</v>
      </c>
      <c r="J2341" s="29">
        <v>0</v>
      </c>
      <c r="K2341" s="9">
        <v>45350</v>
      </c>
      <c r="L2341">
        <f xml:space="preserve"> (交易處理資料__3[[#This Row],[售出工時]] * 60) / 5</f>
        <v>0</v>
      </c>
      <c r="M2341" t="str">
        <f>VLOOKUP(交易處理資料__3[[#This Row],[人員代號]],團隊分組!$B$1:$C$52,2,FALSE)</f>
        <v>查修團隊A</v>
      </c>
      <c r="N2341" t="str">
        <f>IF(交易處理資料__3[[#This Row],[上班時間]]=0,"否","是")</f>
        <v>否</v>
      </c>
      <c r="O2341" t="s">
        <v>76</v>
      </c>
      <c r="P2341" s="38">
        <v>0</v>
      </c>
      <c r="Q2341" s="38">
        <v>0</v>
      </c>
      <c r="R2341" s="38">
        <v>0</v>
      </c>
    </row>
    <row r="2342" spans="1:18" hidden="1">
      <c r="A2342" t="s">
        <v>76</v>
      </c>
      <c r="B2342" t="s">
        <v>26</v>
      </c>
      <c r="C2342">
        <v>0</v>
      </c>
      <c r="D2342">
        <v>0</v>
      </c>
      <c r="E2342" s="29">
        <v>0</v>
      </c>
      <c r="F2342">
        <v>0</v>
      </c>
      <c r="G2342">
        <v>0</v>
      </c>
      <c r="H2342">
        <v>0</v>
      </c>
      <c r="I2342" s="29">
        <v>0</v>
      </c>
      <c r="J2342" s="29">
        <v>0</v>
      </c>
      <c r="K2342" s="9">
        <v>45350</v>
      </c>
      <c r="L2342">
        <f xml:space="preserve"> (交易處理資料__3[[#This Row],[售出工時]] * 60) / 5</f>
        <v>0</v>
      </c>
      <c r="M2342" t="str">
        <f>VLOOKUP(交易處理資料__3[[#This Row],[人員代號]],團隊分組!$B$1:$C$52,2,FALSE)</f>
        <v>查修團隊B</v>
      </c>
      <c r="N2342" t="str">
        <f>IF(交易處理資料__3[[#This Row],[上班時間]]=0,"否","是")</f>
        <v>否</v>
      </c>
      <c r="O2342" t="s">
        <v>76</v>
      </c>
      <c r="P2342" s="37">
        <v>0</v>
      </c>
      <c r="Q2342" s="37">
        <v>0</v>
      </c>
      <c r="R2342" s="37">
        <v>0</v>
      </c>
    </row>
    <row r="2343" spans="1:18" hidden="1">
      <c r="A2343" t="s">
        <v>76</v>
      </c>
      <c r="B2343" t="s">
        <v>28</v>
      </c>
      <c r="C2343">
        <v>0</v>
      </c>
      <c r="D2343">
        <v>0</v>
      </c>
      <c r="E2343" s="29">
        <v>0</v>
      </c>
      <c r="F2343">
        <v>0</v>
      </c>
      <c r="G2343">
        <v>0</v>
      </c>
      <c r="H2343">
        <v>0</v>
      </c>
      <c r="I2343" s="29">
        <v>0</v>
      </c>
      <c r="J2343" s="29">
        <v>0</v>
      </c>
      <c r="K2343" s="9">
        <v>45350</v>
      </c>
      <c r="L2343">
        <f xml:space="preserve"> (交易處理資料__3[[#This Row],[售出工時]] * 60) / 5</f>
        <v>0</v>
      </c>
      <c r="M2343" t="str">
        <f>VLOOKUP(交易處理資料__3[[#This Row],[人員代號]],團隊分組!$B$1:$C$52,2,FALSE)</f>
        <v>快速保養團隊A</v>
      </c>
      <c r="N2343" t="str">
        <f>IF(交易處理資料__3[[#This Row],[上班時間]]=0,"否","是")</f>
        <v>否</v>
      </c>
      <c r="O2343" t="s">
        <v>76</v>
      </c>
      <c r="P2343" s="38">
        <v>0</v>
      </c>
      <c r="Q2343" s="38">
        <v>0</v>
      </c>
      <c r="R2343" s="38">
        <v>0</v>
      </c>
    </row>
    <row r="2344" spans="1:18" hidden="1">
      <c r="A2344" t="s">
        <v>76</v>
      </c>
      <c r="B2344" t="s">
        <v>29</v>
      </c>
      <c r="C2344">
        <v>2.8</v>
      </c>
      <c r="D2344">
        <v>2.9</v>
      </c>
      <c r="E2344" s="29">
        <v>0.96551724140000006</v>
      </c>
      <c r="F2344">
        <v>5.7</v>
      </c>
      <c r="G2344">
        <v>2.17</v>
      </c>
      <c r="H2344">
        <v>7.87</v>
      </c>
      <c r="I2344" s="29">
        <v>0.72430000000000005</v>
      </c>
      <c r="J2344" s="29">
        <v>0.35580000000000001</v>
      </c>
      <c r="K2344" s="9">
        <v>45350</v>
      </c>
      <c r="L2344">
        <f xml:space="preserve"> (交易處理資料__3[[#This Row],[售出工時]] * 60) / 5</f>
        <v>33.6</v>
      </c>
      <c r="M2344" t="str">
        <f>VLOOKUP(交易處理資料__3[[#This Row],[人員代號]],團隊分組!$B$1:$C$52,2,FALSE)</f>
        <v>查修團隊B</v>
      </c>
      <c r="N2344" t="str">
        <f>IF(交易處理資料__3[[#This Row],[上班時間]]=0,"否","是")</f>
        <v>是</v>
      </c>
      <c r="O2344" t="s">
        <v>76</v>
      </c>
      <c r="P2344" s="37">
        <v>0.96551724140000006</v>
      </c>
      <c r="Q2344" s="37">
        <v>0.35580000000000001</v>
      </c>
      <c r="R2344" s="37">
        <v>0.72430000000000005</v>
      </c>
    </row>
    <row r="2345" spans="1:18" hidden="1">
      <c r="A2345" t="s">
        <v>76</v>
      </c>
      <c r="B2345" t="s">
        <v>32</v>
      </c>
      <c r="C2345">
        <v>0</v>
      </c>
      <c r="D2345">
        <v>0</v>
      </c>
      <c r="E2345" s="29">
        <v>0</v>
      </c>
      <c r="F2345">
        <v>0</v>
      </c>
      <c r="G2345">
        <v>0</v>
      </c>
      <c r="H2345">
        <v>0</v>
      </c>
      <c r="I2345" s="29">
        <v>0</v>
      </c>
      <c r="J2345" s="29">
        <v>0</v>
      </c>
      <c r="K2345" s="9">
        <v>45350</v>
      </c>
      <c r="L2345">
        <f xml:space="preserve"> (交易處理資料__3[[#This Row],[售出工時]] * 60) / 5</f>
        <v>0</v>
      </c>
      <c r="M2345" t="str">
        <f>VLOOKUP(交易處理資料__3[[#This Row],[人員代號]],團隊分組!$B$1:$C$52,2,FALSE)</f>
        <v>快速保養團隊B</v>
      </c>
      <c r="N2345" t="str">
        <f>IF(交易處理資料__3[[#This Row],[上班時間]]=0,"否","是")</f>
        <v>否</v>
      </c>
      <c r="O2345" t="s">
        <v>76</v>
      </c>
      <c r="P2345" s="38">
        <v>0</v>
      </c>
      <c r="Q2345" s="38">
        <v>0</v>
      </c>
      <c r="R2345" s="38">
        <v>0</v>
      </c>
    </row>
    <row r="2346" spans="1:18" hidden="1">
      <c r="A2346" t="s">
        <v>76</v>
      </c>
      <c r="B2346" t="s">
        <v>34</v>
      </c>
      <c r="C2346">
        <v>3.75</v>
      </c>
      <c r="D2346">
        <v>2.1</v>
      </c>
      <c r="E2346" s="29">
        <v>1.7857142859999999</v>
      </c>
      <c r="F2346">
        <v>6.87</v>
      </c>
      <c r="G2346">
        <v>1.04</v>
      </c>
      <c r="H2346">
        <v>7.91</v>
      </c>
      <c r="I2346" s="29">
        <v>0.86849999999999994</v>
      </c>
      <c r="J2346" s="29">
        <v>0.47409999999999997</v>
      </c>
      <c r="K2346" s="9">
        <v>45350</v>
      </c>
      <c r="L2346">
        <f xml:space="preserve"> (交易處理資料__3[[#This Row],[售出工時]] * 60) / 5</f>
        <v>45</v>
      </c>
      <c r="M2346" t="str">
        <f>VLOOKUP(交易處理資料__3[[#This Row],[人員代號]],團隊分組!$B$1:$C$52,2,FALSE)</f>
        <v>快速保養團隊A</v>
      </c>
      <c r="N2346" t="str">
        <f>IF(交易處理資料__3[[#This Row],[上班時間]]=0,"否","是")</f>
        <v>是</v>
      </c>
      <c r="O2346" t="s">
        <v>76</v>
      </c>
      <c r="P2346" s="37">
        <v>1.7857142859999999</v>
      </c>
      <c r="Q2346" s="37">
        <v>0.47409999999999997</v>
      </c>
      <c r="R2346" s="37">
        <v>0.86849999999999994</v>
      </c>
    </row>
    <row r="2347" spans="1:18" hidden="1">
      <c r="A2347" t="s">
        <v>76</v>
      </c>
      <c r="B2347" t="s">
        <v>35</v>
      </c>
      <c r="C2347">
        <v>0</v>
      </c>
      <c r="D2347">
        <v>0</v>
      </c>
      <c r="E2347" s="29">
        <v>0</v>
      </c>
      <c r="F2347">
        <v>0</v>
      </c>
      <c r="G2347">
        <v>0</v>
      </c>
      <c r="H2347">
        <v>0</v>
      </c>
      <c r="I2347" s="29">
        <v>0</v>
      </c>
      <c r="J2347" s="29">
        <v>0</v>
      </c>
      <c r="K2347" s="9">
        <v>45350</v>
      </c>
      <c r="L2347">
        <f xml:space="preserve"> (交易處理資料__3[[#This Row],[售出工時]] * 60) / 5</f>
        <v>0</v>
      </c>
      <c r="M2347" t="str">
        <f>VLOOKUP(交易處理資料__3[[#This Row],[人員代號]],團隊分組!$B$1:$C$52,2,FALSE)</f>
        <v>查修團隊B</v>
      </c>
      <c r="N2347" t="str">
        <f>IF(交易處理資料__3[[#This Row],[上班時間]]=0,"否","是")</f>
        <v>否</v>
      </c>
      <c r="O2347" t="s">
        <v>76</v>
      </c>
      <c r="P2347" s="38">
        <v>0</v>
      </c>
      <c r="Q2347" s="38">
        <v>0</v>
      </c>
      <c r="R2347" s="38">
        <v>0</v>
      </c>
    </row>
    <row r="2348" spans="1:18" hidden="1">
      <c r="A2348" t="s">
        <v>76</v>
      </c>
      <c r="B2348" t="s">
        <v>37</v>
      </c>
      <c r="C2348">
        <v>0</v>
      </c>
      <c r="D2348">
        <v>0</v>
      </c>
      <c r="E2348" s="29">
        <v>0</v>
      </c>
      <c r="F2348">
        <v>0</v>
      </c>
      <c r="G2348">
        <v>0</v>
      </c>
      <c r="H2348">
        <v>0</v>
      </c>
      <c r="I2348" s="29">
        <v>0</v>
      </c>
      <c r="J2348" s="29">
        <v>0</v>
      </c>
      <c r="K2348" s="9">
        <v>45350</v>
      </c>
      <c r="L2348">
        <f xml:space="preserve"> (交易處理資料__3[[#This Row],[售出工時]] * 60) / 5</f>
        <v>0</v>
      </c>
      <c r="M2348" t="str">
        <f>VLOOKUP(交易處理資料__3[[#This Row],[人員代號]],團隊分組!$B$1:$C$52,2,FALSE)</f>
        <v>查修團隊A</v>
      </c>
      <c r="N2348" t="str">
        <f>IF(交易處理資料__3[[#This Row],[上班時間]]=0,"否","是")</f>
        <v>否</v>
      </c>
      <c r="O2348" t="s">
        <v>76</v>
      </c>
      <c r="P2348" s="37">
        <v>0</v>
      </c>
      <c r="Q2348" s="37">
        <v>0</v>
      </c>
      <c r="R2348" s="37">
        <v>0</v>
      </c>
    </row>
    <row r="2349" spans="1:18" hidden="1">
      <c r="A2349" t="s">
        <v>76</v>
      </c>
      <c r="B2349" t="s">
        <v>38</v>
      </c>
      <c r="C2349">
        <v>2.57</v>
      </c>
      <c r="D2349">
        <v>2.95</v>
      </c>
      <c r="E2349" s="29">
        <v>0.87118644070000006</v>
      </c>
      <c r="F2349">
        <v>4.8499999999999996</v>
      </c>
      <c r="G2349">
        <v>3.06</v>
      </c>
      <c r="H2349">
        <v>7.91</v>
      </c>
      <c r="I2349" s="29">
        <v>0.61309999999999998</v>
      </c>
      <c r="J2349" s="29">
        <v>0.32490000000000002</v>
      </c>
      <c r="K2349" s="9">
        <v>45350</v>
      </c>
      <c r="L2349">
        <f xml:space="preserve"> (交易處理資料__3[[#This Row],[售出工時]] * 60) / 5</f>
        <v>30.839999999999996</v>
      </c>
      <c r="M2349" t="str">
        <f>VLOOKUP(交易處理資料__3[[#This Row],[人員代號]],團隊分組!$B$1:$C$52,2,FALSE)</f>
        <v>快速保養團隊A</v>
      </c>
      <c r="N2349" t="str">
        <f>IF(交易處理資料__3[[#This Row],[上班時間]]=0,"否","是")</f>
        <v>是</v>
      </c>
      <c r="O2349" t="s">
        <v>76</v>
      </c>
      <c r="P2349" s="38">
        <v>0.87118644070000006</v>
      </c>
      <c r="Q2349" s="38">
        <v>0.32490000000000002</v>
      </c>
      <c r="R2349" s="38">
        <v>0.61309999999999998</v>
      </c>
    </row>
    <row r="2350" spans="1:18" hidden="1">
      <c r="A2350" t="s">
        <v>76</v>
      </c>
      <c r="B2350" t="s">
        <v>39</v>
      </c>
      <c r="C2350">
        <v>0</v>
      </c>
      <c r="D2350">
        <v>0</v>
      </c>
      <c r="E2350" s="29">
        <v>0</v>
      </c>
      <c r="F2350">
        <v>0</v>
      </c>
      <c r="G2350">
        <v>0</v>
      </c>
      <c r="H2350">
        <v>0</v>
      </c>
      <c r="I2350" s="29">
        <v>0</v>
      </c>
      <c r="J2350" s="29">
        <v>0</v>
      </c>
      <c r="K2350" s="9">
        <v>45350</v>
      </c>
      <c r="L2350">
        <f xml:space="preserve"> (交易處理資料__3[[#This Row],[售出工時]] * 60) / 5</f>
        <v>0</v>
      </c>
      <c r="M2350" t="str">
        <f>VLOOKUP(交易處理資料__3[[#This Row],[人員代號]],團隊分組!$B$1:$C$52,2,FALSE)</f>
        <v>查修團隊A</v>
      </c>
      <c r="N2350" t="str">
        <f>IF(交易處理資料__3[[#This Row],[上班時間]]=0,"否","是")</f>
        <v>否</v>
      </c>
      <c r="O2350" t="s">
        <v>76</v>
      </c>
      <c r="P2350" s="37">
        <v>0</v>
      </c>
      <c r="Q2350" s="37">
        <v>0</v>
      </c>
      <c r="R2350" s="37">
        <v>0</v>
      </c>
    </row>
    <row r="2351" spans="1:18" hidden="1">
      <c r="A2351" t="s">
        <v>76</v>
      </c>
      <c r="B2351" t="s">
        <v>40</v>
      </c>
      <c r="C2351">
        <v>0</v>
      </c>
      <c r="D2351">
        <v>0</v>
      </c>
      <c r="E2351" s="29">
        <v>0</v>
      </c>
      <c r="F2351">
        <v>0</v>
      </c>
      <c r="G2351">
        <v>0</v>
      </c>
      <c r="H2351">
        <v>0</v>
      </c>
      <c r="I2351" s="29">
        <v>0</v>
      </c>
      <c r="J2351" s="29">
        <v>0</v>
      </c>
      <c r="K2351" s="9">
        <v>45350</v>
      </c>
      <c r="L2351">
        <f xml:space="preserve"> (交易處理資料__3[[#This Row],[售出工時]] * 60) / 5</f>
        <v>0</v>
      </c>
      <c r="M2351" t="str">
        <f>VLOOKUP(交易處理資料__3[[#This Row],[人員代號]],團隊分組!$B$1:$C$52,2,FALSE)</f>
        <v>查修團隊A</v>
      </c>
      <c r="N2351" t="str">
        <f>IF(交易處理資料__3[[#This Row],[上班時間]]=0,"否","是")</f>
        <v>否</v>
      </c>
      <c r="O2351" t="s">
        <v>76</v>
      </c>
      <c r="P2351" s="38">
        <v>0</v>
      </c>
      <c r="Q2351" s="38">
        <v>0</v>
      </c>
      <c r="R2351" s="38">
        <v>0</v>
      </c>
    </row>
    <row r="2352" spans="1:18" hidden="1">
      <c r="A2352" t="s">
        <v>76</v>
      </c>
      <c r="B2352" t="s">
        <v>41</v>
      </c>
      <c r="C2352">
        <v>0</v>
      </c>
      <c r="D2352">
        <v>0</v>
      </c>
      <c r="E2352" s="29">
        <v>0</v>
      </c>
      <c r="F2352">
        <v>0</v>
      </c>
      <c r="G2352">
        <v>0</v>
      </c>
      <c r="H2352">
        <v>0</v>
      </c>
      <c r="I2352" s="29">
        <v>0</v>
      </c>
      <c r="J2352" s="29">
        <v>0</v>
      </c>
      <c r="K2352" s="9">
        <v>45350</v>
      </c>
      <c r="L2352">
        <f xml:space="preserve"> (交易處理資料__3[[#This Row],[售出工時]] * 60) / 5</f>
        <v>0</v>
      </c>
      <c r="M2352" t="str">
        <f>VLOOKUP(交易處理資料__3[[#This Row],[人員代號]],團隊分組!$B$1:$C$52,2,FALSE)</f>
        <v>快速保養團隊A</v>
      </c>
      <c r="N2352" t="str">
        <f>IF(交易處理資料__3[[#This Row],[上班時間]]=0,"否","是")</f>
        <v>否</v>
      </c>
      <c r="O2352" t="s">
        <v>76</v>
      </c>
      <c r="P2352" s="37">
        <v>0</v>
      </c>
      <c r="Q2352" s="37">
        <v>0</v>
      </c>
      <c r="R2352" s="37">
        <v>0</v>
      </c>
    </row>
    <row r="2353" spans="1:18" hidden="1">
      <c r="A2353" t="s">
        <v>76</v>
      </c>
      <c r="B2353" t="s">
        <v>42</v>
      </c>
      <c r="C2353">
        <v>0</v>
      </c>
      <c r="D2353">
        <v>0</v>
      </c>
      <c r="E2353" s="29">
        <v>0</v>
      </c>
      <c r="F2353">
        <v>0</v>
      </c>
      <c r="G2353">
        <v>0</v>
      </c>
      <c r="H2353">
        <v>0</v>
      </c>
      <c r="I2353" s="29">
        <v>0</v>
      </c>
      <c r="J2353" s="29">
        <v>0</v>
      </c>
      <c r="K2353" s="9">
        <v>45350</v>
      </c>
      <c r="L2353">
        <f xml:space="preserve"> (交易處理資料__3[[#This Row],[售出工時]] * 60) / 5</f>
        <v>0</v>
      </c>
      <c r="M2353" t="str">
        <f>VLOOKUP(交易處理資料__3[[#This Row],[人員代號]],團隊分組!$B$1:$C$52,2,FALSE)</f>
        <v>快速保養團隊A</v>
      </c>
      <c r="N2353" t="str">
        <f>IF(交易處理資料__3[[#This Row],[上班時間]]=0,"否","是")</f>
        <v>否</v>
      </c>
      <c r="O2353" t="s">
        <v>76</v>
      </c>
      <c r="P2353" s="38">
        <v>0</v>
      </c>
      <c r="Q2353" s="38">
        <v>0</v>
      </c>
      <c r="R2353" s="38">
        <v>0</v>
      </c>
    </row>
    <row r="2354" spans="1:18" hidden="1">
      <c r="A2354" t="s">
        <v>76</v>
      </c>
      <c r="B2354" t="s">
        <v>43</v>
      </c>
      <c r="C2354">
        <v>6.653333333</v>
      </c>
      <c r="D2354">
        <v>6.56</v>
      </c>
      <c r="E2354" s="29">
        <v>1.014227642</v>
      </c>
      <c r="F2354">
        <v>5.12</v>
      </c>
      <c r="G2354">
        <v>2.7</v>
      </c>
      <c r="H2354">
        <v>7.82</v>
      </c>
      <c r="I2354" s="29">
        <v>0.65469999999999995</v>
      </c>
      <c r="J2354" s="29">
        <v>0.8508</v>
      </c>
      <c r="K2354" s="9">
        <v>45350</v>
      </c>
      <c r="L2354">
        <f xml:space="preserve"> (交易處理資料__3[[#This Row],[售出工時]] * 60) / 5</f>
        <v>79.839999995999989</v>
      </c>
      <c r="M2354" t="str">
        <f>VLOOKUP(交易處理資料__3[[#This Row],[人員代號]],團隊分組!$B$1:$C$52,2,FALSE)</f>
        <v>查修團隊B</v>
      </c>
      <c r="N2354" t="str">
        <f>IF(交易處理資料__3[[#This Row],[上班時間]]=0,"否","是")</f>
        <v>是</v>
      </c>
      <c r="O2354" t="s">
        <v>76</v>
      </c>
      <c r="P2354" s="37">
        <v>1.014227642</v>
      </c>
      <c r="Q2354" s="37">
        <v>0.8508</v>
      </c>
      <c r="R2354" s="37">
        <v>0.65469999999999995</v>
      </c>
    </row>
    <row r="2355" spans="1:18" hidden="1">
      <c r="A2355" t="s">
        <v>76</v>
      </c>
      <c r="B2355" t="s">
        <v>44</v>
      </c>
      <c r="C2355">
        <v>0</v>
      </c>
      <c r="D2355">
        <v>0</v>
      </c>
      <c r="E2355" s="29">
        <v>0</v>
      </c>
      <c r="F2355">
        <v>0</v>
      </c>
      <c r="G2355">
        <v>0</v>
      </c>
      <c r="H2355">
        <v>0</v>
      </c>
      <c r="I2355" s="29">
        <v>0</v>
      </c>
      <c r="J2355" s="29">
        <v>0</v>
      </c>
      <c r="K2355" s="9">
        <v>45350</v>
      </c>
      <c r="L2355">
        <f xml:space="preserve"> (交易處理資料__3[[#This Row],[售出工時]] * 60) / 5</f>
        <v>0</v>
      </c>
      <c r="M2355" t="str">
        <f>VLOOKUP(交易處理資料__3[[#This Row],[人員代號]],團隊分組!$B$1:$C$52,2,FALSE)</f>
        <v>快速保養團隊B</v>
      </c>
      <c r="N2355" t="str">
        <f>IF(交易處理資料__3[[#This Row],[上班時間]]=0,"否","是")</f>
        <v>否</v>
      </c>
      <c r="O2355" t="s">
        <v>76</v>
      </c>
      <c r="P2355" s="38">
        <v>0</v>
      </c>
      <c r="Q2355" s="38">
        <v>0</v>
      </c>
      <c r="R2355" s="38">
        <v>0</v>
      </c>
    </row>
    <row r="2356" spans="1:18" hidden="1">
      <c r="A2356" t="s">
        <v>76</v>
      </c>
      <c r="B2356" t="s">
        <v>45</v>
      </c>
      <c r="C2356">
        <v>4.3733333329999997</v>
      </c>
      <c r="D2356">
        <v>5.13</v>
      </c>
      <c r="E2356" s="29">
        <v>0.85250162439999999</v>
      </c>
      <c r="F2356">
        <v>5.65</v>
      </c>
      <c r="G2356">
        <v>2.25</v>
      </c>
      <c r="H2356">
        <v>7.9</v>
      </c>
      <c r="I2356" s="29">
        <v>0.71519999999999995</v>
      </c>
      <c r="J2356" s="29">
        <v>0.55359999999999998</v>
      </c>
      <c r="K2356" s="9">
        <v>45350</v>
      </c>
      <c r="L2356">
        <f xml:space="preserve"> (交易處理資料__3[[#This Row],[售出工時]] * 60) / 5</f>
        <v>52.479999995999989</v>
      </c>
      <c r="M2356" t="str">
        <f>VLOOKUP(交易處理資料__3[[#This Row],[人員代號]],團隊分組!$B$1:$C$52,2,FALSE)</f>
        <v>快速保養團隊A</v>
      </c>
      <c r="N2356" t="str">
        <f>IF(交易處理資料__3[[#This Row],[上班時間]]=0,"否","是")</f>
        <v>是</v>
      </c>
      <c r="O2356" t="s">
        <v>76</v>
      </c>
      <c r="P2356" s="37">
        <v>0.85250162439999999</v>
      </c>
      <c r="Q2356" s="37">
        <v>0.55359999999999998</v>
      </c>
      <c r="R2356" s="37">
        <v>0.71519999999999995</v>
      </c>
    </row>
    <row r="2357" spans="1:18" hidden="1">
      <c r="A2357" t="s">
        <v>76</v>
      </c>
      <c r="B2357" t="s">
        <v>46</v>
      </c>
      <c r="C2357">
        <v>2.5499999999999998</v>
      </c>
      <c r="D2357">
        <v>2.64</v>
      </c>
      <c r="E2357" s="29">
        <v>0.96590909089999999</v>
      </c>
      <c r="F2357">
        <v>5.67</v>
      </c>
      <c r="G2357">
        <v>2.1800000000000002</v>
      </c>
      <c r="H2357">
        <v>7.85</v>
      </c>
      <c r="I2357" s="29">
        <v>0.72230000000000005</v>
      </c>
      <c r="J2357" s="29">
        <v>0.32479999999999998</v>
      </c>
      <c r="K2357" s="9">
        <v>45350</v>
      </c>
      <c r="L2357">
        <f xml:space="preserve"> (交易處理資料__3[[#This Row],[售出工時]] * 60) / 5</f>
        <v>30.6</v>
      </c>
      <c r="M2357" t="str">
        <f>VLOOKUP(交易處理資料__3[[#This Row],[人員代號]],團隊分組!$B$1:$C$52,2,FALSE)</f>
        <v>查修團隊B</v>
      </c>
      <c r="N2357" t="str">
        <f>IF(交易處理資料__3[[#This Row],[上班時間]]=0,"否","是")</f>
        <v>是</v>
      </c>
      <c r="O2357" t="s">
        <v>76</v>
      </c>
      <c r="P2357" s="38">
        <v>0.96590909089999999</v>
      </c>
      <c r="Q2357" s="38">
        <v>0.32479999999999998</v>
      </c>
      <c r="R2357" s="38">
        <v>0.72230000000000005</v>
      </c>
    </row>
    <row r="2358" spans="1:18" hidden="1">
      <c r="A2358" t="s">
        <v>76</v>
      </c>
      <c r="B2358" t="s">
        <v>47</v>
      </c>
      <c r="C2358">
        <v>0</v>
      </c>
      <c r="D2358">
        <v>0</v>
      </c>
      <c r="E2358" s="29">
        <v>0</v>
      </c>
      <c r="F2358">
        <v>0</v>
      </c>
      <c r="G2358">
        <v>0</v>
      </c>
      <c r="H2358">
        <v>0</v>
      </c>
      <c r="I2358" s="29">
        <v>0</v>
      </c>
      <c r="J2358" s="29">
        <v>0</v>
      </c>
      <c r="K2358" s="9">
        <v>45350</v>
      </c>
      <c r="L2358">
        <f xml:space="preserve"> (交易處理資料__3[[#This Row],[售出工時]] * 60) / 5</f>
        <v>0</v>
      </c>
      <c r="M2358" t="str">
        <f>VLOOKUP(交易處理資料__3[[#This Row],[人員代號]],團隊分組!$B$1:$C$52,2,FALSE)</f>
        <v>查修團隊B</v>
      </c>
      <c r="N2358" t="str">
        <f>IF(交易處理資料__3[[#This Row],[上班時間]]=0,"否","是")</f>
        <v>否</v>
      </c>
      <c r="O2358" t="s">
        <v>76</v>
      </c>
      <c r="P2358" s="37">
        <v>0</v>
      </c>
      <c r="Q2358" s="37">
        <v>0</v>
      </c>
      <c r="R2358" s="37">
        <v>0</v>
      </c>
    </row>
    <row r="2359" spans="1:18" hidden="1">
      <c r="A2359" t="s">
        <v>76</v>
      </c>
      <c r="B2359" t="s">
        <v>48</v>
      </c>
      <c r="C2359">
        <v>0</v>
      </c>
      <c r="D2359">
        <v>0</v>
      </c>
      <c r="E2359" s="29">
        <v>0</v>
      </c>
      <c r="F2359">
        <v>0</v>
      </c>
      <c r="G2359">
        <v>0</v>
      </c>
      <c r="H2359">
        <v>0</v>
      </c>
      <c r="I2359" s="29">
        <v>0</v>
      </c>
      <c r="J2359" s="29">
        <v>0</v>
      </c>
      <c r="K2359" s="9">
        <v>45350</v>
      </c>
      <c r="L2359">
        <f xml:space="preserve"> (交易處理資料__3[[#This Row],[售出工時]] * 60) / 5</f>
        <v>0</v>
      </c>
      <c r="M2359" t="str">
        <f>VLOOKUP(交易處理資料__3[[#This Row],[人員代號]],團隊分組!$B$1:$C$52,2,FALSE)</f>
        <v>查修團隊A</v>
      </c>
      <c r="N2359" t="str">
        <f>IF(交易處理資料__3[[#This Row],[上班時間]]=0,"否","是")</f>
        <v>否</v>
      </c>
      <c r="O2359" t="s">
        <v>76</v>
      </c>
      <c r="P2359" s="38">
        <v>0</v>
      </c>
      <c r="Q2359" s="38">
        <v>0</v>
      </c>
      <c r="R2359" s="38">
        <v>0</v>
      </c>
    </row>
    <row r="2360" spans="1:18" hidden="1">
      <c r="A2360" t="s">
        <v>76</v>
      </c>
      <c r="B2360" t="s">
        <v>49</v>
      </c>
      <c r="C2360">
        <v>0</v>
      </c>
      <c r="D2360">
        <v>0</v>
      </c>
      <c r="E2360" s="29">
        <v>0</v>
      </c>
      <c r="F2360">
        <v>0</v>
      </c>
      <c r="G2360">
        <v>0</v>
      </c>
      <c r="H2360">
        <v>0</v>
      </c>
      <c r="I2360" s="29">
        <v>0</v>
      </c>
      <c r="J2360" s="29">
        <v>0</v>
      </c>
      <c r="K2360" s="9">
        <v>45350</v>
      </c>
      <c r="L2360">
        <f xml:space="preserve"> (交易處理資料__3[[#This Row],[售出工時]] * 60) / 5</f>
        <v>0</v>
      </c>
      <c r="M2360" t="str">
        <f>VLOOKUP(交易處理資料__3[[#This Row],[人員代號]],團隊分組!$B$1:$C$52,2,FALSE)</f>
        <v>查修團隊A</v>
      </c>
      <c r="N2360" t="str">
        <f>IF(交易處理資料__3[[#This Row],[上班時間]]=0,"否","是")</f>
        <v>否</v>
      </c>
      <c r="O2360" t="s">
        <v>76</v>
      </c>
      <c r="P2360" s="37">
        <v>0</v>
      </c>
      <c r="Q2360" s="37">
        <v>0</v>
      </c>
      <c r="R2360" s="37">
        <v>0</v>
      </c>
    </row>
    <row r="2361" spans="1:18" hidden="1">
      <c r="A2361" t="s">
        <v>76</v>
      </c>
      <c r="B2361" t="s">
        <v>50</v>
      </c>
      <c r="C2361">
        <v>0</v>
      </c>
      <c r="D2361">
        <v>0</v>
      </c>
      <c r="E2361" s="29">
        <v>0</v>
      </c>
      <c r="F2361">
        <v>0</v>
      </c>
      <c r="G2361">
        <v>0</v>
      </c>
      <c r="H2361">
        <v>0</v>
      </c>
      <c r="I2361" s="29">
        <v>0</v>
      </c>
      <c r="J2361" s="29">
        <v>0</v>
      </c>
      <c r="K2361" s="9">
        <v>45350</v>
      </c>
      <c r="L2361">
        <f xml:space="preserve"> (交易處理資料__3[[#This Row],[售出工時]] * 60) / 5</f>
        <v>0</v>
      </c>
      <c r="M2361" t="str">
        <f>VLOOKUP(交易處理資料__3[[#This Row],[人員代號]],團隊分組!$B$1:$C$52,2,FALSE)</f>
        <v>快速保養團隊B</v>
      </c>
      <c r="N2361" t="str">
        <f>IF(交易處理資料__3[[#This Row],[上班時間]]=0,"否","是")</f>
        <v>否</v>
      </c>
      <c r="O2361" t="s">
        <v>76</v>
      </c>
      <c r="P2361" s="38">
        <v>0</v>
      </c>
      <c r="Q2361" s="38">
        <v>0</v>
      </c>
      <c r="R2361" s="38">
        <v>0</v>
      </c>
    </row>
    <row r="2362" spans="1:18" hidden="1">
      <c r="A2362" t="s">
        <v>76</v>
      </c>
      <c r="B2362" t="s">
        <v>51</v>
      </c>
      <c r="C2362">
        <v>0</v>
      </c>
      <c r="D2362">
        <v>0</v>
      </c>
      <c r="E2362" s="29">
        <v>0</v>
      </c>
      <c r="F2362">
        <v>0</v>
      </c>
      <c r="G2362">
        <v>0</v>
      </c>
      <c r="H2362">
        <v>0</v>
      </c>
      <c r="I2362" s="29">
        <v>0</v>
      </c>
      <c r="J2362" s="29">
        <v>0</v>
      </c>
      <c r="K2362" s="9">
        <v>45350</v>
      </c>
      <c r="L2362">
        <f xml:space="preserve"> (交易處理資料__3[[#This Row],[售出工時]] * 60) / 5</f>
        <v>0</v>
      </c>
      <c r="M2362" t="str">
        <f>VLOOKUP(交易處理資料__3[[#This Row],[人員代號]],團隊分組!$B$1:$C$52,2,FALSE)</f>
        <v>無效數據</v>
      </c>
      <c r="N2362" t="str">
        <f>IF(交易處理資料__3[[#This Row],[上班時間]]=0,"否","是")</f>
        <v>否</v>
      </c>
      <c r="O2362" t="s">
        <v>76</v>
      </c>
      <c r="P2362" s="37">
        <v>0</v>
      </c>
      <c r="Q2362" s="37">
        <v>0</v>
      </c>
      <c r="R2362" s="37">
        <v>0</v>
      </c>
    </row>
    <row r="2363" spans="1:18" hidden="1">
      <c r="A2363" t="s">
        <v>76</v>
      </c>
      <c r="B2363" t="s">
        <v>52</v>
      </c>
      <c r="C2363">
        <v>0</v>
      </c>
      <c r="D2363">
        <v>0</v>
      </c>
      <c r="E2363" s="29">
        <v>0</v>
      </c>
      <c r="F2363">
        <v>0</v>
      </c>
      <c r="G2363">
        <v>0</v>
      </c>
      <c r="H2363">
        <v>0</v>
      </c>
      <c r="I2363" s="29">
        <v>0</v>
      </c>
      <c r="J2363" s="29">
        <v>0</v>
      </c>
      <c r="K2363" s="9">
        <v>45350</v>
      </c>
      <c r="L2363">
        <f xml:space="preserve"> (交易處理資料__3[[#This Row],[售出工時]] * 60) / 5</f>
        <v>0</v>
      </c>
      <c r="M2363" t="str">
        <f>VLOOKUP(交易處理資料__3[[#This Row],[人員代號]],團隊分組!$B$1:$C$52,2,FALSE)</f>
        <v>查修團隊B</v>
      </c>
      <c r="N2363" t="str">
        <f>IF(交易處理資料__3[[#This Row],[上班時間]]=0,"否","是")</f>
        <v>否</v>
      </c>
      <c r="O2363" t="s">
        <v>76</v>
      </c>
      <c r="P2363" s="38">
        <v>0</v>
      </c>
      <c r="Q2363" s="38">
        <v>0</v>
      </c>
      <c r="R2363" s="38">
        <v>0</v>
      </c>
    </row>
    <row r="2364" spans="1:18" hidden="1">
      <c r="A2364" t="s">
        <v>76</v>
      </c>
      <c r="B2364" t="s">
        <v>53</v>
      </c>
      <c r="C2364">
        <v>0</v>
      </c>
      <c r="D2364">
        <v>0</v>
      </c>
      <c r="E2364" s="29">
        <v>0</v>
      </c>
      <c r="F2364">
        <v>0</v>
      </c>
      <c r="G2364">
        <v>0</v>
      </c>
      <c r="H2364">
        <v>0</v>
      </c>
      <c r="I2364" s="29">
        <v>0</v>
      </c>
      <c r="J2364" s="29">
        <v>0</v>
      </c>
      <c r="K2364" s="9">
        <v>45350</v>
      </c>
      <c r="L2364">
        <f xml:space="preserve"> (交易處理資料__3[[#This Row],[售出工時]] * 60) / 5</f>
        <v>0</v>
      </c>
      <c r="M2364" t="str">
        <f>VLOOKUP(交易處理資料__3[[#This Row],[人員代號]],團隊分組!$B$1:$C$52,2,FALSE)</f>
        <v>查修團隊A</v>
      </c>
      <c r="N2364" t="str">
        <f>IF(交易處理資料__3[[#This Row],[上班時間]]=0,"否","是")</f>
        <v>否</v>
      </c>
      <c r="O2364" t="s">
        <v>76</v>
      </c>
      <c r="P2364" s="37">
        <v>0</v>
      </c>
      <c r="Q2364" s="37">
        <v>0</v>
      </c>
      <c r="R2364" s="37">
        <v>0</v>
      </c>
    </row>
    <row r="2365" spans="1:18" hidden="1">
      <c r="A2365" t="s">
        <v>76</v>
      </c>
      <c r="B2365" t="s">
        <v>18</v>
      </c>
      <c r="C2365">
        <v>0</v>
      </c>
      <c r="D2365">
        <v>0</v>
      </c>
      <c r="E2365" s="29">
        <v>0</v>
      </c>
      <c r="F2365">
        <v>7.9</v>
      </c>
      <c r="G2365">
        <v>1.41</v>
      </c>
      <c r="H2365">
        <v>9.31</v>
      </c>
      <c r="I2365" s="29">
        <v>0.84849999999999992</v>
      </c>
      <c r="J2365" s="29">
        <v>0</v>
      </c>
      <c r="K2365" s="9">
        <v>45351</v>
      </c>
      <c r="L2365">
        <f xml:space="preserve"> (交易處理資料__3[[#This Row],[售出工時]] * 60) / 5</f>
        <v>0</v>
      </c>
      <c r="M2365" t="str">
        <f>VLOOKUP(交易處理資料__3[[#This Row],[人員代號]],團隊分組!$B$1:$C$52,2,FALSE)</f>
        <v>查修團隊B</v>
      </c>
      <c r="N2365" t="str">
        <f>IF(交易處理資料__3[[#This Row],[上班時間]]=0,"否","是")</f>
        <v>是</v>
      </c>
      <c r="O2365" t="s">
        <v>76</v>
      </c>
      <c r="P2365" s="38">
        <v>0</v>
      </c>
      <c r="Q2365" s="38">
        <v>0</v>
      </c>
      <c r="R2365" s="38">
        <v>0.84849999999999992</v>
      </c>
    </row>
    <row r="2366" spans="1:18" hidden="1">
      <c r="A2366" t="s">
        <v>76</v>
      </c>
      <c r="B2366" t="s">
        <v>19</v>
      </c>
      <c r="C2366">
        <v>6.4533333329999998</v>
      </c>
      <c r="D2366">
        <v>7.8</v>
      </c>
      <c r="E2366" s="29">
        <v>0.82735042739999998</v>
      </c>
      <c r="F2366">
        <v>8.68</v>
      </c>
      <c r="G2366">
        <v>0.34</v>
      </c>
      <c r="H2366">
        <v>9.02</v>
      </c>
      <c r="I2366" s="29">
        <v>0.96230000000000004</v>
      </c>
      <c r="J2366" s="29">
        <v>0.71540000000000004</v>
      </c>
      <c r="K2366" s="9">
        <v>45351</v>
      </c>
      <c r="L2366">
        <f xml:space="preserve"> (交易處理資料__3[[#This Row],[售出工時]] * 60) / 5</f>
        <v>77.439999995999997</v>
      </c>
      <c r="M2366" t="str">
        <f>VLOOKUP(交易處理資料__3[[#This Row],[人員代號]],團隊分組!$B$1:$C$52,2,FALSE)</f>
        <v>查修團隊A</v>
      </c>
      <c r="N2366" t="str">
        <f>IF(交易處理資料__3[[#This Row],[上班時間]]=0,"否","是")</f>
        <v>是</v>
      </c>
      <c r="O2366" t="s">
        <v>76</v>
      </c>
      <c r="P2366" s="37">
        <v>0.82735042739999998</v>
      </c>
      <c r="Q2366" s="37">
        <v>0.71540000000000004</v>
      </c>
      <c r="R2366" s="37">
        <v>0.96230000000000004</v>
      </c>
    </row>
    <row r="2367" spans="1:18" hidden="1">
      <c r="A2367" t="s">
        <v>76</v>
      </c>
      <c r="B2367" t="s">
        <v>20</v>
      </c>
      <c r="C2367">
        <v>1.19</v>
      </c>
      <c r="D2367">
        <v>1.02</v>
      </c>
      <c r="E2367" s="29">
        <v>1.1666666669999999</v>
      </c>
      <c r="F2367">
        <v>4.6100000000000003</v>
      </c>
      <c r="G2367">
        <v>6.22</v>
      </c>
      <c r="H2367">
        <v>10.83</v>
      </c>
      <c r="I2367" s="29">
        <v>0.42570000000000002</v>
      </c>
      <c r="J2367" s="29">
        <v>0.1099</v>
      </c>
      <c r="K2367" s="9">
        <v>45351</v>
      </c>
      <c r="L2367">
        <f xml:space="preserve"> (交易處理資料__3[[#This Row],[售出工時]] * 60) / 5</f>
        <v>14.279999999999998</v>
      </c>
      <c r="M2367" t="str">
        <f>VLOOKUP(交易處理資料__3[[#This Row],[人員代號]],團隊分組!$B$1:$C$52,2,FALSE)</f>
        <v>查修團隊B</v>
      </c>
      <c r="N2367" t="str">
        <f>IF(交易處理資料__3[[#This Row],[上班時間]]=0,"否","是")</f>
        <v>是</v>
      </c>
      <c r="O2367" t="s">
        <v>76</v>
      </c>
      <c r="P2367" s="38">
        <v>1.1666666669999999</v>
      </c>
      <c r="Q2367" s="38">
        <v>0.1099</v>
      </c>
      <c r="R2367" s="38">
        <v>0.42570000000000002</v>
      </c>
    </row>
    <row r="2368" spans="1:18" hidden="1">
      <c r="A2368" t="s">
        <v>76</v>
      </c>
      <c r="B2368" t="s">
        <v>21</v>
      </c>
      <c r="C2368">
        <v>3.5</v>
      </c>
      <c r="D2368">
        <v>3.49</v>
      </c>
      <c r="E2368" s="29">
        <v>1.0028653300000001</v>
      </c>
      <c r="F2368">
        <v>5.17</v>
      </c>
      <c r="G2368">
        <v>4.0199999999999996</v>
      </c>
      <c r="H2368">
        <v>9.19</v>
      </c>
      <c r="I2368" s="29">
        <v>0.56259999999999999</v>
      </c>
      <c r="J2368" s="29">
        <v>0.38079999999999997</v>
      </c>
      <c r="K2368" s="9">
        <v>45351</v>
      </c>
      <c r="L2368">
        <f xml:space="preserve"> (交易處理資料__3[[#This Row],[售出工時]] * 60) / 5</f>
        <v>42</v>
      </c>
      <c r="M2368" t="str">
        <f>VLOOKUP(交易處理資料__3[[#This Row],[人員代號]],團隊分組!$B$1:$C$52,2,FALSE)</f>
        <v>查修團隊B</v>
      </c>
      <c r="N2368" t="str">
        <f>IF(交易處理資料__3[[#This Row],[上班時間]]=0,"否","是")</f>
        <v>是</v>
      </c>
      <c r="O2368" t="s">
        <v>76</v>
      </c>
      <c r="P2368" s="37">
        <v>1.0028653300000001</v>
      </c>
      <c r="Q2368" s="37">
        <v>0.38079999999999997</v>
      </c>
      <c r="R2368" s="37">
        <v>0.56259999999999999</v>
      </c>
    </row>
    <row r="2369" spans="1:18" hidden="1">
      <c r="A2369" t="s">
        <v>76</v>
      </c>
      <c r="B2369" t="s">
        <v>22</v>
      </c>
      <c r="C2369">
        <v>8.056666667</v>
      </c>
      <c r="D2369">
        <v>5.58</v>
      </c>
      <c r="E2369" s="29">
        <v>1.4438470729999999</v>
      </c>
      <c r="F2369">
        <v>9.25</v>
      </c>
      <c r="G2369">
        <v>0.87</v>
      </c>
      <c r="H2369">
        <v>10.119999999999999</v>
      </c>
      <c r="I2369" s="29">
        <v>0.91400000000000003</v>
      </c>
      <c r="J2369" s="29">
        <v>0.79610000000000003</v>
      </c>
      <c r="K2369" s="9">
        <v>45351</v>
      </c>
      <c r="L2369">
        <f xml:space="preserve"> (交易處理資料__3[[#This Row],[售出工時]] * 60) / 5</f>
        <v>96.680000003999993</v>
      </c>
      <c r="M2369" t="str">
        <f>VLOOKUP(交易處理資料__3[[#This Row],[人員代號]],團隊分組!$B$1:$C$52,2,FALSE)</f>
        <v>快速保養團隊A</v>
      </c>
      <c r="N2369" t="str">
        <f>IF(交易處理資料__3[[#This Row],[上班時間]]=0,"否","是")</f>
        <v>是</v>
      </c>
      <c r="O2369" t="s">
        <v>76</v>
      </c>
      <c r="P2369" s="38">
        <v>1.4438470729999999</v>
      </c>
      <c r="Q2369" s="38">
        <v>0.79610000000000003</v>
      </c>
      <c r="R2369" s="38">
        <v>0.91400000000000003</v>
      </c>
    </row>
    <row r="2370" spans="1:18" hidden="1">
      <c r="A2370" t="s">
        <v>76</v>
      </c>
      <c r="B2370" t="s">
        <v>24</v>
      </c>
      <c r="C2370">
        <v>8.2100000000000009</v>
      </c>
      <c r="D2370">
        <v>7.12</v>
      </c>
      <c r="E2370" s="29">
        <v>1.153089888</v>
      </c>
      <c r="F2370">
        <v>7.11</v>
      </c>
      <c r="G2370">
        <v>0.89</v>
      </c>
      <c r="H2370">
        <v>8</v>
      </c>
      <c r="I2370" s="29">
        <v>0.88879999999999992</v>
      </c>
      <c r="J2370" s="29">
        <v>1.0263</v>
      </c>
      <c r="K2370" s="9">
        <v>45351</v>
      </c>
      <c r="L2370">
        <f xml:space="preserve"> (交易處理資料__3[[#This Row],[售出工時]] * 60) / 5</f>
        <v>98.52000000000001</v>
      </c>
      <c r="M2370" t="str">
        <f>VLOOKUP(交易處理資料__3[[#This Row],[人員代號]],團隊分組!$B$1:$C$52,2,FALSE)</f>
        <v>快速保養團隊A</v>
      </c>
      <c r="N2370" t="str">
        <f>IF(交易處理資料__3[[#This Row],[上班時間]]=0,"否","是")</f>
        <v>是</v>
      </c>
      <c r="O2370" t="s">
        <v>76</v>
      </c>
      <c r="P2370" s="37">
        <v>1.153089888</v>
      </c>
      <c r="Q2370" s="37">
        <v>1.0263</v>
      </c>
      <c r="R2370" s="37">
        <v>0.88879999999999992</v>
      </c>
    </row>
    <row r="2371" spans="1:18" hidden="1">
      <c r="A2371" t="s">
        <v>76</v>
      </c>
      <c r="B2371" t="s">
        <v>26</v>
      </c>
      <c r="C2371">
        <v>1.423333333</v>
      </c>
      <c r="D2371">
        <v>7.58</v>
      </c>
      <c r="E2371" s="29">
        <v>0.18777484609999998</v>
      </c>
      <c r="F2371">
        <v>0</v>
      </c>
      <c r="G2371">
        <v>9.58</v>
      </c>
      <c r="H2371">
        <v>9.58</v>
      </c>
      <c r="I2371" s="29">
        <v>0</v>
      </c>
      <c r="J2371" s="29">
        <v>0.14859999999999998</v>
      </c>
      <c r="K2371" s="9">
        <v>45351</v>
      </c>
      <c r="L2371">
        <f xml:space="preserve"> (交易處理資料__3[[#This Row],[售出工時]] * 60) / 5</f>
        <v>17.079999996000002</v>
      </c>
      <c r="M2371" t="str">
        <f>VLOOKUP(交易處理資料__3[[#This Row],[人員代號]],團隊分組!$B$1:$C$52,2,FALSE)</f>
        <v>查修團隊B</v>
      </c>
      <c r="N2371" t="str">
        <f>IF(交易處理資料__3[[#This Row],[上班時間]]=0,"否","是")</f>
        <v>是</v>
      </c>
      <c r="O2371" t="s">
        <v>76</v>
      </c>
      <c r="P2371" s="38">
        <v>0.18777484609999998</v>
      </c>
      <c r="Q2371" s="38">
        <v>0.14859999999999998</v>
      </c>
      <c r="R2371" s="38">
        <v>0</v>
      </c>
    </row>
    <row r="2372" spans="1:18" hidden="1">
      <c r="A2372" t="s">
        <v>76</v>
      </c>
      <c r="B2372" t="s">
        <v>33</v>
      </c>
      <c r="C2372">
        <v>7.66</v>
      </c>
      <c r="D2372">
        <v>5.4</v>
      </c>
      <c r="E2372" s="29">
        <v>1.418518519</v>
      </c>
      <c r="F2372">
        <v>7.92</v>
      </c>
      <c r="G2372">
        <v>0.23</v>
      </c>
      <c r="H2372">
        <v>8.15</v>
      </c>
      <c r="I2372" s="29">
        <v>0.97180000000000011</v>
      </c>
      <c r="J2372" s="29">
        <v>0.93989999999999996</v>
      </c>
      <c r="K2372" s="9">
        <v>45351</v>
      </c>
      <c r="L2372">
        <f xml:space="preserve"> (交易處理資料__3[[#This Row],[售出工時]] * 60) / 5</f>
        <v>91.92</v>
      </c>
      <c r="M2372" t="str">
        <f>VLOOKUP(交易處理資料__3[[#This Row],[人員代號]],團隊分組!$B$1:$C$52,2,FALSE)</f>
        <v>快速保養團隊B</v>
      </c>
      <c r="N2372" t="str">
        <f>IF(交易處理資料__3[[#This Row],[上班時間]]=0,"否","是")</f>
        <v>是</v>
      </c>
      <c r="O2372" t="s">
        <v>76</v>
      </c>
      <c r="P2372" s="37">
        <v>1.418518519</v>
      </c>
      <c r="Q2372" s="37">
        <v>0.93989999999999996</v>
      </c>
      <c r="R2372" s="37">
        <v>0.97180000000000011</v>
      </c>
    </row>
    <row r="2373" spans="1:18" hidden="1">
      <c r="A2373" t="s">
        <v>76</v>
      </c>
      <c r="B2373" t="s">
        <v>38</v>
      </c>
      <c r="C2373">
        <v>10.81</v>
      </c>
      <c r="D2373">
        <v>7.15</v>
      </c>
      <c r="E2373" s="29">
        <v>1.5118881120000001</v>
      </c>
      <c r="F2373">
        <v>7.33</v>
      </c>
      <c r="G2373">
        <v>0.82</v>
      </c>
      <c r="H2373">
        <v>8.15</v>
      </c>
      <c r="I2373" s="29">
        <v>0.89939999999999998</v>
      </c>
      <c r="J2373" s="29">
        <v>1.3263999999999998</v>
      </c>
      <c r="K2373" s="9">
        <v>45351</v>
      </c>
      <c r="L2373">
        <f xml:space="preserve"> (交易處理資料__3[[#This Row],[售出工時]] * 60) / 5</f>
        <v>129.72</v>
      </c>
      <c r="M2373" t="str">
        <f>VLOOKUP(交易處理資料__3[[#This Row],[人員代號]],團隊分組!$B$1:$C$52,2,FALSE)</f>
        <v>快速保養團隊A</v>
      </c>
      <c r="N2373" t="str">
        <f>IF(交易處理資料__3[[#This Row],[上班時間]]=0,"否","是")</f>
        <v>是</v>
      </c>
      <c r="O2373" t="s">
        <v>76</v>
      </c>
      <c r="P2373" s="38">
        <v>1.5118881120000001</v>
      </c>
      <c r="Q2373" s="38">
        <v>1.3263999999999998</v>
      </c>
      <c r="R2373" s="38">
        <v>0.89939999999999998</v>
      </c>
    </row>
    <row r="2374" spans="1:18" hidden="1">
      <c r="A2374" t="s">
        <v>76</v>
      </c>
      <c r="B2374" t="s">
        <v>40</v>
      </c>
      <c r="C2374">
        <v>2.5299999999999998</v>
      </c>
      <c r="D2374">
        <v>1.65</v>
      </c>
      <c r="E2374" s="29">
        <v>1.5333333329999999</v>
      </c>
      <c r="F2374">
        <v>10.7</v>
      </c>
      <c r="G2374">
        <v>0.4</v>
      </c>
      <c r="H2374">
        <v>11.1</v>
      </c>
      <c r="I2374" s="29">
        <v>0.96400000000000008</v>
      </c>
      <c r="J2374" s="29">
        <v>0.22789999999999999</v>
      </c>
      <c r="K2374" s="9">
        <v>45351</v>
      </c>
      <c r="L2374">
        <f xml:space="preserve"> (交易處理資料__3[[#This Row],[售出工時]] * 60) / 5</f>
        <v>30.359999999999996</v>
      </c>
      <c r="M2374" t="str">
        <f>VLOOKUP(交易處理資料__3[[#This Row],[人員代號]],團隊分組!$B$1:$C$52,2,FALSE)</f>
        <v>查修團隊A</v>
      </c>
      <c r="N2374" t="str">
        <f>IF(交易處理資料__3[[#This Row],[上班時間]]=0,"否","是")</f>
        <v>是</v>
      </c>
      <c r="O2374" t="s">
        <v>76</v>
      </c>
      <c r="P2374" s="37">
        <v>1.5333333329999999</v>
      </c>
      <c r="Q2374" s="37">
        <v>0.22789999999999999</v>
      </c>
      <c r="R2374" s="37">
        <v>0.96400000000000008</v>
      </c>
    </row>
    <row r="2375" spans="1:18" hidden="1">
      <c r="A2375" t="s">
        <v>76</v>
      </c>
      <c r="B2375" t="s">
        <v>41</v>
      </c>
      <c r="C2375">
        <v>7.0833333329999997</v>
      </c>
      <c r="D2375">
        <v>6.31</v>
      </c>
      <c r="E2375" s="29">
        <v>1.122556788</v>
      </c>
      <c r="F2375">
        <v>8.4499999999999993</v>
      </c>
      <c r="G2375">
        <v>1.56</v>
      </c>
      <c r="H2375">
        <v>10.01</v>
      </c>
      <c r="I2375" s="29">
        <v>0.84420000000000006</v>
      </c>
      <c r="J2375" s="29">
        <v>0.70760000000000001</v>
      </c>
      <c r="K2375" s="9">
        <v>45351</v>
      </c>
      <c r="L2375">
        <f xml:space="preserve"> (交易處理資料__3[[#This Row],[售出工時]] * 60) / 5</f>
        <v>84.999999996</v>
      </c>
      <c r="M2375" t="str">
        <f>VLOOKUP(交易處理資料__3[[#This Row],[人員代號]],團隊分組!$B$1:$C$52,2,FALSE)</f>
        <v>快速保養團隊A</v>
      </c>
      <c r="N2375" t="str">
        <f>IF(交易處理資料__3[[#This Row],[上班時間]]=0,"否","是")</f>
        <v>是</v>
      </c>
      <c r="O2375" t="s">
        <v>76</v>
      </c>
      <c r="P2375" s="38">
        <v>1.122556788</v>
      </c>
      <c r="Q2375" s="38">
        <v>0.70760000000000001</v>
      </c>
      <c r="R2375" s="38">
        <v>0.84420000000000006</v>
      </c>
    </row>
    <row r="2376" spans="1:18" hidden="1">
      <c r="A2376" t="s">
        <v>76</v>
      </c>
      <c r="B2376" t="s">
        <v>42</v>
      </c>
      <c r="C2376">
        <v>8</v>
      </c>
      <c r="D2376">
        <v>6.28</v>
      </c>
      <c r="E2376" s="29">
        <v>1.27388535</v>
      </c>
      <c r="F2376">
        <v>6.28</v>
      </c>
      <c r="G2376">
        <v>1.69</v>
      </c>
      <c r="H2376">
        <v>7.97</v>
      </c>
      <c r="I2376" s="29">
        <v>0.78799999999999992</v>
      </c>
      <c r="J2376" s="29">
        <v>1.0038</v>
      </c>
      <c r="K2376" s="9">
        <v>45351</v>
      </c>
      <c r="L2376">
        <f xml:space="preserve"> (交易處理資料__3[[#This Row],[售出工時]] * 60) / 5</f>
        <v>96</v>
      </c>
      <c r="M2376" t="str">
        <f>VLOOKUP(交易處理資料__3[[#This Row],[人員代號]],團隊分組!$B$1:$C$52,2,FALSE)</f>
        <v>快速保養團隊A</v>
      </c>
      <c r="N2376" t="str">
        <f>IF(交易處理資料__3[[#This Row],[上班時間]]=0,"否","是")</f>
        <v>是</v>
      </c>
      <c r="O2376" t="s">
        <v>76</v>
      </c>
      <c r="P2376" s="37">
        <v>1.27388535</v>
      </c>
      <c r="Q2376" s="37">
        <v>1.0038</v>
      </c>
      <c r="R2376" s="37">
        <v>0.78799999999999992</v>
      </c>
    </row>
    <row r="2377" spans="1:18" hidden="1">
      <c r="A2377" t="s">
        <v>76</v>
      </c>
      <c r="B2377" t="s">
        <v>44</v>
      </c>
      <c r="C2377">
        <v>0</v>
      </c>
      <c r="D2377">
        <v>0</v>
      </c>
      <c r="E2377" s="29">
        <v>0</v>
      </c>
      <c r="F2377">
        <v>0</v>
      </c>
      <c r="G2377">
        <v>0</v>
      </c>
      <c r="H2377">
        <v>0</v>
      </c>
      <c r="I2377" s="29">
        <v>0</v>
      </c>
      <c r="J2377" s="29">
        <v>0</v>
      </c>
      <c r="K2377" s="9">
        <v>45351</v>
      </c>
      <c r="L2377">
        <f xml:space="preserve"> (交易處理資料__3[[#This Row],[售出工時]] * 60) / 5</f>
        <v>0</v>
      </c>
      <c r="M2377" t="str">
        <f>VLOOKUP(交易處理資料__3[[#This Row],[人員代號]],團隊分組!$B$1:$C$52,2,FALSE)</f>
        <v>快速保養團隊B</v>
      </c>
      <c r="N2377" t="str">
        <f>IF(交易處理資料__3[[#This Row],[上班時間]]=0,"否","是")</f>
        <v>否</v>
      </c>
      <c r="O2377" t="s">
        <v>76</v>
      </c>
      <c r="P2377" s="38">
        <v>0</v>
      </c>
      <c r="Q2377" s="38">
        <v>0</v>
      </c>
      <c r="R2377" s="38">
        <v>0</v>
      </c>
    </row>
    <row r="2378" spans="1:18" hidden="1">
      <c r="A2378" t="s">
        <v>76</v>
      </c>
      <c r="B2378" t="s">
        <v>45</v>
      </c>
      <c r="C2378">
        <v>8.2133333329999996</v>
      </c>
      <c r="D2378">
        <v>5.16</v>
      </c>
      <c r="E2378" s="29">
        <v>1.5917312659999998</v>
      </c>
      <c r="F2378">
        <v>7.45</v>
      </c>
      <c r="G2378">
        <v>0.56999999999999995</v>
      </c>
      <c r="H2378">
        <v>8.02</v>
      </c>
      <c r="I2378" s="29">
        <v>0.92890000000000006</v>
      </c>
      <c r="J2378" s="29">
        <v>1.0241</v>
      </c>
      <c r="K2378" s="9">
        <v>45351</v>
      </c>
      <c r="L2378">
        <f xml:space="preserve"> (交易處理資料__3[[#This Row],[售出工時]] * 60) / 5</f>
        <v>98.559999996000002</v>
      </c>
      <c r="M2378" t="str">
        <f>VLOOKUP(交易處理資料__3[[#This Row],[人員代號]],團隊分組!$B$1:$C$52,2,FALSE)</f>
        <v>快速保養團隊A</v>
      </c>
      <c r="N2378" t="str">
        <f>IF(交易處理資料__3[[#This Row],[上班時間]]=0,"否","是")</f>
        <v>是</v>
      </c>
      <c r="O2378" t="s">
        <v>76</v>
      </c>
      <c r="P2378" s="37">
        <v>1.5917312659999998</v>
      </c>
      <c r="Q2378" s="37">
        <v>1.0241</v>
      </c>
      <c r="R2378" s="37">
        <v>0.92890000000000006</v>
      </c>
    </row>
    <row r="2379" spans="1:18" hidden="1">
      <c r="A2379" t="s">
        <v>76</v>
      </c>
      <c r="B2379" t="s">
        <v>46</v>
      </c>
      <c r="C2379">
        <v>1.75</v>
      </c>
      <c r="D2379">
        <v>2.8</v>
      </c>
      <c r="E2379" s="29">
        <v>0.625</v>
      </c>
      <c r="F2379">
        <v>7.85</v>
      </c>
      <c r="G2379">
        <v>1.46</v>
      </c>
      <c r="H2379">
        <v>9.31</v>
      </c>
      <c r="I2379" s="29">
        <v>0.84319999999999995</v>
      </c>
      <c r="J2379" s="29">
        <v>0.188</v>
      </c>
      <c r="K2379" s="9">
        <v>45351</v>
      </c>
      <c r="L2379">
        <f xml:space="preserve"> (交易處理資料__3[[#This Row],[售出工時]] * 60) / 5</f>
        <v>21</v>
      </c>
      <c r="M2379" t="str">
        <f>VLOOKUP(交易處理資料__3[[#This Row],[人員代號]],團隊分組!$B$1:$C$52,2,FALSE)</f>
        <v>查修團隊B</v>
      </c>
      <c r="N2379" t="str">
        <f>IF(交易處理資料__3[[#This Row],[上班時間]]=0,"否","是")</f>
        <v>是</v>
      </c>
      <c r="O2379" t="s">
        <v>76</v>
      </c>
      <c r="P2379" s="38">
        <v>0.625</v>
      </c>
      <c r="Q2379" s="38">
        <v>0.188</v>
      </c>
      <c r="R2379" s="38">
        <v>0.84319999999999995</v>
      </c>
    </row>
    <row r="2380" spans="1:18" hidden="1">
      <c r="A2380" t="s">
        <v>76</v>
      </c>
      <c r="B2380" t="s">
        <v>47</v>
      </c>
      <c r="C2380">
        <v>1.6666666670000001</v>
      </c>
      <c r="D2380">
        <v>1.62</v>
      </c>
      <c r="E2380" s="29">
        <v>1.028806584</v>
      </c>
      <c r="F2380">
        <v>4.96</v>
      </c>
      <c r="G2380">
        <v>4.05</v>
      </c>
      <c r="H2380">
        <v>9.01</v>
      </c>
      <c r="I2380" s="29">
        <v>0.55049999999999999</v>
      </c>
      <c r="J2380" s="29">
        <v>0.185</v>
      </c>
      <c r="K2380" s="9">
        <v>45351</v>
      </c>
      <c r="L2380">
        <f xml:space="preserve"> (交易處理資料__3[[#This Row],[售出工時]] * 60) / 5</f>
        <v>20.000000004</v>
      </c>
      <c r="M2380" t="str">
        <f>VLOOKUP(交易處理資料__3[[#This Row],[人員代號]],團隊分組!$B$1:$C$52,2,FALSE)</f>
        <v>查修團隊B</v>
      </c>
      <c r="N2380" t="str">
        <f>IF(交易處理資料__3[[#This Row],[上班時間]]=0,"否","是")</f>
        <v>是</v>
      </c>
      <c r="O2380" t="s">
        <v>76</v>
      </c>
      <c r="P2380" s="37">
        <v>1.028806584</v>
      </c>
      <c r="Q2380" s="37">
        <v>0.185</v>
      </c>
      <c r="R2380" s="37">
        <v>0.55049999999999999</v>
      </c>
    </row>
    <row r="2381" spans="1:18" hidden="1">
      <c r="A2381" t="s">
        <v>76</v>
      </c>
      <c r="B2381" t="s">
        <v>48</v>
      </c>
      <c r="C2381">
        <v>0</v>
      </c>
      <c r="D2381">
        <v>0</v>
      </c>
      <c r="E2381" s="29">
        <v>0</v>
      </c>
      <c r="F2381">
        <v>7.25</v>
      </c>
      <c r="G2381">
        <v>0.88</v>
      </c>
      <c r="H2381">
        <v>8.1300000000000008</v>
      </c>
      <c r="I2381" s="29">
        <v>0.89180000000000004</v>
      </c>
      <c r="J2381" s="29">
        <v>0</v>
      </c>
      <c r="K2381" s="9">
        <v>45351</v>
      </c>
      <c r="L2381">
        <f xml:space="preserve"> (交易處理資料__3[[#This Row],[售出工時]] * 60) / 5</f>
        <v>0</v>
      </c>
      <c r="M2381" t="str">
        <f>VLOOKUP(交易處理資料__3[[#This Row],[人員代號]],團隊分組!$B$1:$C$52,2,FALSE)</f>
        <v>查修團隊A</v>
      </c>
      <c r="N2381" t="str">
        <f>IF(交易處理資料__3[[#This Row],[上班時間]]=0,"否","是")</f>
        <v>是</v>
      </c>
      <c r="O2381" t="s">
        <v>76</v>
      </c>
      <c r="P2381" s="38">
        <v>0</v>
      </c>
      <c r="Q2381" s="38">
        <v>0</v>
      </c>
      <c r="R2381" s="38">
        <v>0.89180000000000004</v>
      </c>
    </row>
    <row r="2382" spans="1:18" hidden="1">
      <c r="A2382" t="s">
        <v>76</v>
      </c>
      <c r="B2382" t="s">
        <v>49</v>
      </c>
      <c r="C2382">
        <v>2.14</v>
      </c>
      <c r="D2382">
        <v>5.48</v>
      </c>
      <c r="E2382" s="29">
        <v>0.39051094890000004</v>
      </c>
      <c r="F2382">
        <v>9.66</v>
      </c>
      <c r="G2382">
        <v>0.34</v>
      </c>
      <c r="H2382">
        <v>10</v>
      </c>
      <c r="I2382" s="29">
        <v>0.96599999999999997</v>
      </c>
      <c r="J2382" s="29">
        <v>0.214</v>
      </c>
      <c r="K2382" s="9">
        <v>45351</v>
      </c>
      <c r="L2382">
        <f xml:space="preserve"> (交易處理資料__3[[#This Row],[售出工時]] * 60) / 5</f>
        <v>25.68</v>
      </c>
      <c r="M2382" t="str">
        <f>VLOOKUP(交易處理資料__3[[#This Row],[人員代號]],團隊分組!$B$1:$C$52,2,FALSE)</f>
        <v>查修團隊A</v>
      </c>
      <c r="N2382" t="str">
        <f>IF(交易處理資料__3[[#This Row],[上班時間]]=0,"否","是")</f>
        <v>是</v>
      </c>
      <c r="O2382" t="s">
        <v>76</v>
      </c>
      <c r="P2382" s="37">
        <v>0.39051094890000004</v>
      </c>
      <c r="Q2382" s="37">
        <v>0.214</v>
      </c>
      <c r="R2382" s="37">
        <v>0.96599999999999997</v>
      </c>
    </row>
    <row r="2383" spans="1:18" hidden="1">
      <c r="A2383" t="s">
        <v>76</v>
      </c>
      <c r="B2383" t="s">
        <v>50</v>
      </c>
      <c r="C2383">
        <v>11.91666667</v>
      </c>
      <c r="D2383">
        <v>4.72</v>
      </c>
      <c r="E2383" s="29">
        <v>2.5247175139999998</v>
      </c>
      <c r="F2383">
        <v>7.25</v>
      </c>
      <c r="G2383">
        <v>0.8</v>
      </c>
      <c r="H2383">
        <v>8.0500000000000007</v>
      </c>
      <c r="I2383" s="29">
        <v>0.90060000000000007</v>
      </c>
      <c r="J2383" s="29">
        <v>1.4802999999999999</v>
      </c>
      <c r="K2383" s="9">
        <v>45351</v>
      </c>
      <c r="L2383">
        <f xml:space="preserve"> (交易處理資料__3[[#This Row],[售出工時]] * 60) / 5</f>
        <v>143.00000003999997</v>
      </c>
      <c r="M2383" t="str">
        <f>VLOOKUP(交易處理資料__3[[#This Row],[人員代號]],團隊分組!$B$1:$C$52,2,FALSE)</f>
        <v>快速保養團隊B</v>
      </c>
      <c r="N2383" t="str">
        <f>IF(交易處理資料__3[[#This Row],[上班時間]]=0,"否","是")</f>
        <v>是</v>
      </c>
      <c r="O2383" t="s">
        <v>76</v>
      </c>
      <c r="P2383" s="38">
        <v>2.5247175139999998</v>
      </c>
      <c r="Q2383" s="38">
        <v>1.4802999999999999</v>
      </c>
      <c r="R2383" s="38">
        <v>0.90060000000000007</v>
      </c>
    </row>
    <row r="2384" spans="1:18" hidden="1">
      <c r="A2384" t="s">
        <v>76</v>
      </c>
      <c r="B2384" t="s">
        <v>52</v>
      </c>
      <c r="C2384">
        <v>1.4166666670000001</v>
      </c>
      <c r="D2384">
        <v>4.83</v>
      </c>
      <c r="E2384" s="29">
        <v>0.2933057281</v>
      </c>
      <c r="F2384">
        <v>7.34</v>
      </c>
      <c r="G2384">
        <v>1.83</v>
      </c>
      <c r="H2384">
        <v>9.17</v>
      </c>
      <c r="I2384" s="29">
        <v>0.80040000000000011</v>
      </c>
      <c r="J2384" s="29">
        <v>0.1545</v>
      </c>
      <c r="K2384" s="9">
        <v>45351</v>
      </c>
      <c r="L2384">
        <f xml:space="preserve"> (交易處理資料__3[[#This Row],[售出工時]] * 60) / 5</f>
        <v>17.000000004</v>
      </c>
      <c r="M2384" t="str">
        <f>VLOOKUP(交易處理資料__3[[#This Row],[人員代號]],團隊分組!$B$1:$C$52,2,FALSE)</f>
        <v>查修團隊B</v>
      </c>
      <c r="N2384" t="str">
        <f>IF(交易處理資料__3[[#This Row],[上班時間]]=0,"否","是")</f>
        <v>是</v>
      </c>
      <c r="O2384" t="s">
        <v>76</v>
      </c>
      <c r="P2384" s="37">
        <v>0.2933057281</v>
      </c>
      <c r="Q2384" s="37">
        <v>0.1545</v>
      </c>
      <c r="R2384" s="37">
        <v>0.80040000000000011</v>
      </c>
    </row>
    <row r="2385" spans="1:18" hidden="1">
      <c r="A2385" t="s">
        <v>76</v>
      </c>
      <c r="B2385" t="s">
        <v>53</v>
      </c>
      <c r="C2385">
        <v>10.83333333</v>
      </c>
      <c r="D2385">
        <v>8.6999999999999993</v>
      </c>
      <c r="E2385" s="29">
        <v>1.245210728</v>
      </c>
      <c r="F2385">
        <v>9.23</v>
      </c>
      <c r="G2385">
        <v>0.77</v>
      </c>
      <c r="H2385">
        <v>10</v>
      </c>
      <c r="I2385" s="29">
        <v>0.92299999999999993</v>
      </c>
      <c r="J2385" s="29">
        <v>1.0832999999999999</v>
      </c>
      <c r="K2385" s="9">
        <v>45351</v>
      </c>
      <c r="L2385">
        <f xml:space="preserve"> (交易處理資料__3[[#This Row],[售出工時]] * 60) / 5</f>
        <v>129.99999996000003</v>
      </c>
      <c r="M2385" t="str">
        <f>VLOOKUP(交易處理資料__3[[#This Row],[人員代號]],團隊分組!$B$1:$C$52,2,FALSE)</f>
        <v>查修團隊A</v>
      </c>
      <c r="N2385" t="str">
        <f>IF(交易處理資料__3[[#This Row],[上班時間]]=0,"否","是")</f>
        <v>是</v>
      </c>
      <c r="O2385" t="s">
        <v>76</v>
      </c>
      <c r="P2385" s="38">
        <v>1.245210728</v>
      </c>
      <c r="Q2385" s="38">
        <v>1.0832999999999999</v>
      </c>
      <c r="R2385" s="38">
        <v>0.92299999999999993</v>
      </c>
    </row>
    <row r="2386" spans="1:18" hidden="1">
      <c r="A2386" s="10" t="s">
        <v>74</v>
      </c>
      <c r="B2386" t="s">
        <v>1</v>
      </c>
      <c r="C2386">
        <v>0</v>
      </c>
      <c r="D2386">
        <v>0</v>
      </c>
      <c r="E2386" s="29">
        <v>0</v>
      </c>
      <c r="F2386">
        <v>7.39</v>
      </c>
      <c r="G2386">
        <v>0.65</v>
      </c>
      <c r="H2386">
        <v>8.0399999999999991</v>
      </c>
      <c r="I2386" s="29">
        <v>0.91920000000000002</v>
      </c>
      <c r="J2386" s="29">
        <v>0</v>
      </c>
      <c r="K2386" s="9">
        <v>45352</v>
      </c>
      <c r="L2386">
        <f xml:space="preserve"> (交易處理資料__3[[#This Row],[售出工時]] * 60) / 5</f>
        <v>0</v>
      </c>
      <c r="M2386" t="str">
        <f>VLOOKUP(交易處理資料__3[[#This Row],[人員代號]],團隊分組!$B$1:$C$52,2,FALSE)</f>
        <v>噴漆維修組</v>
      </c>
      <c r="N2386" t="str">
        <f>IF(交易處理資料__3[[#This Row],[上班時間]]=0,"否","是")</f>
        <v>是</v>
      </c>
      <c r="O2386" s="10" t="s">
        <v>74</v>
      </c>
      <c r="P2386" s="37">
        <v>0</v>
      </c>
      <c r="Q2386" s="37">
        <v>0</v>
      </c>
      <c r="R2386" s="37">
        <v>0.91920000000000002</v>
      </c>
    </row>
    <row r="2387" spans="1:18" hidden="1">
      <c r="A2387" s="10" t="s">
        <v>74</v>
      </c>
      <c r="B2387" t="s">
        <v>2</v>
      </c>
      <c r="C2387">
        <v>0</v>
      </c>
      <c r="D2387">
        <v>0</v>
      </c>
      <c r="E2387" s="29">
        <v>0</v>
      </c>
      <c r="F2387">
        <v>5.4</v>
      </c>
      <c r="G2387">
        <v>2.65</v>
      </c>
      <c r="H2387">
        <v>8.0500000000000007</v>
      </c>
      <c r="I2387" s="29">
        <v>0.67079999999999995</v>
      </c>
      <c r="J2387" s="29">
        <v>0</v>
      </c>
      <c r="K2387" s="9">
        <v>45352</v>
      </c>
      <c r="L2387">
        <f xml:space="preserve"> (交易處理資料__3[[#This Row],[售出工時]] * 60) / 5</f>
        <v>0</v>
      </c>
      <c r="M2387" t="str">
        <f>VLOOKUP(交易處理資料__3[[#This Row],[人員代號]],團隊分組!$B$1:$C$52,2,FALSE)</f>
        <v>噴漆維修組</v>
      </c>
      <c r="N2387" t="str">
        <f>IF(交易處理資料__3[[#This Row],[上班時間]]=0,"否","是")</f>
        <v>是</v>
      </c>
      <c r="O2387" s="10" t="s">
        <v>74</v>
      </c>
      <c r="P2387" s="38">
        <v>0</v>
      </c>
      <c r="Q2387" s="38">
        <v>0</v>
      </c>
      <c r="R2387" s="38">
        <v>0.67079999999999995</v>
      </c>
    </row>
    <row r="2388" spans="1:18" hidden="1">
      <c r="A2388" s="10" t="s">
        <v>74</v>
      </c>
      <c r="B2388" t="s">
        <v>3</v>
      </c>
      <c r="C2388">
        <v>0</v>
      </c>
      <c r="D2388">
        <v>0</v>
      </c>
      <c r="E2388" s="29">
        <v>0</v>
      </c>
      <c r="F2388">
        <v>5.4</v>
      </c>
      <c r="G2388">
        <v>2.65</v>
      </c>
      <c r="H2388">
        <v>8.0500000000000007</v>
      </c>
      <c r="I2388" s="29">
        <v>0.67079999999999995</v>
      </c>
      <c r="J2388" s="29">
        <v>0</v>
      </c>
      <c r="K2388" s="9">
        <v>45352</v>
      </c>
      <c r="L2388">
        <f xml:space="preserve"> (交易處理資料__3[[#This Row],[售出工時]] * 60) / 5</f>
        <v>0</v>
      </c>
      <c r="M2388" t="str">
        <f>VLOOKUP(交易處理資料__3[[#This Row],[人員代號]],團隊分組!$B$1:$C$52,2,FALSE)</f>
        <v>噴漆維修組</v>
      </c>
      <c r="N2388" t="str">
        <f>IF(交易處理資料__3[[#This Row],[上班時間]]=0,"否","是")</f>
        <v>是</v>
      </c>
      <c r="O2388" s="10" t="s">
        <v>74</v>
      </c>
      <c r="P2388" s="37">
        <v>0</v>
      </c>
      <c r="Q2388" s="37">
        <v>0</v>
      </c>
      <c r="R2388" s="37">
        <v>0.67079999999999995</v>
      </c>
    </row>
    <row r="2389" spans="1:18" hidden="1">
      <c r="A2389" s="10" t="s">
        <v>74</v>
      </c>
      <c r="B2389" t="s">
        <v>4</v>
      </c>
      <c r="C2389">
        <v>0</v>
      </c>
      <c r="D2389">
        <v>0</v>
      </c>
      <c r="E2389" s="29">
        <v>0</v>
      </c>
      <c r="F2389">
        <v>7.54</v>
      </c>
      <c r="G2389">
        <v>0.55000000000000004</v>
      </c>
      <c r="H2389">
        <v>8.09</v>
      </c>
      <c r="I2389" s="29">
        <v>0.93200000000000005</v>
      </c>
      <c r="J2389" s="29">
        <v>0</v>
      </c>
      <c r="K2389" s="9">
        <v>45352</v>
      </c>
      <c r="L2389">
        <f xml:space="preserve"> (交易處理資料__3[[#This Row],[售出工時]] * 60) / 5</f>
        <v>0</v>
      </c>
      <c r="M2389" t="str">
        <f>VLOOKUP(交易處理資料__3[[#This Row],[人員代號]],團隊分組!$B$1:$C$52,2,FALSE)</f>
        <v>噴漆維修組</v>
      </c>
      <c r="N2389" t="str">
        <f>IF(交易處理資料__3[[#This Row],[上班時間]]=0,"否","是")</f>
        <v>是</v>
      </c>
      <c r="O2389" s="10" t="s">
        <v>74</v>
      </c>
      <c r="P2389" s="38">
        <v>0</v>
      </c>
      <c r="Q2389" s="38">
        <v>0</v>
      </c>
      <c r="R2389" s="38">
        <v>0.93200000000000005</v>
      </c>
    </row>
    <row r="2390" spans="1:18" hidden="1">
      <c r="A2390" s="10" t="s">
        <v>74</v>
      </c>
      <c r="B2390" t="s">
        <v>5</v>
      </c>
      <c r="C2390">
        <v>0</v>
      </c>
      <c r="D2390">
        <v>0</v>
      </c>
      <c r="E2390" s="29">
        <v>0</v>
      </c>
      <c r="F2390">
        <v>7.76</v>
      </c>
      <c r="G2390">
        <v>0.25</v>
      </c>
      <c r="H2390">
        <v>8.01</v>
      </c>
      <c r="I2390" s="29">
        <v>0.96879999999999999</v>
      </c>
      <c r="J2390" s="29">
        <v>0</v>
      </c>
      <c r="K2390" s="9">
        <v>45352</v>
      </c>
      <c r="L2390">
        <f xml:space="preserve"> (交易處理資料__3[[#This Row],[售出工時]] * 60) / 5</f>
        <v>0</v>
      </c>
      <c r="M2390" t="str">
        <f>VLOOKUP(交易處理資料__3[[#This Row],[人員代號]],團隊分組!$B$1:$C$52,2,FALSE)</f>
        <v>噴漆維修組</v>
      </c>
      <c r="N2390" t="str">
        <f>IF(交易處理資料__3[[#This Row],[上班時間]]=0,"否","是")</f>
        <v>是</v>
      </c>
      <c r="O2390" s="10" t="s">
        <v>74</v>
      </c>
      <c r="P2390" s="37">
        <v>0</v>
      </c>
      <c r="Q2390" s="37">
        <v>0</v>
      </c>
      <c r="R2390" s="37">
        <v>0.96879999999999999</v>
      </c>
    </row>
    <row r="2391" spans="1:18" hidden="1">
      <c r="A2391" s="10" t="s">
        <v>74</v>
      </c>
      <c r="B2391" t="s">
        <v>6</v>
      </c>
      <c r="C2391">
        <v>0</v>
      </c>
      <c r="D2391">
        <v>0</v>
      </c>
      <c r="E2391" s="29">
        <v>0</v>
      </c>
      <c r="F2391">
        <v>5.4</v>
      </c>
      <c r="G2391">
        <v>2.65</v>
      </c>
      <c r="H2391">
        <v>8.0500000000000007</v>
      </c>
      <c r="I2391" s="29">
        <v>0.67079999999999995</v>
      </c>
      <c r="J2391" s="29">
        <v>0</v>
      </c>
      <c r="K2391" s="9">
        <v>45352</v>
      </c>
      <c r="L2391">
        <f xml:space="preserve"> (交易處理資料__3[[#This Row],[售出工時]] * 60) / 5</f>
        <v>0</v>
      </c>
      <c r="M2391" t="str">
        <f>VLOOKUP(交易處理資料__3[[#This Row],[人員代號]],團隊分組!$B$1:$C$52,2,FALSE)</f>
        <v>噴漆維修組</v>
      </c>
      <c r="N2391" t="str">
        <f>IF(交易處理資料__3[[#This Row],[上班時間]]=0,"否","是")</f>
        <v>是</v>
      </c>
      <c r="O2391" s="10" t="s">
        <v>74</v>
      </c>
      <c r="P2391" s="38">
        <v>0</v>
      </c>
      <c r="Q2391" s="38">
        <v>0</v>
      </c>
      <c r="R2391" s="38">
        <v>0.67079999999999995</v>
      </c>
    </row>
    <row r="2392" spans="1:18">
      <c r="A2392" s="10" t="s">
        <v>74</v>
      </c>
      <c r="B2392" t="s">
        <v>7</v>
      </c>
      <c r="C2392">
        <v>0</v>
      </c>
      <c r="D2392">
        <v>0</v>
      </c>
      <c r="E2392" s="29">
        <v>0</v>
      </c>
      <c r="F2392">
        <v>7.78</v>
      </c>
      <c r="G2392">
        <v>0.23</v>
      </c>
      <c r="H2392">
        <v>8.01</v>
      </c>
      <c r="I2392" s="29">
        <v>0.97129999999999994</v>
      </c>
      <c r="J2392" s="29">
        <v>0</v>
      </c>
      <c r="K2392" s="9">
        <v>45352</v>
      </c>
      <c r="L2392">
        <f xml:space="preserve"> (交易處理資料__3[[#This Row],[售出工時]] * 60) / 5</f>
        <v>0</v>
      </c>
      <c r="M2392" t="str">
        <f>VLOOKUP(交易處理資料__3[[#This Row],[人員代號]],團隊分組!$B$1:$C$52,2,FALSE)</f>
        <v>噴漆維修組</v>
      </c>
      <c r="N2392" t="str">
        <f>IF(交易處理資料__3[[#This Row],[上班時間]]=0,"否","是")</f>
        <v>是</v>
      </c>
      <c r="O2392" s="10" t="s">
        <v>74</v>
      </c>
      <c r="P2392" s="37">
        <v>0</v>
      </c>
      <c r="Q2392" s="37">
        <v>0</v>
      </c>
      <c r="R2392" s="37">
        <v>0.97129999999999994</v>
      </c>
    </row>
    <row r="2393" spans="1:18" hidden="1">
      <c r="A2393" s="10" t="s">
        <v>74</v>
      </c>
      <c r="B2393" t="s">
        <v>8</v>
      </c>
      <c r="C2393">
        <v>0</v>
      </c>
      <c r="D2393">
        <v>0</v>
      </c>
      <c r="E2393" s="29">
        <v>0</v>
      </c>
      <c r="F2393">
        <v>7.52</v>
      </c>
      <c r="G2393">
        <v>0.55000000000000004</v>
      </c>
      <c r="H2393">
        <v>8.07</v>
      </c>
      <c r="I2393" s="29">
        <v>0.93180000000000007</v>
      </c>
      <c r="J2393" s="29">
        <v>0</v>
      </c>
      <c r="K2393" s="9">
        <v>45352</v>
      </c>
      <c r="L2393">
        <f xml:space="preserve"> (交易處理資料__3[[#This Row],[售出工時]] * 60) / 5</f>
        <v>0</v>
      </c>
      <c r="M2393" t="str">
        <f>VLOOKUP(交易處理資料__3[[#This Row],[人員代號]],團隊分組!$B$1:$C$52,2,FALSE)</f>
        <v>噴漆維修組</v>
      </c>
      <c r="N2393" t="str">
        <f>IF(交易處理資料__3[[#This Row],[上班時間]]=0,"否","是")</f>
        <v>是</v>
      </c>
      <c r="O2393" s="10" t="s">
        <v>74</v>
      </c>
      <c r="P2393" s="38">
        <v>0</v>
      </c>
      <c r="Q2393" s="38">
        <v>0</v>
      </c>
      <c r="R2393" s="38">
        <v>0.93180000000000007</v>
      </c>
    </row>
    <row r="2394" spans="1:18" hidden="1">
      <c r="A2394" s="10" t="s">
        <v>74</v>
      </c>
      <c r="B2394" t="s">
        <v>9</v>
      </c>
      <c r="C2394">
        <v>0</v>
      </c>
      <c r="D2394">
        <v>0</v>
      </c>
      <c r="E2394" s="29">
        <v>0</v>
      </c>
      <c r="F2394">
        <v>9.73</v>
      </c>
      <c r="G2394">
        <v>0.45</v>
      </c>
      <c r="H2394">
        <v>10.18</v>
      </c>
      <c r="I2394" s="29">
        <v>0.95579999999999998</v>
      </c>
      <c r="J2394" s="29">
        <v>0</v>
      </c>
      <c r="K2394" s="9">
        <v>45352</v>
      </c>
      <c r="L2394">
        <f xml:space="preserve"> (交易處理資料__3[[#This Row],[售出工時]] * 60) / 5</f>
        <v>0</v>
      </c>
      <c r="M2394" t="str">
        <f>VLOOKUP(交易處理資料__3[[#This Row],[人員代號]],團隊分組!$B$1:$C$52,2,FALSE)</f>
        <v>噴漆維修組</v>
      </c>
      <c r="N2394" t="str">
        <f>IF(交易處理資料__3[[#This Row],[上班時間]]=0,"否","是")</f>
        <v>是</v>
      </c>
      <c r="O2394" s="10" t="s">
        <v>74</v>
      </c>
      <c r="P2394" s="37">
        <v>0</v>
      </c>
      <c r="Q2394" s="37">
        <v>0</v>
      </c>
      <c r="R2394" s="37">
        <v>0.95579999999999998</v>
      </c>
    </row>
    <row r="2395" spans="1:18" hidden="1">
      <c r="A2395" t="s">
        <v>75</v>
      </c>
      <c r="B2395" t="s">
        <v>11</v>
      </c>
      <c r="C2395">
        <v>0</v>
      </c>
      <c r="D2395">
        <v>0</v>
      </c>
      <c r="E2395" s="29">
        <v>0</v>
      </c>
      <c r="F2395">
        <v>3.83</v>
      </c>
      <c r="G2395">
        <v>4.2300000000000004</v>
      </c>
      <c r="H2395">
        <v>8.06</v>
      </c>
      <c r="I2395" s="29">
        <v>0.47520000000000001</v>
      </c>
      <c r="J2395" s="29">
        <v>0</v>
      </c>
      <c r="K2395" s="9">
        <v>45352</v>
      </c>
      <c r="L2395">
        <f xml:space="preserve"> (交易處理資料__3[[#This Row],[售出工時]] * 60) / 5</f>
        <v>0</v>
      </c>
      <c r="M2395" t="str">
        <f>VLOOKUP(交易處理資料__3[[#This Row],[人員代號]],團隊分組!$B$1:$C$52,2,FALSE)</f>
        <v>鈑金維修組</v>
      </c>
      <c r="N2395" t="str">
        <f>IF(交易處理資料__3[[#This Row],[上班時間]]=0,"否","是")</f>
        <v>是</v>
      </c>
      <c r="O2395" t="s">
        <v>75</v>
      </c>
      <c r="P2395" s="38">
        <v>0</v>
      </c>
      <c r="Q2395" s="38">
        <v>0</v>
      </c>
      <c r="R2395" s="38">
        <v>0.47520000000000001</v>
      </c>
    </row>
    <row r="2396" spans="1:18" hidden="1">
      <c r="A2396" t="s">
        <v>75</v>
      </c>
      <c r="B2396" t="s">
        <v>12</v>
      </c>
      <c r="C2396">
        <v>0</v>
      </c>
      <c r="D2396">
        <v>0</v>
      </c>
      <c r="E2396" s="29">
        <v>0</v>
      </c>
      <c r="F2396">
        <v>3.03</v>
      </c>
      <c r="G2396">
        <v>5.03</v>
      </c>
      <c r="H2396">
        <v>8.06</v>
      </c>
      <c r="I2396" s="29">
        <v>0.37590000000000001</v>
      </c>
      <c r="J2396" s="29">
        <v>0</v>
      </c>
      <c r="K2396" s="9">
        <v>45352</v>
      </c>
      <c r="L2396">
        <f xml:space="preserve"> (交易處理資料__3[[#This Row],[售出工時]] * 60) / 5</f>
        <v>0</v>
      </c>
      <c r="M2396" t="str">
        <f>VLOOKUP(交易處理資料__3[[#This Row],[人員代號]],團隊分組!$B$1:$C$52,2,FALSE)</f>
        <v>鈑金維修組</v>
      </c>
      <c r="N2396" t="str">
        <f>IF(交易處理資料__3[[#This Row],[上班時間]]=0,"否","是")</f>
        <v>是</v>
      </c>
      <c r="O2396" t="s">
        <v>75</v>
      </c>
      <c r="P2396" s="37">
        <v>0</v>
      </c>
      <c r="Q2396" s="37">
        <v>0</v>
      </c>
      <c r="R2396" s="37">
        <v>0.37590000000000001</v>
      </c>
    </row>
    <row r="2397" spans="1:18" hidden="1">
      <c r="A2397" t="s">
        <v>75</v>
      </c>
      <c r="B2397" t="s">
        <v>13</v>
      </c>
      <c r="C2397">
        <v>0</v>
      </c>
      <c r="D2397">
        <v>0</v>
      </c>
      <c r="E2397" s="29">
        <v>0</v>
      </c>
      <c r="F2397">
        <v>5.0599999999999996</v>
      </c>
      <c r="G2397">
        <v>3.09</v>
      </c>
      <c r="H2397">
        <v>8.15</v>
      </c>
      <c r="I2397" s="29">
        <v>0.62090000000000001</v>
      </c>
      <c r="J2397" s="29">
        <v>0</v>
      </c>
      <c r="K2397" s="9">
        <v>45352</v>
      </c>
      <c r="L2397">
        <f xml:space="preserve"> (交易處理資料__3[[#This Row],[售出工時]] * 60) / 5</f>
        <v>0</v>
      </c>
      <c r="M2397" t="str">
        <f>VLOOKUP(交易處理資料__3[[#This Row],[人員代號]],團隊分組!$B$1:$C$52,2,FALSE)</f>
        <v>鈑金維修組</v>
      </c>
      <c r="N2397" t="str">
        <f>IF(交易處理資料__3[[#This Row],[上班時間]]=0,"否","是")</f>
        <v>是</v>
      </c>
      <c r="O2397" t="s">
        <v>75</v>
      </c>
      <c r="P2397" s="38">
        <v>0</v>
      </c>
      <c r="Q2397" s="38">
        <v>0</v>
      </c>
      <c r="R2397" s="38">
        <v>0.62090000000000001</v>
      </c>
    </row>
    <row r="2398" spans="1:18" hidden="1">
      <c r="A2398" t="s">
        <v>75</v>
      </c>
      <c r="B2398" t="s">
        <v>14</v>
      </c>
      <c r="C2398">
        <v>0</v>
      </c>
      <c r="D2398">
        <v>0</v>
      </c>
      <c r="E2398" s="29">
        <v>0</v>
      </c>
      <c r="F2398">
        <v>5.42</v>
      </c>
      <c r="G2398">
        <v>2.73</v>
      </c>
      <c r="H2398">
        <v>8.15</v>
      </c>
      <c r="I2398" s="29">
        <v>0.66500000000000004</v>
      </c>
      <c r="J2398" s="29">
        <v>0</v>
      </c>
      <c r="K2398" s="9">
        <v>45352</v>
      </c>
      <c r="L2398">
        <f xml:space="preserve"> (交易處理資料__3[[#This Row],[售出工時]] * 60) / 5</f>
        <v>0</v>
      </c>
      <c r="M2398" t="str">
        <f>VLOOKUP(交易處理資料__3[[#This Row],[人員代號]],團隊分組!$B$1:$C$52,2,FALSE)</f>
        <v>鈑金維修組</v>
      </c>
      <c r="N2398" t="str">
        <f>IF(交易處理資料__3[[#This Row],[上班時間]]=0,"否","是")</f>
        <v>是</v>
      </c>
      <c r="O2398" t="s">
        <v>75</v>
      </c>
      <c r="P2398" s="37">
        <v>0</v>
      </c>
      <c r="Q2398" s="37">
        <v>0</v>
      </c>
      <c r="R2398" s="37">
        <v>0.66500000000000004</v>
      </c>
    </row>
    <row r="2399" spans="1:18" hidden="1">
      <c r="A2399" t="s">
        <v>75</v>
      </c>
      <c r="B2399" t="s">
        <v>15</v>
      </c>
      <c r="C2399">
        <v>0</v>
      </c>
      <c r="D2399">
        <v>0</v>
      </c>
      <c r="E2399" s="29">
        <v>0</v>
      </c>
      <c r="F2399">
        <v>0</v>
      </c>
      <c r="G2399">
        <v>0.02</v>
      </c>
      <c r="H2399">
        <v>0.02</v>
      </c>
      <c r="I2399" s="29">
        <v>0</v>
      </c>
      <c r="J2399" s="29">
        <v>0</v>
      </c>
      <c r="K2399" s="9">
        <v>45352</v>
      </c>
      <c r="L2399">
        <f xml:space="preserve"> (交易處理資料__3[[#This Row],[售出工時]] * 60) / 5</f>
        <v>0</v>
      </c>
      <c r="M2399" t="str">
        <f>VLOOKUP(交易處理資料__3[[#This Row],[人員代號]],團隊分組!$B$1:$C$52,2,FALSE)</f>
        <v>鈑金維修組</v>
      </c>
      <c r="N2399" t="str">
        <f>IF(交易處理資料__3[[#This Row],[上班時間]]=0,"否","是")</f>
        <v>是</v>
      </c>
      <c r="O2399" t="s">
        <v>75</v>
      </c>
      <c r="P2399" s="38">
        <v>0</v>
      </c>
      <c r="Q2399" s="38">
        <v>0</v>
      </c>
      <c r="R2399" s="38">
        <v>0</v>
      </c>
    </row>
    <row r="2400" spans="1:18" hidden="1">
      <c r="A2400" t="s">
        <v>76</v>
      </c>
      <c r="B2400" t="s">
        <v>17</v>
      </c>
      <c r="C2400">
        <v>0</v>
      </c>
      <c r="D2400">
        <v>0</v>
      </c>
      <c r="E2400" s="29">
        <v>0</v>
      </c>
      <c r="F2400">
        <v>0</v>
      </c>
      <c r="G2400">
        <v>0</v>
      </c>
      <c r="H2400">
        <v>0</v>
      </c>
      <c r="I2400" s="29">
        <v>0</v>
      </c>
      <c r="J2400" s="29">
        <v>0</v>
      </c>
      <c r="K2400" s="9">
        <v>45352</v>
      </c>
      <c r="L2400">
        <f xml:space="preserve"> (交易處理資料__3[[#This Row],[售出工時]] * 60) / 5</f>
        <v>0</v>
      </c>
      <c r="M2400" t="str">
        <f>VLOOKUP(交易處理資料__3[[#This Row],[人員代號]],團隊分組!$B$1:$C$52,2,FALSE)</f>
        <v>快速保養團隊A</v>
      </c>
      <c r="N2400" t="str">
        <f>IF(交易處理資料__3[[#This Row],[上班時間]]=0,"否","是")</f>
        <v>否</v>
      </c>
      <c r="O2400" t="s">
        <v>76</v>
      </c>
      <c r="P2400" s="37">
        <v>0</v>
      </c>
      <c r="Q2400" s="37">
        <v>0</v>
      </c>
      <c r="R2400" s="37">
        <v>0</v>
      </c>
    </row>
    <row r="2401" spans="1:18" hidden="1">
      <c r="A2401" t="s">
        <v>76</v>
      </c>
      <c r="B2401" t="s">
        <v>18</v>
      </c>
      <c r="C2401">
        <v>1.8333333329999999</v>
      </c>
      <c r="D2401">
        <v>0.68</v>
      </c>
      <c r="E2401" s="29">
        <v>2.6960784310000001</v>
      </c>
      <c r="F2401">
        <v>7.92</v>
      </c>
      <c r="G2401">
        <v>0.49</v>
      </c>
      <c r="H2401">
        <v>8.41</v>
      </c>
      <c r="I2401" s="29">
        <v>0.94169999999999998</v>
      </c>
      <c r="J2401" s="29">
        <v>0.218</v>
      </c>
      <c r="K2401" s="9">
        <v>45352</v>
      </c>
      <c r="L2401">
        <f xml:space="preserve"> (交易處理資料__3[[#This Row],[售出工時]] * 60) / 5</f>
        <v>21.999999996</v>
      </c>
      <c r="M2401" t="str">
        <f>VLOOKUP(交易處理資料__3[[#This Row],[人員代號]],團隊分組!$B$1:$C$52,2,FALSE)</f>
        <v>查修團隊B</v>
      </c>
      <c r="N2401" t="str">
        <f>IF(交易處理資料__3[[#This Row],[上班時間]]=0,"否","是")</f>
        <v>是</v>
      </c>
      <c r="O2401" t="s">
        <v>76</v>
      </c>
      <c r="P2401" s="38">
        <v>2.6960784310000001</v>
      </c>
      <c r="Q2401" s="38">
        <v>0.218</v>
      </c>
      <c r="R2401" s="38">
        <v>0.94169999999999998</v>
      </c>
    </row>
    <row r="2402" spans="1:18" hidden="1">
      <c r="A2402" t="s">
        <v>76</v>
      </c>
      <c r="B2402" t="s">
        <v>22</v>
      </c>
      <c r="C2402">
        <v>10.66666667</v>
      </c>
      <c r="D2402">
        <v>7.32</v>
      </c>
      <c r="E2402" s="29">
        <v>1.4571949000000002</v>
      </c>
      <c r="F2402">
        <v>10.17</v>
      </c>
      <c r="G2402">
        <v>0.72</v>
      </c>
      <c r="H2402">
        <v>10.89</v>
      </c>
      <c r="I2402" s="29">
        <v>0.93389999999999995</v>
      </c>
      <c r="J2402" s="29">
        <v>0.97950000000000004</v>
      </c>
      <c r="K2402" s="9">
        <v>45352</v>
      </c>
      <c r="L2402">
        <f xml:space="preserve"> (交易處理資料__3[[#This Row],[售出工時]] * 60) / 5</f>
        <v>128.00000003999997</v>
      </c>
      <c r="M2402" t="str">
        <f>VLOOKUP(交易處理資料__3[[#This Row],[人員代號]],團隊分組!$B$1:$C$52,2,FALSE)</f>
        <v>快速保養團隊A</v>
      </c>
      <c r="N2402" t="str">
        <f>IF(交易處理資料__3[[#This Row],[上班時間]]=0,"否","是")</f>
        <v>是</v>
      </c>
      <c r="O2402" t="s">
        <v>76</v>
      </c>
      <c r="P2402" s="37">
        <v>1.4571949000000002</v>
      </c>
      <c r="Q2402" s="37">
        <v>0.97950000000000004</v>
      </c>
      <c r="R2402" s="37">
        <v>0.93389999999999995</v>
      </c>
    </row>
    <row r="2403" spans="1:18" hidden="1">
      <c r="A2403" t="s">
        <v>76</v>
      </c>
      <c r="B2403" t="s">
        <v>24</v>
      </c>
      <c r="C2403">
        <v>3.74</v>
      </c>
      <c r="D2403">
        <v>5.39</v>
      </c>
      <c r="E2403" s="29">
        <v>0.69387755100000004</v>
      </c>
      <c r="F2403">
        <v>7.1</v>
      </c>
      <c r="G2403">
        <v>0.64</v>
      </c>
      <c r="H2403">
        <v>7.74</v>
      </c>
      <c r="I2403" s="29">
        <v>0.9173</v>
      </c>
      <c r="J2403" s="29">
        <v>0.48320000000000002</v>
      </c>
      <c r="K2403" s="9">
        <v>45352</v>
      </c>
      <c r="L2403">
        <f xml:space="preserve"> (交易處理資料__3[[#This Row],[售出工時]] * 60) / 5</f>
        <v>44.88</v>
      </c>
      <c r="M2403" t="str">
        <f>VLOOKUP(交易處理資料__3[[#This Row],[人員代號]],團隊分組!$B$1:$C$52,2,FALSE)</f>
        <v>快速保養團隊A</v>
      </c>
      <c r="N2403" t="str">
        <f>IF(交易處理資料__3[[#This Row],[上班時間]]=0,"否","是")</f>
        <v>是</v>
      </c>
      <c r="O2403" t="s">
        <v>76</v>
      </c>
      <c r="P2403" s="38">
        <v>0.69387755100000004</v>
      </c>
      <c r="Q2403" s="38">
        <v>0.48320000000000002</v>
      </c>
      <c r="R2403" s="38">
        <v>0.9173</v>
      </c>
    </row>
    <row r="2404" spans="1:18" hidden="1">
      <c r="A2404" t="s">
        <v>76</v>
      </c>
      <c r="B2404" t="s">
        <v>25</v>
      </c>
      <c r="C2404">
        <v>1</v>
      </c>
      <c r="D2404">
        <v>3.02</v>
      </c>
      <c r="E2404" s="29">
        <v>0.33112582779999999</v>
      </c>
      <c r="F2404">
        <v>8.25</v>
      </c>
      <c r="G2404">
        <v>1.7</v>
      </c>
      <c r="H2404">
        <v>9.9499999999999993</v>
      </c>
      <c r="I2404" s="29">
        <v>0.82909999999999995</v>
      </c>
      <c r="J2404" s="29">
        <v>0.10050000000000001</v>
      </c>
      <c r="K2404" s="9">
        <v>45352</v>
      </c>
      <c r="L2404">
        <f xml:space="preserve"> (交易處理資料__3[[#This Row],[售出工時]] * 60) / 5</f>
        <v>12</v>
      </c>
      <c r="M2404" t="str">
        <f>VLOOKUP(交易處理資料__3[[#This Row],[人員代號]],團隊分組!$B$1:$C$52,2,FALSE)</f>
        <v>查修團隊A</v>
      </c>
      <c r="N2404" t="str">
        <f>IF(交易處理資料__3[[#This Row],[上班時間]]=0,"否","是")</f>
        <v>是</v>
      </c>
      <c r="O2404" t="s">
        <v>76</v>
      </c>
      <c r="P2404" s="37">
        <v>0.33112582779999999</v>
      </c>
      <c r="Q2404" s="37">
        <v>0.10050000000000001</v>
      </c>
      <c r="R2404" s="37">
        <v>0.82909999999999995</v>
      </c>
    </row>
    <row r="2405" spans="1:18" hidden="1">
      <c r="A2405" t="s">
        <v>76</v>
      </c>
      <c r="B2405" t="s">
        <v>26</v>
      </c>
      <c r="C2405">
        <v>0.22</v>
      </c>
      <c r="D2405">
        <v>0.67</v>
      </c>
      <c r="E2405" s="29">
        <v>0.32835820900000001</v>
      </c>
      <c r="F2405">
        <v>1.32</v>
      </c>
      <c r="G2405">
        <v>7.08</v>
      </c>
      <c r="H2405">
        <v>8.4</v>
      </c>
      <c r="I2405" s="29">
        <v>0.15710000000000002</v>
      </c>
      <c r="J2405" s="29">
        <v>2.6200000000000001E-2</v>
      </c>
      <c r="K2405" s="9">
        <v>45352</v>
      </c>
      <c r="L2405">
        <f xml:space="preserve"> (交易處理資料__3[[#This Row],[售出工時]] * 60) / 5</f>
        <v>2.6399999999999997</v>
      </c>
      <c r="M2405" t="str">
        <f>VLOOKUP(交易處理資料__3[[#This Row],[人員代號]],團隊分組!$B$1:$C$52,2,FALSE)</f>
        <v>查修團隊B</v>
      </c>
      <c r="N2405" t="str">
        <f>IF(交易處理資料__3[[#This Row],[上班時間]]=0,"否","是")</f>
        <v>是</v>
      </c>
      <c r="O2405" t="s">
        <v>76</v>
      </c>
      <c r="P2405" s="38">
        <v>0.32835820900000001</v>
      </c>
      <c r="Q2405" s="38">
        <v>2.6200000000000001E-2</v>
      </c>
      <c r="R2405" s="38">
        <v>0.15710000000000002</v>
      </c>
    </row>
    <row r="2406" spans="1:18" hidden="1">
      <c r="A2406" t="s">
        <v>76</v>
      </c>
      <c r="B2406" t="s">
        <v>27</v>
      </c>
      <c r="C2406">
        <v>5.4366666669999999</v>
      </c>
      <c r="D2406">
        <v>6.75</v>
      </c>
      <c r="E2406" s="29">
        <v>0.80543209880000011</v>
      </c>
      <c r="F2406">
        <v>7.7</v>
      </c>
      <c r="G2406">
        <v>0.31</v>
      </c>
      <c r="H2406">
        <v>8.01</v>
      </c>
      <c r="I2406" s="29">
        <v>0.96129999999999993</v>
      </c>
      <c r="J2406" s="29">
        <v>0.67870000000000008</v>
      </c>
      <c r="K2406" s="9">
        <v>45352</v>
      </c>
      <c r="L2406">
        <f xml:space="preserve"> (交易處理資料__3[[#This Row],[售出工時]] * 60) / 5</f>
        <v>65.240000003999995</v>
      </c>
      <c r="M2406" t="str">
        <f>VLOOKUP(交易處理資料__3[[#This Row],[人員代號]],團隊分組!$B$1:$C$52,2,FALSE)</f>
        <v>快速保養團隊B</v>
      </c>
      <c r="N2406" t="str">
        <f>IF(交易處理資料__3[[#This Row],[上班時間]]=0,"否","是")</f>
        <v>是</v>
      </c>
      <c r="O2406" t="s">
        <v>76</v>
      </c>
      <c r="P2406" s="37">
        <v>0.80543209880000011</v>
      </c>
      <c r="Q2406" s="37">
        <v>0.67870000000000008</v>
      </c>
      <c r="R2406" s="37">
        <v>0.96129999999999993</v>
      </c>
    </row>
    <row r="2407" spans="1:18" hidden="1">
      <c r="A2407" t="s">
        <v>76</v>
      </c>
      <c r="B2407" t="s">
        <v>28</v>
      </c>
      <c r="C2407">
        <v>4.59</v>
      </c>
      <c r="D2407">
        <v>5.42</v>
      </c>
      <c r="E2407" s="29">
        <v>0.84686346860000006</v>
      </c>
      <c r="F2407">
        <v>7.13</v>
      </c>
      <c r="G2407">
        <v>0.63</v>
      </c>
      <c r="H2407">
        <v>7.76</v>
      </c>
      <c r="I2407" s="29">
        <v>0.91879999999999995</v>
      </c>
      <c r="J2407" s="29">
        <v>0.59150000000000003</v>
      </c>
      <c r="K2407" s="9">
        <v>45352</v>
      </c>
      <c r="L2407">
        <f xml:space="preserve"> (交易處理資料__3[[#This Row],[售出工時]] * 60) / 5</f>
        <v>55.08</v>
      </c>
      <c r="M2407" t="str">
        <f>VLOOKUP(交易處理資料__3[[#This Row],[人員代號]],團隊分組!$B$1:$C$52,2,FALSE)</f>
        <v>快速保養團隊A</v>
      </c>
      <c r="N2407" t="str">
        <f>IF(交易處理資料__3[[#This Row],[上班時間]]=0,"否","是")</f>
        <v>是</v>
      </c>
      <c r="O2407" t="s">
        <v>76</v>
      </c>
      <c r="P2407" s="38">
        <v>0.84686346860000006</v>
      </c>
      <c r="Q2407" s="38">
        <v>0.59150000000000003</v>
      </c>
      <c r="R2407" s="38">
        <v>0.91879999999999995</v>
      </c>
    </row>
    <row r="2408" spans="1:18" hidden="1">
      <c r="A2408" t="s">
        <v>76</v>
      </c>
      <c r="B2408" t="s">
        <v>30</v>
      </c>
      <c r="C2408">
        <v>3.03</v>
      </c>
      <c r="D2408">
        <v>2.08</v>
      </c>
      <c r="E2408" s="29">
        <v>1.4567307690000002</v>
      </c>
      <c r="F2408">
        <v>7.69</v>
      </c>
      <c r="G2408">
        <v>0.32</v>
      </c>
      <c r="H2408">
        <v>8.01</v>
      </c>
      <c r="I2408" s="29">
        <v>0.96</v>
      </c>
      <c r="J2408" s="29">
        <v>0.37829999999999997</v>
      </c>
      <c r="K2408" s="9">
        <v>45352</v>
      </c>
      <c r="L2408">
        <f xml:space="preserve"> (交易處理資料__3[[#This Row],[售出工時]] * 60) / 5</f>
        <v>36.36</v>
      </c>
      <c r="M2408" t="str">
        <f>VLOOKUP(交易處理資料__3[[#This Row],[人員代號]],團隊分組!$B$1:$C$52,2,FALSE)</f>
        <v>快速保養團隊B</v>
      </c>
      <c r="N2408" t="str">
        <f>IF(交易處理資料__3[[#This Row],[上班時間]]=0,"否","是")</f>
        <v>是</v>
      </c>
      <c r="O2408" t="s">
        <v>76</v>
      </c>
      <c r="P2408" s="37">
        <v>1.4567307690000002</v>
      </c>
      <c r="Q2408" s="37">
        <v>0.37829999999999997</v>
      </c>
      <c r="R2408" s="37">
        <v>0.96</v>
      </c>
    </row>
    <row r="2409" spans="1:18" hidden="1">
      <c r="A2409" t="s">
        <v>76</v>
      </c>
      <c r="B2409" t="s">
        <v>33</v>
      </c>
      <c r="C2409">
        <v>9.1666666669999994</v>
      </c>
      <c r="D2409">
        <v>5.62</v>
      </c>
      <c r="E2409" s="29">
        <v>1.631079478</v>
      </c>
      <c r="F2409">
        <v>7.23</v>
      </c>
      <c r="G2409">
        <v>0.76</v>
      </c>
      <c r="H2409">
        <v>7.99</v>
      </c>
      <c r="I2409" s="29">
        <v>0.90489999999999993</v>
      </c>
      <c r="J2409" s="29">
        <v>1.1473</v>
      </c>
      <c r="K2409" s="9">
        <v>45352</v>
      </c>
      <c r="L2409">
        <f xml:space="preserve"> (交易處理資料__3[[#This Row],[售出工時]] * 60) / 5</f>
        <v>110.000000004</v>
      </c>
      <c r="M2409" t="str">
        <f>VLOOKUP(交易處理資料__3[[#This Row],[人員代號]],團隊分組!$B$1:$C$52,2,FALSE)</f>
        <v>快速保養團隊B</v>
      </c>
      <c r="N2409" t="str">
        <f>IF(交易處理資料__3[[#This Row],[上班時間]]=0,"否","是")</f>
        <v>是</v>
      </c>
      <c r="O2409" t="s">
        <v>76</v>
      </c>
      <c r="P2409" s="38">
        <v>1.631079478</v>
      </c>
      <c r="Q2409" s="38">
        <v>1.1473</v>
      </c>
      <c r="R2409" s="38">
        <v>0.90489999999999993</v>
      </c>
    </row>
    <row r="2410" spans="1:18" hidden="1">
      <c r="A2410" t="s">
        <v>76</v>
      </c>
      <c r="B2410" t="s">
        <v>36</v>
      </c>
      <c r="C2410">
        <v>1.05</v>
      </c>
      <c r="D2410">
        <v>6.05</v>
      </c>
      <c r="E2410" s="29">
        <v>0.17355371900000002</v>
      </c>
      <c r="F2410">
        <v>4.09</v>
      </c>
      <c r="G2410">
        <v>2.48</v>
      </c>
      <c r="H2410">
        <v>6.57</v>
      </c>
      <c r="I2410" s="29">
        <v>0.62250000000000005</v>
      </c>
      <c r="J2410" s="29">
        <v>0.1598</v>
      </c>
      <c r="K2410" s="9">
        <v>45352</v>
      </c>
      <c r="L2410">
        <f xml:space="preserve"> (交易處理資料__3[[#This Row],[售出工時]] * 60) / 5</f>
        <v>12.6</v>
      </c>
      <c r="M2410" t="str">
        <f>VLOOKUP(交易處理資料__3[[#This Row],[人員代號]],團隊分組!$B$1:$C$52,2,FALSE)</f>
        <v>查修團隊B</v>
      </c>
      <c r="N2410" t="str">
        <f>IF(交易處理資料__3[[#This Row],[上班時間]]=0,"否","是")</f>
        <v>是</v>
      </c>
      <c r="O2410" t="s">
        <v>76</v>
      </c>
      <c r="P2410" s="37">
        <v>0.17355371900000002</v>
      </c>
      <c r="Q2410" s="37">
        <v>0.1598</v>
      </c>
      <c r="R2410" s="37">
        <v>0.62250000000000005</v>
      </c>
    </row>
    <row r="2411" spans="1:18" hidden="1">
      <c r="A2411" t="s">
        <v>76</v>
      </c>
      <c r="B2411" t="s">
        <v>39</v>
      </c>
      <c r="C2411">
        <v>7.6666666670000003</v>
      </c>
      <c r="D2411">
        <v>10.220000000000001</v>
      </c>
      <c r="E2411" s="29">
        <v>0.75016307889999989</v>
      </c>
      <c r="F2411">
        <v>8.1300000000000008</v>
      </c>
      <c r="G2411">
        <v>2.16</v>
      </c>
      <c r="H2411">
        <v>10.29</v>
      </c>
      <c r="I2411" s="29">
        <v>0.79010000000000002</v>
      </c>
      <c r="J2411" s="29">
        <v>0.7451000000000001</v>
      </c>
      <c r="K2411" s="9">
        <v>45352</v>
      </c>
      <c r="L2411">
        <f xml:space="preserve"> (交易處理資料__3[[#This Row],[售出工時]] * 60) / 5</f>
        <v>92.000000004</v>
      </c>
      <c r="M2411" t="str">
        <f>VLOOKUP(交易處理資料__3[[#This Row],[人員代號]],團隊分組!$B$1:$C$52,2,FALSE)</f>
        <v>查修團隊A</v>
      </c>
      <c r="N2411" t="str">
        <f>IF(交易處理資料__3[[#This Row],[上班時間]]=0,"否","是")</f>
        <v>是</v>
      </c>
      <c r="O2411" t="s">
        <v>76</v>
      </c>
      <c r="P2411" s="38">
        <v>0.75016307889999989</v>
      </c>
      <c r="Q2411" s="38">
        <v>0.7451000000000001</v>
      </c>
      <c r="R2411" s="38">
        <v>0.79010000000000002</v>
      </c>
    </row>
    <row r="2412" spans="1:18" hidden="1">
      <c r="A2412" t="s">
        <v>76</v>
      </c>
      <c r="B2412" t="s">
        <v>40</v>
      </c>
      <c r="C2412">
        <v>0.15</v>
      </c>
      <c r="D2412">
        <v>0.52</v>
      </c>
      <c r="E2412" s="29">
        <v>0.2884615385</v>
      </c>
      <c r="F2412">
        <v>8.49</v>
      </c>
      <c r="G2412">
        <v>1.47</v>
      </c>
      <c r="H2412">
        <v>9.9600000000000009</v>
      </c>
      <c r="I2412" s="29">
        <v>0.85239999999999994</v>
      </c>
      <c r="J2412" s="29">
        <v>1.5100000000000001E-2</v>
      </c>
      <c r="K2412" s="9">
        <v>45352</v>
      </c>
      <c r="L2412">
        <f xml:space="preserve"> (交易處理資料__3[[#This Row],[售出工時]] * 60) / 5</f>
        <v>1.8</v>
      </c>
      <c r="M2412" t="str">
        <f>VLOOKUP(交易處理資料__3[[#This Row],[人員代號]],團隊分組!$B$1:$C$52,2,FALSE)</f>
        <v>查修團隊A</v>
      </c>
      <c r="N2412" t="str">
        <f>IF(交易處理資料__3[[#This Row],[上班時間]]=0,"否","是")</f>
        <v>是</v>
      </c>
      <c r="O2412" t="s">
        <v>76</v>
      </c>
      <c r="P2412" s="37">
        <v>0.2884615385</v>
      </c>
      <c r="Q2412" s="37">
        <v>1.5100000000000001E-2</v>
      </c>
      <c r="R2412" s="37">
        <v>0.85239999999999994</v>
      </c>
    </row>
    <row r="2413" spans="1:18" hidden="1">
      <c r="A2413" t="s">
        <v>76</v>
      </c>
      <c r="B2413" t="s">
        <v>42</v>
      </c>
      <c r="C2413">
        <v>9.5</v>
      </c>
      <c r="D2413">
        <v>5.32</v>
      </c>
      <c r="E2413" s="29">
        <v>1.7857142859999999</v>
      </c>
      <c r="F2413">
        <v>7.27</v>
      </c>
      <c r="G2413">
        <v>0.56999999999999995</v>
      </c>
      <c r="H2413">
        <v>7.84</v>
      </c>
      <c r="I2413" s="29">
        <v>0.92730000000000001</v>
      </c>
      <c r="J2413" s="29">
        <v>1.2117</v>
      </c>
      <c r="K2413" s="9">
        <v>45352</v>
      </c>
      <c r="L2413">
        <f xml:space="preserve"> (交易處理資料__3[[#This Row],[售出工時]] * 60) / 5</f>
        <v>114</v>
      </c>
      <c r="M2413" t="str">
        <f>VLOOKUP(交易處理資料__3[[#This Row],[人員代號]],團隊分組!$B$1:$C$52,2,FALSE)</f>
        <v>快速保養團隊A</v>
      </c>
      <c r="N2413" t="str">
        <f>IF(交易處理資料__3[[#This Row],[上班時間]]=0,"否","是")</f>
        <v>是</v>
      </c>
      <c r="O2413" t="s">
        <v>76</v>
      </c>
      <c r="P2413" s="38">
        <v>1.7857142859999999</v>
      </c>
      <c r="Q2413" s="38">
        <v>1.2117</v>
      </c>
      <c r="R2413" s="38">
        <v>0.92730000000000001</v>
      </c>
    </row>
    <row r="2414" spans="1:18" hidden="1">
      <c r="A2414" t="s">
        <v>76</v>
      </c>
      <c r="B2414" t="s">
        <v>45</v>
      </c>
      <c r="C2414">
        <v>9.1966666670000006</v>
      </c>
      <c r="D2414">
        <v>6.76</v>
      </c>
      <c r="E2414" s="29">
        <v>1.3604536490000001</v>
      </c>
      <c r="F2414">
        <v>7.63</v>
      </c>
      <c r="G2414">
        <v>0.13</v>
      </c>
      <c r="H2414">
        <v>7.76</v>
      </c>
      <c r="I2414" s="29">
        <v>0.98319999999999996</v>
      </c>
      <c r="J2414" s="29">
        <v>1.1851</v>
      </c>
      <c r="K2414" s="9">
        <v>45352</v>
      </c>
      <c r="L2414">
        <f xml:space="preserve"> (交易處理資料__3[[#This Row],[售出工時]] * 60) / 5</f>
        <v>110.36000000400001</v>
      </c>
      <c r="M2414" t="str">
        <f>VLOOKUP(交易處理資料__3[[#This Row],[人員代號]],團隊分組!$B$1:$C$52,2,FALSE)</f>
        <v>快速保養團隊A</v>
      </c>
      <c r="N2414" t="str">
        <f>IF(交易處理資料__3[[#This Row],[上班時間]]=0,"否","是")</f>
        <v>是</v>
      </c>
      <c r="O2414" t="s">
        <v>76</v>
      </c>
      <c r="P2414" s="37">
        <v>1.3604536490000001</v>
      </c>
      <c r="Q2414" s="37">
        <v>1.1851</v>
      </c>
      <c r="R2414" s="37">
        <v>0.98319999999999996</v>
      </c>
    </row>
    <row r="2415" spans="1:18" hidden="1">
      <c r="A2415" t="s">
        <v>76</v>
      </c>
      <c r="B2415" t="s">
        <v>47</v>
      </c>
      <c r="C2415">
        <v>0</v>
      </c>
      <c r="D2415">
        <v>0</v>
      </c>
      <c r="E2415" s="29">
        <v>0</v>
      </c>
      <c r="F2415">
        <v>6.47</v>
      </c>
      <c r="G2415">
        <v>1.8</v>
      </c>
      <c r="H2415">
        <v>8.27</v>
      </c>
      <c r="I2415" s="29">
        <v>0.7823</v>
      </c>
      <c r="J2415" s="29">
        <v>0</v>
      </c>
      <c r="K2415" s="9">
        <v>45352</v>
      </c>
      <c r="L2415">
        <f xml:space="preserve"> (交易處理資料__3[[#This Row],[售出工時]] * 60) / 5</f>
        <v>0</v>
      </c>
      <c r="M2415" t="str">
        <f>VLOOKUP(交易處理資料__3[[#This Row],[人員代號]],團隊分組!$B$1:$C$52,2,FALSE)</f>
        <v>查修團隊B</v>
      </c>
      <c r="N2415" t="str">
        <f>IF(交易處理資料__3[[#This Row],[上班時間]]=0,"否","是")</f>
        <v>是</v>
      </c>
      <c r="O2415" t="s">
        <v>76</v>
      </c>
      <c r="P2415" s="38">
        <v>0</v>
      </c>
      <c r="Q2415" s="38">
        <v>0</v>
      </c>
      <c r="R2415" s="38">
        <v>0.7823</v>
      </c>
    </row>
    <row r="2416" spans="1:18" hidden="1">
      <c r="A2416" t="s">
        <v>76</v>
      </c>
      <c r="B2416" t="s">
        <v>48</v>
      </c>
      <c r="C2416">
        <v>0</v>
      </c>
      <c r="D2416">
        <v>0</v>
      </c>
      <c r="E2416" s="29">
        <v>0</v>
      </c>
      <c r="F2416">
        <v>5.6</v>
      </c>
      <c r="G2416">
        <v>2.5099999999999998</v>
      </c>
      <c r="H2416">
        <v>8.11</v>
      </c>
      <c r="I2416" s="29">
        <v>0.6905</v>
      </c>
      <c r="J2416" s="29">
        <v>0</v>
      </c>
      <c r="K2416" s="9">
        <v>45352</v>
      </c>
      <c r="L2416">
        <f xml:space="preserve"> (交易處理資料__3[[#This Row],[售出工時]] * 60) / 5</f>
        <v>0</v>
      </c>
      <c r="M2416" t="str">
        <f>VLOOKUP(交易處理資料__3[[#This Row],[人員代號]],團隊分組!$B$1:$C$52,2,FALSE)</f>
        <v>查修團隊A</v>
      </c>
      <c r="N2416" t="str">
        <f>IF(交易處理資料__3[[#This Row],[上班時間]]=0,"否","是")</f>
        <v>是</v>
      </c>
      <c r="O2416" t="s">
        <v>76</v>
      </c>
      <c r="P2416" s="37">
        <v>0</v>
      </c>
      <c r="Q2416" s="37">
        <v>0</v>
      </c>
      <c r="R2416" s="37">
        <v>0.6905</v>
      </c>
    </row>
    <row r="2417" spans="1:18" hidden="1">
      <c r="A2417" t="s">
        <v>76</v>
      </c>
      <c r="B2417" t="s">
        <v>49</v>
      </c>
      <c r="C2417">
        <v>2.44</v>
      </c>
      <c r="D2417">
        <v>6.27</v>
      </c>
      <c r="E2417" s="29">
        <v>0.38915470489999998</v>
      </c>
      <c r="F2417">
        <v>8.18</v>
      </c>
      <c r="G2417">
        <v>0.35</v>
      </c>
      <c r="H2417">
        <v>8.5299999999999994</v>
      </c>
      <c r="I2417" s="29">
        <v>0.95900000000000007</v>
      </c>
      <c r="J2417" s="29">
        <v>0.28600000000000003</v>
      </c>
      <c r="K2417" s="9">
        <v>45352</v>
      </c>
      <c r="L2417">
        <f xml:space="preserve"> (交易處理資料__3[[#This Row],[售出工時]] * 60) / 5</f>
        <v>29.28</v>
      </c>
      <c r="M2417" t="str">
        <f>VLOOKUP(交易處理資料__3[[#This Row],[人員代號]],團隊分組!$B$1:$C$52,2,FALSE)</f>
        <v>查修團隊A</v>
      </c>
      <c r="N2417" t="str">
        <f>IF(交易處理資料__3[[#This Row],[上班時間]]=0,"否","是")</f>
        <v>是</v>
      </c>
      <c r="O2417" t="s">
        <v>76</v>
      </c>
      <c r="P2417" s="38">
        <v>0.38915470489999998</v>
      </c>
      <c r="Q2417" s="38">
        <v>0.28600000000000003</v>
      </c>
      <c r="R2417" s="38">
        <v>0.95900000000000007</v>
      </c>
    </row>
    <row r="2418" spans="1:18" hidden="1">
      <c r="A2418" t="s">
        <v>76</v>
      </c>
      <c r="B2418" t="s">
        <v>50</v>
      </c>
      <c r="C2418">
        <v>16.873333330000001</v>
      </c>
      <c r="D2418">
        <v>7.15</v>
      </c>
      <c r="E2418" s="29">
        <v>2.3599067599999999</v>
      </c>
      <c r="F2418">
        <v>7.93</v>
      </c>
      <c r="G2418">
        <v>0.08</v>
      </c>
      <c r="H2418">
        <v>8.01</v>
      </c>
      <c r="I2418" s="29">
        <v>0.99</v>
      </c>
      <c r="J2418" s="29">
        <v>2.1065</v>
      </c>
      <c r="K2418" s="9">
        <v>45352</v>
      </c>
      <c r="L2418">
        <f xml:space="preserve"> (交易處理資料__3[[#This Row],[售出工時]] * 60) / 5</f>
        <v>202.47999996000001</v>
      </c>
      <c r="M2418" t="str">
        <f>VLOOKUP(交易處理資料__3[[#This Row],[人員代號]],團隊分組!$B$1:$C$52,2,FALSE)</f>
        <v>快速保養團隊B</v>
      </c>
      <c r="N2418" t="str">
        <f>IF(交易處理資料__3[[#This Row],[上班時間]]=0,"否","是")</f>
        <v>是</v>
      </c>
      <c r="O2418" t="s">
        <v>76</v>
      </c>
      <c r="P2418" s="37">
        <v>2.3599067599999999</v>
      </c>
      <c r="Q2418" s="37">
        <v>2.1065</v>
      </c>
      <c r="R2418" s="37">
        <v>0.99</v>
      </c>
    </row>
    <row r="2419" spans="1:18" hidden="1">
      <c r="A2419" t="s">
        <v>76</v>
      </c>
      <c r="B2419" t="s">
        <v>51</v>
      </c>
      <c r="C2419">
        <v>0</v>
      </c>
      <c r="D2419">
        <v>0</v>
      </c>
      <c r="E2419" s="29">
        <v>0</v>
      </c>
      <c r="F2419">
        <v>0</v>
      </c>
      <c r="G2419">
        <v>0</v>
      </c>
      <c r="H2419">
        <v>0</v>
      </c>
      <c r="I2419" s="29">
        <v>0</v>
      </c>
      <c r="J2419" s="29">
        <v>0</v>
      </c>
      <c r="K2419" s="9">
        <v>45352</v>
      </c>
      <c r="L2419">
        <f xml:space="preserve"> (交易處理資料__3[[#This Row],[售出工時]] * 60) / 5</f>
        <v>0</v>
      </c>
      <c r="M2419" t="str">
        <f>VLOOKUP(交易處理資料__3[[#This Row],[人員代號]],團隊分組!$B$1:$C$52,2,FALSE)</f>
        <v>無效數據</v>
      </c>
      <c r="N2419" t="str">
        <f>IF(交易處理資料__3[[#This Row],[上班時間]]=0,"否","是")</f>
        <v>否</v>
      </c>
      <c r="O2419" t="s">
        <v>76</v>
      </c>
      <c r="P2419" s="38">
        <v>0</v>
      </c>
      <c r="Q2419" s="38">
        <v>0</v>
      </c>
      <c r="R2419" s="38">
        <v>0</v>
      </c>
    </row>
    <row r="2420" spans="1:18" hidden="1">
      <c r="A2420" t="s">
        <v>76</v>
      </c>
      <c r="B2420" t="s">
        <v>53</v>
      </c>
      <c r="C2420">
        <v>17.256666670000001</v>
      </c>
      <c r="D2420">
        <v>9.9600000000000009</v>
      </c>
      <c r="E2420" s="29">
        <v>1.7325970550000001</v>
      </c>
      <c r="F2420">
        <v>9.7100000000000009</v>
      </c>
      <c r="G2420">
        <v>0.28999999999999998</v>
      </c>
      <c r="H2420">
        <v>10</v>
      </c>
      <c r="I2420" s="29">
        <v>0.97099999999999997</v>
      </c>
      <c r="J2420" s="29">
        <v>1.7257</v>
      </c>
      <c r="K2420" s="9">
        <v>45352</v>
      </c>
      <c r="L2420">
        <f xml:space="preserve"> (交易處理資料__3[[#This Row],[售出工時]] * 60) / 5</f>
        <v>207.08000004000002</v>
      </c>
      <c r="M2420" t="str">
        <f>VLOOKUP(交易處理資料__3[[#This Row],[人員代號]],團隊分組!$B$1:$C$52,2,FALSE)</f>
        <v>查修團隊A</v>
      </c>
      <c r="N2420" t="str">
        <f>IF(交易處理資料__3[[#This Row],[上班時間]]=0,"否","是")</f>
        <v>是</v>
      </c>
      <c r="O2420" t="s">
        <v>76</v>
      </c>
      <c r="P2420" s="37">
        <v>1.7325970550000001</v>
      </c>
      <c r="Q2420" s="37">
        <v>1.7257</v>
      </c>
      <c r="R2420" s="37">
        <v>0.97099999999999997</v>
      </c>
    </row>
    <row r="2421" spans="1:18" hidden="1">
      <c r="A2421" s="10" t="s">
        <v>74</v>
      </c>
      <c r="B2421" t="s">
        <v>1</v>
      </c>
      <c r="C2421">
        <v>0</v>
      </c>
      <c r="D2421">
        <v>0</v>
      </c>
      <c r="E2421" s="29">
        <v>0</v>
      </c>
      <c r="F2421">
        <v>7.42</v>
      </c>
      <c r="G2421">
        <v>0.57999999999999996</v>
      </c>
      <c r="H2421">
        <v>8</v>
      </c>
      <c r="I2421" s="29">
        <v>0.92749999999999999</v>
      </c>
      <c r="J2421" s="29">
        <v>0</v>
      </c>
      <c r="K2421" s="9">
        <v>45353</v>
      </c>
      <c r="L2421">
        <f xml:space="preserve"> (交易處理資料__3[[#This Row],[售出工時]] * 60) / 5</f>
        <v>0</v>
      </c>
      <c r="M2421" t="str">
        <f>VLOOKUP(交易處理資料__3[[#This Row],[人員代號]],團隊分組!$B$1:$C$52,2,FALSE)</f>
        <v>噴漆維修組</v>
      </c>
      <c r="N2421" t="str">
        <f>IF(交易處理資料__3[[#This Row],[上班時間]]=0,"否","是")</f>
        <v>是</v>
      </c>
      <c r="O2421" s="10" t="s">
        <v>74</v>
      </c>
      <c r="P2421" s="38">
        <v>0</v>
      </c>
      <c r="Q2421" s="38">
        <v>0</v>
      </c>
      <c r="R2421" s="38">
        <v>0.92749999999999999</v>
      </c>
    </row>
    <row r="2422" spans="1:18" hidden="1">
      <c r="A2422" s="10" t="s">
        <v>74</v>
      </c>
      <c r="B2422" t="s">
        <v>2</v>
      </c>
      <c r="C2422">
        <v>0</v>
      </c>
      <c r="D2422">
        <v>0</v>
      </c>
      <c r="E2422" s="29">
        <v>0</v>
      </c>
      <c r="F2422">
        <v>0</v>
      </c>
      <c r="G2422">
        <v>0</v>
      </c>
      <c r="H2422">
        <v>0</v>
      </c>
      <c r="I2422" s="29">
        <v>0</v>
      </c>
      <c r="J2422" s="29">
        <v>0</v>
      </c>
      <c r="K2422" s="9">
        <v>45353</v>
      </c>
      <c r="L2422">
        <f xml:space="preserve"> (交易處理資料__3[[#This Row],[售出工時]] * 60) / 5</f>
        <v>0</v>
      </c>
      <c r="M2422" t="str">
        <f>VLOOKUP(交易處理資料__3[[#This Row],[人員代號]],團隊分組!$B$1:$C$52,2,FALSE)</f>
        <v>噴漆維修組</v>
      </c>
      <c r="N2422" t="str">
        <f>IF(交易處理資料__3[[#This Row],[上班時間]]=0,"否","是")</f>
        <v>否</v>
      </c>
      <c r="O2422" s="10" t="s">
        <v>74</v>
      </c>
      <c r="P2422" s="37">
        <v>0</v>
      </c>
      <c r="Q2422" s="37">
        <v>0</v>
      </c>
      <c r="R2422" s="37">
        <v>0</v>
      </c>
    </row>
    <row r="2423" spans="1:18" hidden="1">
      <c r="A2423" s="10" t="s">
        <v>74</v>
      </c>
      <c r="B2423" t="s">
        <v>3</v>
      </c>
      <c r="C2423">
        <v>0</v>
      </c>
      <c r="D2423">
        <v>0</v>
      </c>
      <c r="E2423" s="29">
        <v>0</v>
      </c>
      <c r="F2423">
        <v>0</v>
      </c>
      <c r="G2423">
        <v>0</v>
      </c>
      <c r="H2423">
        <v>0</v>
      </c>
      <c r="I2423" s="29">
        <v>0</v>
      </c>
      <c r="J2423" s="29">
        <v>0</v>
      </c>
      <c r="K2423" s="9">
        <v>45353</v>
      </c>
      <c r="L2423">
        <f xml:space="preserve"> (交易處理資料__3[[#This Row],[售出工時]] * 60) / 5</f>
        <v>0</v>
      </c>
      <c r="M2423" t="str">
        <f>VLOOKUP(交易處理資料__3[[#This Row],[人員代號]],團隊分組!$B$1:$C$52,2,FALSE)</f>
        <v>噴漆維修組</v>
      </c>
      <c r="N2423" t="str">
        <f>IF(交易處理資料__3[[#This Row],[上班時間]]=0,"否","是")</f>
        <v>否</v>
      </c>
      <c r="O2423" s="10" t="s">
        <v>74</v>
      </c>
      <c r="P2423" s="38">
        <v>0</v>
      </c>
      <c r="Q2423" s="38">
        <v>0</v>
      </c>
      <c r="R2423" s="38">
        <v>0</v>
      </c>
    </row>
    <row r="2424" spans="1:18" hidden="1">
      <c r="A2424" s="10" t="s">
        <v>74</v>
      </c>
      <c r="B2424" t="s">
        <v>4</v>
      </c>
      <c r="C2424">
        <v>0</v>
      </c>
      <c r="D2424">
        <v>0</v>
      </c>
      <c r="E2424" s="29">
        <v>0</v>
      </c>
      <c r="F2424">
        <v>0</v>
      </c>
      <c r="G2424">
        <v>0</v>
      </c>
      <c r="H2424">
        <v>0</v>
      </c>
      <c r="I2424" s="29">
        <v>0</v>
      </c>
      <c r="J2424" s="29">
        <v>0</v>
      </c>
      <c r="K2424" s="9">
        <v>45353</v>
      </c>
      <c r="L2424">
        <f xml:space="preserve"> (交易處理資料__3[[#This Row],[售出工時]] * 60) / 5</f>
        <v>0</v>
      </c>
      <c r="M2424" t="str">
        <f>VLOOKUP(交易處理資料__3[[#This Row],[人員代號]],團隊分組!$B$1:$C$52,2,FALSE)</f>
        <v>噴漆維修組</v>
      </c>
      <c r="N2424" t="str">
        <f>IF(交易處理資料__3[[#This Row],[上班時間]]=0,"否","是")</f>
        <v>否</v>
      </c>
      <c r="O2424" s="10" t="s">
        <v>74</v>
      </c>
      <c r="P2424" s="37">
        <v>0</v>
      </c>
      <c r="Q2424" s="37">
        <v>0</v>
      </c>
      <c r="R2424" s="37">
        <v>0</v>
      </c>
    </row>
    <row r="2425" spans="1:18" hidden="1">
      <c r="A2425" s="10" t="s">
        <v>74</v>
      </c>
      <c r="B2425" t="s">
        <v>5</v>
      </c>
      <c r="C2425">
        <v>0</v>
      </c>
      <c r="D2425">
        <v>0</v>
      </c>
      <c r="E2425" s="29">
        <v>0</v>
      </c>
      <c r="F2425">
        <v>0</v>
      </c>
      <c r="G2425">
        <v>0</v>
      </c>
      <c r="H2425">
        <v>0</v>
      </c>
      <c r="I2425" s="29">
        <v>0</v>
      </c>
      <c r="J2425" s="29">
        <v>0</v>
      </c>
      <c r="K2425" s="9">
        <v>45353</v>
      </c>
      <c r="L2425">
        <f xml:space="preserve"> (交易處理資料__3[[#This Row],[售出工時]] * 60) / 5</f>
        <v>0</v>
      </c>
      <c r="M2425" t="str">
        <f>VLOOKUP(交易處理資料__3[[#This Row],[人員代號]],團隊分組!$B$1:$C$52,2,FALSE)</f>
        <v>噴漆維修組</v>
      </c>
      <c r="N2425" t="str">
        <f>IF(交易處理資料__3[[#This Row],[上班時間]]=0,"否","是")</f>
        <v>否</v>
      </c>
      <c r="O2425" s="10" t="s">
        <v>74</v>
      </c>
      <c r="P2425" s="38">
        <v>0</v>
      </c>
      <c r="Q2425" s="38">
        <v>0</v>
      </c>
      <c r="R2425" s="38">
        <v>0</v>
      </c>
    </row>
    <row r="2426" spans="1:18" hidden="1">
      <c r="A2426" s="10" t="s">
        <v>74</v>
      </c>
      <c r="B2426" t="s">
        <v>6</v>
      </c>
      <c r="C2426">
        <v>0</v>
      </c>
      <c r="D2426">
        <v>0</v>
      </c>
      <c r="E2426" s="29">
        <v>0</v>
      </c>
      <c r="F2426">
        <v>0</v>
      </c>
      <c r="G2426">
        <v>0</v>
      </c>
      <c r="H2426">
        <v>0</v>
      </c>
      <c r="I2426" s="29">
        <v>0</v>
      </c>
      <c r="J2426" s="29">
        <v>0</v>
      </c>
      <c r="K2426" s="9">
        <v>45353</v>
      </c>
      <c r="L2426">
        <f xml:space="preserve"> (交易處理資料__3[[#This Row],[售出工時]] * 60) / 5</f>
        <v>0</v>
      </c>
      <c r="M2426" t="str">
        <f>VLOOKUP(交易處理資料__3[[#This Row],[人員代號]],團隊分組!$B$1:$C$52,2,FALSE)</f>
        <v>噴漆維修組</v>
      </c>
      <c r="N2426" t="str">
        <f>IF(交易處理資料__3[[#This Row],[上班時間]]=0,"否","是")</f>
        <v>否</v>
      </c>
      <c r="O2426" s="10" t="s">
        <v>74</v>
      </c>
      <c r="P2426" s="37">
        <v>0</v>
      </c>
      <c r="Q2426" s="37">
        <v>0</v>
      </c>
      <c r="R2426" s="37">
        <v>0</v>
      </c>
    </row>
    <row r="2427" spans="1:18">
      <c r="A2427" s="10" t="s">
        <v>74</v>
      </c>
      <c r="B2427" t="s">
        <v>7</v>
      </c>
      <c r="C2427">
        <v>0</v>
      </c>
      <c r="D2427">
        <v>0</v>
      </c>
      <c r="E2427" s="29">
        <v>0</v>
      </c>
      <c r="F2427">
        <v>0</v>
      </c>
      <c r="G2427">
        <v>0</v>
      </c>
      <c r="H2427">
        <v>0</v>
      </c>
      <c r="I2427" s="29">
        <v>0</v>
      </c>
      <c r="J2427" s="29">
        <v>0</v>
      </c>
      <c r="K2427" s="9">
        <v>45353</v>
      </c>
      <c r="L2427">
        <f xml:space="preserve"> (交易處理資料__3[[#This Row],[售出工時]] * 60) / 5</f>
        <v>0</v>
      </c>
      <c r="M2427" t="str">
        <f>VLOOKUP(交易處理資料__3[[#This Row],[人員代號]],團隊分組!$B$1:$C$52,2,FALSE)</f>
        <v>噴漆維修組</v>
      </c>
      <c r="N2427" t="str">
        <f>IF(交易處理資料__3[[#This Row],[上班時間]]=0,"否","是")</f>
        <v>否</v>
      </c>
      <c r="O2427" s="10" t="s">
        <v>74</v>
      </c>
      <c r="P2427" s="38">
        <v>0</v>
      </c>
      <c r="Q2427" s="38">
        <v>0</v>
      </c>
      <c r="R2427" s="38">
        <v>0</v>
      </c>
    </row>
    <row r="2428" spans="1:18" hidden="1">
      <c r="A2428" s="10" t="s">
        <v>74</v>
      </c>
      <c r="B2428" t="s">
        <v>8</v>
      </c>
      <c r="C2428">
        <v>0</v>
      </c>
      <c r="D2428">
        <v>0</v>
      </c>
      <c r="E2428" s="29">
        <v>0</v>
      </c>
      <c r="F2428">
        <v>0</v>
      </c>
      <c r="G2428">
        <v>0</v>
      </c>
      <c r="H2428">
        <v>0</v>
      </c>
      <c r="I2428" s="29">
        <v>0</v>
      </c>
      <c r="J2428" s="29">
        <v>0</v>
      </c>
      <c r="K2428" s="9">
        <v>45353</v>
      </c>
      <c r="L2428">
        <f xml:space="preserve"> (交易處理資料__3[[#This Row],[售出工時]] * 60) / 5</f>
        <v>0</v>
      </c>
      <c r="M2428" t="str">
        <f>VLOOKUP(交易處理資料__3[[#This Row],[人員代號]],團隊分組!$B$1:$C$52,2,FALSE)</f>
        <v>噴漆維修組</v>
      </c>
      <c r="N2428" t="str">
        <f>IF(交易處理資料__3[[#This Row],[上班時間]]=0,"否","是")</f>
        <v>否</v>
      </c>
      <c r="O2428" s="10" t="s">
        <v>74</v>
      </c>
      <c r="P2428" s="37">
        <v>0</v>
      </c>
      <c r="Q2428" s="37">
        <v>0</v>
      </c>
      <c r="R2428" s="37">
        <v>0</v>
      </c>
    </row>
    <row r="2429" spans="1:18" hidden="1">
      <c r="A2429" s="10" t="s">
        <v>74</v>
      </c>
      <c r="B2429" t="s">
        <v>9</v>
      </c>
      <c r="C2429">
        <v>0</v>
      </c>
      <c r="D2429">
        <v>0</v>
      </c>
      <c r="E2429" s="29">
        <v>0</v>
      </c>
      <c r="F2429">
        <v>7.48</v>
      </c>
      <c r="G2429">
        <v>0.6</v>
      </c>
      <c r="H2429">
        <v>8.08</v>
      </c>
      <c r="I2429" s="29">
        <v>0.92569999999999997</v>
      </c>
      <c r="J2429" s="29">
        <v>0</v>
      </c>
      <c r="K2429" s="9">
        <v>45353</v>
      </c>
      <c r="L2429">
        <f xml:space="preserve"> (交易處理資料__3[[#This Row],[售出工時]] * 60) / 5</f>
        <v>0</v>
      </c>
      <c r="M2429" t="str">
        <f>VLOOKUP(交易處理資料__3[[#This Row],[人員代號]],團隊分組!$B$1:$C$52,2,FALSE)</f>
        <v>噴漆維修組</v>
      </c>
      <c r="N2429" t="str">
        <f>IF(交易處理資料__3[[#This Row],[上班時間]]=0,"否","是")</f>
        <v>是</v>
      </c>
      <c r="O2429" s="10" t="s">
        <v>74</v>
      </c>
      <c r="P2429" s="38">
        <v>0</v>
      </c>
      <c r="Q2429" s="38">
        <v>0</v>
      </c>
      <c r="R2429" s="38">
        <v>0.92569999999999997</v>
      </c>
    </row>
    <row r="2430" spans="1:18" hidden="1">
      <c r="A2430" t="s">
        <v>75</v>
      </c>
      <c r="B2430" t="s">
        <v>11</v>
      </c>
      <c r="C2430">
        <v>0</v>
      </c>
      <c r="D2430">
        <v>0</v>
      </c>
      <c r="E2430" s="29">
        <v>0</v>
      </c>
      <c r="F2430">
        <v>0</v>
      </c>
      <c r="G2430">
        <v>0</v>
      </c>
      <c r="H2430">
        <v>0</v>
      </c>
      <c r="I2430" s="29">
        <v>0</v>
      </c>
      <c r="J2430" s="29">
        <v>0</v>
      </c>
      <c r="K2430" s="9">
        <v>45353</v>
      </c>
      <c r="L2430">
        <f xml:space="preserve"> (交易處理資料__3[[#This Row],[售出工時]] * 60) / 5</f>
        <v>0</v>
      </c>
      <c r="M2430" t="str">
        <f>VLOOKUP(交易處理資料__3[[#This Row],[人員代號]],團隊分組!$B$1:$C$52,2,FALSE)</f>
        <v>鈑金維修組</v>
      </c>
      <c r="N2430" t="str">
        <f>IF(交易處理資料__3[[#This Row],[上班時間]]=0,"否","是")</f>
        <v>否</v>
      </c>
      <c r="O2430" t="s">
        <v>75</v>
      </c>
      <c r="P2430" s="37">
        <v>0</v>
      </c>
      <c r="Q2430" s="37">
        <v>0</v>
      </c>
      <c r="R2430" s="37">
        <v>0</v>
      </c>
    </row>
    <row r="2431" spans="1:18" hidden="1">
      <c r="A2431" t="s">
        <v>75</v>
      </c>
      <c r="B2431" t="s">
        <v>12</v>
      </c>
      <c r="C2431">
        <v>0</v>
      </c>
      <c r="D2431">
        <v>0</v>
      </c>
      <c r="E2431" s="29">
        <v>0</v>
      </c>
      <c r="F2431">
        <v>8.0299999999999994</v>
      </c>
      <c r="G2431">
        <v>0.04</v>
      </c>
      <c r="H2431">
        <v>8.07</v>
      </c>
      <c r="I2431" s="29">
        <v>0.995</v>
      </c>
      <c r="J2431" s="29">
        <v>0</v>
      </c>
      <c r="K2431" s="9">
        <v>45353</v>
      </c>
      <c r="L2431">
        <f xml:space="preserve"> (交易處理資料__3[[#This Row],[售出工時]] * 60) / 5</f>
        <v>0</v>
      </c>
      <c r="M2431" t="str">
        <f>VLOOKUP(交易處理資料__3[[#This Row],[人員代號]],團隊分組!$B$1:$C$52,2,FALSE)</f>
        <v>鈑金維修組</v>
      </c>
      <c r="N2431" t="str">
        <f>IF(交易處理資料__3[[#This Row],[上班時間]]=0,"否","是")</f>
        <v>是</v>
      </c>
      <c r="O2431" t="s">
        <v>75</v>
      </c>
      <c r="P2431" s="38">
        <v>0</v>
      </c>
      <c r="Q2431" s="38">
        <v>0</v>
      </c>
      <c r="R2431" s="38">
        <v>0.995</v>
      </c>
    </row>
    <row r="2432" spans="1:18" hidden="1">
      <c r="A2432" t="s">
        <v>75</v>
      </c>
      <c r="B2432" t="s">
        <v>13</v>
      </c>
      <c r="C2432">
        <v>0.33333333300000001</v>
      </c>
      <c r="D2432">
        <v>0.04</v>
      </c>
      <c r="E2432" s="29">
        <v>8.3333333330000006</v>
      </c>
      <c r="F2432">
        <v>5.32</v>
      </c>
      <c r="G2432">
        <v>2.76</v>
      </c>
      <c r="H2432">
        <v>8.08</v>
      </c>
      <c r="I2432" s="29">
        <v>0.65839999999999999</v>
      </c>
      <c r="J2432" s="29">
        <v>4.1299999999999996E-2</v>
      </c>
      <c r="K2432" s="9">
        <v>45353</v>
      </c>
      <c r="L2432">
        <f xml:space="preserve"> (交易處理資料__3[[#This Row],[售出工時]] * 60) / 5</f>
        <v>3.9999999960000006</v>
      </c>
      <c r="M2432" t="str">
        <f>VLOOKUP(交易處理資料__3[[#This Row],[人員代號]],團隊分組!$B$1:$C$52,2,FALSE)</f>
        <v>鈑金維修組</v>
      </c>
      <c r="N2432" t="str">
        <f>IF(交易處理資料__3[[#This Row],[上班時間]]=0,"否","是")</f>
        <v>是</v>
      </c>
      <c r="O2432" t="s">
        <v>75</v>
      </c>
      <c r="P2432" s="37">
        <v>8.3333333330000006</v>
      </c>
      <c r="Q2432" s="37">
        <v>4.1299999999999996E-2</v>
      </c>
      <c r="R2432" s="37">
        <v>0.65839999999999999</v>
      </c>
    </row>
    <row r="2433" spans="1:18" hidden="1">
      <c r="A2433" t="s">
        <v>75</v>
      </c>
      <c r="B2433" t="s">
        <v>14</v>
      </c>
      <c r="C2433">
        <v>0</v>
      </c>
      <c r="D2433">
        <v>0</v>
      </c>
      <c r="E2433" s="29">
        <v>0</v>
      </c>
      <c r="F2433">
        <v>0</v>
      </c>
      <c r="G2433">
        <v>0</v>
      </c>
      <c r="H2433">
        <v>0</v>
      </c>
      <c r="I2433" s="29">
        <v>0</v>
      </c>
      <c r="J2433" s="29">
        <v>0</v>
      </c>
      <c r="K2433" s="9">
        <v>45353</v>
      </c>
      <c r="L2433">
        <f xml:space="preserve"> (交易處理資料__3[[#This Row],[售出工時]] * 60) / 5</f>
        <v>0</v>
      </c>
      <c r="M2433" t="str">
        <f>VLOOKUP(交易處理資料__3[[#This Row],[人員代號]],團隊分組!$B$1:$C$52,2,FALSE)</f>
        <v>鈑金維修組</v>
      </c>
      <c r="N2433" t="str">
        <f>IF(交易處理資料__3[[#This Row],[上班時間]]=0,"否","是")</f>
        <v>否</v>
      </c>
      <c r="O2433" t="s">
        <v>75</v>
      </c>
      <c r="P2433" s="38">
        <v>0</v>
      </c>
      <c r="Q2433" s="38">
        <v>0</v>
      </c>
      <c r="R2433" s="38">
        <v>0</v>
      </c>
    </row>
    <row r="2434" spans="1:18" hidden="1">
      <c r="A2434" t="s">
        <v>75</v>
      </c>
      <c r="B2434" t="s">
        <v>15</v>
      </c>
      <c r="C2434">
        <v>0</v>
      </c>
      <c r="D2434">
        <v>0</v>
      </c>
      <c r="E2434" s="29">
        <v>0</v>
      </c>
      <c r="F2434">
        <v>0</v>
      </c>
      <c r="G2434">
        <v>0</v>
      </c>
      <c r="H2434">
        <v>0</v>
      </c>
      <c r="I2434" s="29">
        <v>0</v>
      </c>
      <c r="J2434" s="29">
        <v>0</v>
      </c>
      <c r="K2434" s="9">
        <v>45353</v>
      </c>
      <c r="L2434">
        <f xml:space="preserve"> (交易處理資料__3[[#This Row],[售出工時]] * 60) / 5</f>
        <v>0</v>
      </c>
      <c r="M2434" t="str">
        <f>VLOOKUP(交易處理資料__3[[#This Row],[人員代號]],團隊分組!$B$1:$C$52,2,FALSE)</f>
        <v>鈑金維修組</v>
      </c>
      <c r="N2434" t="str">
        <f>IF(交易處理資料__3[[#This Row],[上班時間]]=0,"否","是")</f>
        <v>否</v>
      </c>
      <c r="O2434" t="s">
        <v>75</v>
      </c>
      <c r="P2434" s="37">
        <v>0</v>
      </c>
      <c r="Q2434" s="37">
        <v>0</v>
      </c>
      <c r="R2434" s="37">
        <v>0</v>
      </c>
    </row>
    <row r="2435" spans="1:18" hidden="1">
      <c r="A2435" t="s">
        <v>76</v>
      </c>
      <c r="B2435" t="s">
        <v>17</v>
      </c>
      <c r="C2435">
        <v>0</v>
      </c>
      <c r="D2435">
        <v>0</v>
      </c>
      <c r="E2435" s="29">
        <v>0</v>
      </c>
      <c r="F2435">
        <v>0</v>
      </c>
      <c r="G2435">
        <v>0</v>
      </c>
      <c r="H2435">
        <v>0</v>
      </c>
      <c r="I2435" s="29">
        <v>0</v>
      </c>
      <c r="J2435" s="29">
        <v>0</v>
      </c>
      <c r="K2435" s="9">
        <v>45353</v>
      </c>
      <c r="L2435">
        <f xml:space="preserve"> (交易處理資料__3[[#This Row],[售出工時]] * 60) / 5</f>
        <v>0</v>
      </c>
      <c r="M2435" t="str">
        <f>VLOOKUP(交易處理資料__3[[#This Row],[人員代號]],團隊分組!$B$1:$C$52,2,FALSE)</f>
        <v>快速保養團隊A</v>
      </c>
      <c r="N2435" t="str">
        <f>IF(交易處理資料__3[[#This Row],[上班時間]]=0,"否","是")</f>
        <v>否</v>
      </c>
      <c r="O2435" t="s">
        <v>76</v>
      </c>
      <c r="P2435" s="38">
        <v>0</v>
      </c>
      <c r="Q2435" s="38">
        <v>0</v>
      </c>
      <c r="R2435" s="38">
        <v>0</v>
      </c>
    </row>
    <row r="2436" spans="1:18" hidden="1">
      <c r="A2436" t="s">
        <v>76</v>
      </c>
      <c r="B2436" t="s">
        <v>18</v>
      </c>
      <c r="C2436">
        <v>0</v>
      </c>
      <c r="D2436">
        <v>0</v>
      </c>
      <c r="E2436" s="29">
        <v>0</v>
      </c>
      <c r="F2436">
        <v>0</v>
      </c>
      <c r="G2436">
        <v>0</v>
      </c>
      <c r="H2436">
        <v>0</v>
      </c>
      <c r="I2436" s="29">
        <v>0</v>
      </c>
      <c r="J2436" s="29">
        <v>0</v>
      </c>
      <c r="K2436" s="9">
        <v>45353</v>
      </c>
      <c r="L2436">
        <f xml:space="preserve"> (交易處理資料__3[[#This Row],[售出工時]] * 60) / 5</f>
        <v>0</v>
      </c>
      <c r="M2436" t="str">
        <f>VLOOKUP(交易處理資料__3[[#This Row],[人員代號]],團隊分組!$B$1:$C$52,2,FALSE)</f>
        <v>查修團隊B</v>
      </c>
      <c r="N2436" t="str">
        <f>IF(交易處理資料__3[[#This Row],[上班時間]]=0,"否","是")</f>
        <v>否</v>
      </c>
      <c r="O2436" t="s">
        <v>76</v>
      </c>
      <c r="P2436" s="37">
        <v>0</v>
      </c>
      <c r="Q2436" s="37">
        <v>0</v>
      </c>
      <c r="R2436" s="37">
        <v>0</v>
      </c>
    </row>
    <row r="2437" spans="1:18" hidden="1">
      <c r="A2437" t="s">
        <v>76</v>
      </c>
      <c r="B2437" t="s">
        <v>22</v>
      </c>
      <c r="C2437">
        <v>10.83333333</v>
      </c>
      <c r="D2437">
        <v>4.59</v>
      </c>
      <c r="E2437" s="29">
        <v>2.3602033410000001</v>
      </c>
      <c r="F2437">
        <v>6.26</v>
      </c>
      <c r="G2437">
        <v>1.83</v>
      </c>
      <c r="H2437">
        <v>8.09</v>
      </c>
      <c r="I2437" s="29">
        <v>0.77379999999999993</v>
      </c>
      <c r="J2437" s="29">
        <v>1.3391</v>
      </c>
      <c r="K2437" s="9">
        <v>45353</v>
      </c>
      <c r="L2437">
        <f xml:space="preserve"> (交易處理資料__3[[#This Row],[售出工時]] * 60) / 5</f>
        <v>129.99999996000003</v>
      </c>
      <c r="M2437" t="str">
        <f>VLOOKUP(交易處理資料__3[[#This Row],[人員代號]],團隊分組!$B$1:$C$52,2,FALSE)</f>
        <v>快速保養團隊A</v>
      </c>
      <c r="N2437" t="str">
        <f>IF(交易處理資料__3[[#This Row],[上班時間]]=0,"否","是")</f>
        <v>是</v>
      </c>
      <c r="O2437" t="s">
        <v>76</v>
      </c>
      <c r="P2437" s="38">
        <v>2.3602033410000001</v>
      </c>
      <c r="Q2437" s="38">
        <v>1.3391</v>
      </c>
      <c r="R2437" s="38">
        <v>0.77379999999999993</v>
      </c>
    </row>
    <row r="2438" spans="1:18" hidden="1">
      <c r="A2438" t="s">
        <v>76</v>
      </c>
      <c r="B2438" t="s">
        <v>24</v>
      </c>
      <c r="C2438">
        <v>0</v>
      </c>
      <c r="D2438">
        <v>0</v>
      </c>
      <c r="E2438" s="29">
        <v>0</v>
      </c>
      <c r="F2438">
        <v>0</v>
      </c>
      <c r="G2438">
        <v>0</v>
      </c>
      <c r="H2438">
        <v>0</v>
      </c>
      <c r="I2438" s="29">
        <v>0</v>
      </c>
      <c r="J2438" s="29">
        <v>0</v>
      </c>
      <c r="K2438" s="9">
        <v>45353</v>
      </c>
      <c r="L2438">
        <f xml:space="preserve"> (交易處理資料__3[[#This Row],[售出工時]] * 60) / 5</f>
        <v>0</v>
      </c>
      <c r="M2438" t="str">
        <f>VLOOKUP(交易處理資料__3[[#This Row],[人員代號]],團隊分組!$B$1:$C$52,2,FALSE)</f>
        <v>快速保養團隊A</v>
      </c>
      <c r="N2438" t="str">
        <f>IF(交易處理資料__3[[#This Row],[上班時間]]=0,"否","是")</f>
        <v>否</v>
      </c>
      <c r="O2438" t="s">
        <v>76</v>
      </c>
      <c r="P2438" s="37">
        <v>0</v>
      </c>
      <c r="Q2438" s="37">
        <v>0</v>
      </c>
      <c r="R2438" s="37">
        <v>0</v>
      </c>
    </row>
    <row r="2439" spans="1:18" hidden="1">
      <c r="A2439" t="s">
        <v>76</v>
      </c>
      <c r="B2439" t="s">
        <v>25</v>
      </c>
      <c r="C2439">
        <v>0</v>
      </c>
      <c r="D2439">
        <v>0</v>
      </c>
      <c r="E2439" s="29">
        <v>0</v>
      </c>
      <c r="F2439">
        <v>0</v>
      </c>
      <c r="G2439">
        <v>0</v>
      </c>
      <c r="H2439">
        <v>0</v>
      </c>
      <c r="I2439" s="29">
        <v>0</v>
      </c>
      <c r="J2439" s="29">
        <v>0</v>
      </c>
      <c r="K2439" s="9">
        <v>45353</v>
      </c>
      <c r="L2439">
        <f xml:space="preserve"> (交易處理資料__3[[#This Row],[售出工時]] * 60) / 5</f>
        <v>0</v>
      </c>
      <c r="M2439" t="str">
        <f>VLOOKUP(交易處理資料__3[[#This Row],[人員代號]],團隊分組!$B$1:$C$52,2,FALSE)</f>
        <v>查修團隊A</v>
      </c>
      <c r="N2439" t="str">
        <f>IF(交易處理資料__3[[#This Row],[上班時間]]=0,"否","是")</f>
        <v>否</v>
      </c>
      <c r="O2439" t="s">
        <v>76</v>
      </c>
      <c r="P2439" s="38">
        <v>0</v>
      </c>
      <c r="Q2439" s="38">
        <v>0</v>
      </c>
      <c r="R2439" s="38">
        <v>0</v>
      </c>
    </row>
    <row r="2440" spans="1:18" hidden="1">
      <c r="A2440" t="s">
        <v>76</v>
      </c>
      <c r="B2440" t="s">
        <v>26</v>
      </c>
      <c r="C2440">
        <v>2.5099999999999998</v>
      </c>
      <c r="D2440">
        <v>5.65</v>
      </c>
      <c r="E2440" s="29">
        <v>0.4442477876</v>
      </c>
      <c r="F2440">
        <v>3.05</v>
      </c>
      <c r="G2440">
        <v>5.0199999999999996</v>
      </c>
      <c r="H2440">
        <v>8.07</v>
      </c>
      <c r="I2440" s="29">
        <v>0.37790000000000001</v>
      </c>
      <c r="J2440" s="29">
        <v>0.311</v>
      </c>
      <c r="K2440" s="9">
        <v>45353</v>
      </c>
      <c r="L2440">
        <f xml:space="preserve"> (交易處理資料__3[[#This Row],[售出工時]] * 60) / 5</f>
        <v>30.119999999999997</v>
      </c>
      <c r="M2440" t="str">
        <f>VLOOKUP(交易處理資料__3[[#This Row],[人員代號]],團隊分組!$B$1:$C$52,2,FALSE)</f>
        <v>查修團隊B</v>
      </c>
      <c r="N2440" t="str">
        <f>IF(交易處理資料__3[[#This Row],[上班時間]]=0,"否","是")</f>
        <v>是</v>
      </c>
      <c r="O2440" t="s">
        <v>76</v>
      </c>
      <c r="P2440" s="37">
        <v>0.4442477876</v>
      </c>
      <c r="Q2440" s="37">
        <v>0.311</v>
      </c>
      <c r="R2440" s="37">
        <v>0.37790000000000001</v>
      </c>
    </row>
    <row r="2441" spans="1:18" hidden="1">
      <c r="A2441" t="s">
        <v>76</v>
      </c>
      <c r="B2441" t="s">
        <v>27</v>
      </c>
      <c r="C2441">
        <v>7.7533333329999996</v>
      </c>
      <c r="D2441">
        <v>7.4</v>
      </c>
      <c r="E2441" s="29">
        <v>1.0477477479999999</v>
      </c>
      <c r="F2441">
        <v>4.59</v>
      </c>
      <c r="G2441">
        <v>3.46</v>
      </c>
      <c r="H2441">
        <v>8.0500000000000007</v>
      </c>
      <c r="I2441" s="29">
        <v>0.57020000000000004</v>
      </c>
      <c r="J2441" s="29">
        <v>0.96310000000000007</v>
      </c>
      <c r="K2441" s="9">
        <v>45353</v>
      </c>
      <c r="L2441">
        <f xml:space="preserve"> (交易處理資料__3[[#This Row],[售出工時]] * 60) / 5</f>
        <v>93.039999995999992</v>
      </c>
      <c r="M2441" t="str">
        <f>VLOOKUP(交易處理資料__3[[#This Row],[人員代號]],團隊分組!$B$1:$C$52,2,FALSE)</f>
        <v>快速保養團隊B</v>
      </c>
      <c r="N2441" t="str">
        <f>IF(交易處理資料__3[[#This Row],[上班時間]]=0,"否","是")</f>
        <v>是</v>
      </c>
      <c r="O2441" t="s">
        <v>76</v>
      </c>
      <c r="P2441" s="38">
        <v>1.0477477479999999</v>
      </c>
      <c r="Q2441" s="38">
        <v>0.96310000000000007</v>
      </c>
      <c r="R2441" s="38">
        <v>0.57020000000000004</v>
      </c>
    </row>
    <row r="2442" spans="1:18" hidden="1">
      <c r="A2442" t="s">
        <v>76</v>
      </c>
      <c r="B2442" t="s">
        <v>28</v>
      </c>
      <c r="C2442">
        <v>6.6666666670000003</v>
      </c>
      <c r="D2442">
        <v>4.3899999999999997</v>
      </c>
      <c r="E2442" s="29">
        <v>1.518602885</v>
      </c>
      <c r="F2442">
        <v>5.81</v>
      </c>
      <c r="G2442">
        <v>2.29</v>
      </c>
      <c r="H2442">
        <v>8.1</v>
      </c>
      <c r="I2442" s="29">
        <v>0.71730000000000005</v>
      </c>
      <c r="J2442" s="29">
        <v>0.82299999999999995</v>
      </c>
      <c r="K2442" s="9">
        <v>45353</v>
      </c>
      <c r="L2442">
        <f xml:space="preserve"> (交易處理資料__3[[#This Row],[售出工時]] * 60) / 5</f>
        <v>80.000000004</v>
      </c>
      <c r="M2442" t="str">
        <f>VLOOKUP(交易處理資料__3[[#This Row],[人員代號]],團隊分組!$B$1:$C$52,2,FALSE)</f>
        <v>快速保養團隊A</v>
      </c>
      <c r="N2442" t="str">
        <f>IF(交易處理資料__3[[#This Row],[上班時間]]=0,"否","是")</f>
        <v>是</v>
      </c>
      <c r="O2442" t="s">
        <v>76</v>
      </c>
      <c r="P2442" s="37">
        <v>1.518602885</v>
      </c>
      <c r="Q2442" s="37">
        <v>0.82299999999999995</v>
      </c>
      <c r="R2442" s="37">
        <v>0.71730000000000005</v>
      </c>
    </row>
    <row r="2443" spans="1:18" hidden="1">
      <c r="A2443" t="s">
        <v>76</v>
      </c>
      <c r="B2443" t="s">
        <v>29</v>
      </c>
      <c r="C2443">
        <v>2.41</v>
      </c>
      <c r="D2443">
        <v>2.98</v>
      </c>
      <c r="E2443" s="29">
        <v>0.80872483220000002</v>
      </c>
      <c r="F2443">
        <v>2.98</v>
      </c>
      <c r="G2443">
        <v>5.08</v>
      </c>
      <c r="H2443">
        <v>8.06</v>
      </c>
      <c r="I2443" s="29">
        <v>0.36969999999999997</v>
      </c>
      <c r="J2443" s="29">
        <v>0.29899999999999999</v>
      </c>
      <c r="K2443" s="9">
        <v>45353</v>
      </c>
      <c r="L2443">
        <f xml:space="preserve"> (交易處理資料__3[[#This Row],[售出工時]] * 60) / 5</f>
        <v>28.920000000000005</v>
      </c>
      <c r="M2443" t="str">
        <f>VLOOKUP(交易處理資料__3[[#This Row],[人員代號]],團隊分組!$B$1:$C$52,2,FALSE)</f>
        <v>查修團隊B</v>
      </c>
      <c r="N2443" t="str">
        <f>IF(交易處理資料__3[[#This Row],[上班時間]]=0,"否","是")</f>
        <v>是</v>
      </c>
      <c r="O2443" t="s">
        <v>76</v>
      </c>
      <c r="P2443" s="38">
        <v>0.80872483220000002</v>
      </c>
      <c r="Q2443" s="38">
        <v>0.29899999999999999</v>
      </c>
      <c r="R2443" s="38">
        <v>0.36969999999999997</v>
      </c>
    </row>
    <row r="2444" spans="1:18" hidden="1">
      <c r="A2444" t="s">
        <v>76</v>
      </c>
      <c r="B2444" t="s">
        <v>30</v>
      </c>
      <c r="C2444">
        <v>12.463333329999999</v>
      </c>
      <c r="D2444">
        <v>7.96</v>
      </c>
      <c r="E2444" s="29">
        <v>1.5657453939999999</v>
      </c>
      <c r="F2444">
        <v>4.5999999999999996</v>
      </c>
      <c r="G2444">
        <v>3.46</v>
      </c>
      <c r="H2444">
        <v>8.06</v>
      </c>
      <c r="I2444" s="29">
        <v>0.57069999999999999</v>
      </c>
      <c r="J2444" s="29">
        <v>1.5463</v>
      </c>
      <c r="K2444" s="9">
        <v>45353</v>
      </c>
      <c r="L2444">
        <f xml:space="preserve"> (交易處理資料__3[[#This Row],[售出工時]] * 60) / 5</f>
        <v>149.55999995999997</v>
      </c>
      <c r="M2444" t="str">
        <f>VLOOKUP(交易處理資料__3[[#This Row],[人員代號]],團隊分組!$B$1:$C$52,2,FALSE)</f>
        <v>快速保養團隊B</v>
      </c>
      <c r="N2444" t="str">
        <f>IF(交易處理資料__3[[#This Row],[上班時間]]=0,"否","是")</f>
        <v>是</v>
      </c>
      <c r="O2444" t="s">
        <v>76</v>
      </c>
      <c r="P2444" s="37">
        <v>1.5657453939999999</v>
      </c>
      <c r="Q2444" s="37">
        <v>1.5463</v>
      </c>
      <c r="R2444" s="37">
        <v>0.57069999999999999</v>
      </c>
    </row>
    <row r="2445" spans="1:18" hidden="1">
      <c r="A2445" t="s">
        <v>76</v>
      </c>
      <c r="B2445" t="s">
        <v>32</v>
      </c>
      <c r="C2445">
        <v>6.2433333329999998</v>
      </c>
      <c r="D2445">
        <v>5.88</v>
      </c>
      <c r="E2445" s="29">
        <v>1.0617913830000001</v>
      </c>
      <c r="F2445">
        <v>4.38</v>
      </c>
      <c r="G2445">
        <v>3.68</v>
      </c>
      <c r="H2445">
        <v>8.06</v>
      </c>
      <c r="I2445" s="29">
        <v>0.54339999999999999</v>
      </c>
      <c r="J2445" s="29">
        <v>0.77459999999999996</v>
      </c>
      <c r="K2445" s="9">
        <v>45353</v>
      </c>
      <c r="L2445">
        <f xml:space="preserve"> (交易處理資料__3[[#This Row],[售出工時]] * 60) / 5</f>
        <v>74.919999996000001</v>
      </c>
      <c r="M2445" t="str">
        <f>VLOOKUP(交易處理資料__3[[#This Row],[人員代號]],團隊分組!$B$1:$C$52,2,FALSE)</f>
        <v>快速保養團隊B</v>
      </c>
      <c r="N2445" t="str">
        <f>IF(交易處理資料__3[[#This Row],[上班時間]]=0,"否","是")</f>
        <v>是</v>
      </c>
      <c r="O2445" t="s">
        <v>76</v>
      </c>
      <c r="P2445" s="38">
        <v>1.0617913830000001</v>
      </c>
      <c r="Q2445" s="38">
        <v>0.77459999999999996</v>
      </c>
      <c r="R2445" s="38">
        <v>0.54339999999999999</v>
      </c>
    </row>
    <row r="2446" spans="1:18" hidden="1">
      <c r="A2446" t="s">
        <v>76</v>
      </c>
      <c r="B2446" t="s">
        <v>33</v>
      </c>
      <c r="C2446">
        <v>7.6666666670000003</v>
      </c>
      <c r="D2446">
        <v>5.4</v>
      </c>
      <c r="E2446" s="29">
        <v>1.4197530860000001</v>
      </c>
      <c r="F2446">
        <v>5.75</v>
      </c>
      <c r="G2446">
        <v>2.3199999999999998</v>
      </c>
      <c r="H2446">
        <v>8.07</v>
      </c>
      <c r="I2446" s="29">
        <v>0.71250000000000002</v>
      </c>
      <c r="J2446" s="29">
        <v>0.95</v>
      </c>
      <c r="K2446" s="9">
        <v>45353</v>
      </c>
      <c r="L2446">
        <f xml:space="preserve"> (交易處理資料__3[[#This Row],[售出工時]] * 60) / 5</f>
        <v>92.000000004</v>
      </c>
      <c r="M2446" t="str">
        <f>VLOOKUP(交易處理資料__3[[#This Row],[人員代號]],團隊分組!$B$1:$C$52,2,FALSE)</f>
        <v>快速保養團隊B</v>
      </c>
      <c r="N2446" t="str">
        <f>IF(交易處理資料__3[[#This Row],[上班時間]]=0,"否","是")</f>
        <v>是</v>
      </c>
      <c r="O2446" t="s">
        <v>76</v>
      </c>
      <c r="P2446" s="37">
        <v>1.4197530860000001</v>
      </c>
      <c r="Q2446" s="37">
        <v>0.95</v>
      </c>
      <c r="R2446" s="37">
        <v>0.71250000000000002</v>
      </c>
    </row>
    <row r="2447" spans="1:18" hidden="1">
      <c r="A2447" t="s">
        <v>76</v>
      </c>
      <c r="B2447" t="s">
        <v>34</v>
      </c>
      <c r="C2447">
        <v>6.5266666669999998</v>
      </c>
      <c r="D2447">
        <v>4.99</v>
      </c>
      <c r="E2447" s="29">
        <v>1.3079492319999999</v>
      </c>
      <c r="F2447">
        <v>3.88</v>
      </c>
      <c r="G2447">
        <v>4.18</v>
      </c>
      <c r="H2447">
        <v>8.06</v>
      </c>
      <c r="I2447" s="29">
        <v>0.48139999999999999</v>
      </c>
      <c r="J2447" s="29">
        <v>0.80980000000000008</v>
      </c>
      <c r="K2447" s="9">
        <v>45353</v>
      </c>
      <c r="L2447">
        <f xml:space="preserve"> (交易處理資料__3[[#This Row],[售出工時]] * 60) / 5</f>
        <v>78.320000003999994</v>
      </c>
      <c r="M2447" t="str">
        <f>VLOOKUP(交易處理資料__3[[#This Row],[人員代號]],團隊分組!$B$1:$C$52,2,FALSE)</f>
        <v>快速保養團隊A</v>
      </c>
      <c r="N2447" t="str">
        <f>IF(交易處理資料__3[[#This Row],[上班時間]]=0,"否","是")</f>
        <v>是</v>
      </c>
      <c r="O2447" t="s">
        <v>76</v>
      </c>
      <c r="P2447" s="38">
        <v>1.3079492319999999</v>
      </c>
      <c r="Q2447" s="38">
        <v>0.80980000000000008</v>
      </c>
      <c r="R2447" s="38">
        <v>0.48139999999999999</v>
      </c>
    </row>
    <row r="2448" spans="1:18" hidden="1">
      <c r="A2448" t="s">
        <v>76</v>
      </c>
      <c r="B2448" t="s">
        <v>35</v>
      </c>
      <c r="C2448">
        <v>0</v>
      </c>
      <c r="D2448">
        <v>0</v>
      </c>
      <c r="E2448" s="29">
        <v>0</v>
      </c>
      <c r="F2448">
        <v>0</v>
      </c>
      <c r="G2448">
        <v>0</v>
      </c>
      <c r="H2448">
        <v>0</v>
      </c>
      <c r="I2448" s="29">
        <v>0</v>
      </c>
      <c r="J2448" s="29">
        <v>0</v>
      </c>
      <c r="K2448" s="9">
        <v>45353</v>
      </c>
      <c r="L2448">
        <f xml:space="preserve"> (交易處理資料__3[[#This Row],[售出工時]] * 60) / 5</f>
        <v>0</v>
      </c>
      <c r="M2448" t="str">
        <f>VLOOKUP(交易處理資料__3[[#This Row],[人員代號]],團隊分組!$B$1:$C$52,2,FALSE)</f>
        <v>查修團隊B</v>
      </c>
      <c r="N2448" t="str">
        <f>IF(交易處理資料__3[[#This Row],[上班時間]]=0,"否","是")</f>
        <v>否</v>
      </c>
      <c r="O2448" t="s">
        <v>76</v>
      </c>
      <c r="P2448" s="37">
        <v>0</v>
      </c>
      <c r="Q2448" s="37">
        <v>0</v>
      </c>
      <c r="R2448" s="37">
        <v>0</v>
      </c>
    </row>
    <row r="2449" spans="1:18" hidden="1">
      <c r="A2449" t="s">
        <v>76</v>
      </c>
      <c r="B2449" t="s">
        <v>36</v>
      </c>
      <c r="C2449">
        <v>0</v>
      </c>
      <c r="D2449">
        <v>0</v>
      </c>
      <c r="E2449" s="29">
        <v>0</v>
      </c>
      <c r="F2449">
        <v>0</v>
      </c>
      <c r="G2449">
        <v>0</v>
      </c>
      <c r="H2449">
        <v>0</v>
      </c>
      <c r="I2449" s="29">
        <v>0</v>
      </c>
      <c r="J2449" s="29">
        <v>0</v>
      </c>
      <c r="K2449" s="9">
        <v>45353</v>
      </c>
      <c r="L2449">
        <f xml:space="preserve"> (交易處理資料__3[[#This Row],[售出工時]] * 60) / 5</f>
        <v>0</v>
      </c>
      <c r="M2449" t="str">
        <f>VLOOKUP(交易處理資料__3[[#This Row],[人員代號]],團隊分組!$B$1:$C$52,2,FALSE)</f>
        <v>查修團隊B</v>
      </c>
      <c r="N2449" t="str">
        <f>IF(交易處理資料__3[[#This Row],[上班時間]]=0,"否","是")</f>
        <v>否</v>
      </c>
      <c r="O2449" t="s">
        <v>76</v>
      </c>
      <c r="P2449" s="38">
        <v>0</v>
      </c>
      <c r="Q2449" s="38">
        <v>0</v>
      </c>
      <c r="R2449" s="38">
        <v>0</v>
      </c>
    </row>
    <row r="2450" spans="1:18" hidden="1">
      <c r="A2450" t="s">
        <v>76</v>
      </c>
      <c r="B2450" t="s">
        <v>38</v>
      </c>
      <c r="C2450">
        <v>0</v>
      </c>
      <c r="D2450">
        <v>0</v>
      </c>
      <c r="E2450" s="29">
        <v>0</v>
      </c>
      <c r="F2450">
        <v>0</v>
      </c>
      <c r="G2450">
        <v>0</v>
      </c>
      <c r="H2450">
        <v>0</v>
      </c>
      <c r="I2450" s="29">
        <v>0</v>
      </c>
      <c r="J2450" s="29">
        <v>0</v>
      </c>
      <c r="K2450" s="9">
        <v>45353</v>
      </c>
      <c r="L2450">
        <f xml:space="preserve"> (交易處理資料__3[[#This Row],[售出工時]] * 60) / 5</f>
        <v>0</v>
      </c>
      <c r="M2450" t="str">
        <f>VLOOKUP(交易處理資料__3[[#This Row],[人員代號]],團隊分組!$B$1:$C$52,2,FALSE)</f>
        <v>快速保養團隊A</v>
      </c>
      <c r="N2450" t="str">
        <f>IF(交易處理資料__3[[#This Row],[上班時間]]=0,"否","是")</f>
        <v>否</v>
      </c>
      <c r="O2450" t="s">
        <v>76</v>
      </c>
      <c r="P2450" s="37">
        <v>0</v>
      </c>
      <c r="Q2450" s="37">
        <v>0</v>
      </c>
      <c r="R2450" s="37">
        <v>0</v>
      </c>
    </row>
    <row r="2451" spans="1:18" hidden="1">
      <c r="A2451" t="s">
        <v>76</v>
      </c>
      <c r="B2451" t="s">
        <v>40</v>
      </c>
      <c r="C2451">
        <v>0</v>
      </c>
      <c r="D2451">
        <v>0</v>
      </c>
      <c r="E2451" s="29">
        <v>0</v>
      </c>
      <c r="F2451">
        <v>0</v>
      </c>
      <c r="G2451">
        <v>0</v>
      </c>
      <c r="H2451">
        <v>0</v>
      </c>
      <c r="I2451" s="29">
        <v>0</v>
      </c>
      <c r="J2451" s="29">
        <v>0</v>
      </c>
      <c r="K2451" s="9">
        <v>45353</v>
      </c>
      <c r="L2451">
        <f xml:space="preserve"> (交易處理資料__3[[#This Row],[售出工時]] * 60) / 5</f>
        <v>0</v>
      </c>
      <c r="M2451" t="str">
        <f>VLOOKUP(交易處理資料__3[[#This Row],[人員代號]],團隊分組!$B$1:$C$52,2,FALSE)</f>
        <v>查修團隊A</v>
      </c>
      <c r="N2451" t="str">
        <f>IF(交易處理資料__3[[#This Row],[上班時間]]=0,"否","是")</f>
        <v>否</v>
      </c>
      <c r="O2451" t="s">
        <v>76</v>
      </c>
      <c r="P2451" s="38">
        <v>0</v>
      </c>
      <c r="Q2451" s="38">
        <v>0</v>
      </c>
      <c r="R2451" s="38">
        <v>0</v>
      </c>
    </row>
    <row r="2452" spans="1:18" hidden="1">
      <c r="A2452" t="s">
        <v>76</v>
      </c>
      <c r="B2452" t="s">
        <v>42</v>
      </c>
      <c r="C2452">
        <v>4.1666666670000003</v>
      </c>
      <c r="D2452">
        <v>1.95</v>
      </c>
      <c r="E2452" s="29">
        <v>2.1367521370000002</v>
      </c>
      <c r="F2452">
        <v>5.01</v>
      </c>
      <c r="G2452">
        <v>3.05</v>
      </c>
      <c r="H2452">
        <v>8.06</v>
      </c>
      <c r="I2452" s="29">
        <v>0.62159999999999993</v>
      </c>
      <c r="J2452" s="29">
        <v>0.51700000000000002</v>
      </c>
      <c r="K2452" s="9">
        <v>45353</v>
      </c>
      <c r="L2452">
        <f xml:space="preserve"> (交易處理資料__3[[#This Row],[售出工時]] * 60) / 5</f>
        <v>50.000000004</v>
      </c>
      <c r="M2452" t="str">
        <f>VLOOKUP(交易處理資料__3[[#This Row],[人員代號]],團隊分組!$B$1:$C$52,2,FALSE)</f>
        <v>快速保養團隊A</v>
      </c>
      <c r="N2452" t="str">
        <f>IF(交易處理資料__3[[#This Row],[上班時間]]=0,"否","是")</f>
        <v>是</v>
      </c>
      <c r="O2452" t="s">
        <v>76</v>
      </c>
      <c r="P2452" s="37">
        <v>2.1367521370000002</v>
      </c>
      <c r="Q2452" s="37">
        <v>0.51700000000000002</v>
      </c>
      <c r="R2452" s="37">
        <v>0.62159999999999993</v>
      </c>
    </row>
    <row r="2453" spans="1:18" hidden="1">
      <c r="A2453" t="s">
        <v>76</v>
      </c>
      <c r="B2453" t="s">
        <v>44</v>
      </c>
      <c r="C2453">
        <v>0</v>
      </c>
      <c r="D2453">
        <v>0</v>
      </c>
      <c r="E2453" s="29">
        <v>0</v>
      </c>
      <c r="F2453">
        <v>0</v>
      </c>
      <c r="G2453">
        <v>0</v>
      </c>
      <c r="H2453">
        <v>0</v>
      </c>
      <c r="I2453" s="29">
        <v>0</v>
      </c>
      <c r="J2453" s="29">
        <v>0</v>
      </c>
      <c r="K2453" s="9">
        <v>45353</v>
      </c>
      <c r="L2453">
        <f xml:space="preserve"> (交易處理資料__3[[#This Row],[售出工時]] * 60) / 5</f>
        <v>0</v>
      </c>
      <c r="M2453" t="str">
        <f>VLOOKUP(交易處理資料__3[[#This Row],[人員代號]],團隊分組!$B$1:$C$52,2,FALSE)</f>
        <v>快速保養團隊B</v>
      </c>
      <c r="N2453" t="str">
        <f>IF(交易處理資料__3[[#This Row],[上班時間]]=0,"否","是")</f>
        <v>否</v>
      </c>
      <c r="O2453" t="s">
        <v>76</v>
      </c>
      <c r="P2453" s="38">
        <v>0</v>
      </c>
      <c r="Q2453" s="38">
        <v>0</v>
      </c>
      <c r="R2453" s="38">
        <v>0</v>
      </c>
    </row>
    <row r="2454" spans="1:18" hidden="1">
      <c r="A2454" t="s">
        <v>76</v>
      </c>
      <c r="B2454" t="s">
        <v>45</v>
      </c>
      <c r="C2454">
        <v>5.9766666669999999</v>
      </c>
      <c r="D2454">
        <v>5.6</v>
      </c>
      <c r="E2454" s="29">
        <v>1.0672619050000001</v>
      </c>
      <c r="F2454">
        <v>5.32</v>
      </c>
      <c r="G2454">
        <v>2.76</v>
      </c>
      <c r="H2454">
        <v>8.08</v>
      </c>
      <c r="I2454" s="29">
        <v>0.65839999999999999</v>
      </c>
      <c r="J2454" s="29">
        <v>0.73970000000000002</v>
      </c>
      <c r="K2454" s="9">
        <v>45353</v>
      </c>
      <c r="L2454">
        <f xml:space="preserve"> (交易處理資料__3[[#This Row],[售出工時]] * 60) / 5</f>
        <v>71.720000003999999</v>
      </c>
      <c r="M2454" t="str">
        <f>VLOOKUP(交易處理資料__3[[#This Row],[人員代號]],團隊分組!$B$1:$C$52,2,FALSE)</f>
        <v>快速保養團隊A</v>
      </c>
      <c r="N2454" t="str">
        <f>IF(交易處理資料__3[[#This Row],[上班時間]]=0,"否","是")</f>
        <v>是</v>
      </c>
      <c r="O2454" t="s">
        <v>76</v>
      </c>
      <c r="P2454" s="37">
        <v>1.0672619050000001</v>
      </c>
      <c r="Q2454" s="37">
        <v>0.73970000000000002</v>
      </c>
      <c r="R2454" s="37">
        <v>0.65839999999999999</v>
      </c>
    </row>
    <row r="2455" spans="1:18" hidden="1">
      <c r="A2455" t="s">
        <v>76</v>
      </c>
      <c r="B2455" t="s">
        <v>46</v>
      </c>
      <c r="C2455">
        <v>2.1</v>
      </c>
      <c r="D2455">
        <v>3.12</v>
      </c>
      <c r="E2455" s="29">
        <v>0.67307692309999989</v>
      </c>
      <c r="F2455">
        <v>3.12</v>
      </c>
      <c r="G2455">
        <v>4.95</v>
      </c>
      <c r="H2455">
        <v>8.07</v>
      </c>
      <c r="I2455" s="29">
        <v>0.38659999999999994</v>
      </c>
      <c r="J2455" s="29">
        <v>0.26019999999999999</v>
      </c>
      <c r="K2455" s="9">
        <v>45353</v>
      </c>
      <c r="L2455">
        <f xml:space="preserve"> (交易處理資料__3[[#This Row],[售出工時]] * 60) / 5</f>
        <v>25.2</v>
      </c>
      <c r="M2455" t="str">
        <f>VLOOKUP(交易處理資料__3[[#This Row],[人員代號]],團隊分組!$B$1:$C$52,2,FALSE)</f>
        <v>查修團隊B</v>
      </c>
      <c r="N2455" t="str">
        <f>IF(交易處理資料__3[[#This Row],[上班時間]]=0,"否","是")</f>
        <v>是</v>
      </c>
      <c r="O2455" t="s">
        <v>76</v>
      </c>
      <c r="P2455" s="38">
        <v>0.67307692309999989</v>
      </c>
      <c r="Q2455" s="38">
        <v>0.26019999999999999</v>
      </c>
      <c r="R2455" s="38">
        <v>0.38659999999999994</v>
      </c>
    </row>
    <row r="2456" spans="1:18" hidden="1">
      <c r="A2456" t="s">
        <v>76</v>
      </c>
      <c r="B2456" t="s">
        <v>48</v>
      </c>
      <c r="C2456">
        <v>2.3199999999999998</v>
      </c>
      <c r="D2456">
        <v>3.21</v>
      </c>
      <c r="E2456" s="29">
        <v>0.72274143300000004</v>
      </c>
      <c r="F2456">
        <v>3.21</v>
      </c>
      <c r="G2456">
        <v>4.8600000000000003</v>
      </c>
      <c r="H2456">
        <v>8.07</v>
      </c>
      <c r="I2456" s="29">
        <v>0.39779999999999999</v>
      </c>
      <c r="J2456" s="29">
        <v>0.28749999999999998</v>
      </c>
      <c r="K2456" s="9">
        <v>45353</v>
      </c>
      <c r="L2456">
        <f xml:space="preserve"> (交易處理資料__3[[#This Row],[售出工時]] * 60) / 5</f>
        <v>27.839999999999996</v>
      </c>
      <c r="M2456" t="str">
        <f>VLOOKUP(交易處理資料__3[[#This Row],[人員代號]],團隊分組!$B$1:$C$52,2,FALSE)</f>
        <v>查修團隊A</v>
      </c>
      <c r="N2456" t="str">
        <f>IF(交易處理資料__3[[#This Row],[上班時間]]=0,"否","是")</f>
        <v>是</v>
      </c>
      <c r="O2456" t="s">
        <v>76</v>
      </c>
      <c r="P2456" s="37">
        <v>0.72274143300000004</v>
      </c>
      <c r="Q2456" s="37">
        <v>0.28749999999999998</v>
      </c>
      <c r="R2456" s="37">
        <v>0.39779999999999999</v>
      </c>
    </row>
    <row r="2457" spans="1:18" hidden="1">
      <c r="A2457" t="s">
        <v>76</v>
      </c>
      <c r="B2457" t="s">
        <v>49</v>
      </c>
      <c r="C2457">
        <v>0</v>
      </c>
      <c r="D2457">
        <v>0</v>
      </c>
      <c r="E2457" s="29">
        <v>0</v>
      </c>
      <c r="F2457">
        <v>0</v>
      </c>
      <c r="G2457">
        <v>0</v>
      </c>
      <c r="H2457">
        <v>0</v>
      </c>
      <c r="I2457" s="29">
        <v>0</v>
      </c>
      <c r="J2457" s="29">
        <v>0</v>
      </c>
      <c r="K2457" s="9">
        <v>45353</v>
      </c>
      <c r="L2457">
        <f xml:space="preserve"> (交易處理資料__3[[#This Row],[售出工時]] * 60) / 5</f>
        <v>0</v>
      </c>
      <c r="M2457" t="str">
        <f>VLOOKUP(交易處理資料__3[[#This Row],[人員代號]],團隊分組!$B$1:$C$52,2,FALSE)</f>
        <v>查修團隊A</v>
      </c>
      <c r="N2457" t="str">
        <f>IF(交易處理資料__3[[#This Row],[上班時間]]=0,"否","是")</f>
        <v>否</v>
      </c>
      <c r="O2457" t="s">
        <v>76</v>
      </c>
      <c r="P2457" s="38">
        <v>0</v>
      </c>
      <c r="Q2457" s="38">
        <v>0</v>
      </c>
      <c r="R2457" s="38">
        <v>0</v>
      </c>
    </row>
    <row r="2458" spans="1:18" hidden="1">
      <c r="A2458" t="s">
        <v>76</v>
      </c>
      <c r="B2458" t="s">
        <v>50</v>
      </c>
      <c r="C2458">
        <v>10.91666667</v>
      </c>
      <c r="D2458">
        <v>6.65</v>
      </c>
      <c r="E2458" s="29">
        <v>1.64160401</v>
      </c>
      <c r="F2458">
        <v>5.28</v>
      </c>
      <c r="G2458">
        <v>2.79</v>
      </c>
      <c r="H2458">
        <v>8.07</v>
      </c>
      <c r="I2458" s="29">
        <v>0.6543000000000001</v>
      </c>
      <c r="J2458" s="29">
        <v>1.3527</v>
      </c>
      <c r="K2458" s="9">
        <v>45353</v>
      </c>
      <c r="L2458">
        <f xml:space="preserve"> (交易處理資料__3[[#This Row],[售出工時]] * 60) / 5</f>
        <v>131.00000003999997</v>
      </c>
      <c r="M2458" t="str">
        <f>VLOOKUP(交易處理資料__3[[#This Row],[人員代號]],團隊分組!$B$1:$C$52,2,FALSE)</f>
        <v>快速保養團隊B</v>
      </c>
      <c r="N2458" t="str">
        <f>IF(交易處理資料__3[[#This Row],[上班時間]]=0,"否","是")</f>
        <v>是</v>
      </c>
      <c r="O2458" t="s">
        <v>76</v>
      </c>
      <c r="P2458" s="37">
        <v>1.64160401</v>
      </c>
      <c r="Q2458" s="37">
        <v>1.3527</v>
      </c>
      <c r="R2458" s="37">
        <v>0.6543000000000001</v>
      </c>
    </row>
    <row r="2459" spans="1:18" hidden="1">
      <c r="A2459" t="s">
        <v>76</v>
      </c>
      <c r="B2459" t="s">
        <v>51</v>
      </c>
      <c r="C2459">
        <v>0</v>
      </c>
      <c r="D2459">
        <v>0</v>
      </c>
      <c r="E2459" s="29">
        <v>0</v>
      </c>
      <c r="F2459">
        <v>0</v>
      </c>
      <c r="G2459">
        <v>0</v>
      </c>
      <c r="H2459">
        <v>0</v>
      </c>
      <c r="I2459" s="29">
        <v>0</v>
      </c>
      <c r="J2459" s="29">
        <v>0</v>
      </c>
      <c r="K2459" s="9">
        <v>45353</v>
      </c>
      <c r="L2459">
        <f xml:space="preserve"> (交易處理資料__3[[#This Row],[售出工時]] * 60) / 5</f>
        <v>0</v>
      </c>
      <c r="M2459" t="str">
        <f>VLOOKUP(交易處理資料__3[[#This Row],[人員代號]],團隊分組!$B$1:$C$52,2,FALSE)</f>
        <v>無效數據</v>
      </c>
      <c r="N2459" t="str">
        <f>IF(交易處理資料__3[[#This Row],[上班時間]]=0,"否","是")</f>
        <v>否</v>
      </c>
      <c r="O2459" t="s">
        <v>76</v>
      </c>
      <c r="P2459" s="38">
        <v>0</v>
      </c>
      <c r="Q2459" s="38">
        <v>0</v>
      </c>
      <c r="R2459" s="38">
        <v>0</v>
      </c>
    </row>
    <row r="2460" spans="1:18" hidden="1">
      <c r="A2460" t="s">
        <v>76</v>
      </c>
      <c r="B2460" t="s">
        <v>52</v>
      </c>
      <c r="C2460">
        <v>5.93</v>
      </c>
      <c r="D2460">
        <v>5.89</v>
      </c>
      <c r="E2460" s="29">
        <v>1.0067911709999999</v>
      </c>
      <c r="F2460">
        <v>4.2300000000000004</v>
      </c>
      <c r="G2460">
        <v>3.82</v>
      </c>
      <c r="H2460">
        <v>8.0500000000000007</v>
      </c>
      <c r="I2460" s="29">
        <v>0.52549999999999997</v>
      </c>
      <c r="J2460" s="29">
        <v>0.73659999999999992</v>
      </c>
      <c r="K2460" s="9">
        <v>45353</v>
      </c>
      <c r="L2460">
        <f xml:space="preserve"> (交易處理資料__3[[#This Row],[售出工時]] * 60) / 5</f>
        <v>71.16</v>
      </c>
      <c r="M2460" t="str">
        <f>VLOOKUP(交易處理資料__3[[#This Row],[人員代號]],團隊分組!$B$1:$C$52,2,FALSE)</f>
        <v>查修團隊B</v>
      </c>
      <c r="N2460" t="str">
        <f>IF(交易處理資料__3[[#This Row],[上班時間]]=0,"否","是")</f>
        <v>是</v>
      </c>
      <c r="O2460" t="s">
        <v>76</v>
      </c>
      <c r="P2460" s="37">
        <v>1.0067911709999999</v>
      </c>
      <c r="Q2460" s="37">
        <v>0.73659999999999992</v>
      </c>
      <c r="R2460" s="37">
        <v>0.52549999999999997</v>
      </c>
    </row>
    <row r="2461" spans="1:18" hidden="1">
      <c r="A2461" t="s">
        <v>76</v>
      </c>
      <c r="B2461" t="s">
        <v>53</v>
      </c>
      <c r="C2461">
        <v>1.9166666670000001</v>
      </c>
      <c r="D2461">
        <v>4.6900000000000004</v>
      </c>
      <c r="E2461" s="29">
        <v>0.40867093109999997</v>
      </c>
      <c r="F2461">
        <v>7.48</v>
      </c>
      <c r="G2461">
        <v>0.57999999999999996</v>
      </c>
      <c r="H2461">
        <v>8.06</v>
      </c>
      <c r="I2461" s="29">
        <v>0.92799999999999994</v>
      </c>
      <c r="J2461" s="29">
        <v>0.23780000000000001</v>
      </c>
      <c r="K2461" s="9">
        <v>45353</v>
      </c>
      <c r="L2461">
        <f xml:space="preserve"> (交易處理資料__3[[#This Row],[售出工時]] * 60) / 5</f>
        <v>23.000000004</v>
      </c>
      <c r="M2461" t="str">
        <f>VLOOKUP(交易處理資料__3[[#This Row],[人員代號]],團隊分組!$B$1:$C$52,2,FALSE)</f>
        <v>查修團隊A</v>
      </c>
      <c r="N2461" t="str">
        <f>IF(交易處理資料__3[[#This Row],[上班時間]]=0,"否","是")</f>
        <v>是</v>
      </c>
      <c r="O2461" t="s">
        <v>76</v>
      </c>
      <c r="P2461" s="38">
        <v>0.40867093109999997</v>
      </c>
      <c r="Q2461" s="38">
        <v>0.23780000000000001</v>
      </c>
      <c r="R2461" s="38">
        <v>0.92799999999999994</v>
      </c>
    </row>
    <row r="2462" spans="1:18" hidden="1">
      <c r="A2462" s="10" t="s">
        <v>74</v>
      </c>
      <c r="B2462" t="s">
        <v>1</v>
      </c>
      <c r="C2462">
        <v>0</v>
      </c>
      <c r="D2462">
        <v>0</v>
      </c>
      <c r="E2462" s="29">
        <v>0</v>
      </c>
      <c r="F2462">
        <v>0</v>
      </c>
      <c r="G2462">
        <v>0</v>
      </c>
      <c r="H2462">
        <v>0</v>
      </c>
      <c r="I2462" s="29">
        <v>0</v>
      </c>
      <c r="J2462" s="29">
        <v>0</v>
      </c>
      <c r="K2462" s="9">
        <v>45354</v>
      </c>
      <c r="L2462">
        <f xml:space="preserve"> (交易處理資料__3[[#This Row],[售出工時]] * 60) / 5</f>
        <v>0</v>
      </c>
      <c r="M2462" t="str">
        <f>VLOOKUP(交易處理資料__3[[#This Row],[人員代號]],團隊分組!$B$1:$C$52,2,FALSE)</f>
        <v>噴漆維修組</v>
      </c>
      <c r="N2462" t="str">
        <f>IF(交易處理資料__3[[#This Row],[上班時間]]=0,"否","是")</f>
        <v>否</v>
      </c>
      <c r="O2462" s="10" t="s">
        <v>74</v>
      </c>
      <c r="P2462" s="37">
        <v>0</v>
      </c>
      <c r="Q2462" s="37">
        <v>0</v>
      </c>
      <c r="R2462" s="37">
        <v>0</v>
      </c>
    </row>
    <row r="2463" spans="1:18" hidden="1">
      <c r="A2463" s="10" t="s">
        <v>74</v>
      </c>
      <c r="B2463" t="s">
        <v>2</v>
      </c>
      <c r="C2463">
        <v>0</v>
      </c>
      <c r="D2463">
        <v>0</v>
      </c>
      <c r="E2463" s="29">
        <v>0</v>
      </c>
      <c r="F2463">
        <v>0</v>
      </c>
      <c r="G2463">
        <v>0</v>
      </c>
      <c r="H2463">
        <v>0</v>
      </c>
      <c r="I2463" s="29">
        <v>0</v>
      </c>
      <c r="J2463" s="29">
        <v>0</v>
      </c>
      <c r="K2463" s="9">
        <v>45354</v>
      </c>
      <c r="L2463">
        <f xml:space="preserve"> (交易處理資料__3[[#This Row],[售出工時]] * 60) / 5</f>
        <v>0</v>
      </c>
      <c r="M2463" t="str">
        <f>VLOOKUP(交易處理資料__3[[#This Row],[人員代號]],團隊分組!$B$1:$C$52,2,FALSE)</f>
        <v>噴漆維修組</v>
      </c>
      <c r="N2463" t="str">
        <f>IF(交易處理資料__3[[#This Row],[上班時間]]=0,"否","是")</f>
        <v>否</v>
      </c>
      <c r="O2463" s="10" t="s">
        <v>74</v>
      </c>
      <c r="P2463" s="38">
        <v>0</v>
      </c>
      <c r="Q2463" s="38">
        <v>0</v>
      </c>
      <c r="R2463" s="38">
        <v>0</v>
      </c>
    </row>
    <row r="2464" spans="1:18" hidden="1">
      <c r="A2464" s="10" t="s">
        <v>74</v>
      </c>
      <c r="B2464" t="s">
        <v>3</v>
      </c>
      <c r="C2464">
        <v>0</v>
      </c>
      <c r="D2464">
        <v>0</v>
      </c>
      <c r="E2464" s="29">
        <v>0</v>
      </c>
      <c r="F2464">
        <v>0</v>
      </c>
      <c r="G2464">
        <v>0</v>
      </c>
      <c r="H2464">
        <v>0</v>
      </c>
      <c r="I2464" s="29">
        <v>0</v>
      </c>
      <c r="J2464" s="29">
        <v>0</v>
      </c>
      <c r="K2464" s="9">
        <v>45354</v>
      </c>
      <c r="L2464">
        <f xml:space="preserve"> (交易處理資料__3[[#This Row],[售出工時]] * 60) / 5</f>
        <v>0</v>
      </c>
      <c r="M2464" t="str">
        <f>VLOOKUP(交易處理資料__3[[#This Row],[人員代號]],團隊分組!$B$1:$C$52,2,FALSE)</f>
        <v>噴漆維修組</v>
      </c>
      <c r="N2464" t="str">
        <f>IF(交易處理資料__3[[#This Row],[上班時間]]=0,"否","是")</f>
        <v>否</v>
      </c>
      <c r="O2464" s="10" t="s">
        <v>74</v>
      </c>
      <c r="P2464" s="37">
        <v>0</v>
      </c>
      <c r="Q2464" s="37">
        <v>0</v>
      </c>
      <c r="R2464" s="37">
        <v>0</v>
      </c>
    </row>
    <row r="2465" spans="1:18" hidden="1">
      <c r="A2465" s="10" t="s">
        <v>74</v>
      </c>
      <c r="B2465" t="s">
        <v>4</v>
      </c>
      <c r="C2465">
        <v>0</v>
      </c>
      <c r="D2465">
        <v>0</v>
      </c>
      <c r="E2465" s="29">
        <v>0</v>
      </c>
      <c r="F2465">
        <v>0</v>
      </c>
      <c r="G2465">
        <v>0</v>
      </c>
      <c r="H2465">
        <v>0</v>
      </c>
      <c r="I2465" s="29">
        <v>0</v>
      </c>
      <c r="J2465" s="29">
        <v>0</v>
      </c>
      <c r="K2465" s="9">
        <v>45354</v>
      </c>
      <c r="L2465">
        <f xml:space="preserve"> (交易處理資料__3[[#This Row],[售出工時]] * 60) / 5</f>
        <v>0</v>
      </c>
      <c r="M2465" t="str">
        <f>VLOOKUP(交易處理資料__3[[#This Row],[人員代號]],團隊分組!$B$1:$C$52,2,FALSE)</f>
        <v>噴漆維修組</v>
      </c>
      <c r="N2465" t="str">
        <f>IF(交易處理資料__3[[#This Row],[上班時間]]=0,"否","是")</f>
        <v>否</v>
      </c>
      <c r="O2465" s="10" t="s">
        <v>74</v>
      </c>
      <c r="P2465" s="38">
        <v>0</v>
      </c>
      <c r="Q2465" s="38">
        <v>0</v>
      </c>
      <c r="R2465" s="38">
        <v>0</v>
      </c>
    </row>
    <row r="2466" spans="1:18" hidden="1">
      <c r="A2466" s="10" t="s">
        <v>74</v>
      </c>
      <c r="B2466" t="s">
        <v>5</v>
      </c>
      <c r="C2466">
        <v>0</v>
      </c>
      <c r="D2466">
        <v>0</v>
      </c>
      <c r="E2466" s="29">
        <v>0</v>
      </c>
      <c r="F2466">
        <v>0</v>
      </c>
      <c r="G2466">
        <v>0</v>
      </c>
      <c r="H2466">
        <v>0</v>
      </c>
      <c r="I2466" s="29">
        <v>0</v>
      </c>
      <c r="J2466" s="29">
        <v>0</v>
      </c>
      <c r="K2466" s="9">
        <v>45354</v>
      </c>
      <c r="L2466">
        <f xml:space="preserve"> (交易處理資料__3[[#This Row],[售出工時]] * 60) / 5</f>
        <v>0</v>
      </c>
      <c r="M2466" t="str">
        <f>VLOOKUP(交易處理資料__3[[#This Row],[人員代號]],團隊分組!$B$1:$C$52,2,FALSE)</f>
        <v>噴漆維修組</v>
      </c>
      <c r="N2466" t="str">
        <f>IF(交易處理資料__3[[#This Row],[上班時間]]=0,"否","是")</f>
        <v>否</v>
      </c>
      <c r="O2466" s="10" t="s">
        <v>74</v>
      </c>
      <c r="P2466" s="37">
        <v>0</v>
      </c>
      <c r="Q2466" s="37">
        <v>0</v>
      </c>
      <c r="R2466" s="37">
        <v>0</v>
      </c>
    </row>
    <row r="2467" spans="1:18" hidden="1">
      <c r="A2467" s="10" t="s">
        <v>74</v>
      </c>
      <c r="B2467" t="s">
        <v>6</v>
      </c>
      <c r="C2467">
        <v>0</v>
      </c>
      <c r="D2467">
        <v>0</v>
      </c>
      <c r="E2467" s="29">
        <v>0</v>
      </c>
      <c r="F2467">
        <v>0</v>
      </c>
      <c r="G2467">
        <v>0</v>
      </c>
      <c r="H2467">
        <v>0</v>
      </c>
      <c r="I2467" s="29">
        <v>0</v>
      </c>
      <c r="J2467" s="29">
        <v>0</v>
      </c>
      <c r="K2467" s="9">
        <v>45354</v>
      </c>
      <c r="L2467">
        <f xml:space="preserve"> (交易處理資料__3[[#This Row],[售出工時]] * 60) / 5</f>
        <v>0</v>
      </c>
      <c r="M2467" t="str">
        <f>VLOOKUP(交易處理資料__3[[#This Row],[人員代號]],團隊分組!$B$1:$C$52,2,FALSE)</f>
        <v>噴漆維修組</v>
      </c>
      <c r="N2467" t="str">
        <f>IF(交易處理資料__3[[#This Row],[上班時間]]=0,"否","是")</f>
        <v>否</v>
      </c>
      <c r="O2467" s="10" t="s">
        <v>74</v>
      </c>
      <c r="P2467" s="38">
        <v>0</v>
      </c>
      <c r="Q2467" s="38">
        <v>0</v>
      </c>
      <c r="R2467" s="38">
        <v>0</v>
      </c>
    </row>
    <row r="2468" spans="1:18">
      <c r="A2468" s="10" t="s">
        <v>74</v>
      </c>
      <c r="B2468" t="s">
        <v>7</v>
      </c>
      <c r="C2468">
        <v>0</v>
      </c>
      <c r="D2468">
        <v>0</v>
      </c>
      <c r="E2468" s="29">
        <v>0</v>
      </c>
      <c r="F2468">
        <v>0</v>
      </c>
      <c r="G2468">
        <v>0</v>
      </c>
      <c r="H2468">
        <v>0</v>
      </c>
      <c r="I2468" s="29">
        <v>0</v>
      </c>
      <c r="J2468" s="29">
        <v>0</v>
      </c>
      <c r="K2468" s="9">
        <v>45354</v>
      </c>
      <c r="L2468">
        <f xml:space="preserve"> (交易處理資料__3[[#This Row],[售出工時]] * 60) / 5</f>
        <v>0</v>
      </c>
      <c r="M2468" t="str">
        <f>VLOOKUP(交易處理資料__3[[#This Row],[人員代號]],團隊分組!$B$1:$C$52,2,FALSE)</f>
        <v>噴漆維修組</v>
      </c>
      <c r="N2468" t="str">
        <f>IF(交易處理資料__3[[#This Row],[上班時間]]=0,"否","是")</f>
        <v>否</v>
      </c>
      <c r="O2468" s="10" t="s">
        <v>74</v>
      </c>
      <c r="P2468" s="37">
        <v>0</v>
      </c>
      <c r="Q2468" s="37">
        <v>0</v>
      </c>
      <c r="R2468" s="37">
        <v>0</v>
      </c>
    </row>
    <row r="2469" spans="1:18" hidden="1">
      <c r="A2469" s="10" t="s">
        <v>74</v>
      </c>
      <c r="B2469" t="s">
        <v>8</v>
      </c>
      <c r="C2469">
        <v>0</v>
      </c>
      <c r="D2469">
        <v>0</v>
      </c>
      <c r="E2469" s="29">
        <v>0</v>
      </c>
      <c r="F2469">
        <v>0</v>
      </c>
      <c r="G2469">
        <v>0</v>
      </c>
      <c r="H2469">
        <v>0</v>
      </c>
      <c r="I2469" s="29">
        <v>0</v>
      </c>
      <c r="J2469" s="29">
        <v>0</v>
      </c>
      <c r="K2469" s="9">
        <v>45354</v>
      </c>
      <c r="L2469">
        <f xml:space="preserve"> (交易處理資料__3[[#This Row],[售出工時]] * 60) / 5</f>
        <v>0</v>
      </c>
      <c r="M2469" t="str">
        <f>VLOOKUP(交易處理資料__3[[#This Row],[人員代號]],團隊分組!$B$1:$C$52,2,FALSE)</f>
        <v>噴漆維修組</v>
      </c>
      <c r="N2469" t="str">
        <f>IF(交易處理資料__3[[#This Row],[上班時間]]=0,"否","是")</f>
        <v>否</v>
      </c>
      <c r="O2469" s="10" t="s">
        <v>74</v>
      </c>
      <c r="P2469" s="38">
        <v>0</v>
      </c>
      <c r="Q2469" s="38">
        <v>0</v>
      </c>
      <c r="R2469" s="38">
        <v>0</v>
      </c>
    </row>
    <row r="2470" spans="1:18" hidden="1">
      <c r="A2470" s="10" t="s">
        <v>74</v>
      </c>
      <c r="B2470" t="s">
        <v>9</v>
      </c>
      <c r="C2470">
        <v>0</v>
      </c>
      <c r="D2470">
        <v>0</v>
      </c>
      <c r="E2470" s="29">
        <v>0</v>
      </c>
      <c r="F2470">
        <v>0</v>
      </c>
      <c r="G2470">
        <v>0</v>
      </c>
      <c r="H2470">
        <v>0</v>
      </c>
      <c r="I2470" s="29">
        <v>0</v>
      </c>
      <c r="J2470" s="29">
        <v>0</v>
      </c>
      <c r="K2470" s="9">
        <v>45354</v>
      </c>
      <c r="L2470">
        <f xml:space="preserve"> (交易處理資料__3[[#This Row],[售出工時]] * 60) / 5</f>
        <v>0</v>
      </c>
      <c r="M2470" t="str">
        <f>VLOOKUP(交易處理資料__3[[#This Row],[人員代號]],團隊分組!$B$1:$C$52,2,FALSE)</f>
        <v>噴漆維修組</v>
      </c>
      <c r="N2470" t="str">
        <f>IF(交易處理資料__3[[#This Row],[上班時間]]=0,"否","是")</f>
        <v>否</v>
      </c>
      <c r="O2470" s="10" t="s">
        <v>74</v>
      </c>
      <c r="P2470" s="37">
        <v>0</v>
      </c>
      <c r="Q2470" s="37">
        <v>0</v>
      </c>
      <c r="R2470" s="37">
        <v>0</v>
      </c>
    </row>
    <row r="2471" spans="1:18" hidden="1">
      <c r="A2471" t="s">
        <v>75</v>
      </c>
      <c r="B2471" t="s">
        <v>11</v>
      </c>
      <c r="C2471">
        <v>0</v>
      </c>
      <c r="D2471">
        <v>0</v>
      </c>
      <c r="E2471" s="29">
        <v>0</v>
      </c>
      <c r="F2471">
        <v>0</v>
      </c>
      <c r="G2471">
        <v>0</v>
      </c>
      <c r="H2471">
        <v>0</v>
      </c>
      <c r="I2471" s="29">
        <v>0</v>
      </c>
      <c r="J2471" s="29">
        <v>0</v>
      </c>
      <c r="K2471" s="9">
        <v>45354</v>
      </c>
      <c r="L2471">
        <f xml:space="preserve"> (交易處理資料__3[[#This Row],[售出工時]] * 60) / 5</f>
        <v>0</v>
      </c>
      <c r="M2471" t="str">
        <f>VLOOKUP(交易處理資料__3[[#This Row],[人員代號]],團隊分組!$B$1:$C$52,2,FALSE)</f>
        <v>鈑金維修組</v>
      </c>
      <c r="N2471" t="str">
        <f>IF(交易處理資料__3[[#This Row],[上班時間]]=0,"否","是")</f>
        <v>否</v>
      </c>
      <c r="O2471" t="s">
        <v>75</v>
      </c>
      <c r="P2471" s="38">
        <v>0</v>
      </c>
      <c r="Q2471" s="38">
        <v>0</v>
      </c>
      <c r="R2471" s="38">
        <v>0</v>
      </c>
    </row>
    <row r="2472" spans="1:18" hidden="1">
      <c r="A2472" t="s">
        <v>75</v>
      </c>
      <c r="B2472" t="s">
        <v>12</v>
      </c>
      <c r="C2472">
        <v>0</v>
      </c>
      <c r="D2472">
        <v>0</v>
      </c>
      <c r="E2472" s="29">
        <v>0</v>
      </c>
      <c r="F2472">
        <v>0</v>
      </c>
      <c r="G2472">
        <v>0</v>
      </c>
      <c r="H2472">
        <v>0</v>
      </c>
      <c r="I2472" s="29">
        <v>0</v>
      </c>
      <c r="J2472" s="29">
        <v>0</v>
      </c>
      <c r="K2472" s="9">
        <v>45354</v>
      </c>
      <c r="L2472">
        <f xml:space="preserve"> (交易處理資料__3[[#This Row],[售出工時]] * 60) / 5</f>
        <v>0</v>
      </c>
      <c r="M2472" t="str">
        <f>VLOOKUP(交易處理資料__3[[#This Row],[人員代號]],團隊分組!$B$1:$C$52,2,FALSE)</f>
        <v>鈑金維修組</v>
      </c>
      <c r="N2472" t="str">
        <f>IF(交易處理資料__3[[#This Row],[上班時間]]=0,"否","是")</f>
        <v>否</v>
      </c>
      <c r="O2472" t="s">
        <v>75</v>
      </c>
      <c r="P2472" s="37">
        <v>0</v>
      </c>
      <c r="Q2472" s="37">
        <v>0</v>
      </c>
      <c r="R2472" s="37">
        <v>0</v>
      </c>
    </row>
    <row r="2473" spans="1:18" hidden="1">
      <c r="A2473" t="s">
        <v>75</v>
      </c>
      <c r="B2473" t="s">
        <v>13</v>
      </c>
      <c r="C2473">
        <v>0</v>
      </c>
      <c r="D2473">
        <v>0</v>
      </c>
      <c r="E2473" s="29">
        <v>0</v>
      </c>
      <c r="F2473">
        <v>0</v>
      </c>
      <c r="G2473">
        <v>0</v>
      </c>
      <c r="H2473">
        <v>0</v>
      </c>
      <c r="I2473" s="29">
        <v>0</v>
      </c>
      <c r="J2473" s="29">
        <v>0</v>
      </c>
      <c r="K2473" s="9">
        <v>45354</v>
      </c>
      <c r="L2473">
        <f xml:space="preserve"> (交易處理資料__3[[#This Row],[售出工時]] * 60) / 5</f>
        <v>0</v>
      </c>
      <c r="M2473" t="str">
        <f>VLOOKUP(交易處理資料__3[[#This Row],[人員代號]],團隊分組!$B$1:$C$52,2,FALSE)</f>
        <v>鈑金維修組</v>
      </c>
      <c r="N2473" t="str">
        <f>IF(交易處理資料__3[[#This Row],[上班時間]]=0,"否","是")</f>
        <v>否</v>
      </c>
      <c r="O2473" t="s">
        <v>75</v>
      </c>
      <c r="P2473" s="38">
        <v>0</v>
      </c>
      <c r="Q2473" s="38">
        <v>0</v>
      </c>
      <c r="R2473" s="38">
        <v>0</v>
      </c>
    </row>
    <row r="2474" spans="1:18" hidden="1">
      <c r="A2474" t="s">
        <v>75</v>
      </c>
      <c r="B2474" t="s">
        <v>14</v>
      </c>
      <c r="C2474">
        <v>0</v>
      </c>
      <c r="D2474">
        <v>0</v>
      </c>
      <c r="E2474" s="29">
        <v>0</v>
      </c>
      <c r="F2474">
        <v>0</v>
      </c>
      <c r="G2474">
        <v>0</v>
      </c>
      <c r="H2474">
        <v>0</v>
      </c>
      <c r="I2474" s="29">
        <v>0</v>
      </c>
      <c r="J2474" s="29">
        <v>0</v>
      </c>
      <c r="K2474" s="9">
        <v>45354</v>
      </c>
      <c r="L2474">
        <f xml:space="preserve"> (交易處理資料__3[[#This Row],[售出工時]] * 60) / 5</f>
        <v>0</v>
      </c>
      <c r="M2474" t="str">
        <f>VLOOKUP(交易處理資料__3[[#This Row],[人員代號]],團隊分組!$B$1:$C$52,2,FALSE)</f>
        <v>鈑金維修組</v>
      </c>
      <c r="N2474" t="str">
        <f>IF(交易處理資料__3[[#This Row],[上班時間]]=0,"否","是")</f>
        <v>否</v>
      </c>
      <c r="O2474" t="s">
        <v>75</v>
      </c>
      <c r="P2474" s="37">
        <v>0</v>
      </c>
      <c r="Q2474" s="37">
        <v>0</v>
      </c>
      <c r="R2474" s="37">
        <v>0</v>
      </c>
    </row>
    <row r="2475" spans="1:18" hidden="1">
      <c r="A2475" t="s">
        <v>75</v>
      </c>
      <c r="B2475" t="s">
        <v>15</v>
      </c>
      <c r="C2475">
        <v>0</v>
      </c>
      <c r="D2475">
        <v>0</v>
      </c>
      <c r="E2475" s="29">
        <v>0</v>
      </c>
      <c r="F2475">
        <v>0</v>
      </c>
      <c r="G2475">
        <v>0</v>
      </c>
      <c r="H2475">
        <v>0</v>
      </c>
      <c r="I2475" s="29">
        <v>0</v>
      </c>
      <c r="J2475" s="29">
        <v>0</v>
      </c>
      <c r="K2475" s="9">
        <v>45354</v>
      </c>
      <c r="L2475">
        <f xml:space="preserve"> (交易處理資料__3[[#This Row],[售出工時]] * 60) / 5</f>
        <v>0</v>
      </c>
      <c r="M2475" t="str">
        <f>VLOOKUP(交易處理資料__3[[#This Row],[人員代號]],團隊分組!$B$1:$C$52,2,FALSE)</f>
        <v>鈑金維修組</v>
      </c>
      <c r="N2475" t="str">
        <f>IF(交易處理資料__3[[#This Row],[上班時間]]=0,"否","是")</f>
        <v>否</v>
      </c>
      <c r="O2475" t="s">
        <v>75</v>
      </c>
      <c r="P2475" s="38">
        <v>0</v>
      </c>
      <c r="Q2475" s="38">
        <v>0</v>
      </c>
      <c r="R2475" s="38">
        <v>0</v>
      </c>
    </row>
    <row r="2476" spans="1:18" hidden="1">
      <c r="A2476" t="s">
        <v>76</v>
      </c>
      <c r="B2476" t="s">
        <v>17</v>
      </c>
      <c r="C2476">
        <v>0</v>
      </c>
      <c r="D2476">
        <v>0</v>
      </c>
      <c r="E2476" s="29">
        <v>0</v>
      </c>
      <c r="F2476">
        <v>0</v>
      </c>
      <c r="G2476">
        <v>0</v>
      </c>
      <c r="H2476">
        <v>0</v>
      </c>
      <c r="I2476" s="29">
        <v>0</v>
      </c>
      <c r="J2476" s="29">
        <v>0</v>
      </c>
      <c r="K2476" s="9">
        <v>45354</v>
      </c>
      <c r="L2476">
        <f xml:space="preserve"> (交易處理資料__3[[#This Row],[售出工時]] * 60) / 5</f>
        <v>0</v>
      </c>
      <c r="M2476" t="str">
        <f>VLOOKUP(交易處理資料__3[[#This Row],[人員代號]],團隊分組!$B$1:$C$52,2,FALSE)</f>
        <v>快速保養團隊A</v>
      </c>
      <c r="N2476" t="str">
        <f>IF(交易處理資料__3[[#This Row],[上班時間]]=0,"否","是")</f>
        <v>否</v>
      </c>
      <c r="O2476" t="s">
        <v>76</v>
      </c>
      <c r="P2476" s="37">
        <v>0</v>
      </c>
      <c r="Q2476" s="37">
        <v>0</v>
      </c>
      <c r="R2476" s="37">
        <v>0</v>
      </c>
    </row>
    <row r="2477" spans="1:18" hidden="1">
      <c r="A2477" t="s">
        <v>76</v>
      </c>
      <c r="B2477" t="s">
        <v>18</v>
      </c>
      <c r="C2477">
        <v>0</v>
      </c>
      <c r="D2477">
        <v>0</v>
      </c>
      <c r="E2477" s="29">
        <v>0</v>
      </c>
      <c r="F2477">
        <v>0</v>
      </c>
      <c r="G2477">
        <v>0</v>
      </c>
      <c r="H2477">
        <v>0</v>
      </c>
      <c r="I2477" s="29">
        <v>0</v>
      </c>
      <c r="J2477" s="29">
        <v>0</v>
      </c>
      <c r="K2477" s="9">
        <v>45354</v>
      </c>
      <c r="L2477">
        <f xml:space="preserve"> (交易處理資料__3[[#This Row],[售出工時]] * 60) / 5</f>
        <v>0</v>
      </c>
      <c r="M2477" t="str">
        <f>VLOOKUP(交易處理資料__3[[#This Row],[人員代號]],團隊分組!$B$1:$C$52,2,FALSE)</f>
        <v>查修團隊B</v>
      </c>
      <c r="N2477" t="str">
        <f>IF(交易處理資料__3[[#This Row],[上班時間]]=0,"否","是")</f>
        <v>否</v>
      </c>
      <c r="O2477" t="s">
        <v>76</v>
      </c>
      <c r="P2477" s="38">
        <v>0</v>
      </c>
      <c r="Q2477" s="38">
        <v>0</v>
      </c>
      <c r="R2477" s="38">
        <v>0</v>
      </c>
    </row>
    <row r="2478" spans="1:18" hidden="1">
      <c r="A2478" t="s">
        <v>76</v>
      </c>
      <c r="B2478" t="s">
        <v>19</v>
      </c>
      <c r="C2478">
        <v>0</v>
      </c>
      <c r="D2478">
        <v>0</v>
      </c>
      <c r="E2478" s="29">
        <v>0</v>
      </c>
      <c r="F2478">
        <v>0</v>
      </c>
      <c r="G2478">
        <v>0</v>
      </c>
      <c r="H2478">
        <v>0</v>
      </c>
      <c r="I2478" s="29">
        <v>0</v>
      </c>
      <c r="J2478" s="29">
        <v>0</v>
      </c>
      <c r="K2478" s="9">
        <v>45354</v>
      </c>
      <c r="L2478">
        <f xml:space="preserve"> (交易處理資料__3[[#This Row],[售出工時]] * 60) / 5</f>
        <v>0</v>
      </c>
      <c r="M2478" t="str">
        <f>VLOOKUP(交易處理資料__3[[#This Row],[人員代號]],團隊分組!$B$1:$C$52,2,FALSE)</f>
        <v>查修團隊A</v>
      </c>
      <c r="N2478" t="str">
        <f>IF(交易處理資料__3[[#This Row],[上班時間]]=0,"否","是")</f>
        <v>否</v>
      </c>
      <c r="O2478" t="s">
        <v>76</v>
      </c>
      <c r="P2478" s="37">
        <v>0</v>
      </c>
      <c r="Q2478" s="37">
        <v>0</v>
      </c>
      <c r="R2478" s="37">
        <v>0</v>
      </c>
    </row>
    <row r="2479" spans="1:18" hidden="1">
      <c r="A2479" t="s">
        <v>76</v>
      </c>
      <c r="B2479" t="s">
        <v>20</v>
      </c>
      <c r="C2479">
        <v>0</v>
      </c>
      <c r="D2479">
        <v>0</v>
      </c>
      <c r="E2479" s="29">
        <v>0</v>
      </c>
      <c r="F2479">
        <v>0</v>
      </c>
      <c r="G2479">
        <v>0</v>
      </c>
      <c r="H2479">
        <v>0</v>
      </c>
      <c r="I2479" s="29">
        <v>0</v>
      </c>
      <c r="J2479" s="29">
        <v>0</v>
      </c>
      <c r="K2479" s="9">
        <v>45354</v>
      </c>
      <c r="L2479">
        <f xml:space="preserve"> (交易處理資料__3[[#This Row],[售出工時]] * 60) / 5</f>
        <v>0</v>
      </c>
      <c r="M2479" t="str">
        <f>VLOOKUP(交易處理資料__3[[#This Row],[人員代號]],團隊分組!$B$1:$C$52,2,FALSE)</f>
        <v>查修團隊B</v>
      </c>
      <c r="N2479" t="str">
        <f>IF(交易處理資料__3[[#This Row],[上班時間]]=0,"否","是")</f>
        <v>否</v>
      </c>
      <c r="O2479" t="s">
        <v>76</v>
      </c>
      <c r="P2479" s="38">
        <v>0</v>
      </c>
      <c r="Q2479" s="38">
        <v>0</v>
      </c>
      <c r="R2479" s="38">
        <v>0</v>
      </c>
    </row>
    <row r="2480" spans="1:18" hidden="1">
      <c r="A2480" t="s">
        <v>76</v>
      </c>
      <c r="B2480" t="s">
        <v>21</v>
      </c>
      <c r="C2480">
        <v>0</v>
      </c>
      <c r="D2480">
        <v>0</v>
      </c>
      <c r="E2480" s="29">
        <v>0</v>
      </c>
      <c r="F2480">
        <v>0</v>
      </c>
      <c r="G2480">
        <v>0</v>
      </c>
      <c r="H2480">
        <v>0</v>
      </c>
      <c r="I2480" s="29">
        <v>0</v>
      </c>
      <c r="J2480" s="29">
        <v>0</v>
      </c>
      <c r="K2480" s="9">
        <v>45354</v>
      </c>
      <c r="L2480">
        <f xml:space="preserve"> (交易處理資料__3[[#This Row],[售出工時]] * 60) / 5</f>
        <v>0</v>
      </c>
      <c r="M2480" t="str">
        <f>VLOOKUP(交易處理資料__3[[#This Row],[人員代號]],團隊分組!$B$1:$C$52,2,FALSE)</f>
        <v>查修團隊B</v>
      </c>
      <c r="N2480" t="str">
        <f>IF(交易處理資料__3[[#This Row],[上班時間]]=0,"否","是")</f>
        <v>否</v>
      </c>
      <c r="O2480" t="s">
        <v>76</v>
      </c>
      <c r="P2480" s="37">
        <v>0</v>
      </c>
      <c r="Q2480" s="37">
        <v>0</v>
      </c>
      <c r="R2480" s="37">
        <v>0</v>
      </c>
    </row>
    <row r="2481" spans="1:18" hidden="1">
      <c r="A2481" t="s">
        <v>76</v>
      </c>
      <c r="B2481" t="s">
        <v>22</v>
      </c>
      <c r="C2481">
        <v>0</v>
      </c>
      <c r="D2481">
        <v>0</v>
      </c>
      <c r="E2481" s="29">
        <v>0</v>
      </c>
      <c r="F2481">
        <v>0</v>
      </c>
      <c r="G2481">
        <v>0</v>
      </c>
      <c r="H2481">
        <v>0</v>
      </c>
      <c r="I2481" s="29">
        <v>0</v>
      </c>
      <c r="J2481" s="29">
        <v>0</v>
      </c>
      <c r="K2481" s="9">
        <v>45354</v>
      </c>
      <c r="L2481">
        <f xml:space="preserve"> (交易處理資料__3[[#This Row],[售出工時]] * 60) / 5</f>
        <v>0</v>
      </c>
      <c r="M2481" t="str">
        <f>VLOOKUP(交易處理資料__3[[#This Row],[人員代號]],團隊分組!$B$1:$C$52,2,FALSE)</f>
        <v>快速保養團隊A</v>
      </c>
      <c r="N2481" t="str">
        <f>IF(交易處理資料__3[[#This Row],[上班時間]]=0,"否","是")</f>
        <v>否</v>
      </c>
      <c r="O2481" t="s">
        <v>76</v>
      </c>
      <c r="P2481" s="38">
        <v>0</v>
      </c>
      <c r="Q2481" s="38">
        <v>0</v>
      </c>
      <c r="R2481" s="38">
        <v>0</v>
      </c>
    </row>
    <row r="2482" spans="1:18" hidden="1">
      <c r="A2482" t="s">
        <v>76</v>
      </c>
      <c r="B2482" t="s">
        <v>23</v>
      </c>
      <c r="C2482">
        <v>0</v>
      </c>
      <c r="D2482">
        <v>0</v>
      </c>
      <c r="E2482" s="29">
        <v>0</v>
      </c>
      <c r="F2482">
        <v>0</v>
      </c>
      <c r="G2482">
        <v>0</v>
      </c>
      <c r="H2482">
        <v>0</v>
      </c>
      <c r="I2482" s="29">
        <v>0</v>
      </c>
      <c r="J2482" s="29">
        <v>0</v>
      </c>
      <c r="K2482" s="9">
        <v>45354</v>
      </c>
      <c r="L2482">
        <f xml:space="preserve"> (交易處理資料__3[[#This Row],[售出工時]] * 60) / 5</f>
        <v>0</v>
      </c>
      <c r="M2482" t="str">
        <f>VLOOKUP(交易處理資料__3[[#This Row],[人員代號]],團隊分組!$B$1:$C$52,2,FALSE)</f>
        <v>快速保養團隊B</v>
      </c>
      <c r="N2482" t="str">
        <f>IF(交易處理資料__3[[#This Row],[上班時間]]=0,"否","是")</f>
        <v>否</v>
      </c>
      <c r="O2482" t="s">
        <v>76</v>
      </c>
      <c r="P2482" s="37">
        <v>0</v>
      </c>
      <c r="Q2482" s="37">
        <v>0</v>
      </c>
      <c r="R2482" s="37">
        <v>0</v>
      </c>
    </row>
    <row r="2483" spans="1:18" hidden="1">
      <c r="A2483" t="s">
        <v>76</v>
      </c>
      <c r="B2483" t="s">
        <v>24</v>
      </c>
      <c r="C2483">
        <v>0</v>
      </c>
      <c r="D2483">
        <v>0</v>
      </c>
      <c r="E2483" s="29">
        <v>0</v>
      </c>
      <c r="F2483">
        <v>0</v>
      </c>
      <c r="G2483">
        <v>0</v>
      </c>
      <c r="H2483">
        <v>0</v>
      </c>
      <c r="I2483" s="29">
        <v>0</v>
      </c>
      <c r="J2483" s="29">
        <v>0</v>
      </c>
      <c r="K2483" s="9">
        <v>45354</v>
      </c>
      <c r="L2483">
        <f xml:space="preserve"> (交易處理資料__3[[#This Row],[售出工時]] * 60) / 5</f>
        <v>0</v>
      </c>
      <c r="M2483" t="str">
        <f>VLOOKUP(交易處理資料__3[[#This Row],[人員代號]],團隊分組!$B$1:$C$52,2,FALSE)</f>
        <v>快速保養團隊A</v>
      </c>
      <c r="N2483" t="str">
        <f>IF(交易處理資料__3[[#This Row],[上班時間]]=0,"否","是")</f>
        <v>否</v>
      </c>
      <c r="O2483" t="s">
        <v>76</v>
      </c>
      <c r="P2483" s="38">
        <v>0</v>
      </c>
      <c r="Q2483" s="38">
        <v>0</v>
      </c>
      <c r="R2483" s="38">
        <v>0</v>
      </c>
    </row>
    <row r="2484" spans="1:18" hidden="1">
      <c r="A2484" t="s">
        <v>76</v>
      </c>
      <c r="B2484" t="s">
        <v>25</v>
      </c>
      <c r="C2484">
        <v>0</v>
      </c>
      <c r="D2484">
        <v>0</v>
      </c>
      <c r="E2484" s="29">
        <v>0</v>
      </c>
      <c r="F2484">
        <v>0</v>
      </c>
      <c r="G2484">
        <v>0</v>
      </c>
      <c r="H2484">
        <v>0</v>
      </c>
      <c r="I2484" s="29">
        <v>0</v>
      </c>
      <c r="J2484" s="29">
        <v>0</v>
      </c>
      <c r="K2484" s="9">
        <v>45354</v>
      </c>
      <c r="L2484">
        <f xml:space="preserve"> (交易處理資料__3[[#This Row],[售出工時]] * 60) / 5</f>
        <v>0</v>
      </c>
      <c r="M2484" t="str">
        <f>VLOOKUP(交易處理資料__3[[#This Row],[人員代號]],團隊分組!$B$1:$C$52,2,FALSE)</f>
        <v>查修團隊A</v>
      </c>
      <c r="N2484" t="str">
        <f>IF(交易處理資料__3[[#This Row],[上班時間]]=0,"否","是")</f>
        <v>否</v>
      </c>
      <c r="O2484" t="s">
        <v>76</v>
      </c>
      <c r="P2484" s="37">
        <v>0</v>
      </c>
      <c r="Q2484" s="37">
        <v>0</v>
      </c>
      <c r="R2484" s="37">
        <v>0</v>
      </c>
    </row>
    <row r="2485" spans="1:18" hidden="1">
      <c r="A2485" t="s">
        <v>76</v>
      </c>
      <c r="B2485" t="s">
        <v>26</v>
      </c>
      <c r="C2485">
        <v>0</v>
      </c>
      <c r="D2485">
        <v>0</v>
      </c>
      <c r="E2485" s="29">
        <v>0</v>
      </c>
      <c r="F2485">
        <v>0</v>
      </c>
      <c r="G2485">
        <v>0</v>
      </c>
      <c r="H2485">
        <v>0</v>
      </c>
      <c r="I2485" s="29">
        <v>0</v>
      </c>
      <c r="J2485" s="29">
        <v>0</v>
      </c>
      <c r="K2485" s="9">
        <v>45354</v>
      </c>
      <c r="L2485">
        <f xml:space="preserve"> (交易處理資料__3[[#This Row],[售出工時]] * 60) / 5</f>
        <v>0</v>
      </c>
      <c r="M2485" t="str">
        <f>VLOOKUP(交易處理資料__3[[#This Row],[人員代號]],團隊分組!$B$1:$C$52,2,FALSE)</f>
        <v>查修團隊B</v>
      </c>
      <c r="N2485" t="str">
        <f>IF(交易處理資料__3[[#This Row],[上班時間]]=0,"否","是")</f>
        <v>否</v>
      </c>
      <c r="O2485" t="s">
        <v>76</v>
      </c>
      <c r="P2485" s="38">
        <v>0</v>
      </c>
      <c r="Q2485" s="38">
        <v>0</v>
      </c>
      <c r="R2485" s="38">
        <v>0</v>
      </c>
    </row>
    <row r="2486" spans="1:18" hidden="1">
      <c r="A2486" t="s">
        <v>76</v>
      </c>
      <c r="B2486" t="s">
        <v>27</v>
      </c>
      <c r="C2486">
        <v>0</v>
      </c>
      <c r="D2486">
        <v>0</v>
      </c>
      <c r="E2486" s="29">
        <v>0</v>
      </c>
      <c r="F2486">
        <v>0</v>
      </c>
      <c r="G2486">
        <v>0</v>
      </c>
      <c r="H2486">
        <v>0</v>
      </c>
      <c r="I2486" s="29">
        <v>0</v>
      </c>
      <c r="J2486" s="29">
        <v>0</v>
      </c>
      <c r="K2486" s="9">
        <v>45354</v>
      </c>
      <c r="L2486">
        <f xml:space="preserve"> (交易處理資料__3[[#This Row],[售出工時]] * 60) / 5</f>
        <v>0</v>
      </c>
      <c r="M2486" t="str">
        <f>VLOOKUP(交易處理資料__3[[#This Row],[人員代號]],團隊分組!$B$1:$C$52,2,FALSE)</f>
        <v>快速保養團隊B</v>
      </c>
      <c r="N2486" t="str">
        <f>IF(交易處理資料__3[[#This Row],[上班時間]]=0,"否","是")</f>
        <v>否</v>
      </c>
      <c r="O2486" t="s">
        <v>76</v>
      </c>
      <c r="P2486" s="37">
        <v>0</v>
      </c>
      <c r="Q2486" s="37">
        <v>0</v>
      </c>
      <c r="R2486" s="37">
        <v>0</v>
      </c>
    </row>
    <row r="2487" spans="1:18" hidden="1">
      <c r="A2487" t="s">
        <v>76</v>
      </c>
      <c r="B2487" t="s">
        <v>28</v>
      </c>
      <c r="C2487">
        <v>0</v>
      </c>
      <c r="D2487">
        <v>0</v>
      </c>
      <c r="E2487" s="29">
        <v>0</v>
      </c>
      <c r="F2487">
        <v>0</v>
      </c>
      <c r="G2487">
        <v>0</v>
      </c>
      <c r="H2487">
        <v>0</v>
      </c>
      <c r="I2487" s="29">
        <v>0</v>
      </c>
      <c r="J2487" s="29">
        <v>0</v>
      </c>
      <c r="K2487" s="9">
        <v>45354</v>
      </c>
      <c r="L2487">
        <f xml:space="preserve"> (交易處理資料__3[[#This Row],[售出工時]] * 60) / 5</f>
        <v>0</v>
      </c>
      <c r="M2487" t="str">
        <f>VLOOKUP(交易處理資料__3[[#This Row],[人員代號]],團隊分組!$B$1:$C$52,2,FALSE)</f>
        <v>快速保養團隊A</v>
      </c>
      <c r="N2487" t="str">
        <f>IF(交易處理資料__3[[#This Row],[上班時間]]=0,"否","是")</f>
        <v>否</v>
      </c>
      <c r="O2487" t="s">
        <v>76</v>
      </c>
      <c r="P2487" s="38">
        <v>0</v>
      </c>
      <c r="Q2487" s="38">
        <v>0</v>
      </c>
      <c r="R2487" s="38">
        <v>0</v>
      </c>
    </row>
    <row r="2488" spans="1:18" hidden="1">
      <c r="A2488" t="s">
        <v>76</v>
      </c>
      <c r="B2488" t="s">
        <v>29</v>
      </c>
      <c r="C2488">
        <v>0</v>
      </c>
      <c r="D2488">
        <v>0</v>
      </c>
      <c r="E2488" s="29">
        <v>0</v>
      </c>
      <c r="F2488">
        <v>0</v>
      </c>
      <c r="G2488">
        <v>0</v>
      </c>
      <c r="H2488">
        <v>0</v>
      </c>
      <c r="I2488" s="29">
        <v>0</v>
      </c>
      <c r="J2488" s="29">
        <v>0</v>
      </c>
      <c r="K2488" s="9">
        <v>45354</v>
      </c>
      <c r="L2488">
        <f xml:space="preserve"> (交易處理資料__3[[#This Row],[售出工時]] * 60) / 5</f>
        <v>0</v>
      </c>
      <c r="M2488" t="str">
        <f>VLOOKUP(交易處理資料__3[[#This Row],[人員代號]],團隊分組!$B$1:$C$52,2,FALSE)</f>
        <v>查修團隊B</v>
      </c>
      <c r="N2488" t="str">
        <f>IF(交易處理資料__3[[#This Row],[上班時間]]=0,"否","是")</f>
        <v>否</v>
      </c>
      <c r="O2488" t="s">
        <v>76</v>
      </c>
      <c r="P2488" s="37">
        <v>0</v>
      </c>
      <c r="Q2488" s="37">
        <v>0</v>
      </c>
      <c r="R2488" s="37">
        <v>0</v>
      </c>
    </row>
    <row r="2489" spans="1:18" hidden="1">
      <c r="A2489" t="s">
        <v>76</v>
      </c>
      <c r="B2489" t="s">
        <v>30</v>
      </c>
      <c r="C2489">
        <v>0</v>
      </c>
      <c r="D2489">
        <v>0</v>
      </c>
      <c r="E2489" s="29">
        <v>0</v>
      </c>
      <c r="F2489">
        <v>0</v>
      </c>
      <c r="G2489">
        <v>0</v>
      </c>
      <c r="H2489">
        <v>0</v>
      </c>
      <c r="I2489" s="29">
        <v>0</v>
      </c>
      <c r="J2489" s="29">
        <v>0</v>
      </c>
      <c r="K2489" s="9">
        <v>45354</v>
      </c>
      <c r="L2489">
        <f xml:space="preserve"> (交易處理資料__3[[#This Row],[售出工時]] * 60) / 5</f>
        <v>0</v>
      </c>
      <c r="M2489" t="str">
        <f>VLOOKUP(交易處理資料__3[[#This Row],[人員代號]],團隊分組!$B$1:$C$52,2,FALSE)</f>
        <v>快速保養團隊B</v>
      </c>
      <c r="N2489" t="str">
        <f>IF(交易處理資料__3[[#This Row],[上班時間]]=0,"否","是")</f>
        <v>否</v>
      </c>
      <c r="O2489" t="s">
        <v>76</v>
      </c>
      <c r="P2489" s="38">
        <v>0</v>
      </c>
      <c r="Q2489" s="38">
        <v>0</v>
      </c>
      <c r="R2489" s="38">
        <v>0</v>
      </c>
    </row>
    <row r="2490" spans="1:18" hidden="1">
      <c r="A2490" t="s">
        <v>76</v>
      </c>
      <c r="B2490" t="s">
        <v>32</v>
      </c>
      <c r="C2490">
        <v>0</v>
      </c>
      <c r="D2490">
        <v>0</v>
      </c>
      <c r="E2490" s="29">
        <v>0</v>
      </c>
      <c r="F2490">
        <v>0</v>
      </c>
      <c r="G2490">
        <v>0</v>
      </c>
      <c r="H2490">
        <v>0</v>
      </c>
      <c r="I2490" s="29">
        <v>0</v>
      </c>
      <c r="J2490" s="29">
        <v>0</v>
      </c>
      <c r="K2490" s="9">
        <v>45354</v>
      </c>
      <c r="L2490">
        <f xml:space="preserve"> (交易處理資料__3[[#This Row],[售出工時]] * 60) / 5</f>
        <v>0</v>
      </c>
      <c r="M2490" t="str">
        <f>VLOOKUP(交易處理資料__3[[#This Row],[人員代號]],團隊分組!$B$1:$C$52,2,FALSE)</f>
        <v>快速保養團隊B</v>
      </c>
      <c r="N2490" t="str">
        <f>IF(交易處理資料__3[[#This Row],[上班時間]]=0,"否","是")</f>
        <v>否</v>
      </c>
      <c r="O2490" t="s">
        <v>76</v>
      </c>
      <c r="P2490" s="37">
        <v>0</v>
      </c>
      <c r="Q2490" s="37">
        <v>0</v>
      </c>
      <c r="R2490" s="37">
        <v>0</v>
      </c>
    </row>
    <row r="2491" spans="1:18" hidden="1">
      <c r="A2491" t="s">
        <v>76</v>
      </c>
      <c r="B2491" t="s">
        <v>33</v>
      </c>
      <c r="C2491">
        <v>0</v>
      </c>
      <c r="D2491">
        <v>0</v>
      </c>
      <c r="E2491" s="29">
        <v>0</v>
      </c>
      <c r="F2491">
        <v>0</v>
      </c>
      <c r="G2491">
        <v>0</v>
      </c>
      <c r="H2491">
        <v>0</v>
      </c>
      <c r="I2491" s="29">
        <v>0</v>
      </c>
      <c r="J2491" s="29">
        <v>0</v>
      </c>
      <c r="K2491" s="9">
        <v>45354</v>
      </c>
      <c r="L2491">
        <f xml:space="preserve"> (交易處理資料__3[[#This Row],[售出工時]] * 60) / 5</f>
        <v>0</v>
      </c>
      <c r="M2491" t="str">
        <f>VLOOKUP(交易處理資料__3[[#This Row],[人員代號]],團隊分組!$B$1:$C$52,2,FALSE)</f>
        <v>快速保養團隊B</v>
      </c>
      <c r="N2491" t="str">
        <f>IF(交易處理資料__3[[#This Row],[上班時間]]=0,"否","是")</f>
        <v>否</v>
      </c>
      <c r="O2491" t="s">
        <v>76</v>
      </c>
      <c r="P2491" s="38">
        <v>0</v>
      </c>
      <c r="Q2491" s="38">
        <v>0</v>
      </c>
      <c r="R2491" s="38">
        <v>0</v>
      </c>
    </row>
    <row r="2492" spans="1:18" hidden="1">
      <c r="A2492" t="s">
        <v>76</v>
      </c>
      <c r="B2492" t="s">
        <v>34</v>
      </c>
      <c r="C2492">
        <v>0</v>
      </c>
      <c r="D2492">
        <v>0</v>
      </c>
      <c r="E2492" s="29">
        <v>0</v>
      </c>
      <c r="F2492">
        <v>0</v>
      </c>
      <c r="G2492">
        <v>0</v>
      </c>
      <c r="H2492">
        <v>0</v>
      </c>
      <c r="I2492" s="29">
        <v>0</v>
      </c>
      <c r="J2492" s="29">
        <v>0</v>
      </c>
      <c r="K2492" s="9">
        <v>45354</v>
      </c>
      <c r="L2492">
        <f xml:space="preserve"> (交易處理資料__3[[#This Row],[售出工時]] * 60) / 5</f>
        <v>0</v>
      </c>
      <c r="M2492" t="str">
        <f>VLOOKUP(交易處理資料__3[[#This Row],[人員代號]],團隊分組!$B$1:$C$52,2,FALSE)</f>
        <v>快速保養團隊A</v>
      </c>
      <c r="N2492" t="str">
        <f>IF(交易處理資料__3[[#This Row],[上班時間]]=0,"否","是")</f>
        <v>否</v>
      </c>
      <c r="O2492" t="s">
        <v>76</v>
      </c>
      <c r="P2492" s="37">
        <v>0</v>
      </c>
      <c r="Q2492" s="37">
        <v>0</v>
      </c>
      <c r="R2492" s="37">
        <v>0</v>
      </c>
    </row>
    <row r="2493" spans="1:18" hidden="1">
      <c r="A2493" t="s">
        <v>76</v>
      </c>
      <c r="B2493" t="s">
        <v>35</v>
      </c>
      <c r="C2493">
        <v>0</v>
      </c>
      <c r="D2493">
        <v>0</v>
      </c>
      <c r="E2493" s="29">
        <v>0</v>
      </c>
      <c r="F2493">
        <v>0</v>
      </c>
      <c r="G2493">
        <v>0</v>
      </c>
      <c r="H2493">
        <v>0</v>
      </c>
      <c r="I2493" s="29">
        <v>0</v>
      </c>
      <c r="J2493" s="29">
        <v>0</v>
      </c>
      <c r="K2493" s="9">
        <v>45354</v>
      </c>
      <c r="L2493">
        <f xml:space="preserve"> (交易處理資料__3[[#This Row],[售出工時]] * 60) / 5</f>
        <v>0</v>
      </c>
      <c r="M2493" t="str">
        <f>VLOOKUP(交易處理資料__3[[#This Row],[人員代號]],團隊分組!$B$1:$C$52,2,FALSE)</f>
        <v>查修團隊B</v>
      </c>
      <c r="N2493" t="str">
        <f>IF(交易處理資料__3[[#This Row],[上班時間]]=0,"否","是")</f>
        <v>否</v>
      </c>
      <c r="O2493" t="s">
        <v>76</v>
      </c>
      <c r="P2493" s="38">
        <v>0</v>
      </c>
      <c r="Q2493" s="38">
        <v>0</v>
      </c>
      <c r="R2493" s="38">
        <v>0</v>
      </c>
    </row>
    <row r="2494" spans="1:18" hidden="1">
      <c r="A2494" t="s">
        <v>76</v>
      </c>
      <c r="B2494" t="s">
        <v>36</v>
      </c>
      <c r="C2494">
        <v>0</v>
      </c>
      <c r="D2494">
        <v>0</v>
      </c>
      <c r="E2494" s="29">
        <v>0</v>
      </c>
      <c r="F2494">
        <v>0</v>
      </c>
      <c r="G2494">
        <v>0</v>
      </c>
      <c r="H2494">
        <v>0</v>
      </c>
      <c r="I2494" s="29">
        <v>0</v>
      </c>
      <c r="J2494" s="29">
        <v>0</v>
      </c>
      <c r="K2494" s="9">
        <v>45354</v>
      </c>
      <c r="L2494">
        <f xml:space="preserve"> (交易處理資料__3[[#This Row],[售出工時]] * 60) / 5</f>
        <v>0</v>
      </c>
      <c r="M2494" t="str">
        <f>VLOOKUP(交易處理資料__3[[#This Row],[人員代號]],團隊分組!$B$1:$C$52,2,FALSE)</f>
        <v>查修團隊B</v>
      </c>
      <c r="N2494" t="str">
        <f>IF(交易處理資料__3[[#This Row],[上班時間]]=0,"否","是")</f>
        <v>否</v>
      </c>
      <c r="O2494" t="s">
        <v>76</v>
      </c>
      <c r="P2494" s="37">
        <v>0</v>
      </c>
      <c r="Q2494" s="37">
        <v>0</v>
      </c>
      <c r="R2494" s="37">
        <v>0</v>
      </c>
    </row>
    <row r="2495" spans="1:18" hidden="1">
      <c r="A2495" t="s">
        <v>76</v>
      </c>
      <c r="B2495" t="s">
        <v>37</v>
      </c>
      <c r="C2495">
        <v>0</v>
      </c>
      <c r="D2495">
        <v>0</v>
      </c>
      <c r="E2495" s="29">
        <v>0</v>
      </c>
      <c r="F2495">
        <v>0</v>
      </c>
      <c r="G2495">
        <v>0</v>
      </c>
      <c r="H2495">
        <v>0</v>
      </c>
      <c r="I2495" s="29">
        <v>0</v>
      </c>
      <c r="J2495" s="29">
        <v>0</v>
      </c>
      <c r="K2495" s="9">
        <v>45354</v>
      </c>
      <c r="L2495">
        <f xml:space="preserve"> (交易處理資料__3[[#This Row],[售出工時]] * 60) / 5</f>
        <v>0</v>
      </c>
      <c r="M2495" t="str">
        <f>VLOOKUP(交易處理資料__3[[#This Row],[人員代號]],團隊分組!$B$1:$C$52,2,FALSE)</f>
        <v>查修團隊A</v>
      </c>
      <c r="N2495" t="str">
        <f>IF(交易處理資料__3[[#This Row],[上班時間]]=0,"否","是")</f>
        <v>否</v>
      </c>
      <c r="O2495" t="s">
        <v>76</v>
      </c>
      <c r="P2495" s="38">
        <v>0</v>
      </c>
      <c r="Q2495" s="38">
        <v>0</v>
      </c>
      <c r="R2495" s="38">
        <v>0</v>
      </c>
    </row>
    <row r="2496" spans="1:18" hidden="1">
      <c r="A2496" t="s">
        <v>76</v>
      </c>
      <c r="B2496" t="s">
        <v>38</v>
      </c>
      <c r="C2496">
        <v>0</v>
      </c>
      <c r="D2496">
        <v>0</v>
      </c>
      <c r="E2496" s="29">
        <v>0</v>
      </c>
      <c r="F2496">
        <v>0</v>
      </c>
      <c r="G2496">
        <v>0</v>
      </c>
      <c r="H2496">
        <v>0</v>
      </c>
      <c r="I2496" s="29">
        <v>0</v>
      </c>
      <c r="J2496" s="29">
        <v>0</v>
      </c>
      <c r="K2496" s="9">
        <v>45354</v>
      </c>
      <c r="L2496">
        <f xml:space="preserve"> (交易處理資料__3[[#This Row],[售出工時]] * 60) / 5</f>
        <v>0</v>
      </c>
      <c r="M2496" t="str">
        <f>VLOOKUP(交易處理資料__3[[#This Row],[人員代號]],團隊分組!$B$1:$C$52,2,FALSE)</f>
        <v>快速保養團隊A</v>
      </c>
      <c r="N2496" t="str">
        <f>IF(交易處理資料__3[[#This Row],[上班時間]]=0,"否","是")</f>
        <v>否</v>
      </c>
      <c r="O2496" t="s">
        <v>76</v>
      </c>
      <c r="P2496" s="37">
        <v>0</v>
      </c>
      <c r="Q2496" s="37">
        <v>0</v>
      </c>
      <c r="R2496" s="37">
        <v>0</v>
      </c>
    </row>
    <row r="2497" spans="1:18" hidden="1">
      <c r="A2497" t="s">
        <v>76</v>
      </c>
      <c r="B2497" t="s">
        <v>39</v>
      </c>
      <c r="C2497">
        <v>0</v>
      </c>
      <c r="D2497">
        <v>0</v>
      </c>
      <c r="E2497" s="29">
        <v>0</v>
      </c>
      <c r="F2497">
        <v>0</v>
      </c>
      <c r="G2497">
        <v>0</v>
      </c>
      <c r="H2497">
        <v>0</v>
      </c>
      <c r="I2497" s="29">
        <v>0</v>
      </c>
      <c r="J2497" s="29">
        <v>0</v>
      </c>
      <c r="K2497" s="9">
        <v>45354</v>
      </c>
      <c r="L2497">
        <f xml:space="preserve"> (交易處理資料__3[[#This Row],[售出工時]] * 60) / 5</f>
        <v>0</v>
      </c>
      <c r="M2497" t="str">
        <f>VLOOKUP(交易處理資料__3[[#This Row],[人員代號]],團隊分組!$B$1:$C$52,2,FALSE)</f>
        <v>查修團隊A</v>
      </c>
      <c r="N2497" t="str">
        <f>IF(交易處理資料__3[[#This Row],[上班時間]]=0,"否","是")</f>
        <v>否</v>
      </c>
      <c r="O2497" t="s">
        <v>76</v>
      </c>
      <c r="P2497" s="38">
        <v>0</v>
      </c>
      <c r="Q2497" s="38">
        <v>0</v>
      </c>
      <c r="R2497" s="38">
        <v>0</v>
      </c>
    </row>
    <row r="2498" spans="1:18" hidden="1">
      <c r="A2498" t="s">
        <v>76</v>
      </c>
      <c r="B2498" t="s">
        <v>40</v>
      </c>
      <c r="C2498">
        <v>0</v>
      </c>
      <c r="D2498">
        <v>0</v>
      </c>
      <c r="E2498" s="29">
        <v>0</v>
      </c>
      <c r="F2498">
        <v>0</v>
      </c>
      <c r="G2498">
        <v>0</v>
      </c>
      <c r="H2498">
        <v>0</v>
      </c>
      <c r="I2498" s="29">
        <v>0</v>
      </c>
      <c r="J2498" s="29">
        <v>0</v>
      </c>
      <c r="K2498" s="9">
        <v>45354</v>
      </c>
      <c r="L2498">
        <f xml:space="preserve"> (交易處理資料__3[[#This Row],[售出工時]] * 60) / 5</f>
        <v>0</v>
      </c>
      <c r="M2498" t="str">
        <f>VLOOKUP(交易處理資料__3[[#This Row],[人員代號]],團隊分組!$B$1:$C$52,2,FALSE)</f>
        <v>查修團隊A</v>
      </c>
      <c r="N2498" t="str">
        <f>IF(交易處理資料__3[[#This Row],[上班時間]]=0,"否","是")</f>
        <v>否</v>
      </c>
      <c r="O2498" t="s">
        <v>76</v>
      </c>
      <c r="P2498" s="37">
        <v>0</v>
      </c>
      <c r="Q2498" s="37">
        <v>0</v>
      </c>
      <c r="R2498" s="37">
        <v>0</v>
      </c>
    </row>
    <row r="2499" spans="1:18" hidden="1">
      <c r="A2499" t="s">
        <v>76</v>
      </c>
      <c r="B2499" t="s">
        <v>41</v>
      </c>
      <c r="C2499">
        <v>0</v>
      </c>
      <c r="D2499">
        <v>0</v>
      </c>
      <c r="E2499" s="29">
        <v>0</v>
      </c>
      <c r="F2499">
        <v>0</v>
      </c>
      <c r="G2499">
        <v>0</v>
      </c>
      <c r="H2499">
        <v>0</v>
      </c>
      <c r="I2499" s="29">
        <v>0</v>
      </c>
      <c r="J2499" s="29">
        <v>0</v>
      </c>
      <c r="K2499" s="9">
        <v>45354</v>
      </c>
      <c r="L2499">
        <f xml:space="preserve"> (交易處理資料__3[[#This Row],[售出工時]] * 60) / 5</f>
        <v>0</v>
      </c>
      <c r="M2499" t="str">
        <f>VLOOKUP(交易處理資料__3[[#This Row],[人員代號]],團隊分組!$B$1:$C$52,2,FALSE)</f>
        <v>快速保養團隊A</v>
      </c>
      <c r="N2499" t="str">
        <f>IF(交易處理資料__3[[#This Row],[上班時間]]=0,"否","是")</f>
        <v>否</v>
      </c>
      <c r="O2499" t="s">
        <v>76</v>
      </c>
      <c r="P2499" s="38">
        <v>0</v>
      </c>
      <c r="Q2499" s="38">
        <v>0</v>
      </c>
      <c r="R2499" s="38">
        <v>0</v>
      </c>
    </row>
    <row r="2500" spans="1:18" hidden="1">
      <c r="A2500" t="s">
        <v>76</v>
      </c>
      <c r="B2500" t="s">
        <v>42</v>
      </c>
      <c r="C2500">
        <v>0</v>
      </c>
      <c r="D2500">
        <v>0</v>
      </c>
      <c r="E2500" s="29">
        <v>0</v>
      </c>
      <c r="F2500">
        <v>0</v>
      </c>
      <c r="G2500">
        <v>0</v>
      </c>
      <c r="H2500">
        <v>0</v>
      </c>
      <c r="I2500" s="29">
        <v>0</v>
      </c>
      <c r="J2500" s="29">
        <v>0</v>
      </c>
      <c r="K2500" s="9">
        <v>45354</v>
      </c>
      <c r="L2500">
        <f xml:space="preserve"> (交易處理資料__3[[#This Row],[售出工時]] * 60) / 5</f>
        <v>0</v>
      </c>
      <c r="M2500" t="str">
        <f>VLOOKUP(交易處理資料__3[[#This Row],[人員代號]],團隊分組!$B$1:$C$52,2,FALSE)</f>
        <v>快速保養團隊A</v>
      </c>
      <c r="N2500" t="str">
        <f>IF(交易處理資料__3[[#This Row],[上班時間]]=0,"否","是")</f>
        <v>否</v>
      </c>
      <c r="O2500" t="s">
        <v>76</v>
      </c>
      <c r="P2500" s="37">
        <v>0</v>
      </c>
      <c r="Q2500" s="37">
        <v>0</v>
      </c>
      <c r="R2500" s="37">
        <v>0</v>
      </c>
    </row>
    <row r="2501" spans="1:18" hidden="1">
      <c r="A2501" t="s">
        <v>76</v>
      </c>
      <c r="B2501" t="s">
        <v>43</v>
      </c>
      <c r="C2501">
        <v>0</v>
      </c>
      <c r="D2501">
        <v>0</v>
      </c>
      <c r="E2501" s="29">
        <v>0</v>
      </c>
      <c r="F2501">
        <v>0</v>
      </c>
      <c r="G2501">
        <v>0</v>
      </c>
      <c r="H2501">
        <v>0</v>
      </c>
      <c r="I2501" s="29">
        <v>0</v>
      </c>
      <c r="J2501" s="29">
        <v>0</v>
      </c>
      <c r="K2501" s="9">
        <v>45354</v>
      </c>
      <c r="L2501">
        <f xml:space="preserve"> (交易處理資料__3[[#This Row],[售出工時]] * 60) / 5</f>
        <v>0</v>
      </c>
      <c r="M2501" t="str">
        <f>VLOOKUP(交易處理資料__3[[#This Row],[人員代號]],團隊分組!$B$1:$C$52,2,FALSE)</f>
        <v>查修團隊B</v>
      </c>
      <c r="N2501" t="str">
        <f>IF(交易處理資料__3[[#This Row],[上班時間]]=0,"否","是")</f>
        <v>否</v>
      </c>
      <c r="O2501" t="s">
        <v>76</v>
      </c>
      <c r="P2501" s="38">
        <v>0</v>
      </c>
      <c r="Q2501" s="38">
        <v>0</v>
      </c>
      <c r="R2501" s="38">
        <v>0</v>
      </c>
    </row>
    <row r="2502" spans="1:18" hidden="1">
      <c r="A2502" t="s">
        <v>76</v>
      </c>
      <c r="B2502" t="s">
        <v>44</v>
      </c>
      <c r="C2502">
        <v>0</v>
      </c>
      <c r="D2502">
        <v>0</v>
      </c>
      <c r="E2502" s="29">
        <v>0</v>
      </c>
      <c r="F2502">
        <v>0</v>
      </c>
      <c r="G2502">
        <v>0</v>
      </c>
      <c r="H2502">
        <v>0</v>
      </c>
      <c r="I2502" s="29">
        <v>0</v>
      </c>
      <c r="J2502" s="29">
        <v>0</v>
      </c>
      <c r="K2502" s="9">
        <v>45354</v>
      </c>
      <c r="L2502">
        <f xml:space="preserve"> (交易處理資料__3[[#This Row],[售出工時]] * 60) / 5</f>
        <v>0</v>
      </c>
      <c r="M2502" t="str">
        <f>VLOOKUP(交易處理資料__3[[#This Row],[人員代號]],團隊分組!$B$1:$C$52,2,FALSE)</f>
        <v>快速保養團隊B</v>
      </c>
      <c r="N2502" t="str">
        <f>IF(交易處理資料__3[[#This Row],[上班時間]]=0,"否","是")</f>
        <v>否</v>
      </c>
      <c r="O2502" t="s">
        <v>76</v>
      </c>
      <c r="P2502" s="37">
        <v>0</v>
      </c>
      <c r="Q2502" s="37">
        <v>0</v>
      </c>
      <c r="R2502" s="37">
        <v>0</v>
      </c>
    </row>
    <row r="2503" spans="1:18" hidden="1">
      <c r="A2503" t="s">
        <v>76</v>
      </c>
      <c r="B2503" t="s">
        <v>45</v>
      </c>
      <c r="C2503">
        <v>0</v>
      </c>
      <c r="D2503">
        <v>0</v>
      </c>
      <c r="E2503" s="29">
        <v>0</v>
      </c>
      <c r="F2503">
        <v>0</v>
      </c>
      <c r="G2503">
        <v>0</v>
      </c>
      <c r="H2503">
        <v>0</v>
      </c>
      <c r="I2503" s="29">
        <v>0</v>
      </c>
      <c r="J2503" s="29">
        <v>0</v>
      </c>
      <c r="K2503" s="9">
        <v>45354</v>
      </c>
      <c r="L2503">
        <f xml:space="preserve"> (交易處理資料__3[[#This Row],[售出工時]] * 60) / 5</f>
        <v>0</v>
      </c>
      <c r="M2503" t="str">
        <f>VLOOKUP(交易處理資料__3[[#This Row],[人員代號]],團隊分組!$B$1:$C$52,2,FALSE)</f>
        <v>快速保養團隊A</v>
      </c>
      <c r="N2503" t="str">
        <f>IF(交易處理資料__3[[#This Row],[上班時間]]=0,"否","是")</f>
        <v>否</v>
      </c>
      <c r="O2503" t="s">
        <v>76</v>
      </c>
      <c r="P2503" s="38">
        <v>0</v>
      </c>
      <c r="Q2503" s="38">
        <v>0</v>
      </c>
      <c r="R2503" s="38">
        <v>0</v>
      </c>
    </row>
    <row r="2504" spans="1:18" hidden="1">
      <c r="A2504" t="s">
        <v>76</v>
      </c>
      <c r="B2504" t="s">
        <v>46</v>
      </c>
      <c r="C2504">
        <v>0</v>
      </c>
      <c r="D2504">
        <v>0</v>
      </c>
      <c r="E2504" s="29">
        <v>0</v>
      </c>
      <c r="F2504">
        <v>0</v>
      </c>
      <c r="G2504">
        <v>0</v>
      </c>
      <c r="H2504">
        <v>0</v>
      </c>
      <c r="I2504" s="29">
        <v>0</v>
      </c>
      <c r="J2504" s="29">
        <v>0</v>
      </c>
      <c r="K2504" s="9">
        <v>45354</v>
      </c>
      <c r="L2504">
        <f xml:space="preserve"> (交易處理資料__3[[#This Row],[售出工時]] * 60) / 5</f>
        <v>0</v>
      </c>
      <c r="M2504" t="str">
        <f>VLOOKUP(交易處理資料__3[[#This Row],[人員代號]],團隊分組!$B$1:$C$52,2,FALSE)</f>
        <v>查修團隊B</v>
      </c>
      <c r="N2504" t="str">
        <f>IF(交易處理資料__3[[#This Row],[上班時間]]=0,"否","是")</f>
        <v>否</v>
      </c>
      <c r="O2504" t="s">
        <v>76</v>
      </c>
      <c r="P2504" s="37">
        <v>0</v>
      </c>
      <c r="Q2504" s="37">
        <v>0</v>
      </c>
      <c r="R2504" s="37">
        <v>0</v>
      </c>
    </row>
    <row r="2505" spans="1:18" hidden="1">
      <c r="A2505" t="s">
        <v>76</v>
      </c>
      <c r="B2505" t="s">
        <v>47</v>
      </c>
      <c r="C2505">
        <v>0</v>
      </c>
      <c r="D2505">
        <v>0</v>
      </c>
      <c r="E2505" s="29">
        <v>0</v>
      </c>
      <c r="F2505">
        <v>0</v>
      </c>
      <c r="G2505">
        <v>0</v>
      </c>
      <c r="H2505">
        <v>0</v>
      </c>
      <c r="I2505" s="29">
        <v>0</v>
      </c>
      <c r="J2505" s="29">
        <v>0</v>
      </c>
      <c r="K2505" s="9">
        <v>45354</v>
      </c>
      <c r="L2505">
        <f xml:space="preserve"> (交易處理資料__3[[#This Row],[售出工時]] * 60) / 5</f>
        <v>0</v>
      </c>
      <c r="M2505" t="str">
        <f>VLOOKUP(交易處理資料__3[[#This Row],[人員代號]],團隊分組!$B$1:$C$52,2,FALSE)</f>
        <v>查修團隊B</v>
      </c>
      <c r="N2505" t="str">
        <f>IF(交易處理資料__3[[#This Row],[上班時間]]=0,"否","是")</f>
        <v>否</v>
      </c>
      <c r="O2505" t="s">
        <v>76</v>
      </c>
      <c r="P2505" s="38">
        <v>0</v>
      </c>
      <c r="Q2505" s="38">
        <v>0</v>
      </c>
      <c r="R2505" s="38">
        <v>0</v>
      </c>
    </row>
    <row r="2506" spans="1:18" hidden="1">
      <c r="A2506" t="s">
        <v>76</v>
      </c>
      <c r="B2506" t="s">
        <v>48</v>
      </c>
      <c r="C2506">
        <v>0</v>
      </c>
      <c r="D2506">
        <v>0</v>
      </c>
      <c r="E2506" s="29">
        <v>0</v>
      </c>
      <c r="F2506">
        <v>0</v>
      </c>
      <c r="G2506">
        <v>0</v>
      </c>
      <c r="H2506">
        <v>0</v>
      </c>
      <c r="I2506" s="29">
        <v>0</v>
      </c>
      <c r="J2506" s="29">
        <v>0</v>
      </c>
      <c r="K2506" s="9">
        <v>45354</v>
      </c>
      <c r="L2506">
        <f xml:space="preserve"> (交易處理資料__3[[#This Row],[售出工時]] * 60) / 5</f>
        <v>0</v>
      </c>
      <c r="M2506" t="str">
        <f>VLOOKUP(交易處理資料__3[[#This Row],[人員代號]],團隊分組!$B$1:$C$52,2,FALSE)</f>
        <v>查修團隊A</v>
      </c>
      <c r="N2506" t="str">
        <f>IF(交易處理資料__3[[#This Row],[上班時間]]=0,"否","是")</f>
        <v>否</v>
      </c>
      <c r="O2506" t="s">
        <v>76</v>
      </c>
      <c r="P2506" s="37">
        <v>0</v>
      </c>
      <c r="Q2506" s="37">
        <v>0</v>
      </c>
      <c r="R2506" s="37">
        <v>0</v>
      </c>
    </row>
    <row r="2507" spans="1:18" hidden="1">
      <c r="A2507" t="s">
        <v>76</v>
      </c>
      <c r="B2507" t="s">
        <v>49</v>
      </c>
      <c r="C2507">
        <v>0</v>
      </c>
      <c r="D2507">
        <v>0</v>
      </c>
      <c r="E2507" s="29">
        <v>0</v>
      </c>
      <c r="F2507">
        <v>0</v>
      </c>
      <c r="G2507">
        <v>0</v>
      </c>
      <c r="H2507">
        <v>0</v>
      </c>
      <c r="I2507" s="29">
        <v>0</v>
      </c>
      <c r="J2507" s="29">
        <v>0</v>
      </c>
      <c r="K2507" s="9">
        <v>45354</v>
      </c>
      <c r="L2507">
        <f xml:space="preserve"> (交易處理資料__3[[#This Row],[售出工時]] * 60) / 5</f>
        <v>0</v>
      </c>
      <c r="M2507" t="str">
        <f>VLOOKUP(交易處理資料__3[[#This Row],[人員代號]],團隊分組!$B$1:$C$52,2,FALSE)</f>
        <v>查修團隊A</v>
      </c>
      <c r="N2507" t="str">
        <f>IF(交易處理資料__3[[#This Row],[上班時間]]=0,"否","是")</f>
        <v>否</v>
      </c>
      <c r="O2507" t="s">
        <v>76</v>
      </c>
      <c r="P2507" s="38">
        <v>0</v>
      </c>
      <c r="Q2507" s="38">
        <v>0</v>
      </c>
      <c r="R2507" s="38">
        <v>0</v>
      </c>
    </row>
    <row r="2508" spans="1:18" hidden="1">
      <c r="A2508" t="s">
        <v>76</v>
      </c>
      <c r="B2508" t="s">
        <v>50</v>
      </c>
      <c r="C2508">
        <v>0</v>
      </c>
      <c r="D2508">
        <v>0</v>
      </c>
      <c r="E2508" s="29">
        <v>0</v>
      </c>
      <c r="F2508">
        <v>0</v>
      </c>
      <c r="G2508">
        <v>0</v>
      </c>
      <c r="H2508">
        <v>0</v>
      </c>
      <c r="I2508" s="29">
        <v>0</v>
      </c>
      <c r="J2508" s="29">
        <v>0</v>
      </c>
      <c r="K2508" s="9">
        <v>45354</v>
      </c>
      <c r="L2508">
        <f xml:space="preserve"> (交易處理資料__3[[#This Row],[售出工時]] * 60) / 5</f>
        <v>0</v>
      </c>
      <c r="M2508" t="str">
        <f>VLOOKUP(交易處理資料__3[[#This Row],[人員代號]],團隊分組!$B$1:$C$52,2,FALSE)</f>
        <v>快速保養團隊B</v>
      </c>
      <c r="N2508" t="str">
        <f>IF(交易處理資料__3[[#This Row],[上班時間]]=0,"否","是")</f>
        <v>否</v>
      </c>
      <c r="O2508" t="s">
        <v>76</v>
      </c>
      <c r="P2508" s="37">
        <v>0</v>
      </c>
      <c r="Q2508" s="37">
        <v>0</v>
      </c>
      <c r="R2508" s="37">
        <v>0</v>
      </c>
    </row>
    <row r="2509" spans="1:18" hidden="1">
      <c r="A2509" t="s">
        <v>76</v>
      </c>
      <c r="B2509" t="s">
        <v>51</v>
      </c>
      <c r="C2509">
        <v>0</v>
      </c>
      <c r="D2509">
        <v>0</v>
      </c>
      <c r="E2509" s="29">
        <v>0</v>
      </c>
      <c r="F2509">
        <v>0</v>
      </c>
      <c r="G2509">
        <v>0</v>
      </c>
      <c r="H2509">
        <v>0</v>
      </c>
      <c r="I2509" s="29">
        <v>0</v>
      </c>
      <c r="J2509" s="29">
        <v>0</v>
      </c>
      <c r="K2509" s="9">
        <v>45354</v>
      </c>
      <c r="L2509">
        <f xml:space="preserve"> (交易處理資料__3[[#This Row],[售出工時]] * 60) / 5</f>
        <v>0</v>
      </c>
      <c r="M2509" t="str">
        <f>VLOOKUP(交易處理資料__3[[#This Row],[人員代號]],團隊分組!$B$1:$C$52,2,FALSE)</f>
        <v>無效數據</v>
      </c>
      <c r="N2509" t="str">
        <f>IF(交易處理資料__3[[#This Row],[上班時間]]=0,"否","是")</f>
        <v>否</v>
      </c>
      <c r="O2509" t="s">
        <v>76</v>
      </c>
      <c r="P2509" s="38">
        <v>0</v>
      </c>
      <c r="Q2509" s="38">
        <v>0</v>
      </c>
      <c r="R2509" s="38">
        <v>0</v>
      </c>
    </row>
    <row r="2510" spans="1:18" hidden="1">
      <c r="A2510" t="s">
        <v>76</v>
      </c>
      <c r="B2510" t="s">
        <v>52</v>
      </c>
      <c r="C2510">
        <v>0</v>
      </c>
      <c r="D2510">
        <v>0</v>
      </c>
      <c r="E2510" s="29">
        <v>0</v>
      </c>
      <c r="F2510">
        <v>0</v>
      </c>
      <c r="G2510">
        <v>0</v>
      </c>
      <c r="H2510">
        <v>0</v>
      </c>
      <c r="I2510" s="29">
        <v>0</v>
      </c>
      <c r="J2510" s="29">
        <v>0</v>
      </c>
      <c r="K2510" s="9">
        <v>45354</v>
      </c>
      <c r="L2510">
        <f xml:space="preserve"> (交易處理資料__3[[#This Row],[售出工時]] * 60) / 5</f>
        <v>0</v>
      </c>
      <c r="M2510" t="str">
        <f>VLOOKUP(交易處理資料__3[[#This Row],[人員代號]],團隊分組!$B$1:$C$52,2,FALSE)</f>
        <v>查修團隊B</v>
      </c>
      <c r="N2510" t="str">
        <f>IF(交易處理資料__3[[#This Row],[上班時間]]=0,"否","是")</f>
        <v>否</v>
      </c>
      <c r="O2510" t="s">
        <v>76</v>
      </c>
      <c r="P2510" s="37">
        <v>0</v>
      </c>
      <c r="Q2510" s="37">
        <v>0</v>
      </c>
      <c r="R2510" s="37">
        <v>0</v>
      </c>
    </row>
    <row r="2511" spans="1:18" hidden="1">
      <c r="A2511" t="s">
        <v>76</v>
      </c>
      <c r="B2511" t="s">
        <v>53</v>
      </c>
      <c r="C2511">
        <v>0</v>
      </c>
      <c r="D2511">
        <v>0</v>
      </c>
      <c r="E2511" s="29">
        <v>0</v>
      </c>
      <c r="F2511">
        <v>0</v>
      </c>
      <c r="G2511">
        <v>0</v>
      </c>
      <c r="H2511">
        <v>0</v>
      </c>
      <c r="I2511" s="29">
        <v>0</v>
      </c>
      <c r="J2511" s="29">
        <v>0</v>
      </c>
      <c r="K2511" s="9">
        <v>45354</v>
      </c>
      <c r="L2511">
        <f xml:space="preserve"> (交易處理資料__3[[#This Row],[售出工時]] * 60) / 5</f>
        <v>0</v>
      </c>
      <c r="M2511" t="str">
        <f>VLOOKUP(交易處理資料__3[[#This Row],[人員代號]],團隊分組!$B$1:$C$52,2,FALSE)</f>
        <v>查修團隊A</v>
      </c>
      <c r="N2511" t="str">
        <f>IF(交易處理資料__3[[#This Row],[上班時間]]=0,"否","是")</f>
        <v>否</v>
      </c>
      <c r="O2511" t="s">
        <v>76</v>
      </c>
      <c r="P2511" s="38">
        <v>0</v>
      </c>
      <c r="Q2511" s="38">
        <v>0</v>
      </c>
      <c r="R2511" s="38">
        <v>0</v>
      </c>
    </row>
    <row r="2512" spans="1:18" hidden="1">
      <c r="A2512" s="10" t="s">
        <v>74</v>
      </c>
      <c r="B2512" t="s">
        <v>2</v>
      </c>
      <c r="C2512">
        <v>0</v>
      </c>
      <c r="D2512">
        <v>0</v>
      </c>
      <c r="E2512" s="29">
        <v>0</v>
      </c>
      <c r="F2512">
        <v>7.62</v>
      </c>
      <c r="G2512">
        <v>0.23</v>
      </c>
      <c r="H2512">
        <v>7.85</v>
      </c>
      <c r="I2512" s="29">
        <v>0.9706999999999999</v>
      </c>
      <c r="J2512" s="29">
        <v>0</v>
      </c>
      <c r="K2512" s="9">
        <v>45355</v>
      </c>
      <c r="L2512">
        <f xml:space="preserve"> (交易處理資料__3[[#This Row],[售出工時]] * 60) / 5</f>
        <v>0</v>
      </c>
      <c r="M2512" t="str">
        <f>VLOOKUP(交易處理資料__3[[#This Row],[人員代號]],團隊分組!$B$1:$C$52,2,FALSE)</f>
        <v>噴漆維修組</v>
      </c>
      <c r="N2512" t="str">
        <f>IF(交易處理資料__3[[#This Row],[上班時間]]=0,"否","是")</f>
        <v>是</v>
      </c>
      <c r="O2512" s="10" t="s">
        <v>74</v>
      </c>
      <c r="P2512" s="37">
        <v>0</v>
      </c>
      <c r="Q2512" s="37">
        <v>0</v>
      </c>
      <c r="R2512" s="37">
        <v>0.9706999999999999</v>
      </c>
    </row>
    <row r="2513" spans="1:18" hidden="1">
      <c r="A2513" s="10" t="s">
        <v>74</v>
      </c>
      <c r="B2513" t="s">
        <v>3</v>
      </c>
      <c r="C2513">
        <v>0</v>
      </c>
      <c r="D2513">
        <v>0</v>
      </c>
      <c r="E2513" s="29">
        <v>0</v>
      </c>
      <c r="F2513">
        <v>7.62</v>
      </c>
      <c r="G2513">
        <v>0.23</v>
      </c>
      <c r="H2513">
        <v>7.85</v>
      </c>
      <c r="I2513" s="29">
        <v>0.9706999999999999</v>
      </c>
      <c r="J2513" s="29">
        <v>0</v>
      </c>
      <c r="K2513" s="9">
        <v>45355</v>
      </c>
      <c r="L2513">
        <f xml:space="preserve"> (交易處理資料__3[[#This Row],[售出工時]] * 60) / 5</f>
        <v>0</v>
      </c>
      <c r="M2513" t="str">
        <f>VLOOKUP(交易處理資料__3[[#This Row],[人員代號]],團隊分組!$B$1:$C$52,2,FALSE)</f>
        <v>噴漆維修組</v>
      </c>
      <c r="N2513" t="str">
        <f>IF(交易處理資料__3[[#This Row],[上班時間]]=0,"否","是")</f>
        <v>是</v>
      </c>
      <c r="O2513" s="10" t="s">
        <v>74</v>
      </c>
      <c r="P2513" s="38">
        <v>0</v>
      </c>
      <c r="Q2513" s="38">
        <v>0</v>
      </c>
      <c r="R2513" s="38">
        <v>0.9706999999999999</v>
      </c>
    </row>
    <row r="2514" spans="1:18" hidden="1">
      <c r="A2514" s="10" t="s">
        <v>74</v>
      </c>
      <c r="B2514" t="s">
        <v>5</v>
      </c>
      <c r="C2514">
        <v>1.96</v>
      </c>
      <c r="D2514">
        <v>2.73</v>
      </c>
      <c r="E2514" s="29">
        <v>0.71794871790000003</v>
      </c>
      <c r="F2514">
        <v>7.63</v>
      </c>
      <c r="G2514">
        <v>0.22</v>
      </c>
      <c r="H2514">
        <v>7.85</v>
      </c>
      <c r="I2514" s="29">
        <v>0.97199999999999998</v>
      </c>
      <c r="J2514" s="29">
        <v>0.24969999999999998</v>
      </c>
      <c r="K2514" s="9">
        <v>45355</v>
      </c>
      <c r="L2514">
        <f xml:space="preserve"> (交易處理資料__3[[#This Row],[售出工時]] * 60) / 5</f>
        <v>23.52</v>
      </c>
      <c r="M2514" t="str">
        <f>VLOOKUP(交易處理資料__3[[#This Row],[人員代號]],團隊分組!$B$1:$C$52,2,FALSE)</f>
        <v>噴漆維修組</v>
      </c>
      <c r="N2514" t="str">
        <f>IF(交易處理資料__3[[#This Row],[上班時間]]=0,"否","是")</f>
        <v>是</v>
      </c>
      <c r="O2514" s="10" t="s">
        <v>74</v>
      </c>
      <c r="P2514" s="37">
        <v>0.71794871790000003</v>
      </c>
      <c r="Q2514" s="37">
        <v>0.24969999999999998</v>
      </c>
      <c r="R2514" s="37">
        <v>0.97199999999999998</v>
      </c>
    </row>
    <row r="2515" spans="1:18" hidden="1">
      <c r="A2515" s="10" t="s">
        <v>74</v>
      </c>
      <c r="B2515" t="s">
        <v>6</v>
      </c>
      <c r="C2515">
        <v>0</v>
      </c>
      <c r="D2515">
        <v>0</v>
      </c>
      <c r="E2515" s="29">
        <v>0</v>
      </c>
      <c r="F2515">
        <v>7.6</v>
      </c>
      <c r="G2515">
        <v>0.24</v>
      </c>
      <c r="H2515">
        <v>7.84</v>
      </c>
      <c r="I2515" s="29">
        <v>0.96939999999999993</v>
      </c>
      <c r="J2515" s="29">
        <v>0</v>
      </c>
      <c r="K2515" s="9">
        <v>45355</v>
      </c>
      <c r="L2515">
        <f xml:space="preserve"> (交易處理資料__3[[#This Row],[售出工時]] * 60) / 5</f>
        <v>0</v>
      </c>
      <c r="M2515" t="str">
        <f>VLOOKUP(交易處理資料__3[[#This Row],[人員代號]],團隊分組!$B$1:$C$52,2,FALSE)</f>
        <v>噴漆維修組</v>
      </c>
      <c r="N2515" t="str">
        <f>IF(交易處理資料__3[[#This Row],[上班時間]]=0,"否","是")</f>
        <v>是</v>
      </c>
      <c r="O2515" s="10" t="s">
        <v>74</v>
      </c>
      <c r="P2515" s="38">
        <v>0</v>
      </c>
      <c r="Q2515" s="38">
        <v>0</v>
      </c>
      <c r="R2515" s="38">
        <v>0.96939999999999993</v>
      </c>
    </row>
    <row r="2516" spans="1:18">
      <c r="A2516" s="10" t="s">
        <v>74</v>
      </c>
      <c r="B2516" t="s">
        <v>7</v>
      </c>
      <c r="C2516">
        <v>1.96</v>
      </c>
      <c r="D2516">
        <v>2.73</v>
      </c>
      <c r="E2516" s="29">
        <v>0.71794871790000003</v>
      </c>
      <c r="F2516">
        <v>7.63</v>
      </c>
      <c r="G2516">
        <v>0.22</v>
      </c>
      <c r="H2516">
        <v>7.85</v>
      </c>
      <c r="I2516" s="29">
        <v>0.97199999999999998</v>
      </c>
      <c r="J2516" s="29">
        <v>0.24969999999999998</v>
      </c>
      <c r="K2516" s="9">
        <v>45355</v>
      </c>
      <c r="L2516">
        <f xml:space="preserve"> (交易處理資料__3[[#This Row],[售出工時]] * 60) / 5</f>
        <v>23.52</v>
      </c>
      <c r="M2516" t="str">
        <f>VLOOKUP(交易處理資料__3[[#This Row],[人員代號]],團隊分組!$B$1:$C$52,2,FALSE)</f>
        <v>噴漆維修組</v>
      </c>
      <c r="N2516" t="str">
        <f>IF(交易處理資料__3[[#This Row],[上班時間]]=0,"否","是")</f>
        <v>是</v>
      </c>
      <c r="O2516" s="10" t="s">
        <v>74</v>
      </c>
      <c r="P2516" s="37">
        <v>0.71794871790000003</v>
      </c>
      <c r="Q2516" s="37">
        <v>0.24969999999999998</v>
      </c>
      <c r="R2516" s="37">
        <v>0.97199999999999998</v>
      </c>
    </row>
    <row r="2517" spans="1:18" hidden="1">
      <c r="A2517" s="10" t="s">
        <v>74</v>
      </c>
      <c r="B2517" t="s">
        <v>8</v>
      </c>
      <c r="C2517">
        <v>1.96</v>
      </c>
      <c r="D2517">
        <v>4.5999999999999996</v>
      </c>
      <c r="E2517" s="29">
        <v>0.4260869565</v>
      </c>
      <c r="F2517">
        <v>7.52</v>
      </c>
      <c r="G2517">
        <v>0.33</v>
      </c>
      <c r="H2517">
        <v>7.85</v>
      </c>
      <c r="I2517" s="29">
        <v>0.95799999999999996</v>
      </c>
      <c r="J2517" s="29">
        <v>0.24969999999999998</v>
      </c>
      <c r="K2517" s="9">
        <v>45355</v>
      </c>
      <c r="L2517">
        <f xml:space="preserve"> (交易處理資料__3[[#This Row],[售出工時]] * 60) / 5</f>
        <v>23.52</v>
      </c>
      <c r="M2517" t="str">
        <f>VLOOKUP(交易處理資料__3[[#This Row],[人員代號]],團隊分組!$B$1:$C$52,2,FALSE)</f>
        <v>噴漆維修組</v>
      </c>
      <c r="N2517" t="str">
        <f>IF(交易處理資料__3[[#This Row],[上班時間]]=0,"否","是")</f>
        <v>是</v>
      </c>
      <c r="O2517" s="10" t="s">
        <v>74</v>
      </c>
      <c r="P2517" s="38">
        <v>0.4260869565</v>
      </c>
      <c r="Q2517" s="38">
        <v>0.24969999999999998</v>
      </c>
      <c r="R2517" s="38">
        <v>0.95799999999999996</v>
      </c>
    </row>
    <row r="2518" spans="1:18" hidden="1">
      <c r="A2518" s="10" t="s">
        <v>74</v>
      </c>
      <c r="B2518" t="s">
        <v>9</v>
      </c>
      <c r="C2518">
        <v>1.96</v>
      </c>
      <c r="D2518">
        <v>3.15</v>
      </c>
      <c r="E2518" s="29">
        <v>0.62222222220000001</v>
      </c>
      <c r="F2518">
        <v>7.55</v>
      </c>
      <c r="G2518">
        <v>0.31</v>
      </c>
      <c r="H2518">
        <v>7.86</v>
      </c>
      <c r="I2518" s="29">
        <v>0.96060000000000001</v>
      </c>
      <c r="J2518" s="29">
        <v>0.24940000000000001</v>
      </c>
      <c r="K2518" s="9">
        <v>45355</v>
      </c>
      <c r="L2518">
        <f xml:space="preserve"> (交易處理資料__3[[#This Row],[售出工時]] * 60) / 5</f>
        <v>23.52</v>
      </c>
      <c r="M2518" t="str">
        <f>VLOOKUP(交易處理資料__3[[#This Row],[人員代號]],團隊分組!$B$1:$C$52,2,FALSE)</f>
        <v>噴漆維修組</v>
      </c>
      <c r="N2518" t="str">
        <f>IF(交易處理資料__3[[#This Row],[上班時間]]=0,"否","是")</f>
        <v>是</v>
      </c>
      <c r="O2518" s="10" t="s">
        <v>74</v>
      </c>
      <c r="P2518" s="37">
        <v>0.62222222220000001</v>
      </c>
      <c r="Q2518" s="37">
        <v>0.24940000000000001</v>
      </c>
      <c r="R2518" s="37">
        <v>0.96060000000000001</v>
      </c>
    </row>
    <row r="2519" spans="1:18" hidden="1">
      <c r="A2519" t="s">
        <v>75</v>
      </c>
      <c r="B2519" t="s">
        <v>11</v>
      </c>
      <c r="C2519">
        <v>0</v>
      </c>
      <c r="D2519">
        <v>0</v>
      </c>
      <c r="E2519" s="29">
        <v>0</v>
      </c>
      <c r="F2519">
        <v>5.84</v>
      </c>
      <c r="G2519">
        <v>2.02</v>
      </c>
      <c r="H2519">
        <v>7.86</v>
      </c>
      <c r="I2519" s="29">
        <v>0.74299999999999999</v>
      </c>
      <c r="J2519" s="29">
        <v>0</v>
      </c>
      <c r="K2519" s="9">
        <v>45355</v>
      </c>
      <c r="L2519">
        <f xml:space="preserve"> (交易處理資料__3[[#This Row],[售出工時]] * 60) / 5</f>
        <v>0</v>
      </c>
      <c r="M2519" t="str">
        <f>VLOOKUP(交易處理資料__3[[#This Row],[人員代號]],團隊分組!$B$1:$C$52,2,FALSE)</f>
        <v>鈑金維修組</v>
      </c>
      <c r="N2519" t="str">
        <f>IF(交易處理資料__3[[#This Row],[上班時間]]=0,"否","是")</f>
        <v>是</v>
      </c>
      <c r="O2519" t="s">
        <v>75</v>
      </c>
      <c r="P2519" s="38">
        <v>0</v>
      </c>
      <c r="Q2519" s="38">
        <v>0</v>
      </c>
      <c r="R2519" s="38">
        <v>0.74299999999999999</v>
      </c>
    </row>
    <row r="2520" spans="1:18" hidden="1">
      <c r="A2520" t="s">
        <v>75</v>
      </c>
      <c r="B2520" t="s">
        <v>12</v>
      </c>
      <c r="C2520">
        <v>2.75</v>
      </c>
      <c r="D2520">
        <v>1.56</v>
      </c>
      <c r="E2520" s="29">
        <v>1.7628205130000001</v>
      </c>
      <c r="F2520">
        <v>8.33</v>
      </c>
      <c r="G2520">
        <v>2.5299999999999998</v>
      </c>
      <c r="H2520">
        <v>10.86</v>
      </c>
      <c r="I2520" s="29">
        <v>0.76700000000000002</v>
      </c>
      <c r="J2520" s="29">
        <v>0.25319999999999998</v>
      </c>
      <c r="K2520" s="9">
        <v>45355</v>
      </c>
      <c r="L2520">
        <f xml:space="preserve"> (交易處理資料__3[[#This Row],[售出工時]] * 60) / 5</f>
        <v>33</v>
      </c>
      <c r="M2520" t="str">
        <f>VLOOKUP(交易處理資料__3[[#This Row],[人員代號]],團隊分組!$B$1:$C$52,2,FALSE)</f>
        <v>鈑金維修組</v>
      </c>
      <c r="N2520" t="str">
        <f>IF(交易處理資料__3[[#This Row],[上班時間]]=0,"否","是")</f>
        <v>是</v>
      </c>
      <c r="O2520" t="s">
        <v>75</v>
      </c>
      <c r="P2520" s="37">
        <v>1.7628205130000001</v>
      </c>
      <c r="Q2520" s="37">
        <v>0.25319999999999998</v>
      </c>
      <c r="R2520" s="37">
        <v>0.76700000000000002</v>
      </c>
    </row>
    <row r="2521" spans="1:18" hidden="1">
      <c r="A2521" t="s">
        <v>75</v>
      </c>
      <c r="B2521" t="s">
        <v>13</v>
      </c>
      <c r="C2521">
        <v>9.4466666670000006</v>
      </c>
      <c r="D2521">
        <v>4.3899999999999997</v>
      </c>
      <c r="E2521" s="29">
        <v>2.151860289</v>
      </c>
      <c r="F2521">
        <v>4.97</v>
      </c>
      <c r="G2521">
        <v>3</v>
      </c>
      <c r="H2521">
        <v>7.97</v>
      </c>
      <c r="I2521" s="29">
        <v>0.62360000000000004</v>
      </c>
      <c r="J2521" s="29">
        <v>1.1853</v>
      </c>
      <c r="K2521" s="9">
        <v>45355</v>
      </c>
      <c r="L2521">
        <f xml:space="preserve"> (交易處理資料__3[[#This Row],[售出工時]] * 60) / 5</f>
        <v>113.36000000400001</v>
      </c>
      <c r="M2521" t="str">
        <f>VLOOKUP(交易處理資料__3[[#This Row],[人員代號]],團隊分組!$B$1:$C$52,2,FALSE)</f>
        <v>鈑金維修組</v>
      </c>
      <c r="N2521" t="str">
        <f>IF(交易處理資料__3[[#This Row],[上班時間]]=0,"否","是")</f>
        <v>是</v>
      </c>
      <c r="O2521" t="s">
        <v>75</v>
      </c>
      <c r="P2521" s="38">
        <v>2.151860289</v>
      </c>
      <c r="Q2521" s="38">
        <v>1.1853</v>
      </c>
      <c r="R2521" s="38">
        <v>0.62360000000000004</v>
      </c>
    </row>
    <row r="2522" spans="1:18" hidden="1">
      <c r="A2522" t="s">
        <v>75</v>
      </c>
      <c r="B2522" t="s">
        <v>14</v>
      </c>
      <c r="C2522">
        <v>4.04</v>
      </c>
      <c r="D2522">
        <v>7.99</v>
      </c>
      <c r="E2522" s="29">
        <v>0.50563204009999996</v>
      </c>
      <c r="F2522">
        <v>5.85</v>
      </c>
      <c r="G2522">
        <v>3.56</v>
      </c>
      <c r="H2522">
        <v>9.41</v>
      </c>
      <c r="I2522" s="29">
        <v>0.62170000000000003</v>
      </c>
      <c r="J2522" s="29">
        <v>0.42930000000000001</v>
      </c>
      <c r="K2522" s="9">
        <v>45355</v>
      </c>
      <c r="L2522">
        <f xml:space="preserve"> (交易處理資料__3[[#This Row],[售出工時]] * 60) / 5</f>
        <v>48.480000000000004</v>
      </c>
      <c r="M2522" t="str">
        <f>VLOOKUP(交易處理資料__3[[#This Row],[人員代號]],團隊分組!$B$1:$C$52,2,FALSE)</f>
        <v>鈑金維修組</v>
      </c>
      <c r="N2522" t="str">
        <f>IF(交易處理資料__3[[#This Row],[上班時間]]=0,"否","是")</f>
        <v>是</v>
      </c>
      <c r="O2522" t="s">
        <v>75</v>
      </c>
      <c r="P2522" s="37">
        <v>0.50563204009999996</v>
      </c>
      <c r="Q2522" s="37">
        <v>0.42930000000000001</v>
      </c>
      <c r="R2522" s="37">
        <v>0.62170000000000003</v>
      </c>
    </row>
    <row r="2523" spans="1:18" hidden="1">
      <c r="A2523" t="s">
        <v>75</v>
      </c>
      <c r="B2523" t="s">
        <v>15</v>
      </c>
      <c r="C2523">
        <v>0.52</v>
      </c>
      <c r="D2523">
        <v>0.98</v>
      </c>
      <c r="E2523" s="29">
        <v>0.53061224490000003</v>
      </c>
      <c r="F2523">
        <v>6.94</v>
      </c>
      <c r="G2523">
        <v>2.4700000000000002</v>
      </c>
      <c r="H2523">
        <v>9.41</v>
      </c>
      <c r="I2523" s="29">
        <v>0.73750000000000004</v>
      </c>
      <c r="J2523" s="29">
        <v>5.5300000000000002E-2</v>
      </c>
      <c r="K2523" s="9">
        <v>45355</v>
      </c>
      <c r="L2523">
        <f xml:space="preserve"> (交易處理資料__3[[#This Row],[售出工時]] * 60) / 5</f>
        <v>6.24</v>
      </c>
      <c r="M2523" t="str">
        <f>VLOOKUP(交易處理資料__3[[#This Row],[人員代號]],團隊分組!$B$1:$C$52,2,FALSE)</f>
        <v>鈑金維修組</v>
      </c>
      <c r="N2523" t="str">
        <f>IF(交易處理資料__3[[#This Row],[上班時間]]=0,"否","是")</f>
        <v>是</v>
      </c>
      <c r="O2523" t="s">
        <v>75</v>
      </c>
      <c r="P2523" s="38">
        <v>0.53061224490000003</v>
      </c>
      <c r="Q2523" s="38">
        <v>5.5300000000000002E-2</v>
      </c>
      <c r="R2523" s="38">
        <v>0.73750000000000004</v>
      </c>
    </row>
    <row r="2524" spans="1:18" hidden="1">
      <c r="A2524" t="s">
        <v>76</v>
      </c>
      <c r="B2524" t="s">
        <v>17</v>
      </c>
      <c r="C2524">
        <v>11.5</v>
      </c>
      <c r="D2524">
        <v>5.0999999999999996</v>
      </c>
      <c r="E2524" s="29">
        <v>2.2549019609999998</v>
      </c>
      <c r="F2524">
        <v>7.07</v>
      </c>
      <c r="G2524">
        <v>0.92</v>
      </c>
      <c r="H2524">
        <v>7.99</v>
      </c>
      <c r="I2524" s="29">
        <v>0.88489999999999991</v>
      </c>
      <c r="J2524" s="29">
        <v>1.4393</v>
      </c>
      <c r="K2524" s="9">
        <v>45355</v>
      </c>
      <c r="L2524">
        <f xml:space="preserve"> (交易處理資料__3[[#This Row],[售出工時]] * 60) / 5</f>
        <v>138</v>
      </c>
      <c r="M2524" t="str">
        <f>VLOOKUP(交易處理資料__3[[#This Row],[人員代號]],團隊分組!$B$1:$C$52,2,FALSE)</f>
        <v>快速保養團隊A</v>
      </c>
      <c r="N2524" t="str">
        <f>IF(交易處理資料__3[[#This Row],[上班時間]]=0,"否","是")</f>
        <v>是</v>
      </c>
      <c r="O2524" t="s">
        <v>76</v>
      </c>
      <c r="P2524" s="37">
        <v>2.2549019609999998</v>
      </c>
      <c r="Q2524" s="37">
        <v>1.4393</v>
      </c>
      <c r="R2524" s="37">
        <v>0.88489999999999991</v>
      </c>
    </row>
    <row r="2525" spans="1:18" hidden="1">
      <c r="A2525" t="s">
        <v>76</v>
      </c>
      <c r="B2525" t="s">
        <v>18</v>
      </c>
      <c r="C2525">
        <v>2.3333333330000001</v>
      </c>
      <c r="D2525">
        <v>5.31</v>
      </c>
      <c r="E2525" s="29">
        <v>0.4394224733</v>
      </c>
      <c r="F2525">
        <v>9.81</v>
      </c>
      <c r="G2525">
        <v>0.31</v>
      </c>
      <c r="H2525">
        <v>10.119999999999999</v>
      </c>
      <c r="I2525" s="29">
        <v>0.96939999999999993</v>
      </c>
      <c r="J2525" s="29">
        <v>0.2306</v>
      </c>
      <c r="K2525" s="9">
        <v>45355</v>
      </c>
      <c r="L2525">
        <f xml:space="preserve"> (交易處理資料__3[[#This Row],[售出工時]] * 60) / 5</f>
        <v>27.999999996000003</v>
      </c>
      <c r="M2525" t="str">
        <f>VLOOKUP(交易處理資料__3[[#This Row],[人員代號]],團隊分組!$B$1:$C$52,2,FALSE)</f>
        <v>查修團隊B</v>
      </c>
      <c r="N2525" t="str">
        <f>IF(交易處理資料__3[[#This Row],[上班時間]]=0,"否","是")</f>
        <v>是</v>
      </c>
      <c r="O2525" t="s">
        <v>76</v>
      </c>
      <c r="P2525" s="38">
        <v>0.4394224733</v>
      </c>
      <c r="Q2525" s="38">
        <v>0.2306</v>
      </c>
      <c r="R2525" s="38">
        <v>0.96939999999999993</v>
      </c>
    </row>
    <row r="2526" spans="1:18" hidden="1">
      <c r="A2526" t="s">
        <v>76</v>
      </c>
      <c r="B2526" t="s">
        <v>19</v>
      </c>
      <c r="C2526">
        <v>2.09</v>
      </c>
      <c r="D2526">
        <v>3.65</v>
      </c>
      <c r="E2526" s="29">
        <v>0.57260273969999997</v>
      </c>
      <c r="F2526">
        <v>7.2</v>
      </c>
      <c r="G2526">
        <v>0.94</v>
      </c>
      <c r="H2526">
        <v>8.14</v>
      </c>
      <c r="I2526" s="29">
        <v>0.88450000000000006</v>
      </c>
      <c r="J2526" s="29">
        <v>0.25679999999999997</v>
      </c>
      <c r="K2526" s="9">
        <v>45355</v>
      </c>
      <c r="L2526">
        <f xml:space="preserve"> (交易處理資料__3[[#This Row],[售出工時]] * 60) / 5</f>
        <v>25.08</v>
      </c>
      <c r="M2526" t="str">
        <f>VLOOKUP(交易處理資料__3[[#This Row],[人員代號]],團隊分組!$B$1:$C$52,2,FALSE)</f>
        <v>查修團隊A</v>
      </c>
      <c r="N2526" t="str">
        <f>IF(交易處理資料__3[[#This Row],[上班時間]]=0,"否","是")</f>
        <v>是</v>
      </c>
      <c r="O2526" t="s">
        <v>76</v>
      </c>
      <c r="P2526" s="37">
        <v>0.57260273969999997</v>
      </c>
      <c r="Q2526" s="37">
        <v>0.25679999999999997</v>
      </c>
      <c r="R2526" s="37">
        <v>0.88450000000000006</v>
      </c>
    </row>
    <row r="2527" spans="1:18" hidden="1">
      <c r="A2527" t="s">
        <v>76</v>
      </c>
      <c r="B2527" t="s">
        <v>20</v>
      </c>
      <c r="C2527">
        <v>0</v>
      </c>
      <c r="D2527">
        <v>0</v>
      </c>
      <c r="E2527" s="29">
        <v>0</v>
      </c>
      <c r="F2527">
        <v>6.45</v>
      </c>
      <c r="G2527">
        <v>3.66</v>
      </c>
      <c r="H2527">
        <v>10.11</v>
      </c>
      <c r="I2527" s="29">
        <v>0.63800000000000001</v>
      </c>
      <c r="J2527" s="29">
        <v>0</v>
      </c>
      <c r="K2527" s="9">
        <v>45355</v>
      </c>
      <c r="L2527">
        <f xml:space="preserve"> (交易處理資料__3[[#This Row],[售出工時]] * 60) / 5</f>
        <v>0</v>
      </c>
      <c r="M2527" t="str">
        <f>VLOOKUP(交易處理資料__3[[#This Row],[人員代號]],團隊分組!$B$1:$C$52,2,FALSE)</f>
        <v>查修團隊B</v>
      </c>
      <c r="N2527" t="str">
        <f>IF(交易處理資料__3[[#This Row],[上班時間]]=0,"否","是")</f>
        <v>是</v>
      </c>
      <c r="O2527" t="s">
        <v>76</v>
      </c>
      <c r="P2527" s="38">
        <v>0</v>
      </c>
      <c r="Q2527" s="38">
        <v>0</v>
      </c>
      <c r="R2527" s="38">
        <v>0.63800000000000001</v>
      </c>
    </row>
    <row r="2528" spans="1:18" hidden="1">
      <c r="A2528" t="s">
        <v>76</v>
      </c>
      <c r="B2528" t="s">
        <v>21</v>
      </c>
      <c r="C2528">
        <v>1.3733333329999999</v>
      </c>
      <c r="D2528">
        <v>0.86</v>
      </c>
      <c r="E2528" s="29">
        <v>1.596899225</v>
      </c>
      <c r="F2528">
        <v>6.7</v>
      </c>
      <c r="G2528">
        <v>1.42</v>
      </c>
      <c r="H2528">
        <v>8.1199999999999992</v>
      </c>
      <c r="I2528" s="29">
        <v>0.82510000000000006</v>
      </c>
      <c r="J2528" s="29">
        <v>0.1691</v>
      </c>
      <c r="K2528" s="9">
        <v>45355</v>
      </c>
      <c r="L2528">
        <f xml:space="preserve"> (交易處理資料__3[[#This Row],[售出工時]] * 60) / 5</f>
        <v>16.479999995999997</v>
      </c>
      <c r="M2528" t="str">
        <f>VLOOKUP(交易處理資料__3[[#This Row],[人員代號]],團隊分組!$B$1:$C$52,2,FALSE)</f>
        <v>查修團隊B</v>
      </c>
      <c r="N2528" t="str">
        <f>IF(交易處理資料__3[[#This Row],[上班時間]]=0,"否","是")</f>
        <v>是</v>
      </c>
      <c r="O2528" t="s">
        <v>76</v>
      </c>
      <c r="P2528" s="37">
        <v>1.596899225</v>
      </c>
      <c r="Q2528" s="37">
        <v>0.1691</v>
      </c>
      <c r="R2528" s="37">
        <v>0.82510000000000006</v>
      </c>
    </row>
    <row r="2529" spans="1:18" hidden="1">
      <c r="A2529" t="s">
        <v>76</v>
      </c>
      <c r="B2529" t="s">
        <v>23</v>
      </c>
      <c r="C2529">
        <v>4.2366666669999997</v>
      </c>
      <c r="D2529">
        <v>1.95</v>
      </c>
      <c r="E2529" s="29">
        <v>2.1726495729999997</v>
      </c>
      <c r="F2529">
        <v>7.56</v>
      </c>
      <c r="G2529">
        <v>1.04</v>
      </c>
      <c r="H2529">
        <v>8.6</v>
      </c>
      <c r="I2529" s="29">
        <v>0.87909999999999999</v>
      </c>
      <c r="J2529" s="29">
        <v>0.49259999999999998</v>
      </c>
      <c r="K2529" s="9">
        <v>45355</v>
      </c>
      <c r="L2529">
        <f xml:space="preserve"> (交易處理資料__3[[#This Row],[售出工時]] * 60) / 5</f>
        <v>50.840000003999997</v>
      </c>
      <c r="M2529" t="str">
        <f>VLOOKUP(交易處理資料__3[[#This Row],[人員代號]],團隊分組!$B$1:$C$52,2,FALSE)</f>
        <v>快速保養團隊B</v>
      </c>
      <c r="N2529" t="str">
        <f>IF(交易處理資料__3[[#This Row],[上班時間]]=0,"否","是")</f>
        <v>是</v>
      </c>
      <c r="O2529" t="s">
        <v>76</v>
      </c>
      <c r="P2529" s="38">
        <v>2.1726495729999997</v>
      </c>
      <c r="Q2529" s="38">
        <v>0.49259999999999998</v>
      </c>
      <c r="R2529" s="38">
        <v>0.87909999999999999</v>
      </c>
    </row>
    <row r="2530" spans="1:18" hidden="1">
      <c r="A2530" t="s">
        <v>76</v>
      </c>
      <c r="B2530" t="s">
        <v>24</v>
      </c>
      <c r="C2530">
        <v>8.4766666669999999</v>
      </c>
      <c r="D2530">
        <v>6.76</v>
      </c>
      <c r="E2530" s="29">
        <v>1.253944773</v>
      </c>
      <c r="F2530">
        <v>7.32</v>
      </c>
      <c r="G2530">
        <v>0.71</v>
      </c>
      <c r="H2530">
        <v>8.0299999999999994</v>
      </c>
      <c r="I2530" s="29">
        <v>0.91159999999999997</v>
      </c>
      <c r="J2530" s="29">
        <v>1.0556000000000001</v>
      </c>
      <c r="K2530" s="9">
        <v>45355</v>
      </c>
      <c r="L2530">
        <f xml:space="preserve"> (交易處理資料__3[[#This Row],[售出工時]] * 60) / 5</f>
        <v>101.720000004</v>
      </c>
      <c r="M2530" t="str">
        <f>VLOOKUP(交易處理資料__3[[#This Row],[人員代號]],團隊分組!$B$1:$C$52,2,FALSE)</f>
        <v>快速保養團隊A</v>
      </c>
      <c r="N2530" t="str">
        <f>IF(交易處理資料__3[[#This Row],[上班時間]]=0,"否","是")</f>
        <v>是</v>
      </c>
      <c r="O2530" t="s">
        <v>76</v>
      </c>
      <c r="P2530" s="37">
        <v>1.253944773</v>
      </c>
      <c r="Q2530" s="37">
        <v>1.0556000000000001</v>
      </c>
      <c r="R2530" s="37">
        <v>0.91159999999999997</v>
      </c>
    </row>
    <row r="2531" spans="1:18" hidden="1">
      <c r="A2531" t="s">
        <v>76</v>
      </c>
      <c r="B2531" t="s">
        <v>25</v>
      </c>
      <c r="C2531">
        <v>4.0833333329999997</v>
      </c>
      <c r="D2531">
        <v>3.98</v>
      </c>
      <c r="E2531" s="29">
        <v>1.0259631489999999</v>
      </c>
      <c r="F2531">
        <v>7.78</v>
      </c>
      <c r="G2531">
        <v>2.0099999999999998</v>
      </c>
      <c r="H2531">
        <v>9.7899999999999991</v>
      </c>
      <c r="I2531" s="29">
        <v>0.79469999999999996</v>
      </c>
      <c r="J2531" s="29">
        <v>0.41710000000000003</v>
      </c>
      <c r="K2531" s="9">
        <v>45355</v>
      </c>
      <c r="L2531">
        <f xml:space="preserve"> (交易處理資料__3[[#This Row],[售出工時]] * 60) / 5</f>
        <v>48.999999996</v>
      </c>
      <c r="M2531" t="str">
        <f>VLOOKUP(交易處理資料__3[[#This Row],[人員代號]],團隊分組!$B$1:$C$52,2,FALSE)</f>
        <v>查修團隊A</v>
      </c>
      <c r="N2531" t="str">
        <f>IF(交易處理資料__3[[#This Row],[上班時間]]=0,"否","是")</f>
        <v>是</v>
      </c>
      <c r="O2531" t="s">
        <v>76</v>
      </c>
      <c r="P2531" s="38">
        <v>1.0259631489999999</v>
      </c>
      <c r="Q2531" s="38">
        <v>0.41710000000000003</v>
      </c>
      <c r="R2531" s="38">
        <v>0.79469999999999996</v>
      </c>
    </row>
    <row r="2532" spans="1:18" hidden="1">
      <c r="A2532" t="s">
        <v>76</v>
      </c>
      <c r="B2532" t="s">
        <v>26</v>
      </c>
      <c r="C2532">
        <v>0.25</v>
      </c>
      <c r="D2532">
        <v>1.3</v>
      </c>
      <c r="E2532" s="29">
        <v>0.1923076923</v>
      </c>
      <c r="F2532">
        <v>8.3800000000000008</v>
      </c>
      <c r="G2532">
        <v>1.74</v>
      </c>
      <c r="H2532">
        <v>10.119999999999999</v>
      </c>
      <c r="I2532" s="29">
        <v>0.82810000000000006</v>
      </c>
      <c r="J2532" s="29">
        <v>2.4700000000000003E-2</v>
      </c>
      <c r="K2532" s="9">
        <v>45355</v>
      </c>
      <c r="L2532">
        <f xml:space="preserve"> (交易處理資料__3[[#This Row],[售出工時]] * 60) / 5</f>
        <v>3</v>
      </c>
      <c r="M2532" t="str">
        <f>VLOOKUP(交易處理資料__3[[#This Row],[人員代號]],團隊分組!$B$1:$C$52,2,FALSE)</f>
        <v>查修團隊B</v>
      </c>
      <c r="N2532" t="str">
        <f>IF(交易處理資料__3[[#This Row],[上班時間]]=0,"否","是")</f>
        <v>是</v>
      </c>
      <c r="O2532" t="s">
        <v>76</v>
      </c>
      <c r="P2532" s="37">
        <v>0.1923076923</v>
      </c>
      <c r="Q2532" s="37">
        <v>2.4700000000000003E-2</v>
      </c>
      <c r="R2532" s="37">
        <v>0.82810000000000006</v>
      </c>
    </row>
    <row r="2533" spans="1:18" hidden="1">
      <c r="A2533" t="s">
        <v>76</v>
      </c>
      <c r="B2533" t="s">
        <v>27</v>
      </c>
      <c r="C2533">
        <v>5.41</v>
      </c>
      <c r="D2533">
        <v>3.46</v>
      </c>
      <c r="E2533" s="29">
        <v>1.5635838150000001</v>
      </c>
      <c r="F2533">
        <v>7.28</v>
      </c>
      <c r="G2533">
        <v>0.6</v>
      </c>
      <c r="H2533">
        <v>7.88</v>
      </c>
      <c r="I2533" s="29">
        <v>0.92390000000000005</v>
      </c>
      <c r="J2533" s="29">
        <v>0.68650000000000011</v>
      </c>
      <c r="K2533" s="9">
        <v>45355</v>
      </c>
      <c r="L2533">
        <f xml:space="preserve"> (交易處理資料__3[[#This Row],[售出工時]] * 60) / 5</f>
        <v>64.92</v>
      </c>
      <c r="M2533" t="str">
        <f>VLOOKUP(交易處理資料__3[[#This Row],[人員代號]],團隊分組!$B$1:$C$52,2,FALSE)</f>
        <v>快速保養團隊B</v>
      </c>
      <c r="N2533" t="str">
        <f>IF(交易處理資料__3[[#This Row],[上班時間]]=0,"否","是")</f>
        <v>是</v>
      </c>
      <c r="O2533" t="s">
        <v>76</v>
      </c>
      <c r="P2533" s="38">
        <v>1.5635838150000001</v>
      </c>
      <c r="Q2533" s="38">
        <v>0.68650000000000011</v>
      </c>
      <c r="R2533" s="38">
        <v>0.92390000000000005</v>
      </c>
    </row>
    <row r="2534" spans="1:18" hidden="1">
      <c r="A2534" t="s">
        <v>76</v>
      </c>
      <c r="B2534" t="s">
        <v>28</v>
      </c>
      <c r="C2534">
        <v>5.5066666670000002</v>
      </c>
      <c r="D2534">
        <v>4.05</v>
      </c>
      <c r="E2534" s="29">
        <v>1.359670782</v>
      </c>
      <c r="F2534">
        <v>6.76</v>
      </c>
      <c r="G2534">
        <v>1.1399999999999999</v>
      </c>
      <c r="H2534">
        <v>7.9</v>
      </c>
      <c r="I2534" s="29">
        <v>0.85569999999999991</v>
      </c>
      <c r="J2534" s="29">
        <v>0.69700000000000006</v>
      </c>
      <c r="K2534" s="9">
        <v>45355</v>
      </c>
      <c r="L2534">
        <f xml:space="preserve"> (交易處理資料__3[[#This Row],[售出工時]] * 60) / 5</f>
        <v>66.080000003999999</v>
      </c>
      <c r="M2534" t="str">
        <f>VLOOKUP(交易處理資料__3[[#This Row],[人員代號]],團隊分組!$B$1:$C$52,2,FALSE)</f>
        <v>快速保養團隊A</v>
      </c>
      <c r="N2534" t="str">
        <f>IF(交易處理資料__3[[#This Row],[上班時間]]=0,"否","是")</f>
        <v>是</v>
      </c>
      <c r="O2534" t="s">
        <v>76</v>
      </c>
      <c r="P2534" s="37">
        <v>1.359670782</v>
      </c>
      <c r="Q2534" s="37">
        <v>0.69700000000000006</v>
      </c>
      <c r="R2534" s="37">
        <v>0.85569999999999991</v>
      </c>
    </row>
    <row r="2535" spans="1:18" hidden="1">
      <c r="A2535" t="s">
        <v>76</v>
      </c>
      <c r="B2535" t="s">
        <v>29</v>
      </c>
      <c r="C2535">
        <v>0</v>
      </c>
      <c r="D2535">
        <v>0</v>
      </c>
      <c r="E2535" s="29">
        <v>0</v>
      </c>
      <c r="F2535">
        <v>6.97</v>
      </c>
      <c r="G2535">
        <v>1.32</v>
      </c>
      <c r="H2535">
        <v>8.2899999999999991</v>
      </c>
      <c r="I2535" s="29">
        <v>0.84079999999999999</v>
      </c>
      <c r="J2535" s="29">
        <v>0</v>
      </c>
      <c r="K2535" s="9">
        <v>45355</v>
      </c>
      <c r="L2535">
        <f xml:space="preserve"> (交易處理資料__3[[#This Row],[售出工時]] * 60) / 5</f>
        <v>0</v>
      </c>
      <c r="M2535" t="str">
        <f>VLOOKUP(交易處理資料__3[[#This Row],[人員代號]],團隊分組!$B$1:$C$52,2,FALSE)</f>
        <v>查修團隊B</v>
      </c>
      <c r="N2535" t="str">
        <f>IF(交易處理資料__3[[#This Row],[上班時間]]=0,"否","是")</f>
        <v>是</v>
      </c>
      <c r="O2535" t="s">
        <v>76</v>
      </c>
      <c r="P2535" s="38">
        <v>0</v>
      </c>
      <c r="Q2535" s="38">
        <v>0</v>
      </c>
      <c r="R2535" s="38">
        <v>0.84079999999999999</v>
      </c>
    </row>
    <row r="2536" spans="1:18" hidden="1">
      <c r="A2536" t="s">
        <v>76</v>
      </c>
      <c r="B2536" t="s">
        <v>30</v>
      </c>
      <c r="C2536">
        <v>8.1733333330000004</v>
      </c>
      <c r="D2536">
        <v>6.16</v>
      </c>
      <c r="E2536" s="29">
        <v>1.3268398269999999</v>
      </c>
      <c r="F2536">
        <v>7.25</v>
      </c>
      <c r="G2536">
        <v>0.63</v>
      </c>
      <c r="H2536">
        <v>7.88</v>
      </c>
      <c r="I2536" s="29">
        <v>0.92010000000000003</v>
      </c>
      <c r="J2536" s="29">
        <v>1.0371999999999999</v>
      </c>
      <c r="K2536" s="9">
        <v>45355</v>
      </c>
      <c r="L2536">
        <f xml:space="preserve"> (交易處理資料__3[[#This Row],[售出工時]] * 60) / 5</f>
        <v>98.079999995999998</v>
      </c>
      <c r="M2536" t="str">
        <f>VLOOKUP(交易處理資料__3[[#This Row],[人員代號]],團隊分組!$B$1:$C$52,2,FALSE)</f>
        <v>快速保養團隊B</v>
      </c>
      <c r="N2536" t="str">
        <f>IF(交易處理資料__3[[#This Row],[上班時間]]=0,"否","是")</f>
        <v>是</v>
      </c>
      <c r="O2536" t="s">
        <v>76</v>
      </c>
      <c r="P2536" s="37">
        <v>1.3268398269999999</v>
      </c>
      <c r="Q2536" s="37">
        <v>1.0371999999999999</v>
      </c>
      <c r="R2536" s="37">
        <v>0.92010000000000003</v>
      </c>
    </row>
    <row r="2537" spans="1:18" hidden="1">
      <c r="A2537" t="s">
        <v>76</v>
      </c>
      <c r="B2537" t="s">
        <v>32</v>
      </c>
      <c r="C2537">
        <v>10.65666667</v>
      </c>
      <c r="D2537">
        <v>7.73</v>
      </c>
      <c r="E2537" s="29">
        <v>1.3786114699999998</v>
      </c>
      <c r="F2537">
        <v>6.88</v>
      </c>
      <c r="G2537">
        <v>1.01</v>
      </c>
      <c r="H2537">
        <v>7.89</v>
      </c>
      <c r="I2537" s="29">
        <v>0.872</v>
      </c>
      <c r="J2537" s="29">
        <v>1.3507</v>
      </c>
      <c r="K2537" s="9">
        <v>45355</v>
      </c>
      <c r="L2537">
        <f xml:space="preserve"> (交易處理資料__3[[#This Row],[售出工時]] * 60) / 5</f>
        <v>127.88000004</v>
      </c>
      <c r="M2537" t="str">
        <f>VLOOKUP(交易處理資料__3[[#This Row],[人員代號]],團隊分組!$B$1:$C$52,2,FALSE)</f>
        <v>快速保養團隊B</v>
      </c>
      <c r="N2537" t="str">
        <f>IF(交易處理資料__3[[#This Row],[上班時間]]=0,"否","是")</f>
        <v>是</v>
      </c>
      <c r="O2537" t="s">
        <v>76</v>
      </c>
      <c r="P2537" s="38">
        <v>1.3786114699999998</v>
      </c>
      <c r="Q2537" s="38">
        <v>1.3507</v>
      </c>
      <c r="R2537" s="38">
        <v>0.872</v>
      </c>
    </row>
    <row r="2538" spans="1:18" hidden="1">
      <c r="A2538" t="s">
        <v>76</v>
      </c>
      <c r="B2538" t="s">
        <v>33</v>
      </c>
      <c r="C2538">
        <v>2.4166666669999999</v>
      </c>
      <c r="D2538">
        <v>2.89</v>
      </c>
      <c r="E2538" s="29">
        <v>0.83621683970000005</v>
      </c>
      <c r="F2538">
        <v>7.57</v>
      </c>
      <c r="G2538">
        <v>0.86</v>
      </c>
      <c r="H2538">
        <v>8.43</v>
      </c>
      <c r="I2538" s="29">
        <v>0.89800000000000002</v>
      </c>
      <c r="J2538" s="29">
        <v>0.28670000000000001</v>
      </c>
      <c r="K2538" s="9">
        <v>45355</v>
      </c>
      <c r="L2538">
        <f xml:space="preserve"> (交易處理資料__3[[#This Row],[售出工時]] * 60) / 5</f>
        <v>29.000000003999997</v>
      </c>
      <c r="M2538" t="str">
        <f>VLOOKUP(交易處理資料__3[[#This Row],[人員代號]],團隊分組!$B$1:$C$52,2,FALSE)</f>
        <v>快速保養團隊B</v>
      </c>
      <c r="N2538" t="str">
        <f>IF(交易處理資料__3[[#This Row],[上班時間]]=0,"否","是")</f>
        <v>是</v>
      </c>
      <c r="O2538" t="s">
        <v>76</v>
      </c>
      <c r="P2538" s="37">
        <v>0.83621683970000005</v>
      </c>
      <c r="Q2538" s="37">
        <v>0.28670000000000001</v>
      </c>
      <c r="R2538" s="37">
        <v>0.89800000000000002</v>
      </c>
    </row>
    <row r="2539" spans="1:18" hidden="1">
      <c r="A2539" t="s">
        <v>76</v>
      </c>
      <c r="B2539" t="s">
        <v>34</v>
      </c>
      <c r="C2539">
        <v>8.25</v>
      </c>
      <c r="D2539">
        <v>6.36</v>
      </c>
      <c r="E2539" s="29">
        <v>1.2971698110000001</v>
      </c>
      <c r="F2539">
        <v>7.38</v>
      </c>
      <c r="G2539">
        <v>0.8</v>
      </c>
      <c r="H2539">
        <v>8.18</v>
      </c>
      <c r="I2539" s="29">
        <v>0.9022</v>
      </c>
      <c r="J2539" s="29">
        <v>1.0085999999999999</v>
      </c>
      <c r="K2539" s="9">
        <v>45355</v>
      </c>
      <c r="L2539">
        <f xml:space="preserve"> (交易處理資料__3[[#This Row],[售出工時]] * 60) / 5</f>
        <v>99</v>
      </c>
      <c r="M2539" t="str">
        <f>VLOOKUP(交易處理資料__3[[#This Row],[人員代號]],團隊分組!$B$1:$C$52,2,FALSE)</f>
        <v>快速保養團隊A</v>
      </c>
      <c r="N2539" t="str">
        <f>IF(交易處理資料__3[[#This Row],[上班時間]]=0,"否","是")</f>
        <v>是</v>
      </c>
      <c r="O2539" t="s">
        <v>76</v>
      </c>
      <c r="P2539" s="38">
        <v>1.2971698110000001</v>
      </c>
      <c r="Q2539" s="38">
        <v>1.0085999999999999</v>
      </c>
      <c r="R2539" s="38">
        <v>0.9022</v>
      </c>
    </row>
    <row r="2540" spans="1:18" hidden="1">
      <c r="A2540" t="s">
        <v>76</v>
      </c>
      <c r="B2540" t="s">
        <v>35</v>
      </c>
      <c r="C2540">
        <v>1.6666666670000001</v>
      </c>
      <c r="D2540">
        <v>2.2400000000000002</v>
      </c>
      <c r="E2540" s="29">
        <v>0.74404761899999994</v>
      </c>
      <c r="F2540">
        <v>8.06</v>
      </c>
      <c r="G2540">
        <v>2.06</v>
      </c>
      <c r="H2540">
        <v>10.119999999999999</v>
      </c>
      <c r="I2540" s="29">
        <v>0.7964</v>
      </c>
      <c r="J2540" s="29">
        <v>0.16469999999999999</v>
      </c>
      <c r="K2540" s="9">
        <v>45355</v>
      </c>
      <c r="L2540">
        <f xml:space="preserve"> (交易處理資料__3[[#This Row],[售出工時]] * 60) / 5</f>
        <v>20.000000004</v>
      </c>
      <c r="M2540" t="str">
        <f>VLOOKUP(交易處理資料__3[[#This Row],[人員代號]],團隊分組!$B$1:$C$52,2,FALSE)</f>
        <v>查修團隊B</v>
      </c>
      <c r="N2540" t="str">
        <f>IF(交易處理資料__3[[#This Row],[上班時間]]=0,"否","是")</f>
        <v>是</v>
      </c>
      <c r="O2540" t="s">
        <v>76</v>
      </c>
      <c r="P2540" s="37">
        <v>0.74404761899999994</v>
      </c>
      <c r="Q2540" s="37">
        <v>0.16469999999999999</v>
      </c>
      <c r="R2540" s="37">
        <v>0.7964</v>
      </c>
    </row>
    <row r="2541" spans="1:18" hidden="1">
      <c r="A2541" t="s">
        <v>76</v>
      </c>
      <c r="B2541" t="s">
        <v>36</v>
      </c>
      <c r="C2541">
        <v>2.5833333330000001</v>
      </c>
      <c r="D2541">
        <v>3</v>
      </c>
      <c r="E2541" s="29">
        <v>0.86111111109999994</v>
      </c>
      <c r="F2541">
        <v>7.72</v>
      </c>
      <c r="G2541">
        <v>0.61</v>
      </c>
      <c r="H2541">
        <v>8.33</v>
      </c>
      <c r="I2541" s="29">
        <v>0.92680000000000007</v>
      </c>
      <c r="J2541" s="29">
        <v>0.31010000000000004</v>
      </c>
      <c r="K2541" s="9">
        <v>45355</v>
      </c>
      <c r="L2541">
        <f xml:space="preserve"> (交易處理資料__3[[#This Row],[售出工時]] * 60) / 5</f>
        <v>30.999999996000003</v>
      </c>
      <c r="M2541" t="str">
        <f>VLOOKUP(交易處理資料__3[[#This Row],[人員代號]],團隊分組!$B$1:$C$52,2,FALSE)</f>
        <v>查修團隊B</v>
      </c>
      <c r="N2541" t="str">
        <f>IF(交易處理資料__3[[#This Row],[上班時間]]=0,"否","是")</f>
        <v>是</v>
      </c>
      <c r="O2541" t="s">
        <v>76</v>
      </c>
      <c r="P2541" s="38">
        <v>0.86111111109999994</v>
      </c>
      <c r="Q2541" s="38">
        <v>0.31010000000000004</v>
      </c>
      <c r="R2541" s="38">
        <v>0.92680000000000007</v>
      </c>
    </row>
    <row r="2542" spans="1:18" hidden="1">
      <c r="A2542" t="s">
        <v>76</v>
      </c>
      <c r="B2542" t="s">
        <v>37</v>
      </c>
      <c r="C2542">
        <v>4.3333333329999997</v>
      </c>
      <c r="D2542">
        <v>5.09</v>
      </c>
      <c r="E2542" s="29">
        <v>0.85134250159999991</v>
      </c>
      <c r="F2542">
        <v>7.06</v>
      </c>
      <c r="G2542">
        <v>3.16</v>
      </c>
      <c r="H2542">
        <v>10.220000000000001</v>
      </c>
      <c r="I2542" s="29">
        <v>0.69079999999999997</v>
      </c>
      <c r="J2542" s="29">
        <v>0.42399999999999999</v>
      </c>
      <c r="K2542" s="9">
        <v>45355</v>
      </c>
      <c r="L2542">
        <f xml:space="preserve"> (交易處理資料__3[[#This Row],[售出工時]] * 60) / 5</f>
        <v>51.999999996</v>
      </c>
      <c r="M2542" t="str">
        <f>VLOOKUP(交易處理資料__3[[#This Row],[人員代號]],團隊分組!$B$1:$C$52,2,FALSE)</f>
        <v>查修團隊A</v>
      </c>
      <c r="N2542" t="str">
        <f>IF(交易處理資料__3[[#This Row],[上班時間]]=0,"否","是")</f>
        <v>是</v>
      </c>
      <c r="O2542" t="s">
        <v>76</v>
      </c>
      <c r="P2542" s="37">
        <v>0.85134250159999991</v>
      </c>
      <c r="Q2542" s="37">
        <v>0.42399999999999999</v>
      </c>
      <c r="R2542" s="37">
        <v>0.69079999999999997</v>
      </c>
    </row>
    <row r="2543" spans="1:18" hidden="1">
      <c r="A2543" t="s">
        <v>76</v>
      </c>
      <c r="B2543" t="s">
        <v>38</v>
      </c>
      <c r="C2543">
        <v>8.0833333330000006</v>
      </c>
      <c r="D2543">
        <v>4.7699999999999996</v>
      </c>
      <c r="E2543" s="29">
        <v>1.694619147</v>
      </c>
      <c r="F2543">
        <v>9.67</v>
      </c>
      <c r="G2543">
        <v>0.86</v>
      </c>
      <c r="H2543">
        <v>10.53</v>
      </c>
      <c r="I2543" s="29">
        <v>0.91830000000000001</v>
      </c>
      <c r="J2543" s="29">
        <v>0.76760000000000006</v>
      </c>
      <c r="K2543" s="9">
        <v>45355</v>
      </c>
      <c r="L2543">
        <f xml:space="preserve"> (交易處理資料__3[[#This Row],[售出工時]] * 60) / 5</f>
        <v>96.999999996000014</v>
      </c>
      <c r="M2543" t="str">
        <f>VLOOKUP(交易處理資料__3[[#This Row],[人員代號]],團隊分組!$B$1:$C$52,2,FALSE)</f>
        <v>快速保養團隊A</v>
      </c>
      <c r="N2543" t="str">
        <f>IF(交易處理資料__3[[#This Row],[上班時間]]=0,"否","是")</f>
        <v>是</v>
      </c>
      <c r="O2543" t="s">
        <v>76</v>
      </c>
      <c r="P2543" s="38">
        <v>1.694619147</v>
      </c>
      <c r="Q2543" s="38">
        <v>0.76760000000000006</v>
      </c>
      <c r="R2543" s="38">
        <v>0.91830000000000001</v>
      </c>
    </row>
    <row r="2544" spans="1:18" hidden="1">
      <c r="A2544" t="s">
        <v>76</v>
      </c>
      <c r="B2544" t="s">
        <v>39</v>
      </c>
      <c r="C2544">
        <v>0</v>
      </c>
      <c r="D2544">
        <v>0</v>
      </c>
      <c r="E2544" s="29">
        <v>0</v>
      </c>
      <c r="F2544">
        <v>9.02</v>
      </c>
      <c r="G2544">
        <v>1.22</v>
      </c>
      <c r="H2544">
        <v>10.24</v>
      </c>
      <c r="I2544" s="29">
        <v>0.88090000000000002</v>
      </c>
      <c r="J2544" s="29">
        <v>0</v>
      </c>
      <c r="K2544" s="9">
        <v>45355</v>
      </c>
      <c r="L2544">
        <f xml:space="preserve"> (交易處理資料__3[[#This Row],[售出工時]] * 60) / 5</f>
        <v>0</v>
      </c>
      <c r="M2544" t="str">
        <f>VLOOKUP(交易處理資料__3[[#This Row],[人員代號]],團隊分組!$B$1:$C$52,2,FALSE)</f>
        <v>查修團隊A</v>
      </c>
      <c r="N2544" t="str">
        <f>IF(交易處理資料__3[[#This Row],[上班時間]]=0,"否","是")</f>
        <v>是</v>
      </c>
      <c r="O2544" t="s">
        <v>76</v>
      </c>
      <c r="P2544" s="37">
        <v>0</v>
      </c>
      <c r="Q2544" s="37">
        <v>0</v>
      </c>
      <c r="R2544" s="37">
        <v>0.88090000000000002</v>
      </c>
    </row>
    <row r="2545" spans="1:18" hidden="1">
      <c r="A2545" t="s">
        <v>76</v>
      </c>
      <c r="B2545" t="s">
        <v>41</v>
      </c>
      <c r="C2545">
        <v>10.58333333</v>
      </c>
      <c r="D2545">
        <v>3.38</v>
      </c>
      <c r="E2545" s="29">
        <v>3.1311637080000003</v>
      </c>
      <c r="F2545">
        <v>5.08</v>
      </c>
      <c r="G2545">
        <v>0.83</v>
      </c>
      <c r="H2545">
        <v>5.91</v>
      </c>
      <c r="I2545" s="29">
        <v>0.85959999999999992</v>
      </c>
      <c r="J2545" s="29">
        <v>1.7908000000000002</v>
      </c>
      <c r="K2545" s="9">
        <v>45355</v>
      </c>
      <c r="L2545">
        <f xml:space="preserve"> (交易處理資料__3[[#This Row],[售出工時]] * 60) / 5</f>
        <v>126.99999996000001</v>
      </c>
      <c r="M2545" t="str">
        <f>VLOOKUP(交易處理資料__3[[#This Row],[人員代號]],團隊分組!$B$1:$C$52,2,FALSE)</f>
        <v>快速保養團隊A</v>
      </c>
      <c r="N2545" t="str">
        <f>IF(交易處理資料__3[[#This Row],[上班時間]]=0,"否","是")</f>
        <v>是</v>
      </c>
      <c r="O2545" t="s">
        <v>76</v>
      </c>
      <c r="P2545" s="38">
        <v>3.1311637080000003</v>
      </c>
      <c r="Q2545" s="38">
        <v>1.7908000000000002</v>
      </c>
      <c r="R2545" s="38">
        <v>0.85959999999999992</v>
      </c>
    </row>
    <row r="2546" spans="1:18" hidden="1">
      <c r="A2546" t="s">
        <v>76</v>
      </c>
      <c r="B2546" t="s">
        <v>42</v>
      </c>
      <c r="C2546">
        <v>6.0833333329999997</v>
      </c>
      <c r="D2546">
        <v>5.3</v>
      </c>
      <c r="E2546" s="29">
        <v>1.147798742</v>
      </c>
      <c r="F2546">
        <v>6.29</v>
      </c>
      <c r="G2546">
        <v>1.61</v>
      </c>
      <c r="H2546">
        <v>7.9</v>
      </c>
      <c r="I2546" s="29">
        <v>0.79620000000000002</v>
      </c>
      <c r="J2546" s="29">
        <v>0.77</v>
      </c>
      <c r="K2546" s="9">
        <v>45355</v>
      </c>
      <c r="L2546">
        <f xml:space="preserve"> (交易處理資料__3[[#This Row],[售出工時]] * 60) / 5</f>
        <v>72.999999996</v>
      </c>
      <c r="M2546" t="str">
        <f>VLOOKUP(交易處理資料__3[[#This Row],[人員代號]],團隊分組!$B$1:$C$52,2,FALSE)</f>
        <v>快速保養團隊A</v>
      </c>
      <c r="N2546" t="str">
        <f>IF(交易處理資料__3[[#This Row],[上班時間]]=0,"否","是")</f>
        <v>是</v>
      </c>
      <c r="O2546" t="s">
        <v>76</v>
      </c>
      <c r="P2546" s="37">
        <v>1.147798742</v>
      </c>
      <c r="Q2546" s="37">
        <v>0.77</v>
      </c>
      <c r="R2546" s="37">
        <v>0.79620000000000002</v>
      </c>
    </row>
    <row r="2547" spans="1:18" hidden="1">
      <c r="A2547" t="s">
        <v>76</v>
      </c>
      <c r="B2547" t="s">
        <v>43</v>
      </c>
      <c r="C2547">
        <v>0</v>
      </c>
      <c r="D2547">
        <v>0</v>
      </c>
      <c r="E2547" s="29">
        <v>0</v>
      </c>
      <c r="F2547">
        <v>7.44</v>
      </c>
      <c r="G2547">
        <v>0.71</v>
      </c>
      <c r="H2547">
        <v>8.15</v>
      </c>
      <c r="I2547" s="29">
        <v>0.91290000000000004</v>
      </c>
      <c r="J2547" s="29">
        <v>0</v>
      </c>
      <c r="K2547" s="9">
        <v>45355</v>
      </c>
      <c r="L2547">
        <f xml:space="preserve"> (交易處理資料__3[[#This Row],[售出工時]] * 60) / 5</f>
        <v>0</v>
      </c>
      <c r="M2547" t="str">
        <f>VLOOKUP(交易處理資料__3[[#This Row],[人員代號]],團隊分組!$B$1:$C$52,2,FALSE)</f>
        <v>查修團隊B</v>
      </c>
      <c r="N2547" t="str">
        <f>IF(交易處理資料__3[[#This Row],[上班時間]]=0,"否","是")</f>
        <v>是</v>
      </c>
      <c r="O2547" t="s">
        <v>76</v>
      </c>
      <c r="P2547" s="38">
        <v>0</v>
      </c>
      <c r="Q2547" s="38">
        <v>0</v>
      </c>
      <c r="R2547" s="38">
        <v>0.91290000000000004</v>
      </c>
    </row>
    <row r="2548" spans="1:18" hidden="1">
      <c r="A2548" t="s">
        <v>76</v>
      </c>
      <c r="B2548" t="s">
        <v>44</v>
      </c>
      <c r="C2548">
        <v>4.38</v>
      </c>
      <c r="D2548">
        <v>5.36</v>
      </c>
      <c r="E2548" s="29">
        <v>0.81716417910000005</v>
      </c>
      <c r="F2548">
        <v>6.67</v>
      </c>
      <c r="G2548">
        <v>1.21</v>
      </c>
      <c r="H2548">
        <v>7.88</v>
      </c>
      <c r="I2548" s="29">
        <v>0.84640000000000004</v>
      </c>
      <c r="J2548" s="29">
        <v>0.55579999999999996</v>
      </c>
      <c r="K2548" s="9">
        <v>45355</v>
      </c>
      <c r="L2548">
        <f xml:space="preserve"> (交易處理資料__3[[#This Row],[售出工時]] * 60) / 5</f>
        <v>52.56</v>
      </c>
      <c r="M2548" t="str">
        <f>VLOOKUP(交易處理資料__3[[#This Row],[人員代號]],團隊分組!$B$1:$C$52,2,FALSE)</f>
        <v>快速保養團隊B</v>
      </c>
      <c r="N2548" t="str">
        <f>IF(交易處理資料__3[[#This Row],[上班時間]]=0,"否","是")</f>
        <v>是</v>
      </c>
      <c r="O2548" t="s">
        <v>76</v>
      </c>
      <c r="P2548" s="37">
        <v>0.81716417910000005</v>
      </c>
      <c r="Q2548" s="37">
        <v>0.55579999999999996</v>
      </c>
      <c r="R2548" s="37">
        <v>0.84640000000000004</v>
      </c>
    </row>
    <row r="2549" spans="1:18" hidden="1">
      <c r="A2549" t="s">
        <v>76</v>
      </c>
      <c r="B2549" t="s">
        <v>45</v>
      </c>
      <c r="C2549">
        <v>6.75</v>
      </c>
      <c r="D2549">
        <v>7</v>
      </c>
      <c r="E2549" s="29">
        <v>0.9642857143000001</v>
      </c>
      <c r="F2549">
        <v>7.28</v>
      </c>
      <c r="G2549">
        <v>0.91</v>
      </c>
      <c r="H2549">
        <v>8.19</v>
      </c>
      <c r="I2549" s="29">
        <v>0.88890000000000002</v>
      </c>
      <c r="J2549" s="29">
        <v>0.82420000000000004</v>
      </c>
      <c r="K2549" s="9">
        <v>45355</v>
      </c>
      <c r="L2549">
        <f xml:space="preserve"> (交易處理資料__3[[#This Row],[售出工時]] * 60) / 5</f>
        <v>81</v>
      </c>
      <c r="M2549" t="str">
        <f>VLOOKUP(交易處理資料__3[[#This Row],[人員代號]],團隊分組!$B$1:$C$52,2,FALSE)</f>
        <v>快速保養團隊A</v>
      </c>
      <c r="N2549" t="str">
        <f>IF(交易處理資料__3[[#This Row],[上班時間]]=0,"否","是")</f>
        <v>是</v>
      </c>
      <c r="O2549" t="s">
        <v>76</v>
      </c>
      <c r="P2549" s="38">
        <v>0.9642857143000001</v>
      </c>
      <c r="Q2549" s="38">
        <v>0.82420000000000004</v>
      </c>
      <c r="R2549" s="38">
        <v>0.88890000000000002</v>
      </c>
    </row>
    <row r="2550" spans="1:18" hidden="1">
      <c r="A2550" t="s">
        <v>76</v>
      </c>
      <c r="B2550" t="s">
        <v>47</v>
      </c>
      <c r="C2550">
        <v>0.91666666699999999</v>
      </c>
      <c r="D2550">
        <v>1.08</v>
      </c>
      <c r="E2550" s="29">
        <v>0.84876543209999999</v>
      </c>
      <c r="F2550">
        <v>7.36</v>
      </c>
      <c r="G2550">
        <v>1.02</v>
      </c>
      <c r="H2550">
        <v>8.3800000000000008</v>
      </c>
      <c r="I2550" s="29">
        <v>0.87829999999999997</v>
      </c>
      <c r="J2550" s="29">
        <v>0.1094</v>
      </c>
      <c r="K2550" s="9">
        <v>45355</v>
      </c>
      <c r="L2550">
        <f xml:space="preserve"> (交易處理資料__3[[#This Row],[售出工時]] * 60) / 5</f>
        <v>11.000000004</v>
      </c>
      <c r="M2550" t="str">
        <f>VLOOKUP(交易處理資料__3[[#This Row],[人員代號]],團隊分組!$B$1:$C$52,2,FALSE)</f>
        <v>查修團隊B</v>
      </c>
      <c r="N2550" t="str">
        <f>IF(交易處理資料__3[[#This Row],[上班時間]]=0,"否","是")</f>
        <v>是</v>
      </c>
      <c r="O2550" t="s">
        <v>76</v>
      </c>
      <c r="P2550" s="37">
        <v>0.84876543209999999</v>
      </c>
      <c r="Q2550" s="37">
        <v>0.1094</v>
      </c>
      <c r="R2550" s="37">
        <v>0.87829999999999997</v>
      </c>
    </row>
    <row r="2551" spans="1:18" hidden="1">
      <c r="A2551" t="s">
        <v>76</v>
      </c>
      <c r="B2551" t="s">
        <v>48</v>
      </c>
      <c r="C2551">
        <v>0.91666666699999999</v>
      </c>
      <c r="D2551">
        <v>0.9</v>
      </c>
      <c r="E2551" s="29">
        <v>1.0185185189999999</v>
      </c>
      <c r="F2551">
        <v>4.3899999999999997</v>
      </c>
      <c r="G2551">
        <v>3.82</v>
      </c>
      <c r="H2551">
        <v>8.2100000000000009</v>
      </c>
      <c r="I2551" s="29">
        <v>0.53469999999999995</v>
      </c>
      <c r="J2551" s="29">
        <v>0.11169999999999999</v>
      </c>
      <c r="K2551" s="9">
        <v>45355</v>
      </c>
      <c r="L2551">
        <f xml:space="preserve"> (交易處理資料__3[[#This Row],[售出工時]] * 60) / 5</f>
        <v>11.000000004</v>
      </c>
      <c r="M2551" t="str">
        <f>VLOOKUP(交易處理資料__3[[#This Row],[人員代號]],團隊分組!$B$1:$C$52,2,FALSE)</f>
        <v>查修團隊A</v>
      </c>
      <c r="N2551" t="str">
        <f>IF(交易處理資料__3[[#This Row],[上班時間]]=0,"否","是")</f>
        <v>是</v>
      </c>
      <c r="O2551" t="s">
        <v>76</v>
      </c>
      <c r="P2551" s="38">
        <v>1.0185185189999999</v>
      </c>
      <c r="Q2551" s="38">
        <v>0.11169999999999999</v>
      </c>
      <c r="R2551" s="38">
        <v>0.53469999999999995</v>
      </c>
    </row>
    <row r="2552" spans="1:18" hidden="1">
      <c r="A2552" t="s">
        <v>76</v>
      </c>
      <c r="B2552" t="s">
        <v>49</v>
      </c>
      <c r="C2552">
        <v>2.08</v>
      </c>
      <c r="D2552">
        <v>3.64</v>
      </c>
      <c r="E2552" s="29">
        <v>0.57142857139999992</v>
      </c>
      <c r="F2552">
        <v>7.2</v>
      </c>
      <c r="G2552">
        <v>0.94</v>
      </c>
      <c r="H2552">
        <v>8.14</v>
      </c>
      <c r="I2552" s="29">
        <v>0.88450000000000006</v>
      </c>
      <c r="J2552" s="29">
        <v>0.2555</v>
      </c>
      <c r="K2552" s="9">
        <v>45355</v>
      </c>
      <c r="L2552">
        <f xml:space="preserve"> (交易處理資料__3[[#This Row],[售出工時]] * 60) / 5</f>
        <v>24.96</v>
      </c>
      <c r="M2552" t="str">
        <f>VLOOKUP(交易處理資料__3[[#This Row],[人員代號]],團隊分組!$B$1:$C$52,2,FALSE)</f>
        <v>查修團隊A</v>
      </c>
      <c r="N2552" t="str">
        <f>IF(交易處理資料__3[[#This Row],[上班時間]]=0,"否","是")</f>
        <v>是</v>
      </c>
      <c r="O2552" t="s">
        <v>76</v>
      </c>
      <c r="P2552" s="37">
        <v>0.57142857139999992</v>
      </c>
      <c r="Q2552" s="37">
        <v>0.2555</v>
      </c>
      <c r="R2552" s="37">
        <v>0.88450000000000006</v>
      </c>
    </row>
    <row r="2553" spans="1:18" hidden="1">
      <c r="A2553" t="s">
        <v>76</v>
      </c>
      <c r="B2553" t="s">
        <v>50</v>
      </c>
      <c r="C2553">
        <v>7.1433333330000002</v>
      </c>
      <c r="D2553">
        <v>6.06</v>
      </c>
      <c r="E2553" s="29">
        <v>1.1787678769999999</v>
      </c>
      <c r="F2553">
        <v>6.6</v>
      </c>
      <c r="G2553">
        <v>1.27</v>
      </c>
      <c r="H2553">
        <v>7.87</v>
      </c>
      <c r="I2553" s="29">
        <v>0.83860000000000001</v>
      </c>
      <c r="J2553" s="29">
        <v>0.90769999999999995</v>
      </c>
      <c r="K2553" s="9">
        <v>45355</v>
      </c>
      <c r="L2553">
        <f xml:space="preserve"> (交易處理資料__3[[#This Row],[售出工時]] * 60) / 5</f>
        <v>85.719999995999999</v>
      </c>
      <c r="M2553" t="str">
        <f>VLOOKUP(交易處理資料__3[[#This Row],[人員代號]],團隊分組!$B$1:$C$52,2,FALSE)</f>
        <v>快速保養團隊B</v>
      </c>
      <c r="N2553" t="str">
        <f>IF(交易處理資料__3[[#This Row],[上班時間]]=0,"否","是")</f>
        <v>是</v>
      </c>
      <c r="O2553" t="s">
        <v>76</v>
      </c>
      <c r="P2553" s="38">
        <v>1.1787678769999999</v>
      </c>
      <c r="Q2553" s="38">
        <v>0.90769999999999995</v>
      </c>
      <c r="R2553" s="38">
        <v>0.83860000000000001</v>
      </c>
    </row>
    <row r="2554" spans="1:18" hidden="1">
      <c r="A2554" t="s">
        <v>76</v>
      </c>
      <c r="B2554" t="s">
        <v>51</v>
      </c>
      <c r="C2554">
        <v>0</v>
      </c>
      <c r="D2554">
        <v>0</v>
      </c>
      <c r="E2554" s="29">
        <v>0</v>
      </c>
      <c r="F2554">
        <v>0</v>
      </c>
      <c r="G2554">
        <v>0</v>
      </c>
      <c r="H2554">
        <v>0</v>
      </c>
      <c r="I2554" s="29">
        <v>0</v>
      </c>
      <c r="J2554" s="29">
        <v>0</v>
      </c>
      <c r="K2554" s="9">
        <v>45355</v>
      </c>
      <c r="L2554">
        <f xml:space="preserve"> (交易處理資料__3[[#This Row],[售出工時]] * 60) / 5</f>
        <v>0</v>
      </c>
      <c r="M2554" t="str">
        <f>VLOOKUP(交易處理資料__3[[#This Row],[人員代號]],團隊分組!$B$1:$C$52,2,FALSE)</f>
        <v>無效數據</v>
      </c>
      <c r="N2554" t="str">
        <f>IF(交易處理資料__3[[#This Row],[上班時間]]=0,"否","是")</f>
        <v>否</v>
      </c>
      <c r="O2554" t="s">
        <v>76</v>
      </c>
      <c r="P2554" s="37">
        <v>0</v>
      </c>
      <c r="Q2554" s="37">
        <v>0</v>
      </c>
      <c r="R2554" s="37">
        <v>0</v>
      </c>
    </row>
    <row r="2555" spans="1:18" hidden="1">
      <c r="A2555" s="10" t="s">
        <v>74</v>
      </c>
      <c r="B2555" t="s">
        <v>1</v>
      </c>
      <c r="C2555">
        <v>0</v>
      </c>
      <c r="D2555">
        <v>0</v>
      </c>
      <c r="E2555" s="29">
        <v>0</v>
      </c>
      <c r="F2555">
        <v>6.9</v>
      </c>
      <c r="G2555">
        <v>1.1499999999999999</v>
      </c>
      <c r="H2555">
        <v>8.0500000000000007</v>
      </c>
      <c r="I2555" s="29">
        <v>0.85709999999999997</v>
      </c>
      <c r="J2555" s="29">
        <v>0</v>
      </c>
      <c r="K2555" s="9">
        <v>45356</v>
      </c>
      <c r="L2555">
        <f xml:space="preserve"> (交易處理資料__3[[#This Row],[售出工時]] * 60) / 5</f>
        <v>0</v>
      </c>
      <c r="M2555" t="str">
        <f>VLOOKUP(交易處理資料__3[[#This Row],[人員代號]],團隊分組!$B$1:$C$52,2,FALSE)</f>
        <v>噴漆維修組</v>
      </c>
      <c r="N2555" t="str">
        <f>IF(交易處理資料__3[[#This Row],[上班時間]]=0,"否","是")</f>
        <v>是</v>
      </c>
      <c r="O2555" s="10" t="s">
        <v>74</v>
      </c>
      <c r="P2555" s="38">
        <v>0</v>
      </c>
      <c r="Q2555" s="38">
        <v>0</v>
      </c>
      <c r="R2555" s="38">
        <v>0.85709999999999997</v>
      </c>
    </row>
    <row r="2556" spans="1:18" hidden="1">
      <c r="A2556" s="10" t="s">
        <v>74</v>
      </c>
      <c r="B2556" t="s">
        <v>2</v>
      </c>
      <c r="C2556">
        <v>1.31</v>
      </c>
      <c r="D2556">
        <v>3.98</v>
      </c>
      <c r="E2556" s="29">
        <v>0.32914572860000002</v>
      </c>
      <c r="F2556">
        <v>10.89</v>
      </c>
      <c r="G2556">
        <v>0.19</v>
      </c>
      <c r="H2556">
        <v>11.08</v>
      </c>
      <c r="I2556" s="29">
        <v>0.98290000000000011</v>
      </c>
      <c r="J2556" s="29">
        <v>0.1182</v>
      </c>
      <c r="K2556" s="9">
        <v>45356</v>
      </c>
      <c r="L2556">
        <f xml:space="preserve"> (交易處理資料__3[[#This Row],[售出工時]] * 60) / 5</f>
        <v>15.720000000000002</v>
      </c>
      <c r="M2556" t="str">
        <f>VLOOKUP(交易處理資料__3[[#This Row],[人員代號]],團隊分組!$B$1:$C$52,2,FALSE)</f>
        <v>噴漆維修組</v>
      </c>
      <c r="N2556" t="str">
        <f>IF(交易處理資料__3[[#This Row],[上班時間]]=0,"否","是")</f>
        <v>是</v>
      </c>
      <c r="O2556" s="10" t="s">
        <v>74</v>
      </c>
      <c r="P2556" s="37">
        <v>0.32914572860000002</v>
      </c>
      <c r="Q2556" s="37">
        <v>0.1182</v>
      </c>
      <c r="R2556" s="37">
        <v>0.98290000000000011</v>
      </c>
    </row>
    <row r="2557" spans="1:18" hidden="1">
      <c r="A2557" s="10" t="s">
        <v>74</v>
      </c>
      <c r="B2557" t="s">
        <v>3</v>
      </c>
      <c r="C2557">
        <v>1.31</v>
      </c>
      <c r="D2557">
        <v>3.98</v>
      </c>
      <c r="E2557" s="29">
        <v>0.32914572860000002</v>
      </c>
      <c r="F2557">
        <v>10.87</v>
      </c>
      <c r="G2557">
        <v>0.2</v>
      </c>
      <c r="H2557">
        <v>11.07</v>
      </c>
      <c r="I2557" s="29">
        <v>0.9819</v>
      </c>
      <c r="J2557" s="29">
        <v>0.1183</v>
      </c>
      <c r="K2557" s="9">
        <v>45356</v>
      </c>
      <c r="L2557">
        <f xml:space="preserve"> (交易處理資料__3[[#This Row],[售出工時]] * 60) / 5</f>
        <v>15.720000000000002</v>
      </c>
      <c r="M2557" t="str">
        <f>VLOOKUP(交易處理資料__3[[#This Row],[人員代號]],團隊分組!$B$1:$C$52,2,FALSE)</f>
        <v>噴漆維修組</v>
      </c>
      <c r="N2557" t="str">
        <f>IF(交易處理資料__3[[#This Row],[上班時間]]=0,"否","是")</f>
        <v>是</v>
      </c>
      <c r="O2557" s="10" t="s">
        <v>74</v>
      </c>
      <c r="P2557" s="38">
        <v>0.32914572860000002</v>
      </c>
      <c r="Q2557" s="38">
        <v>0.1183</v>
      </c>
      <c r="R2557" s="38">
        <v>0.9819</v>
      </c>
    </row>
    <row r="2558" spans="1:18" hidden="1">
      <c r="A2558" s="10" t="s">
        <v>74</v>
      </c>
      <c r="B2558" t="s">
        <v>4</v>
      </c>
      <c r="C2558">
        <v>0</v>
      </c>
      <c r="D2558">
        <v>0</v>
      </c>
      <c r="E2558" s="29">
        <v>0</v>
      </c>
      <c r="F2558">
        <v>6.97</v>
      </c>
      <c r="G2558">
        <v>1.1599999999999999</v>
      </c>
      <c r="H2558">
        <v>8.1300000000000008</v>
      </c>
      <c r="I2558" s="29">
        <v>0.85730000000000006</v>
      </c>
      <c r="J2558" s="29">
        <v>0</v>
      </c>
      <c r="K2558" s="9">
        <v>45356</v>
      </c>
      <c r="L2558">
        <f xml:space="preserve"> (交易處理資料__3[[#This Row],[售出工時]] * 60) / 5</f>
        <v>0</v>
      </c>
      <c r="M2558" t="str">
        <f>VLOOKUP(交易處理資料__3[[#This Row],[人員代號]],團隊分組!$B$1:$C$52,2,FALSE)</f>
        <v>噴漆維修組</v>
      </c>
      <c r="N2558" t="str">
        <f>IF(交易處理資料__3[[#This Row],[上班時間]]=0,"否","是")</f>
        <v>是</v>
      </c>
      <c r="O2558" s="10" t="s">
        <v>74</v>
      </c>
      <c r="P2558" s="37">
        <v>0</v>
      </c>
      <c r="Q2558" s="37">
        <v>0</v>
      </c>
      <c r="R2558" s="37">
        <v>0.85730000000000006</v>
      </c>
    </row>
    <row r="2559" spans="1:18" hidden="1">
      <c r="A2559" s="10" t="s">
        <v>74</v>
      </c>
      <c r="B2559" t="s">
        <v>5</v>
      </c>
      <c r="C2559">
        <v>0</v>
      </c>
      <c r="D2559">
        <v>0</v>
      </c>
      <c r="E2559" s="29">
        <v>0</v>
      </c>
      <c r="F2559">
        <v>10.85</v>
      </c>
      <c r="G2559">
        <v>0.17</v>
      </c>
      <c r="H2559">
        <v>11.02</v>
      </c>
      <c r="I2559" s="29">
        <v>0.98459999999999992</v>
      </c>
      <c r="J2559" s="29">
        <v>0</v>
      </c>
      <c r="K2559" s="9">
        <v>45356</v>
      </c>
      <c r="L2559">
        <f xml:space="preserve"> (交易處理資料__3[[#This Row],[售出工時]] * 60) / 5</f>
        <v>0</v>
      </c>
      <c r="M2559" t="str">
        <f>VLOOKUP(交易處理資料__3[[#This Row],[人員代號]],團隊分組!$B$1:$C$52,2,FALSE)</f>
        <v>噴漆維修組</v>
      </c>
      <c r="N2559" t="str">
        <f>IF(交易處理資料__3[[#This Row],[上班時間]]=0,"否","是")</f>
        <v>是</v>
      </c>
      <c r="O2559" s="10" t="s">
        <v>74</v>
      </c>
      <c r="P2559" s="38">
        <v>0</v>
      </c>
      <c r="Q2559" s="38">
        <v>0</v>
      </c>
      <c r="R2559" s="38">
        <v>0.98459999999999992</v>
      </c>
    </row>
    <row r="2560" spans="1:18" hidden="1">
      <c r="A2560" s="10" t="s">
        <v>74</v>
      </c>
      <c r="B2560" t="s">
        <v>6</v>
      </c>
      <c r="C2560">
        <v>1.31</v>
      </c>
      <c r="D2560">
        <v>3.98</v>
      </c>
      <c r="E2560" s="29">
        <v>0.32914572860000002</v>
      </c>
      <c r="F2560">
        <v>10.87</v>
      </c>
      <c r="G2560">
        <v>0.2</v>
      </c>
      <c r="H2560">
        <v>11.07</v>
      </c>
      <c r="I2560" s="29">
        <v>0.9819</v>
      </c>
      <c r="J2560" s="29">
        <v>0.1183</v>
      </c>
      <c r="K2560" s="9">
        <v>45356</v>
      </c>
      <c r="L2560">
        <f xml:space="preserve"> (交易處理資料__3[[#This Row],[售出工時]] * 60) / 5</f>
        <v>15.720000000000002</v>
      </c>
      <c r="M2560" t="str">
        <f>VLOOKUP(交易處理資料__3[[#This Row],[人員代號]],團隊分組!$B$1:$C$52,2,FALSE)</f>
        <v>噴漆維修組</v>
      </c>
      <c r="N2560" t="str">
        <f>IF(交易處理資料__3[[#This Row],[上班時間]]=0,"否","是")</f>
        <v>是</v>
      </c>
      <c r="O2560" s="10" t="s">
        <v>74</v>
      </c>
      <c r="P2560" s="37">
        <v>0.32914572860000002</v>
      </c>
      <c r="Q2560" s="37">
        <v>0.1183</v>
      </c>
      <c r="R2560" s="37">
        <v>0.9819</v>
      </c>
    </row>
    <row r="2561" spans="1:18">
      <c r="A2561" s="10" t="s">
        <v>74</v>
      </c>
      <c r="B2561" t="s">
        <v>7</v>
      </c>
      <c r="C2561">
        <v>0</v>
      </c>
      <c r="D2561">
        <v>0</v>
      </c>
      <c r="E2561" s="29">
        <v>0</v>
      </c>
      <c r="F2561">
        <v>10.85</v>
      </c>
      <c r="G2561">
        <v>0.17</v>
      </c>
      <c r="H2561">
        <v>11.02</v>
      </c>
      <c r="I2561" s="29">
        <v>0.98459999999999992</v>
      </c>
      <c r="J2561" s="29">
        <v>0</v>
      </c>
      <c r="K2561" s="9">
        <v>45356</v>
      </c>
      <c r="L2561">
        <f xml:space="preserve"> (交易處理資料__3[[#This Row],[售出工時]] * 60) / 5</f>
        <v>0</v>
      </c>
      <c r="M2561" t="str">
        <f>VLOOKUP(交易處理資料__3[[#This Row],[人員代號]],團隊分組!$B$1:$C$52,2,FALSE)</f>
        <v>噴漆維修組</v>
      </c>
      <c r="N2561" t="str">
        <f>IF(交易處理資料__3[[#This Row],[上班時間]]=0,"否","是")</f>
        <v>是</v>
      </c>
      <c r="O2561" s="10" t="s">
        <v>74</v>
      </c>
      <c r="P2561" s="38">
        <v>0</v>
      </c>
      <c r="Q2561" s="38">
        <v>0</v>
      </c>
      <c r="R2561" s="38">
        <v>0.98459999999999992</v>
      </c>
    </row>
    <row r="2562" spans="1:18" hidden="1">
      <c r="A2562" s="10" t="s">
        <v>74</v>
      </c>
      <c r="B2562" t="s">
        <v>8</v>
      </c>
      <c r="C2562">
        <v>0</v>
      </c>
      <c r="D2562">
        <v>0</v>
      </c>
      <c r="E2562" s="29">
        <v>0</v>
      </c>
      <c r="F2562">
        <v>10.39</v>
      </c>
      <c r="G2562">
        <v>0.71</v>
      </c>
      <c r="H2562">
        <v>11.1</v>
      </c>
      <c r="I2562" s="29">
        <v>0.93599999999999994</v>
      </c>
      <c r="J2562" s="29">
        <v>0</v>
      </c>
      <c r="K2562" s="9">
        <v>45356</v>
      </c>
      <c r="L2562">
        <f xml:space="preserve"> (交易處理資料__3[[#This Row],[售出工時]] * 60) / 5</f>
        <v>0</v>
      </c>
      <c r="M2562" t="str">
        <f>VLOOKUP(交易處理資料__3[[#This Row],[人員代號]],團隊分組!$B$1:$C$52,2,FALSE)</f>
        <v>噴漆維修組</v>
      </c>
      <c r="N2562" t="str">
        <f>IF(交易處理資料__3[[#This Row],[上班時間]]=0,"否","是")</f>
        <v>是</v>
      </c>
      <c r="O2562" s="10" t="s">
        <v>74</v>
      </c>
      <c r="P2562" s="37">
        <v>0</v>
      </c>
      <c r="Q2562" s="37">
        <v>0</v>
      </c>
      <c r="R2562" s="37">
        <v>0.93599999999999994</v>
      </c>
    </row>
    <row r="2563" spans="1:18" hidden="1">
      <c r="A2563" s="10" t="s">
        <v>74</v>
      </c>
      <c r="B2563" t="s">
        <v>9</v>
      </c>
      <c r="C2563">
        <v>0</v>
      </c>
      <c r="D2563">
        <v>0</v>
      </c>
      <c r="E2563" s="29">
        <v>0</v>
      </c>
      <c r="F2563">
        <v>6.93</v>
      </c>
      <c r="G2563">
        <v>1.1599999999999999</v>
      </c>
      <c r="H2563">
        <v>8.09</v>
      </c>
      <c r="I2563" s="29">
        <v>0.85659999999999992</v>
      </c>
      <c r="J2563" s="29">
        <v>0</v>
      </c>
      <c r="K2563" s="9">
        <v>45356</v>
      </c>
      <c r="L2563">
        <f xml:space="preserve"> (交易處理資料__3[[#This Row],[售出工時]] * 60) / 5</f>
        <v>0</v>
      </c>
      <c r="M2563" t="str">
        <f>VLOOKUP(交易處理資料__3[[#This Row],[人員代號]],團隊分組!$B$1:$C$52,2,FALSE)</f>
        <v>噴漆維修組</v>
      </c>
      <c r="N2563" t="str">
        <f>IF(交易處理資料__3[[#This Row],[上班時間]]=0,"否","是")</f>
        <v>是</v>
      </c>
      <c r="O2563" s="10" t="s">
        <v>74</v>
      </c>
      <c r="P2563" s="38">
        <v>0</v>
      </c>
      <c r="Q2563" s="38">
        <v>0</v>
      </c>
      <c r="R2563" s="38">
        <v>0.85659999999999992</v>
      </c>
    </row>
    <row r="2564" spans="1:18" hidden="1">
      <c r="A2564" t="s">
        <v>75</v>
      </c>
      <c r="B2564" t="s">
        <v>11</v>
      </c>
      <c r="C2564">
        <v>0</v>
      </c>
      <c r="D2564">
        <v>0</v>
      </c>
      <c r="E2564" s="29">
        <v>0</v>
      </c>
      <c r="F2564">
        <v>0</v>
      </c>
      <c r="G2564">
        <v>0</v>
      </c>
      <c r="H2564">
        <v>0</v>
      </c>
      <c r="I2564" s="29">
        <v>0</v>
      </c>
      <c r="J2564" s="29">
        <v>0</v>
      </c>
      <c r="K2564" s="9">
        <v>45356</v>
      </c>
      <c r="L2564">
        <f xml:space="preserve"> (交易處理資料__3[[#This Row],[售出工時]] * 60) / 5</f>
        <v>0</v>
      </c>
      <c r="M2564" t="str">
        <f>VLOOKUP(交易處理資料__3[[#This Row],[人員代號]],團隊分組!$B$1:$C$52,2,FALSE)</f>
        <v>鈑金維修組</v>
      </c>
      <c r="N2564" t="str">
        <f>IF(交易處理資料__3[[#This Row],[上班時間]]=0,"否","是")</f>
        <v>否</v>
      </c>
      <c r="O2564" t="s">
        <v>75</v>
      </c>
      <c r="P2564" s="37">
        <v>0</v>
      </c>
      <c r="Q2564" s="37">
        <v>0</v>
      </c>
      <c r="R2564" s="37">
        <v>0</v>
      </c>
    </row>
    <row r="2565" spans="1:18" hidden="1">
      <c r="A2565" t="s">
        <v>75</v>
      </c>
      <c r="B2565" t="s">
        <v>12</v>
      </c>
      <c r="C2565">
        <v>0</v>
      </c>
      <c r="D2565">
        <v>0</v>
      </c>
      <c r="E2565" s="29">
        <v>0</v>
      </c>
      <c r="F2565">
        <v>4.38</v>
      </c>
      <c r="G2565">
        <v>3.68</v>
      </c>
      <c r="H2565">
        <v>8.06</v>
      </c>
      <c r="I2565" s="29">
        <v>0.54339999999999999</v>
      </c>
      <c r="J2565" s="29">
        <v>0</v>
      </c>
      <c r="K2565" s="9">
        <v>45356</v>
      </c>
      <c r="L2565">
        <f xml:space="preserve"> (交易處理資料__3[[#This Row],[售出工時]] * 60) / 5</f>
        <v>0</v>
      </c>
      <c r="M2565" t="str">
        <f>VLOOKUP(交易處理資料__3[[#This Row],[人員代號]],團隊分組!$B$1:$C$52,2,FALSE)</f>
        <v>鈑金維修組</v>
      </c>
      <c r="N2565" t="str">
        <f>IF(交易處理資料__3[[#This Row],[上班時間]]=0,"否","是")</f>
        <v>是</v>
      </c>
      <c r="O2565" t="s">
        <v>75</v>
      </c>
      <c r="P2565" s="38">
        <v>0</v>
      </c>
      <c r="Q2565" s="38">
        <v>0</v>
      </c>
      <c r="R2565" s="38">
        <v>0.54339999999999999</v>
      </c>
    </row>
    <row r="2566" spans="1:18" hidden="1">
      <c r="A2566" t="s">
        <v>75</v>
      </c>
      <c r="B2566" t="s">
        <v>13</v>
      </c>
      <c r="C2566">
        <v>1.64</v>
      </c>
      <c r="D2566">
        <v>1.27</v>
      </c>
      <c r="E2566" s="29">
        <v>1.2913385830000002</v>
      </c>
      <c r="F2566">
        <v>6.62</v>
      </c>
      <c r="G2566">
        <v>1.45</v>
      </c>
      <c r="H2566">
        <v>8.07</v>
      </c>
      <c r="I2566" s="29">
        <v>0.82030000000000003</v>
      </c>
      <c r="J2566" s="29">
        <v>0.20319999999999999</v>
      </c>
      <c r="K2566" s="9">
        <v>45356</v>
      </c>
      <c r="L2566">
        <f xml:space="preserve"> (交易處理資料__3[[#This Row],[售出工時]] * 60) / 5</f>
        <v>19.68</v>
      </c>
      <c r="M2566" t="str">
        <f>VLOOKUP(交易處理資料__3[[#This Row],[人員代號]],團隊分組!$B$1:$C$52,2,FALSE)</f>
        <v>鈑金維修組</v>
      </c>
      <c r="N2566" t="str">
        <f>IF(交易處理資料__3[[#This Row],[上班時間]]=0,"否","是")</f>
        <v>是</v>
      </c>
      <c r="O2566" t="s">
        <v>75</v>
      </c>
      <c r="P2566" s="37">
        <v>1.2913385830000002</v>
      </c>
      <c r="Q2566" s="37">
        <v>0.20319999999999999</v>
      </c>
      <c r="R2566" s="37">
        <v>0.82030000000000003</v>
      </c>
    </row>
    <row r="2567" spans="1:18" hidden="1">
      <c r="A2567" t="s">
        <v>75</v>
      </c>
      <c r="B2567" t="s">
        <v>14</v>
      </c>
      <c r="C2567">
        <v>0.86</v>
      </c>
      <c r="D2567">
        <v>0.67</v>
      </c>
      <c r="E2567" s="29">
        <v>1.2835820899999999</v>
      </c>
      <c r="F2567">
        <v>6.04</v>
      </c>
      <c r="G2567">
        <v>2.0299999999999998</v>
      </c>
      <c r="H2567">
        <v>8.07</v>
      </c>
      <c r="I2567" s="29">
        <v>0.74849999999999994</v>
      </c>
      <c r="J2567" s="29">
        <v>0.1066</v>
      </c>
      <c r="K2567" s="9">
        <v>45356</v>
      </c>
      <c r="L2567">
        <f xml:space="preserve"> (交易處理資料__3[[#This Row],[售出工時]] * 60) / 5</f>
        <v>10.32</v>
      </c>
      <c r="M2567" t="str">
        <f>VLOOKUP(交易處理資料__3[[#This Row],[人員代號]],團隊分組!$B$1:$C$52,2,FALSE)</f>
        <v>鈑金維修組</v>
      </c>
      <c r="N2567" t="str">
        <f>IF(交易處理資料__3[[#This Row],[上班時間]]=0,"否","是")</f>
        <v>是</v>
      </c>
      <c r="O2567" t="s">
        <v>75</v>
      </c>
      <c r="P2567" s="38">
        <v>1.2835820899999999</v>
      </c>
      <c r="Q2567" s="38">
        <v>0.1066</v>
      </c>
      <c r="R2567" s="38">
        <v>0.74849999999999994</v>
      </c>
    </row>
    <row r="2568" spans="1:18" hidden="1">
      <c r="A2568" t="s">
        <v>75</v>
      </c>
      <c r="B2568" t="s">
        <v>15</v>
      </c>
      <c r="C2568">
        <v>0</v>
      </c>
      <c r="D2568">
        <v>0</v>
      </c>
      <c r="E2568" s="29">
        <v>0</v>
      </c>
      <c r="F2568">
        <v>6.05</v>
      </c>
      <c r="G2568">
        <v>2.02</v>
      </c>
      <c r="H2568">
        <v>8.07</v>
      </c>
      <c r="I2568" s="29">
        <v>0.74970000000000003</v>
      </c>
      <c r="J2568" s="29">
        <v>0</v>
      </c>
      <c r="K2568" s="9">
        <v>45356</v>
      </c>
      <c r="L2568">
        <f xml:space="preserve"> (交易處理資料__3[[#This Row],[售出工時]] * 60) / 5</f>
        <v>0</v>
      </c>
      <c r="M2568" t="str">
        <f>VLOOKUP(交易處理資料__3[[#This Row],[人員代號]],團隊分組!$B$1:$C$52,2,FALSE)</f>
        <v>鈑金維修組</v>
      </c>
      <c r="N2568" t="str">
        <f>IF(交易處理資料__3[[#This Row],[上班時間]]=0,"否","是")</f>
        <v>是</v>
      </c>
      <c r="O2568" t="s">
        <v>75</v>
      </c>
      <c r="P2568" s="37">
        <v>0</v>
      </c>
      <c r="Q2568" s="37">
        <v>0</v>
      </c>
      <c r="R2568" s="37">
        <v>0.74970000000000003</v>
      </c>
    </row>
    <row r="2569" spans="1:18" hidden="1">
      <c r="A2569" t="s">
        <v>76</v>
      </c>
      <c r="B2569" t="s">
        <v>17</v>
      </c>
      <c r="C2569">
        <v>9.5833333330000006</v>
      </c>
      <c r="D2569">
        <v>5.96</v>
      </c>
      <c r="E2569" s="29">
        <v>1.607941834</v>
      </c>
      <c r="F2569">
        <v>6.94</v>
      </c>
      <c r="G2569">
        <v>1.4</v>
      </c>
      <c r="H2569">
        <v>8.34</v>
      </c>
      <c r="I2569" s="29">
        <v>0.83209999999999995</v>
      </c>
      <c r="J2569" s="29">
        <v>1.1491</v>
      </c>
      <c r="K2569" s="9">
        <v>45356</v>
      </c>
      <c r="L2569">
        <f xml:space="preserve"> (交易處理資料__3[[#This Row],[售出工時]] * 60) / 5</f>
        <v>114.999999996</v>
      </c>
      <c r="M2569" t="str">
        <f>VLOOKUP(交易處理資料__3[[#This Row],[人員代號]],團隊分組!$B$1:$C$52,2,FALSE)</f>
        <v>快速保養團隊A</v>
      </c>
      <c r="N2569" t="str">
        <f>IF(交易處理資料__3[[#This Row],[上班時間]]=0,"否","是")</f>
        <v>是</v>
      </c>
      <c r="O2569" t="s">
        <v>76</v>
      </c>
      <c r="P2569" s="38">
        <v>1.607941834</v>
      </c>
      <c r="Q2569" s="38">
        <v>1.1491</v>
      </c>
      <c r="R2569" s="38">
        <v>0.83209999999999995</v>
      </c>
    </row>
    <row r="2570" spans="1:18" hidden="1">
      <c r="A2570" t="s">
        <v>76</v>
      </c>
      <c r="B2570" t="s">
        <v>18</v>
      </c>
      <c r="C2570">
        <v>0</v>
      </c>
      <c r="D2570">
        <v>0</v>
      </c>
      <c r="E2570" s="29">
        <v>0</v>
      </c>
      <c r="F2570">
        <v>6.73</v>
      </c>
      <c r="G2570">
        <v>1.73</v>
      </c>
      <c r="H2570">
        <v>8.4600000000000009</v>
      </c>
      <c r="I2570" s="29">
        <v>0.79549999999999998</v>
      </c>
      <c r="J2570" s="29">
        <v>0</v>
      </c>
      <c r="K2570" s="9">
        <v>45356</v>
      </c>
      <c r="L2570">
        <f xml:space="preserve"> (交易處理資料__3[[#This Row],[售出工時]] * 60) / 5</f>
        <v>0</v>
      </c>
      <c r="M2570" t="str">
        <f>VLOOKUP(交易處理資料__3[[#This Row],[人員代號]],團隊分組!$B$1:$C$52,2,FALSE)</f>
        <v>查修團隊B</v>
      </c>
      <c r="N2570" t="str">
        <f>IF(交易處理資料__3[[#This Row],[上班時間]]=0,"否","是")</f>
        <v>是</v>
      </c>
      <c r="O2570" t="s">
        <v>76</v>
      </c>
      <c r="P2570" s="37">
        <v>0</v>
      </c>
      <c r="Q2570" s="37">
        <v>0</v>
      </c>
      <c r="R2570" s="37">
        <v>0.79549999999999998</v>
      </c>
    </row>
    <row r="2571" spans="1:18" hidden="1">
      <c r="A2571" t="s">
        <v>76</v>
      </c>
      <c r="B2571" t="s">
        <v>20</v>
      </c>
      <c r="C2571">
        <v>0</v>
      </c>
      <c r="D2571">
        <v>0</v>
      </c>
      <c r="E2571" s="29">
        <v>0</v>
      </c>
      <c r="F2571">
        <v>6.48</v>
      </c>
      <c r="G2571">
        <v>3.82</v>
      </c>
      <c r="H2571">
        <v>10.3</v>
      </c>
      <c r="I2571" s="29">
        <v>0.62909999999999999</v>
      </c>
      <c r="J2571" s="29">
        <v>0</v>
      </c>
      <c r="K2571" s="9">
        <v>45356</v>
      </c>
      <c r="L2571">
        <f xml:space="preserve"> (交易處理資料__3[[#This Row],[售出工時]] * 60) / 5</f>
        <v>0</v>
      </c>
      <c r="M2571" t="str">
        <f>VLOOKUP(交易處理資料__3[[#This Row],[人員代號]],團隊分組!$B$1:$C$52,2,FALSE)</f>
        <v>查修團隊B</v>
      </c>
      <c r="N2571" t="str">
        <f>IF(交易處理資料__3[[#This Row],[上班時間]]=0,"否","是")</f>
        <v>是</v>
      </c>
      <c r="O2571" t="s">
        <v>76</v>
      </c>
      <c r="P2571" s="38">
        <v>0</v>
      </c>
      <c r="Q2571" s="38">
        <v>0</v>
      </c>
      <c r="R2571" s="38">
        <v>0.62909999999999999</v>
      </c>
    </row>
    <row r="2572" spans="1:18" hidden="1">
      <c r="A2572" t="s">
        <v>76</v>
      </c>
      <c r="B2572" t="s">
        <v>22</v>
      </c>
      <c r="C2572">
        <v>16</v>
      </c>
      <c r="D2572">
        <v>6.92</v>
      </c>
      <c r="E2572" s="29">
        <v>2.3121387279999999</v>
      </c>
      <c r="F2572">
        <v>6.92</v>
      </c>
      <c r="G2572">
        <v>1.1499999999999999</v>
      </c>
      <c r="H2572">
        <v>8.07</v>
      </c>
      <c r="I2572" s="29">
        <v>0.85750000000000004</v>
      </c>
      <c r="J2572" s="29">
        <v>1.9827000000000001</v>
      </c>
      <c r="K2572" s="9">
        <v>45356</v>
      </c>
      <c r="L2572">
        <f xml:space="preserve"> (交易處理資料__3[[#This Row],[售出工時]] * 60) / 5</f>
        <v>192</v>
      </c>
      <c r="M2572" t="str">
        <f>VLOOKUP(交易處理資料__3[[#This Row],[人員代號]],團隊分組!$B$1:$C$52,2,FALSE)</f>
        <v>快速保養團隊A</v>
      </c>
      <c r="N2572" t="str">
        <f>IF(交易處理資料__3[[#This Row],[上班時間]]=0,"否","是")</f>
        <v>是</v>
      </c>
      <c r="O2572" t="s">
        <v>76</v>
      </c>
      <c r="P2572" s="37">
        <v>2.3121387279999999</v>
      </c>
      <c r="Q2572" s="37">
        <v>1.9827000000000001</v>
      </c>
      <c r="R2572" s="37">
        <v>0.85750000000000004</v>
      </c>
    </row>
    <row r="2573" spans="1:18" hidden="1">
      <c r="A2573" t="s">
        <v>76</v>
      </c>
      <c r="B2573" t="s">
        <v>23</v>
      </c>
      <c r="C2573">
        <v>6.37</v>
      </c>
      <c r="D2573">
        <v>4.03</v>
      </c>
      <c r="E2573" s="29">
        <v>1.5806451609999999</v>
      </c>
      <c r="F2573">
        <v>7.59</v>
      </c>
      <c r="G2573">
        <v>0.62</v>
      </c>
      <c r="H2573">
        <v>8.2100000000000009</v>
      </c>
      <c r="I2573" s="29">
        <v>0.92449999999999999</v>
      </c>
      <c r="J2573" s="29">
        <v>0.77590000000000003</v>
      </c>
      <c r="K2573" s="9">
        <v>45356</v>
      </c>
      <c r="L2573">
        <f xml:space="preserve"> (交易處理資料__3[[#This Row],[售出工時]] * 60) / 5</f>
        <v>76.44</v>
      </c>
      <c r="M2573" t="str">
        <f>VLOOKUP(交易處理資料__3[[#This Row],[人員代號]],團隊分組!$B$1:$C$52,2,FALSE)</f>
        <v>快速保養團隊B</v>
      </c>
      <c r="N2573" t="str">
        <f>IF(交易處理資料__3[[#This Row],[上班時間]]=0,"否","是")</f>
        <v>是</v>
      </c>
      <c r="O2573" t="s">
        <v>76</v>
      </c>
      <c r="P2573" s="38">
        <v>1.5806451609999999</v>
      </c>
      <c r="Q2573" s="38">
        <v>0.77590000000000003</v>
      </c>
      <c r="R2573" s="38">
        <v>0.92449999999999999</v>
      </c>
    </row>
    <row r="2574" spans="1:18" hidden="1">
      <c r="A2574" t="s">
        <v>76</v>
      </c>
      <c r="B2574" t="s">
        <v>24</v>
      </c>
      <c r="C2574">
        <v>5.33</v>
      </c>
      <c r="D2574">
        <v>4.59</v>
      </c>
      <c r="E2574" s="29">
        <v>1.161220044</v>
      </c>
      <c r="F2574">
        <v>7.23</v>
      </c>
      <c r="G2574">
        <v>0.98</v>
      </c>
      <c r="H2574">
        <v>8.2100000000000009</v>
      </c>
      <c r="I2574" s="29">
        <v>0.88060000000000005</v>
      </c>
      <c r="J2574" s="29">
        <v>0.6492</v>
      </c>
      <c r="K2574" s="9">
        <v>45356</v>
      </c>
      <c r="L2574">
        <f xml:space="preserve"> (交易處理資料__3[[#This Row],[售出工時]] * 60) / 5</f>
        <v>63.96</v>
      </c>
      <c r="M2574" t="str">
        <f>VLOOKUP(交易處理資料__3[[#This Row],[人員代號]],團隊分組!$B$1:$C$52,2,FALSE)</f>
        <v>快速保養團隊A</v>
      </c>
      <c r="N2574" t="str">
        <f>IF(交易處理資料__3[[#This Row],[上班時間]]=0,"否","是")</f>
        <v>是</v>
      </c>
      <c r="O2574" t="s">
        <v>76</v>
      </c>
      <c r="P2574" s="37">
        <v>1.161220044</v>
      </c>
      <c r="Q2574" s="37">
        <v>0.6492</v>
      </c>
      <c r="R2574" s="37">
        <v>0.88060000000000005</v>
      </c>
    </row>
    <row r="2575" spans="1:18" hidden="1">
      <c r="A2575" t="s">
        <v>76</v>
      </c>
      <c r="B2575" t="s">
        <v>25</v>
      </c>
      <c r="C2575">
        <v>6.153333333</v>
      </c>
      <c r="D2575">
        <v>6.27</v>
      </c>
      <c r="E2575" s="29">
        <v>0.98139287609999992</v>
      </c>
      <c r="F2575">
        <v>8.3699999999999992</v>
      </c>
      <c r="G2575">
        <v>0.95</v>
      </c>
      <c r="H2575">
        <v>9.32</v>
      </c>
      <c r="I2575" s="29">
        <v>0.89810000000000001</v>
      </c>
      <c r="J2575" s="29">
        <v>0.66020000000000001</v>
      </c>
      <c r="K2575" s="9">
        <v>45356</v>
      </c>
      <c r="L2575">
        <f xml:space="preserve"> (交易處理資料__3[[#This Row],[售出工時]] * 60) / 5</f>
        <v>73.839999995999989</v>
      </c>
      <c r="M2575" t="str">
        <f>VLOOKUP(交易處理資料__3[[#This Row],[人員代號]],團隊分組!$B$1:$C$52,2,FALSE)</f>
        <v>查修團隊A</v>
      </c>
      <c r="N2575" t="str">
        <f>IF(交易處理資料__3[[#This Row],[上班時間]]=0,"否","是")</f>
        <v>是</v>
      </c>
      <c r="O2575" t="s">
        <v>76</v>
      </c>
      <c r="P2575" s="38">
        <v>0.98139287609999992</v>
      </c>
      <c r="Q2575" s="38">
        <v>0.66020000000000001</v>
      </c>
      <c r="R2575" s="38">
        <v>0.89810000000000001</v>
      </c>
    </row>
    <row r="2576" spans="1:18" hidden="1">
      <c r="A2576" t="s">
        <v>76</v>
      </c>
      <c r="B2576" t="s">
        <v>26</v>
      </c>
      <c r="C2576">
        <v>0</v>
      </c>
      <c r="D2576">
        <v>0</v>
      </c>
      <c r="E2576" s="29">
        <v>0</v>
      </c>
      <c r="F2576">
        <v>0</v>
      </c>
      <c r="G2576">
        <v>0.15</v>
      </c>
      <c r="H2576">
        <v>0.15</v>
      </c>
      <c r="I2576" s="29">
        <v>0</v>
      </c>
      <c r="J2576" s="29">
        <v>0</v>
      </c>
      <c r="K2576" s="9">
        <v>45356</v>
      </c>
      <c r="L2576">
        <f xml:space="preserve"> (交易處理資料__3[[#This Row],[售出工時]] * 60) / 5</f>
        <v>0</v>
      </c>
      <c r="M2576" t="str">
        <f>VLOOKUP(交易處理資料__3[[#This Row],[人員代號]],團隊分組!$B$1:$C$52,2,FALSE)</f>
        <v>查修團隊B</v>
      </c>
      <c r="N2576" t="str">
        <f>IF(交易處理資料__3[[#This Row],[上班時間]]=0,"否","是")</f>
        <v>是</v>
      </c>
      <c r="O2576" t="s">
        <v>76</v>
      </c>
      <c r="P2576" s="37">
        <v>0</v>
      </c>
      <c r="Q2576" s="37">
        <v>0</v>
      </c>
      <c r="R2576" s="37">
        <v>0</v>
      </c>
    </row>
    <row r="2577" spans="1:18" hidden="1">
      <c r="A2577" t="s">
        <v>76</v>
      </c>
      <c r="B2577" t="s">
        <v>28</v>
      </c>
      <c r="C2577">
        <v>10.99666667</v>
      </c>
      <c r="D2577">
        <v>6.91</v>
      </c>
      <c r="E2577" s="29">
        <v>1.591413411</v>
      </c>
      <c r="F2577">
        <v>6.97</v>
      </c>
      <c r="G2577">
        <v>1.22</v>
      </c>
      <c r="H2577">
        <v>8.19</v>
      </c>
      <c r="I2577" s="29">
        <v>0.85099999999999998</v>
      </c>
      <c r="J2577" s="29">
        <v>1.3427</v>
      </c>
      <c r="K2577" s="9">
        <v>45356</v>
      </c>
      <c r="L2577">
        <f xml:space="preserve"> (交易處理資料__3[[#This Row],[售出工時]] * 60) / 5</f>
        <v>131.96000004000001</v>
      </c>
      <c r="M2577" t="str">
        <f>VLOOKUP(交易處理資料__3[[#This Row],[人員代號]],團隊分組!$B$1:$C$52,2,FALSE)</f>
        <v>快速保養團隊A</v>
      </c>
      <c r="N2577" t="str">
        <f>IF(交易處理資料__3[[#This Row],[上班時間]]=0,"否","是")</f>
        <v>是</v>
      </c>
      <c r="O2577" t="s">
        <v>76</v>
      </c>
      <c r="P2577" s="38">
        <v>1.591413411</v>
      </c>
      <c r="Q2577" s="38">
        <v>1.3427</v>
      </c>
      <c r="R2577" s="38">
        <v>0.85099999999999998</v>
      </c>
    </row>
    <row r="2578" spans="1:18" hidden="1">
      <c r="A2578" t="s">
        <v>76</v>
      </c>
      <c r="B2578" t="s">
        <v>34</v>
      </c>
      <c r="C2578">
        <v>10.25</v>
      </c>
      <c r="D2578">
        <v>7.4</v>
      </c>
      <c r="E2578" s="29">
        <v>1.3851351349999999</v>
      </c>
      <c r="F2578">
        <v>7.82</v>
      </c>
      <c r="G2578">
        <v>0.19</v>
      </c>
      <c r="H2578">
        <v>8.01</v>
      </c>
      <c r="I2578" s="29">
        <v>0.97629999999999995</v>
      </c>
      <c r="J2578" s="29">
        <v>1.2797000000000001</v>
      </c>
      <c r="K2578" s="9">
        <v>45356</v>
      </c>
      <c r="L2578">
        <f xml:space="preserve"> (交易處理資料__3[[#This Row],[售出工時]] * 60) / 5</f>
        <v>123</v>
      </c>
      <c r="M2578" t="str">
        <f>VLOOKUP(交易處理資料__3[[#This Row],[人員代號]],團隊分組!$B$1:$C$52,2,FALSE)</f>
        <v>快速保養團隊A</v>
      </c>
      <c r="N2578" t="str">
        <f>IF(交易處理資料__3[[#This Row],[上班時間]]=0,"否","是")</f>
        <v>是</v>
      </c>
      <c r="O2578" t="s">
        <v>76</v>
      </c>
      <c r="P2578" s="37">
        <v>1.3851351349999999</v>
      </c>
      <c r="Q2578" s="37">
        <v>1.2797000000000001</v>
      </c>
      <c r="R2578" s="37">
        <v>0.97629999999999995</v>
      </c>
    </row>
    <row r="2579" spans="1:18" hidden="1">
      <c r="A2579" t="s">
        <v>76</v>
      </c>
      <c r="B2579" t="s">
        <v>35</v>
      </c>
      <c r="C2579">
        <v>0</v>
      </c>
      <c r="D2579">
        <v>0</v>
      </c>
      <c r="E2579" s="29">
        <v>0</v>
      </c>
      <c r="F2579">
        <v>9.3800000000000008</v>
      </c>
      <c r="G2579">
        <v>1.58</v>
      </c>
      <c r="H2579">
        <v>10.96</v>
      </c>
      <c r="I2579" s="29">
        <v>0.85580000000000001</v>
      </c>
      <c r="J2579" s="29">
        <v>0</v>
      </c>
      <c r="K2579" s="9">
        <v>45356</v>
      </c>
      <c r="L2579">
        <f xml:space="preserve"> (交易處理資料__3[[#This Row],[售出工時]] * 60) / 5</f>
        <v>0</v>
      </c>
      <c r="M2579" t="str">
        <f>VLOOKUP(交易處理資料__3[[#This Row],[人員代號]],團隊分組!$B$1:$C$52,2,FALSE)</f>
        <v>查修團隊B</v>
      </c>
      <c r="N2579" t="str">
        <f>IF(交易處理資料__3[[#This Row],[上班時間]]=0,"否","是")</f>
        <v>是</v>
      </c>
      <c r="O2579" t="s">
        <v>76</v>
      </c>
      <c r="P2579" s="38">
        <v>0</v>
      </c>
      <c r="Q2579" s="38">
        <v>0</v>
      </c>
      <c r="R2579" s="38">
        <v>0.85580000000000001</v>
      </c>
    </row>
    <row r="2580" spans="1:18" hidden="1">
      <c r="A2580" t="s">
        <v>76</v>
      </c>
      <c r="B2580" t="s">
        <v>36</v>
      </c>
      <c r="C2580">
        <v>2.5</v>
      </c>
      <c r="D2580">
        <v>4.1500000000000004</v>
      </c>
      <c r="E2580" s="29">
        <v>0.60240963859999996</v>
      </c>
      <c r="F2580">
        <v>3.36</v>
      </c>
      <c r="G2580">
        <v>5.03</v>
      </c>
      <c r="H2580">
        <v>8.39</v>
      </c>
      <c r="I2580" s="29">
        <v>0.40049999999999997</v>
      </c>
      <c r="J2580" s="29">
        <v>0.29799999999999999</v>
      </c>
      <c r="K2580" s="9">
        <v>45356</v>
      </c>
      <c r="L2580">
        <f xml:space="preserve"> (交易處理資料__3[[#This Row],[售出工時]] * 60) / 5</f>
        <v>30</v>
      </c>
      <c r="M2580" t="str">
        <f>VLOOKUP(交易處理資料__3[[#This Row],[人員代號]],團隊分組!$B$1:$C$52,2,FALSE)</f>
        <v>查修團隊B</v>
      </c>
      <c r="N2580" t="str">
        <f>IF(交易處理資料__3[[#This Row],[上班時間]]=0,"否","是")</f>
        <v>是</v>
      </c>
      <c r="O2580" t="s">
        <v>76</v>
      </c>
      <c r="P2580" s="37">
        <v>0.60240963859999996</v>
      </c>
      <c r="Q2580" s="37">
        <v>0.29799999999999999</v>
      </c>
      <c r="R2580" s="37">
        <v>0.40049999999999997</v>
      </c>
    </row>
    <row r="2581" spans="1:18" hidden="1">
      <c r="A2581" t="s">
        <v>76</v>
      </c>
      <c r="B2581" t="s">
        <v>37</v>
      </c>
      <c r="C2581">
        <v>4.1666666670000003</v>
      </c>
      <c r="D2581">
        <v>3.81</v>
      </c>
      <c r="E2581" s="29">
        <v>1.093613298</v>
      </c>
      <c r="F2581">
        <v>7.69</v>
      </c>
      <c r="G2581">
        <v>2.0699999999999998</v>
      </c>
      <c r="H2581">
        <v>9.76</v>
      </c>
      <c r="I2581" s="29">
        <v>0.78790000000000004</v>
      </c>
      <c r="J2581" s="29">
        <v>0.4269</v>
      </c>
      <c r="K2581" s="9">
        <v>45356</v>
      </c>
      <c r="L2581">
        <f xml:space="preserve"> (交易處理資料__3[[#This Row],[售出工時]] * 60) / 5</f>
        <v>50.000000004</v>
      </c>
      <c r="M2581" t="str">
        <f>VLOOKUP(交易處理資料__3[[#This Row],[人員代號]],團隊分組!$B$1:$C$52,2,FALSE)</f>
        <v>查修團隊A</v>
      </c>
      <c r="N2581" t="str">
        <f>IF(交易處理資料__3[[#This Row],[上班時間]]=0,"否","是")</f>
        <v>是</v>
      </c>
      <c r="O2581" t="s">
        <v>76</v>
      </c>
      <c r="P2581" s="38">
        <v>1.093613298</v>
      </c>
      <c r="Q2581" s="38">
        <v>0.4269</v>
      </c>
      <c r="R2581" s="38">
        <v>0.78790000000000004</v>
      </c>
    </row>
    <row r="2582" spans="1:18" hidden="1">
      <c r="A2582" t="s">
        <v>76</v>
      </c>
      <c r="B2582" t="s">
        <v>38</v>
      </c>
      <c r="C2582">
        <v>10.41666667</v>
      </c>
      <c r="D2582">
        <v>9.48</v>
      </c>
      <c r="E2582" s="29">
        <v>1.098804501</v>
      </c>
      <c r="F2582">
        <v>10.26</v>
      </c>
      <c r="G2582">
        <v>0.35</v>
      </c>
      <c r="H2582">
        <v>10.61</v>
      </c>
      <c r="I2582" s="29">
        <v>0.96700000000000008</v>
      </c>
      <c r="J2582" s="29">
        <v>0.98180000000000012</v>
      </c>
      <c r="K2582" s="9">
        <v>45356</v>
      </c>
      <c r="L2582">
        <f xml:space="preserve"> (交易處理資料__3[[#This Row],[售出工時]] * 60) / 5</f>
        <v>125.00000003999999</v>
      </c>
      <c r="M2582" t="str">
        <f>VLOOKUP(交易處理資料__3[[#This Row],[人員代號]],團隊分組!$B$1:$C$52,2,FALSE)</f>
        <v>快速保養團隊A</v>
      </c>
      <c r="N2582" t="str">
        <f>IF(交易處理資料__3[[#This Row],[上班時間]]=0,"否","是")</f>
        <v>是</v>
      </c>
      <c r="O2582" t="s">
        <v>76</v>
      </c>
      <c r="P2582" s="37">
        <v>1.098804501</v>
      </c>
      <c r="Q2582" s="37">
        <v>0.98180000000000012</v>
      </c>
      <c r="R2582" s="37">
        <v>0.96700000000000008</v>
      </c>
    </row>
    <row r="2583" spans="1:18" hidden="1">
      <c r="A2583" t="s">
        <v>76</v>
      </c>
      <c r="B2583" t="s">
        <v>40</v>
      </c>
      <c r="C2583">
        <v>0</v>
      </c>
      <c r="D2583">
        <v>0</v>
      </c>
      <c r="E2583" s="29">
        <v>0</v>
      </c>
      <c r="F2583">
        <v>7.58</v>
      </c>
      <c r="G2583">
        <v>2.16</v>
      </c>
      <c r="H2583">
        <v>9.74</v>
      </c>
      <c r="I2583" s="29">
        <v>0.77819999999999989</v>
      </c>
      <c r="J2583" s="29">
        <v>0</v>
      </c>
      <c r="K2583" s="9">
        <v>45356</v>
      </c>
      <c r="L2583">
        <f xml:space="preserve"> (交易處理資料__3[[#This Row],[售出工時]] * 60) / 5</f>
        <v>0</v>
      </c>
      <c r="M2583" t="str">
        <f>VLOOKUP(交易處理資料__3[[#This Row],[人員代號]],團隊分組!$B$1:$C$52,2,FALSE)</f>
        <v>查修團隊A</v>
      </c>
      <c r="N2583" t="str">
        <f>IF(交易處理資料__3[[#This Row],[上班時間]]=0,"否","是")</f>
        <v>是</v>
      </c>
      <c r="O2583" t="s">
        <v>76</v>
      </c>
      <c r="P2583" s="38">
        <v>0</v>
      </c>
      <c r="Q2583" s="38">
        <v>0</v>
      </c>
      <c r="R2583" s="38">
        <v>0.77819999999999989</v>
      </c>
    </row>
    <row r="2584" spans="1:18" hidden="1">
      <c r="A2584" t="s">
        <v>76</v>
      </c>
      <c r="B2584" t="s">
        <v>41</v>
      </c>
      <c r="C2584">
        <v>12.66666667</v>
      </c>
      <c r="D2584">
        <v>6.32</v>
      </c>
      <c r="E2584" s="29">
        <v>2.0042194090000001</v>
      </c>
      <c r="F2584">
        <v>8.6199999999999992</v>
      </c>
      <c r="G2584">
        <v>1.81</v>
      </c>
      <c r="H2584">
        <v>10.43</v>
      </c>
      <c r="I2584" s="29">
        <v>0.82650000000000001</v>
      </c>
      <c r="J2584" s="29">
        <v>1.2143999999999999</v>
      </c>
      <c r="K2584" s="9">
        <v>45356</v>
      </c>
      <c r="L2584">
        <f xml:space="preserve"> (交易處理資料__3[[#This Row],[售出工時]] * 60) / 5</f>
        <v>152.00000003999997</v>
      </c>
      <c r="M2584" t="str">
        <f>VLOOKUP(交易處理資料__3[[#This Row],[人員代號]],團隊分組!$B$1:$C$52,2,FALSE)</f>
        <v>快速保養團隊A</v>
      </c>
      <c r="N2584" t="str">
        <f>IF(交易處理資料__3[[#This Row],[上班時間]]=0,"否","是")</f>
        <v>是</v>
      </c>
      <c r="O2584" t="s">
        <v>76</v>
      </c>
      <c r="P2584" s="37">
        <v>2.0042194090000001</v>
      </c>
      <c r="Q2584" s="37">
        <v>1.2143999999999999</v>
      </c>
      <c r="R2584" s="37">
        <v>0.82650000000000001</v>
      </c>
    </row>
    <row r="2585" spans="1:18" hidden="1">
      <c r="A2585" t="s">
        <v>76</v>
      </c>
      <c r="B2585" t="s">
        <v>44</v>
      </c>
      <c r="C2585">
        <v>4.71</v>
      </c>
      <c r="D2585">
        <v>4.53</v>
      </c>
      <c r="E2585" s="29">
        <v>1.0397350990000001</v>
      </c>
      <c r="F2585">
        <v>5.99</v>
      </c>
      <c r="G2585">
        <v>2.15</v>
      </c>
      <c r="H2585">
        <v>8.14</v>
      </c>
      <c r="I2585" s="29">
        <v>0.7359</v>
      </c>
      <c r="J2585" s="29">
        <v>0.5786</v>
      </c>
      <c r="K2585" s="9">
        <v>45356</v>
      </c>
      <c r="L2585">
        <f xml:space="preserve"> (交易處理資料__3[[#This Row],[售出工時]] * 60) / 5</f>
        <v>56.52</v>
      </c>
      <c r="M2585" t="str">
        <f>VLOOKUP(交易處理資料__3[[#This Row],[人員代號]],團隊分組!$B$1:$C$52,2,FALSE)</f>
        <v>快速保養團隊B</v>
      </c>
      <c r="N2585" t="str">
        <f>IF(交易處理資料__3[[#This Row],[上班時間]]=0,"否","是")</f>
        <v>是</v>
      </c>
      <c r="O2585" t="s">
        <v>76</v>
      </c>
      <c r="P2585" s="38">
        <v>1.0397350990000001</v>
      </c>
      <c r="Q2585" s="38">
        <v>0.5786</v>
      </c>
      <c r="R2585" s="38">
        <v>0.7359</v>
      </c>
    </row>
    <row r="2586" spans="1:18" hidden="1">
      <c r="A2586" t="s">
        <v>76</v>
      </c>
      <c r="B2586" t="s">
        <v>46</v>
      </c>
      <c r="C2586">
        <v>4.75</v>
      </c>
      <c r="D2586">
        <v>3.12</v>
      </c>
      <c r="E2586" s="29">
        <v>1.522435897</v>
      </c>
      <c r="F2586">
        <v>7.25</v>
      </c>
      <c r="G2586">
        <v>3.06</v>
      </c>
      <c r="H2586">
        <v>10.31</v>
      </c>
      <c r="I2586" s="29">
        <v>0.70319999999999994</v>
      </c>
      <c r="J2586" s="29">
        <v>0.4607</v>
      </c>
      <c r="K2586" s="9">
        <v>45356</v>
      </c>
      <c r="L2586">
        <f xml:space="preserve"> (交易處理資料__3[[#This Row],[售出工時]] * 60) / 5</f>
        <v>57</v>
      </c>
      <c r="M2586" t="str">
        <f>VLOOKUP(交易處理資料__3[[#This Row],[人員代號]],團隊分組!$B$1:$C$52,2,FALSE)</f>
        <v>查修團隊B</v>
      </c>
      <c r="N2586" t="str">
        <f>IF(交易處理資料__3[[#This Row],[上班時間]]=0,"否","是")</f>
        <v>是</v>
      </c>
      <c r="O2586" t="s">
        <v>76</v>
      </c>
      <c r="P2586" s="37">
        <v>1.522435897</v>
      </c>
      <c r="Q2586" s="37">
        <v>0.4607</v>
      </c>
      <c r="R2586" s="37">
        <v>0.70319999999999994</v>
      </c>
    </row>
    <row r="2587" spans="1:18" hidden="1">
      <c r="A2587" t="s">
        <v>76</v>
      </c>
      <c r="B2587" t="s">
        <v>47</v>
      </c>
      <c r="C2587">
        <v>0</v>
      </c>
      <c r="D2587">
        <v>0</v>
      </c>
      <c r="E2587" s="29">
        <v>0</v>
      </c>
      <c r="F2587">
        <v>5.32</v>
      </c>
      <c r="G2587">
        <v>2.96</v>
      </c>
      <c r="H2587">
        <v>8.2799999999999994</v>
      </c>
      <c r="I2587" s="29">
        <v>0.64249999999999996</v>
      </c>
      <c r="J2587" s="29">
        <v>0</v>
      </c>
      <c r="K2587" s="9">
        <v>45356</v>
      </c>
      <c r="L2587">
        <f xml:space="preserve"> (交易處理資料__3[[#This Row],[售出工時]] * 60) / 5</f>
        <v>0</v>
      </c>
      <c r="M2587" t="str">
        <f>VLOOKUP(交易處理資料__3[[#This Row],[人員代號]],團隊分組!$B$1:$C$52,2,FALSE)</f>
        <v>查修團隊B</v>
      </c>
      <c r="N2587" t="str">
        <f>IF(交易處理資料__3[[#This Row],[上班時間]]=0,"否","是")</f>
        <v>是</v>
      </c>
      <c r="O2587" t="s">
        <v>76</v>
      </c>
      <c r="P2587" s="38">
        <v>0</v>
      </c>
      <c r="Q2587" s="38">
        <v>0</v>
      </c>
      <c r="R2587" s="38">
        <v>0.64249999999999996</v>
      </c>
    </row>
    <row r="2588" spans="1:18" hidden="1">
      <c r="A2588" t="s">
        <v>76</v>
      </c>
      <c r="B2588" t="s">
        <v>48</v>
      </c>
      <c r="C2588">
        <v>1</v>
      </c>
      <c r="D2588">
        <v>0.67</v>
      </c>
      <c r="E2588" s="29">
        <v>1.4925373129999999</v>
      </c>
      <c r="F2588">
        <v>6.42</v>
      </c>
      <c r="G2588">
        <v>1.69</v>
      </c>
      <c r="H2588">
        <v>8.11</v>
      </c>
      <c r="I2588" s="29">
        <v>0.79159999999999997</v>
      </c>
      <c r="J2588" s="29">
        <v>0.12330000000000001</v>
      </c>
      <c r="K2588" s="9">
        <v>45356</v>
      </c>
      <c r="L2588">
        <f xml:space="preserve"> (交易處理資料__3[[#This Row],[售出工時]] * 60) / 5</f>
        <v>12</v>
      </c>
      <c r="M2588" t="str">
        <f>VLOOKUP(交易處理資料__3[[#This Row],[人員代號]],團隊分組!$B$1:$C$52,2,FALSE)</f>
        <v>查修團隊A</v>
      </c>
      <c r="N2588" t="str">
        <f>IF(交易處理資料__3[[#This Row],[上班時間]]=0,"否","是")</f>
        <v>是</v>
      </c>
      <c r="O2588" t="s">
        <v>76</v>
      </c>
      <c r="P2588" s="37">
        <v>1.4925373129999999</v>
      </c>
      <c r="Q2588" s="37">
        <v>0.12330000000000001</v>
      </c>
      <c r="R2588" s="37">
        <v>0.79159999999999997</v>
      </c>
    </row>
    <row r="2589" spans="1:18" hidden="1">
      <c r="A2589" t="s">
        <v>76</v>
      </c>
      <c r="B2589" t="s">
        <v>50</v>
      </c>
      <c r="C2589">
        <v>5.76</v>
      </c>
      <c r="D2589">
        <v>4.59</v>
      </c>
      <c r="E2589" s="29">
        <v>1.2549019610000001</v>
      </c>
      <c r="F2589">
        <v>7.54</v>
      </c>
      <c r="G2589">
        <v>0.61</v>
      </c>
      <c r="H2589">
        <v>8.15</v>
      </c>
      <c r="I2589" s="29">
        <v>0.92519999999999991</v>
      </c>
      <c r="J2589" s="29">
        <v>0.70669999999999999</v>
      </c>
      <c r="K2589" s="9">
        <v>45356</v>
      </c>
      <c r="L2589">
        <f xml:space="preserve"> (交易處理資料__3[[#This Row],[售出工時]] * 60) / 5</f>
        <v>69.11999999999999</v>
      </c>
      <c r="M2589" t="str">
        <f>VLOOKUP(交易處理資料__3[[#This Row],[人員代號]],團隊分組!$B$1:$C$52,2,FALSE)</f>
        <v>快速保養團隊B</v>
      </c>
      <c r="N2589" t="str">
        <f>IF(交易處理資料__3[[#This Row],[上班時間]]=0,"否","是")</f>
        <v>是</v>
      </c>
      <c r="O2589" t="s">
        <v>76</v>
      </c>
      <c r="P2589" s="38">
        <v>1.2549019610000001</v>
      </c>
      <c r="Q2589" s="38">
        <v>0.70669999999999999</v>
      </c>
      <c r="R2589" s="38">
        <v>0.92519999999999991</v>
      </c>
    </row>
    <row r="2590" spans="1:18" hidden="1">
      <c r="A2590" t="s">
        <v>76</v>
      </c>
      <c r="B2590" t="s">
        <v>51</v>
      </c>
      <c r="C2590">
        <v>0</v>
      </c>
      <c r="D2590">
        <v>0</v>
      </c>
      <c r="E2590" s="29">
        <v>0</v>
      </c>
      <c r="F2590">
        <v>0</v>
      </c>
      <c r="G2590">
        <v>0</v>
      </c>
      <c r="H2590">
        <v>0</v>
      </c>
      <c r="I2590" s="29">
        <v>0</v>
      </c>
      <c r="J2590" s="29">
        <v>0</v>
      </c>
      <c r="K2590" s="9">
        <v>45356</v>
      </c>
      <c r="L2590">
        <f xml:space="preserve"> (交易處理資料__3[[#This Row],[售出工時]] * 60) / 5</f>
        <v>0</v>
      </c>
      <c r="M2590" t="str">
        <f>VLOOKUP(交易處理資料__3[[#This Row],[人員代號]],團隊分組!$B$1:$C$52,2,FALSE)</f>
        <v>無效數據</v>
      </c>
      <c r="N2590" t="str">
        <f>IF(交易處理資料__3[[#This Row],[上班時間]]=0,"否","是")</f>
        <v>否</v>
      </c>
      <c r="O2590" t="s">
        <v>76</v>
      </c>
      <c r="P2590" s="37">
        <v>0</v>
      </c>
      <c r="Q2590" s="37">
        <v>0</v>
      </c>
      <c r="R2590" s="37">
        <v>0</v>
      </c>
    </row>
    <row r="2591" spans="1:18" hidden="1">
      <c r="A2591" t="s">
        <v>76</v>
      </c>
      <c r="B2591" t="s">
        <v>52</v>
      </c>
      <c r="C2591">
        <v>7.4166666670000003</v>
      </c>
      <c r="D2591">
        <v>6.61</v>
      </c>
      <c r="E2591" s="29">
        <v>1.122037317</v>
      </c>
      <c r="F2591">
        <v>4.92</v>
      </c>
      <c r="G2591">
        <v>3.38</v>
      </c>
      <c r="H2591">
        <v>8.3000000000000007</v>
      </c>
      <c r="I2591" s="29">
        <v>0.59279999999999999</v>
      </c>
      <c r="J2591" s="29">
        <v>0.89359999999999995</v>
      </c>
      <c r="K2591" s="9">
        <v>45356</v>
      </c>
      <c r="L2591">
        <f xml:space="preserve"> (交易處理資料__3[[#This Row],[售出工時]] * 60) / 5</f>
        <v>89.000000004</v>
      </c>
      <c r="M2591" t="str">
        <f>VLOOKUP(交易處理資料__3[[#This Row],[人員代號]],團隊分組!$B$1:$C$52,2,FALSE)</f>
        <v>查修團隊B</v>
      </c>
      <c r="N2591" t="str">
        <f>IF(交易處理資料__3[[#This Row],[上班時間]]=0,"否","是")</f>
        <v>是</v>
      </c>
      <c r="O2591" t="s">
        <v>76</v>
      </c>
      <c r="P2591" s="38">
        <v>1.122037317</v>
      </c>
      <c r="Q2591" s="38">
        <v>0.89359999999999995</v>
      </c>
      <c r="R2591" s="38">
        <v>0.59279999999999999</v>
      </c>
    </row>
    <row r="2592" spans="1:18" hidden="1">
      <c r="A2592" s="10" t="s">
        <v>74</v>
      </c>
      <c r="B2592" t="s">
        <v>2</v>
      </c>
      <c r="C2592">
        <v>1.37</v>
      </c>
      <c r="D2592">
        <v>2.89</v>
      </c>
      <c r="E2592" s="29">
        <v>0.47404844289999998</v>
      </c>
      <c r="F2592">
        <v>11.34</v>
      </c>
      <c r="G2592">
        <v>0.08</v>
      </c>
      <c r="H2592">
        <v>11.42</v>
      </c>
      <c r="I2592" s="29">
        <v>0.99299999999999999</v>
      </c>
      <c r="J2592" s="29">
        <v>0.12</v>
      </c>
      <c r="K2592" s="9">
        <v>45357</v>
      </c>
      <c r="L2592">
        <f xml:space="preserve"> (交易處理資料__3[[#This Row],[售出工時]] * 60) / 5</f>
        <v>16.440000000000001</v>
      </c>
      <c r="M2592" t="str">
        <f>VLOOKUP(交易處理資料__3[[#This Row],[人員代號]],團隊分組!$B$1:$C$52,2,FALSE)</f>
        <v>噴漆維修組</v>
      </c>
      <c r="N2592" t="str">
        <f>IF(交易處理資料__3[[#This Row],[上班時間]]=0,"否","是")</f>
        <v>是</v>
      </c>
      <c r="O2592" s="10" t="s">
        <v>74</v>
      </c>
      <c r="P2592" s="37">
        <v>0.47404844289999998</v>
      </c>
      <c r="Q2592" s="37">
        <v>0.12</v>
      </c>
      <c r="R2592" s="37">
        <v>0.99299999999999999</v>
      </c>
    </row>
    <row r="2593" spans="1:18" hidden="1">
      <c r="A2593" s="10" t="s">
        <v>74</v>
      </c>
      <c r="B2593" t="s">
        <v>3</v>
      </c>
      <c r="C2593">
        <v>0.62</v>
      </c>
      <c r="D2593">
        <v>1.42</v>
      </c>
      <c r="E2593" s="29">
        <v>0.43661971830000001</v>
      </c>
      <c r="F2593">
        <v>11.34</v>
      </c>
      <c r="G2593">
        <v>0.08</v>
      </c>
      <c r="H2593">
        <v>11.42</v>
      </c>
      <c r="I2593" s="29">
        <v>0.99299999999999999</v>
      </c>
      <c r="J2593" s="29">
        <v>5.4299999999999994E-2</v>
      </c>
      <c r="K2593" s="9">
        <v>45357</v>
      </c>
      <c r="L2593">
        <f xml:space="preserve"> (交易處理資料__3[[#This Row],[售出工時]] * 60) / 5</f>
        <v>7.44</v>
      </c>
      <c r="M2593" t="str">
        <f>VLOOKUP(交易處理資料__3[[#This Row],[人員代號]],團隊分組!$B$1:$C$52,2,FALSE)</f>
        <v>噴漆維修組</v>
      </c>
      <c r="N2593" t="str">
        <f>IF(交易處理資料__3[[#This Row],[上班時間]]=0,"否","是")</f>
        <v>是</v>
      </c>
      <c r="O2593" s="10" t="s">
        <v>74</v>
      </c>
      <c r="P2593" s="38">
        <v>0.43661971830000001</v>
      </c>
      <c r="Q2593" s="38">
        <v>5.4299999999999994E-2</v>
      </c>
      <c r="R2593" s="38">
        <v>0.99299999999999999</v>
      </c>
    </row>
    <row r="2594" spans="1:18" hidden="1">
      <c r="A2594" s="10" t="s">
        <v>74</v>
      </c>
      <c r="B2594" t="s">
        <v>5</v>
      </c>
      <c r="C2594">
        <v>3.9</v>
      </c>
      <c r="D2594">
        <v>9.4</v>
      </c>
      <c r="E2594" s="29">
        <v>0.41489361700000005</v>
      </c>
      <c r="F2594">
        <v>11.3</v>
      </c>
      <c r="G2594">
        <v>0.09</v>
      </c>
      <c r="H2594">
        <v>11.39</v>
      </c>
      <c r="I2594" s="29">
        <v>0.99209999999999998</v>
      </c>
      <c r="J2594" s="29">
        <v>0.34240000000000004</v>
      </c>
      <c r="K2594" s="9">
        <v>45357</v>
      </c>
      <c r="L2594">
        <f xml:space="preserve"> (交易處理資料__3[[#This Row],[售出工時]] * 60) / 5</f>
        <v>46.8</v>
      </c>
      <c r="M2594" t="str">
        <f>VLOOKUP(交易處理資料__3[[#This Row],[人員代號]],團隊分組!$B$1:$C$52,2,FALSE)</f>
        <v>噴漆維修組</v>
      </c>
      <c r="N2594" t="str">
        <f>IF(交易處理資料__3[[#This Row],[上班時間]]=0,"否","是")</f>
        <v>是</v>
      </c>
      <c r="O2594" s="10" t="s">
        <v>74</v>
      </c>
      <c r="P2594" s="37">
        <v>0.41489361700000005</v>
      </c>
      <c r="Q2594" s="37">
        <v>0.34240000000000004</v>
      </c>
      <c r="R2594" s="37">
        <v>0.99209999999999998</v>
      </c>
    </row>
    <row r="2595" spans="1:18" hidden="1">
      <c r="A2595" s="10" t="s">
        <v>74</v>
      </c>
      <c r="B2595" t="s">
        <v>6</v>
      </c>
      <c r="C2595">
        <v>0.62</v>
      </c>
      <c r="D2595">
        <v>1.42</v>
      </c>
      <c r="E2595" s="29">
        <v>0.43661971830000001</v>
      </c>
      <c r="F2595">
        <v>11.32</v>
      </c>
      <c r="G2595">
        <v>0.11</v>
      </c>
      <c r="H2595">
        <v>11.43</v>
      </c>
      <c r="I2595" s="29">
        <v>0.99040000000000006</v>
      </c>
      <c r="J2595" s="29">
        <v>5.4199999999999998E-2</v>
      </c>
      <c r="K2595" s="9">
        <v>45357</v>
      </c>
      <c r="L2595">
        <f xml:space="preserve"> (交易處理資料__3[[#This Row],[售出工時]] * 60) / 5</f>
        <v>7.44</v>
      </c>
      <c r="M2595" t="str">
        <f>VLOOKUP(交易處理資料__3[[#This Row],[人員代號]],團隊分組!$B$1:$C$52,2,FALSE)</f>
        <v>噴漆維修組</v>
      </c>
      <c r="N2595" t="str">
        <f>IF(交易處理資料__3[[#This Row],[上班時間]]=0,"否","是")</f>
        <v>是</v>
      </c>
      <c r="O2595" s="10" t="s">
        <v>74</v>
      </c>
      <c r="P2595" s="38">
        <v>0.43661971830000001</v>
      </c>
      <c r="Q2595" s="38">
        <v>5.4199999999999998E-2</v>
      </c>
      <c r="R2595" s="38">
        <v>0.99040000000000006</v>
      </c>
    </row>
    <row r="2596" spans="1:18">
      <c r="A2596" s="10" t="s">
        <v>74</v>
      </c>
      <c r="B2596" t="s">
        <v>7</v>
      </c>
      <c r="C2596">
        <v>3.9</v>
      </c>
      <c r="D2596">
        <v>9.4</v>
      </c>
      <c r="E2596" s="29">
        <v>0.41489361700000005</v>
      </c>
      <c r="F2596">
        <v>11.32</v>
      </c>
      <c r="G2596">
        <v>7.0000000000000007E-2</v>
      </c>
      <c r="H2596">
        <v>11.39</v>
      </c>
      <c r="I2596" s="29">
        <v>0.99390000000000001</v>
      </c>
      <c r="J2596" s="29">
        <v>0.34240000000000004</v>
      </c>
      <c r="K2596" s="9">
        <v>45357</v>
      </c>
      <c r="L2596">
        <f xml:space="preserve"> (交易處理資料__3[[#This Row],[售出工時]] * 60) / 5</f>
        <v>46.8</v>
      </c>
      <c r="M2596" t="str">
        <f>VLOOKUP(交易處理資料__3[[#This Row],[人員代號]],團隊分組!$B$1:$C$52,2,FALSE)</f>
        <v>噴漆維修組</v>
      </c>
      <c r="N2596" t="str">
        <f>IF(交易處理資料__3[[#This Row],[上班時間]]=0,"否","是")</f>
        <v>是</v>
      </c>
      <c r="O2596" s="10" t="s">
        <v>74</v>
      </c>
      <c r="P2596" s="37">
        <v>0.41489361700000005</v>
      </c>
      <c r="Q2596" s="37">
        <v>0.34240000000000004</v>
      </c>
      <c r="R2596" s="37">
        <v>0.99390000000000001</v>
      </c>
    </row>
    <row r="2597" spans="1:18" hidden="1">
      <c r="A2597" s="10" t="s">
        <v>74</v>
      </c>
      <c r="B2597" t="s">
        <v>9</v>
      </c>
      <c r="C2597">
        <v>1.3</v>
      </c>
      <c r="D2597">
        <v>3.55</v>
      </c>
      <c r="E2597" s="29">
        <v>0.36619718310000005</v>
      </c>
      <c r="F2597">
        <v>10.130000000000001</v>
      </c>
      <c r="G2597">
        <v>0.44</v>
      </c>
      <c r="H2597">
        <v>10.57</v>
      </c>
      <c r="I2597" s="29">
        <v>0.95840000000000003</v>
      </c>
      <c r="J2597" s="29">
        <v>0.12300000000000001</v>
      </c>
      <c r="K2597" s="9">
        <v>45357</v>
      </c>
      <c r="L2597">
        <f xml:space="preserve"> (交易處理資料__3[[#This Row],[售出工時]] * 60) / 5</f>
        <v>15.6</v>
      </c>
      <c r="M2597" t="str">
        <f>VLOOKUP(交易處理資料__3[[#This Row],[人員代號]],團隊分組!$B$1:$C$52,2,FALSE)</f>
        <v>噴漆維修組</v>
      </c>
      <c r="N2597" t="str">
        <f>IF(交易處理資料__3[[#This Row],[上班時間]]=0,"否","是")</f>
        <v>是</v>
      </c>
      <c r="O2597" s="10" t="s">
        <v>74</v>
      </c>
      <c r="P2597" s="38">
        <v>0.36619718310000005</v>
      </c>
      <c r="Q2597" s="38">
        <v>0.12300000000000001</v>
      </c>
      <c r="R2597" s="38">
        <v>0.95840000000000003</v>
      </c>
    </row>
    <row r="2598" spans="1:18" hidden="1">
      <c r="A2598" t="s">
        <v>75</v>
      </c>
      <c r="B2598" t="s">
        <v>12</v>
      </c>
      <c r="C2598">
        <v>7.3333333329999997</v>
      </c>
      <c r="D2598">
        <v>3.97</v>
      </c>
      <c r="E2598" s="29">
        <v>1.8471872379999998</v>
      </c>
      <c r="F2598">
        <v>6.52</v>
      </c>
      <c r="G2598">
        <v>3.45</v>
      </c>
      <c r="H2598">
        <v>9.9700000000000006</v>
      </c>
      <c r="I2598" s="29">
        <v>0.65400000000000003</v>
      </c>
      <c r="J2598" s="29">
        <v>0.73549999999999993</v>
      </c>
      <c r="K2598" s="9">
        <v>45357</v>
      </c>
      <c r="L2598">
        <f xml:space="preserve"> (交易處理資料__3[[#This Row],[售出工時]] * 60) / 5</f>
        <v>87.999999996</v>
      </c>
      <c r="M2598" t="str">
        <f>VLOOKUP(交易處理資料__3[[#This Row],[人員代號]],團隊分組!$B$1:$C$52,2,FALSE)</f>
        <v>鈑金維修組</v>
      </c>
      <c r="N2598" t="str">
        <f>IF(交易處理資料__3[[#This Row],[上班時間]]=0,"否","是")</f>
        <v>是</v>
      </c>
      <c r="O2598" t="s">
        <v>75</v>
      </c>
      <c r="P2598" s="37">
        <v>1.8471872379999998</v>
      </c>
      <c r="Q2598" s="37">
        <v>0.73549999999999993</v>
      </c>
      <c r="R2598" s="37">
        <v>0.65400000000000003</v>
      </c>
    </row>
    <row r="2599" spans="1:18" hidden="1">
      <c r="A2599" t="s">
        <v>75</v>
      </c>
      <c r="B2599" t="s">
        <v>14</v>
      </c>
      <c r="C2599">
        <v>3.3366666669999998</v>
      </c>
      <c r="D2599">
        <v>4.8600000000000003</v>
      </c>
      <c r="E2599" s="29">
        <v>0.68655692729999995</v>
      </c>
      <c r="F2599">
        <v>6.54</v>
      </c>
      <c r="G2599">
        <v>1.59</v>
      </c>
      <c r="H2599">
        <v>8.1300000000000008</v>
      </c>
      <c r="I2599" s="29">
        <v>0.8044</v>
      </c>
      <c r="J2599" s="29">
        <v>0.41039999999999999</v>
      </c>
      <c r="K2599" s="9">
        <v>45357</v>
      </c>
      <c r="L2599">
        <f xml:space="preserve"> (交易處理資料__3[[#This Row],[售出工時]] * 60) / 5</f>
        <v>40.040000003999992</v>
      </c>
      <c r="M2599" t="str">
        <f>VLOOKUP(交易處理資料__3[[#This Row],[人員代號]],團隊分組!$B$1:$C$52,2,FALSE)</f>
        <v>鈑金維修組</v>
      </c>
      <c r="N2599" t="str">
        <f>IF(交易處理資料__3[[#This Row],[上班時間]]=0,"否","是")</f>
        <v>是</v>
      </c>
      <c r="O2599" t="s">
        <v>75</v>
      </c>
      <c r="P2599" s="38">
        <v>0.68655692729999995</v>
      </c>
      <c r="Q2599" s="38">
        <v>0.41039999999999999</v>
      </c>
      <c r="R2599" s="38">
        <v>0.8044</v>
      </c>
    </row>
    <row r="2600" spans="1:18" hidden="1">
      <c r="A2600" t="s">
        <v>75</v>
      </c>
      <c r="B2600" t="s">
        <v>15</v>
      </c>
      <c r="C2600">
        <v>2.9466666670000001</v>
      </c>
      <c r="D2600">
        <v>5.8</v>
      </c>
      <c r="E2600" s="29">
        <v>0.50804597699999998</v>
      </c>
      <c r="F2600">
        <v>7.44</v>
      </c>
      <c r="G2600">
        <v>0.66</v>
      </c>
      <c r="H2600">
        <v>8.1</v>
      </c>
      <c r="I2600" s="29">
        <v>0.91849999999999998</v>
      </c>
      <c r="J2600" s="29">
        <v>0.36380000000000001</v>
      </c>
      <c r="K2600" s="9">
        <v>45357</v>
      </c>
      <c r="L2600">
        <f xml:space="preserve"> (交易處理資料__3[[#This Row],[售出工時]] * 60) / 5</f>
        <v>35.360000004</v>
      </c>
      <c r="M2600" t="str">
        <f>VLOOKUP(交易處理資料__3[[#This Row],[人員代號]],團隊分組!$B$1:$C$52,2,FALSE)</f>
        <v>鈑金維修組</v>
      </c>
      <c r="N2600" t="str">
        <f>IF(交易處理資料__3[[#This Row],[上班時間]]=0,"否","是")</f>
        <v>是</v>
      </c>
      <c r="O2600" t="s">
        <v>75</v>
      </c>
      <c r="P2600" s="37">
        <v>0.50804597699999998</v>
      </c>
      <c r="Q2600" s="37">
        <v>0.36380000000000001</v>
      </c>
      <c r="R2600" s="37">
        <v>0.91849999999999998</v>
      </c>
    </row>
    <row r="2601" spans="1:18" hidden="1">
      <c r="A2601" t="s">
        <v>76</v>
      </c>
      <c r="B2601" t="s">
        <v>17</v>
      </c>
      <c r="C2601">
        <v>15.5</v>
      </c>
      <c r="D2601">
        <v>5.97</v>
      </c>
      <c r="E2601" s="29">
        <v>2.5963149080000001</v>
      </c>
      <c r="F2601">
        <v>8.08</v>
      </c>
      <c r="G2601">
        <v>0.11</v>
      </c>
      <c r="H2601">
        <v>8.19</v>
      </c>
      <c r="I2601" s="29">
        <v>0.98659999999999992</v>
      </c>
      <c r="J2601" s="29">
        <v>1.8925999999999998</v>
      </c>
      <c r="K2601" s="9">
        <v>45357</v>
      </c>
      <c r="L2601">
        <f xml:space="preserve"> (交易處理資料__3[[#This Row],[售出工時]] * 60) / 5</f>
        <v>186</v>
      </c>
      <c r="M2601" t="str">
        <f>VLOOKUP(交易處理資料__3[[#This Row],[人員代號]],團隊分組!$B$1:$C$52,2,FALSE)</f>
        <v>快速保養團隊A</v>
      </c>
      <c r="N2601" t="str">
        <f>IF(交易處理資料__3[[#This Row],[上班時間]]=0,"否","是")</f>
        <v>是</v>
      </c>
      <c r="O2601" t="s">
        <v>76</v>
      </c>
      <c r="P2601" s="38">
        <v>2.5963149080000001</v>
      </c>
      <c r="Q2601" s="38">
        <v>1.8925999999999998</v>
      </c>
      <c r="R2601" s="38">
        <v>0.98659999999999992</v>
      </c>
    </row>
    <row r="2602" spans="1:18" hidden="1">
      <c r="A2602" t="s">
        <v>76</v>
      </c>
      <c r="B2602" t="s">
        <v>19</v>
      </c>
      <c r="C2602">
        <v>5.24</v>
      </c>
      <c r="D2602">
        <v>4.74</v>
      </c>
      <c r="E2602" s="29">
        <v>1.1054852320000002</v>
      </c>
      <c r="F2602">
        <v>7.76</v>
      </c>
      <c r="G2602">
        <v>0.87</v>
      </c>
      <c r="H2602">
        <v>8.6300000000000008</v>
      </c>
      <c r="I2602" s="29">
        <v>0.8992</v>
      </c>
      <c r="J2602" s="29">
        <v>0.60719999999999996</v>
      </c>
      <c r="K2602" s="9">
        <v>45357</v>
      </c>
      <c r="L2602">
        <f xml:space="preserve"> (交易處理資料__3[[#This Row],[售出工時]] * 60) / 5</f>
        <v>62.88000000000001</v>
      </c>
      <c r="M2602" t="str">
        <f>VLOOKUP(交易處理資料__3[[#This Row],[人員代號]],團隊分組!$B$1:$C$52,2,FALSE)</f>
        <v>查修團隊A</v>
      </c>
      <c r="N2602" t="str">
        <f>IF(交易處理資料__3[[#This Row],[上班時間]]=0,"否","是")</f>
        <v>是</v>
      </c>
      <c r="O2602" t="s">
        <v>76</v>
      </c>
      <c r="P2602" s="37">
        <v>1.1054852320000002</v>
      </c>
      <c r="Q2602" s="37">
        <v>0.60719999999999996</v>
      </c>
      <c r="R2602" s="37">
        <v>0.8992</v>
      </c>
    </row>
    <row r="2603" spans="1:18" hidden="1">
      <c r="A2603" t="s">
        <v>76</v>
      </c>
      <c r="B2603" t="s">
        <v>20</v>
      </c>
      <c r="C2603">
        <v>3.16</v>
      </c>
      <c r="D2603">
        <v>3.72</v>
      </c>
      <c r="E2603" s="29">
        <v>0.84946236559999999</v>
      </c>
      <c r="F2603">
        <v>8.23</v>
      </c>
      <c r="G2603">
        <v>1.83</v>
      </c>
      <c r="H2603">
        <v>10.06</v>
      </c>
      <c r="I2603" s="29">
        <v>0.81810000000000005</v>
      </c>
      <c r="J2603" s="29">
        <v>0.31409999999999999</v>
      </c>
      <c r="K2603" s="9">
        <v>45357</v>
      </c>
      <c r="L2603">
        <f xml:space="preserve"> (交易處理資料__3[[#This Row],[售出工時]] * 60) / 5</f>
        <v>37.92</v>
      </c>
      <c r="M2603" t="str">
        <f>VLOOKUP(交易處理資料__3[[#This Row],[人員代號]],團隊分組!$B$1:$C$52,2,FALSE)</f>
        <v>查修團隊B</v>
      </c>
      <c r="N2603" t="str">
        <f>IF(交易處理資料__3[[#This Row],[上班時間]]=0,"否","是")</f>
        <v>是</v>
      </c>
      <c r="O2603" t="s">
        <v>76</v>
      </c>
      <c r="P2603" s="38">
        <v>0.84946236559999999</v>
      </c>
      <c r="Q2603" s="38">
        <v>0.31409999999999999</v>
      </c>
      <c r="R2603" s="38">
        <v>0.81810000000000005</v>
      </c>
    </row>
    <row r="2604" spans="1:18" hidden="1">
      <c r="A2604" t="s">
        <v>76</v>
      </c>
      <c r="B2604" t="s">
        <v>21</v>
      </c>
      <c r="C2604">
        <v>6</v>
      </c>
      <c r="D2604">
        <v>3.81</v>
      </c>
      <c r="E2604" s="29">
        <v>1.5748031499999999</v>
      </c>
      <c r="F2604">
        <v>6.87</v>
      </c>
      <c r="G2604">
        <v>1.32</v>
      </c>
      <c r="H2604">
        <v>8.19</v>
      </c>
      <c r="I2604" s="29">
        <v>0.83879999999999999</v>
      </c>
      <c r="J2604" s="29">
        <v>0.73260000000000003</v>
      </c>
      <c r="K2604" s="9">
        <v>45357</v>
      </c>
      <c r="L2604">
        <f xml:space="preserve"> (交易處理資料__3[[#This Row],[售出工時]] * 60) / 5</f>
        <v>72</v>
      </c>
      <c r="M2604" t="str">
        <f>VLOOKUP(交易處理資料__3[[#This Row],[人員代號]],團隊分組!$B$1:$C$52,2,FALSE)</f>
        <v>查修團隊B</v>
      </c>
      <c r="N2604" t="str">
        <f>IF(交易處理資料__3[[#This Row],[上班時間]]=0,"否","是")</f>
        <v>是</v>
      </c>
      <c r="O2604" t="s">
        <v>76</v>
      </c>
      <c r="P2604" s="37">
        <v>1.5748031499999999</v>
      </c>
      <c r="Q2604" s="37">
        <v>0.73260000000000003</v>
      </c>
      <c r="R2604" s="37">
        <v>0.83879999999999999</v>
      </c>
    </row>
    <row r="2605" spans="1:18" hidden="1">
      <c r="A2605" t="s">
        <v>76</v>
      </c>
      <c r="B2605" t="s">
        <v>22</v>
      </c>
      <c r="C2605">
        <v>13.08333333</v>
      </c>
      <c r="D2605">
        <v>7.83</v>
      </c>
      <c r="E2605" s="29">
        <v>1.6709237970000002</v>
      </c>
      <c r="F2605">
        <v>9.3000000000000007</v>
      </c>
      <c r="G2605">
        <v>0.88</v>
      </c>
      <c r="H2605">
        <v>10.18</v>
      </c>
      <c r="I2605" s="29">
        <v>0.91359999999999997</v>
      </c>
      <c r="J2605" s="29">
        <v>1.2852000000000001</v>
      </c>
      <c r="K2605" s="9">
        <v>45357</v>
      </c>
      <c r="L2605">
        <f xml:space="preserve"> (交易處理資料__3[[#This Row],[售出工時]] * 60) / 5</f>
        <v>156.99999996000003</v>
      </c>
      <c r="M2605" t="str">
        <f>VLOOKUP(交易處理資料__3[[#This Row],[人員代號]],團隊分組!$B$1:$C$52,2,FALSE)</f>
        <v>快速保養團隊A</v>
      </c>
      <c r="N2605" t="str">
        <f>IF(交易處理資料__3[[#This Row],[上班時間]]=0,"否","是")</f>
        <v>是</v>
      </c>
      <c r="O2605" t="s">
        <v>76</v>
      </c>
      <c r="P2605" s="38">
        <v>1.6709237970000002</v>
      </c>
      <c r="Q2605" s="38">
        <v>1.2852000000000001</v>
      </c>
      <c r="R2605" s="38">
        <v>0.91359999999999997</v>
      </c>
    </row>
    <row r="2606" spans="1:18" hidden="1">
      <c r="A2606" t="s">
        <v>76</v>
      </c>
      <c r="B2606" t="s">
        <v>23</v>
      </c>
      <c r="C2606">
        <v>1.7833333330000001</v>
      </c>
      <c r="D2606">
        <v>0.62</v>
      </c>
      <c r="E2606" s="29">
        <v>2.8763440859999996</v>
      </c>
      <c r="F2606">
        <v>7.98</v>
      </c>
      <c r="G2606">
        <v>1.5</v>
      </c>
      <c r="H2606">
        <v>9.48</v>
      </c>
      <c r="I2606" s="29">
        <v>0.8418000000000001</v>
      </c>
      <c r="J2606" s="29">
        <v>0.18809999999999999</v>
      </c>
      <c r="K2606" s="9">
        <v>45357</v>
      </c>
      <c r="L2606">
        <f xml:space="preserve"> (交易處理資料__3[[#This Row],[售出工時]] * 60) / 5</f>
        <v>21.399999995999998</v>
      </c>
      <c r="M2606" t="str">
        <f>VLOOKUP(交易處理資料__3[[#This Row],[人員代號]],團隊分組!$B$1:$C$52,2,FALSE)</f>
        <v>快速保養團隊B</v>
      </c>
      <c r="N2606" t="str">
        <f>IF(交易處理資料__3[[#This Row],[上班時間]]=0,"否","是")</f>
        <v>是</v>
      </c>
      <c r="O2606" t="s">
        <v>76</v>
      </c>
      <c r="P2606" s="37">
        <v>2.8763440859999996</v>
      </c>
      <c r="Q2606" s="37">
        <v>0.18809999999999999</v>
      </c>
      <c r="R2606" s="37">
        <v>0.8418000000000001</v>
      </c>
    </row>
    <row r="2607" spans="1:18" hidden="1">
      <c r="A2607" t="s">
        <v>76</v>
      </c>
      <c r="B2607" t="s">
        <v>24</v>
      </c>
      <c r="C2607">
        <v>15.82</v>
      </c>
      <c r="D2607">
        <v>7.83</v>
      </c>
      <c r="E2607" s="29">
        <v>2.020434227</v>
      </c>
      <c r="F2607">
        <v>9.76</v>
      </c>
      <c r="G2607">
        <v>1.35</v>
      </c>
      <c r="H2607">
        <v>11.11</v>
      </c>
      <c r="I2607" s="29">
        <v>0.87849999999999995</v>
      </c>
      <c r="J2607" s="29">
        <v>1.4238999999999999</v>
      </c>
      <c r="K2607" s="9">
        <v>45357</v>
      </c>
      <c r="L2607">
        <f xml:space="preserve"> (交易處理資料__3[[#This Row],[售出工時]] * 60) / 5</f>
        <v>189.84</v>
      </c>
      <c r="M2607" t="str">
        <f>VLOOKUP(交易處理資料__3[[#This Row],[人員代號]],團隊分組!$B$1:$C$52,2,FALSE)</f>
        <v>快速保養團隊A</v>
      </c>
      <c r="N2607" t="str">
        <f>IF(交易處理資料__3[[#This Row],[上班時間]]=0,"否","是")</f>
        <v>是</v>
      </c>
      <c r="O2607" t="s">
        <v>76</v>
      </c>
      <c r="P2607" s="38">
        <v>2.020434227</v>
      </c>
      <c r="Q2607" s="38">
        <v>1.4238999999999999</v>
      </c>
      <c r="R2607" s="38">
        <v>0.87849999999999995</v>
      </c>
    </row>
    <row r="2608" spans="1:18" hidden="1">
      <c r="A2608" t="s">
        <v>76</v>
      </c>
      <c r="B2608" t="s">
        <v>25</v>
      </c>
      <c r="C2608">
        <v>0.91666666699999999</v>
      </c>
      <c r="D2608">
        <v>1.28</v>
      </c>
      <c r="E2608" s="29">
        <v>0.71614583330000003</v>
      </c>
      <c r="F2608">
        <v>8.69</v>
      </c>
      <c r="G2608">
        <v>1.31</v>
      </c>
      <c r="H2608">
        <v>10</v>
      </c>
      <c r="I2608" s="29">
        <v>0.86900000000000011</v>
      </c>
      <c r="J2608" s="29">
        <v>9.1700000000000004E-2</v>
      </c>
      <c r="K2608" s="9">
        <v>45357</v>
      </c>
      <c r="L2608">
        <f xml:space="preserve"> (交易處理資料__3[[#This Row],[售出工時]] * 60) / 5</f>
        <v>11.000000004</v>
      </c>
      <c r="M2608" t="str">
        <f>VLOOKUP(交易處理資料__3[[#This Row],[人員代號]],團隊分組!$B$1:$C$52,2,FALSE)</f>
        <v>查修團隊A</v>
      </c>
      <c r="N2608" t="str">
        <f>IF(交易處理資料__3[[#This Row],[上班時間]]=0,"否","是")</f>
        <v>是</v>
      </c>
      <c r="O2608" t="s">
        <v>76</v>
      </c>
      <c r="P2608" s="37">
        <v>0.71614583330000003</v>
      </c>
      <c r="Q2608" s="37">
        <v>9.1700000000000004E-2</v>
      </c>
      <c r="R2608" s="37">
        <v>0.86900000000000011</v>
      </c>
    </row>
    <row r="2609" spans="1:18" hidden="1">
      <c r="A2609" t="s">
        <v>76</v>
      </c>
      <c r="B2609" t="s">
        <v>26</v>
      </c>
      <c r="C2609">
        <v>0.65</v>
      </c>
      <c r="D2609">
        <v>0.88</v>
      </c>
      <c r="E2609" s="29">
        <v>0.73863636359999996</v>
      </c>
      <c r="F2609">
        <v>4.91</v>
      </c>
      <c r="G2609">
        <v>5.07</v>
      </c>
      <c r="H2609">
        <v>9.98</v>
      </c>
      <c r="I2609" s="29">
        <v>0.49200000000000005</v>
      </c>
      <c r="J2609" s="29">
        <v>6.5099999999999991E-2</v>
      </c>
      <c r="K2609" s="9">
        <v>45357</v>
      </c>
      <c r="L2609">
        <f xml:space="preserve"> (交易處理資料__3[[#This Row],[售出工時]] * 60) / 5</f>
        <v>7.8</v>
      </c>
      <c r="M2609" t="str">
        <f>VLOOKUP(交易處理資料__3[[#This Row],[人員代號]],團隊分組!$B$1:$C$52,2,FALSE)</f>
        <v>查修團隊B</v>
      </c>
      <c r="N2609" t="str">
        <f>IF(交易處理資料__3[[#This Row],[上班時間]]=0,"否","是")</f>
        <v>是</v>
      </c>
      <c r="O2609" t="s">
        <v>76</v>
      </c>
      <c r="P2609" s="38">
        <v>0.73863636359999996</v>
      </c>
      <c r="Q2609" s="38">
        <v>6.5099999999999991E-2</v>
      </c>
      <c r="R2609" s="38">
        <v>0.49200000000000005</v>
      </c>
    </row>
    <row r="2610" spans="1:18" hidden="1">
      <c r="A2610" t="s">
        <v>76</v>
      </c>
      <c r="B2610" t="s">
        <v>29</v>
      </c>
      <c r="C2610">
        <v>1.5833333329999999</v>
      </c>
      <c r="D2610">
        <v>2.65</v>
      </c>
      <c r="E2610" s="29">
        <v>0.59748427669999993</v>
      </c>
      <c r="F2610">
        <v>8.4</v>
      </c>
      <c r="G2610">
        <v>1.1399999999999999</v>
      </c>
      <c r="H2610">
        <v>9.5399999999999991</v>
      </c>
      <c r="I2610" s="29">
        <v>0.88049999999999995</v>
      </c>
      <c r="J2610" s="29">
        <v>0.16600000000000001</v>
      </c>
      <c r="K2610" s="9">
        <v>45357</v>
      </c>
      <c r="L2610">
        <f xml:space="preserve"> (交易處理資料__3[[#This Row],[售出工時]] * 60) / 5</f>
        <v>18.999999996</v>
      </c>
      <c r="M2610" t="str">
        <f>VLOOKUP(交易處理資料__3[[#This Row],[人員代號]],團隊分組!$B$1:$C$52,2,FALSE)</f>
        <v>查修團隊B</v>
      </c>
      <c r="N2610" t="str">
        <f>IF(交易處理資料__3[[#This Row],[上班時間]]=0,"否","是")</f>
        <v>是</v>
      </c>
      <c r="O2610" t="s">
        <v>76</v>
      </c>
      <c r="P2610" s="37">
        <v>0.59748427669999993</v>
      </c>
      <c r="Q2610" s="37">
        <v>0.16600000000000001</v>
      </c>
      <c r="R2610" s="37">
        <v>0.88049999999999995</v>
      </c>
    </row>
    <row r="2611" spans="1:18" hidden="1">
      <c r="A2611" t="s">
        <v>76</v>
      </c>
      <c r="B2611" t="s">
        <v>32</v>
      </c>
      <c r="C2611">
        <v>1.5</v>
      </c>
      <c r="D2611">
        <v>0.34</v>
      </c>
      <c r="E2611" s="29">
        <v>4.4117647060000005</v>
      </c>
      <c r="F2611">
        <v>8.2799999999999994</v>
      </c>
      <c r="G2611">
        <v>1.18</v>
      </c>
      <c r="H2611">
        <v>9.4600000000000009</v>
      </c>
      <c r="I2611" s="29">
        <v>0.87529999999999997</v>
      </c>
      <c r="J2611" s="29">
        <v>0.15859999999999999</v>
      </c>
      <c r="K2611" s="9">
        <v>45357</v>
      </c>
      <c r="L2611">
        <f xml:space="preserve"> (交易處理資料__3[[#This Row],[售出工時]] * 60) / 5</f>
        <v>18</v>
      </c>
      <c r="M2611" t="str">
        <f>VLOOKUP(交易處理資料__3[[#This Row],[人員代號]],團隊分組!$B$1:$C$52,2,FALSE)</f>
        <v>快速保養團隊B</v>
      </c>
      <c r="N2611" t="str">
        <f>IF(交易處理資料__3[[#This Row],[上班時間]]=0,"否","是")</f>
        <v>是</v>
      </c>
      <c r="O2611" t="s">
        <v>76</v>
      </c>
      <c r="P2611" s="38">
        <v>4.4117647060000005</v>
      </c>
      <c r="Q2611" s="38">
        <v>0.15859999999999999</v>
      </c>
      <c r="R2611" s="38">
        <v>0.87529999999999997</v>
      </c>
    </row>
    <row r="2612" spans="1:18" hidden="1">
      <c r="A2612" t="s">
        <v>76</v>
      </c>
      <c r="B2612" t="s">
        <v>33</v>
      </c>
      <c r="C2612">
        <v>4.903333333</v>
      </c>
      <c r="D2612">
        <v>3.26</v>
      </c>
      <c r="E2612" s="29">
        <v>1.50408998</v>
      </c>
      <c r="F2612">
        <v>9.31</v>
      </c>
      <c r="G2612">
        <v>0.15</v>
      </c>
      <c r="H2612">
        <v>9.4600000000000009</v>
      </c>
      <c r="I2612" s="29">
        <v>0.98409999999999997</v>
      </c>
      <c r="J2612" s="29">
        <v>0.51829999999999998</v>
      </c>
      <c r="K2612" s="9">
        <v>45357</v>
      </c>
      <c r="L2612">
        <f xml:space="preserve"> (交易處理資料__3[[#This Row],[售出工時]] * 60) / 5</f>
        <v>58.839999995999996</v>
      </c>
      <c r="M2612" t="str">
        <f>VLOOKUP(交易處理資料__3[[#This Row],[人員代號]],團隊分組!$B$1:$C$52,2,FALSE)</f>
        <v>快速保養團隊B</v>
      </c>
      <c r="N2612" t="str">
        <f>IF(交易處理資料__3[[#This Row],[上班時間]]=0,"否","是")</f>
        <v>是</v>
      </c>
      <c r="O2612" t="s">
        <v>76</v>
      </c>
      <c r="P2612" s="37">
        <v>1.50408998</v>
      </c>
      <c r="Q2612" s="37">
        <v>0.51829999999999998</v>
      </c>
      <c r="R2612" s="37">
        <v>0.98409999999999997</v>
      </c>
    </row>
    <row r="2613" spans="1:18" hidden="1">
      <c r="A2613" t="s">
        <v>76</v>
      </c>
      <c r="B2613" t="s">
        <v>35</v>
      </c>
      <c r="C2613">
        <v>1.52</v>
      </c>
      <c r="D2613">
        <v>2.56</v>
      </c>
      <c r="E2613" s="29">
        <v>0.59375</v>
      </c>
      <c r="F2613">
        <v>6.41</v>
      </c>
      <c r="G2613">
        <v>3.58</v>
      </c>
      <c r="H2613">
        <v>9.99</v>
      </c>
      <c r="I2613" s="29">
        <v>0.64159999999999995</v>
      </c>
      <c r="J2613" s="29">
        <v>0.1522</v>
      </c>
      <c r="K2613" s="9">
        <v>45357</v>
      </c>
      <c r="L2613">
        <f xml:space="preserve"> (交易處理資料__3[[#This Row],[售出工時]] * 60) / 5</f>
        <v>18.240000000000002</v>
      </c>
      <c r="M2613" t="str">
        <f>VLOOKUP(交易處理資料__3[[#This Row],[人員代號]],團隊分組!$B$1:$C$52,2,FALSE)</f>
        <v>查修團隊B</v>
      </c>
      <c r="N2613" t="str">
        <f>IF(交易處理資料__3[[#This Row],[上班時間]]=0,"否","是")</f>
        <v>是</v>
      </c>
      <c r="O2613" t="s">
        <v>76</v>
      </c>
      <c r="P2613" s="38">
        <v>0.59375</v>
      </c>
      <c r="Q2613" s="38">
        <v>0.1522</v>
      </c>
      <c r="R2613" s="38">
        <v>0.64159999999999995</v>
      </c>
    </row>
    <row r="2614" spans="1:18" hidden="1">
      <c r="A2614" t="s">
        <v>76</v>
      </c>
      <c r="B2614" t="s">
        <v>36</v>
      </c>
      <c r="C2614">
        <v>4.2</v>
      </c>
      <c r="D2614">
        <v>6.97</v>
      </c>
      <c r="E2614" s="29">
        <v>0.60258249640000006</v>
      </c>
      <c r="F2614">
        <v>9.52</v>
      </c>
      <c r="G2614">
        <v>0.5</v>
      </c>
      <c r="H2614">
        <v>10.02</v>
      </c>
      <c r="I2614" s="29">
        <v>0.95010000000000006</v>
      </c>
      <c r="J2614" s="29">
        <v>0.41920000000000002</v>
      </c>
      <c r="K2614" s="9">
        <v>45357</v>
      </c>
      <c r="L2614">
        <f xml:space="preserve"> (交易處理資料__3[[#This Row],[售出工時]] * 60) / 5</f>
        <v>50.4</v>
      </c>
      <c r="M2614" t="str">
        <f>VLOOKUP(交易處理資料__3[[#This Row],[人員代號]],團隊分組!$B$1:$C$52,2,FALSE)</f>
        <v>查修團隊B</v>
      </c>
      <c r="N2614" t="str">
        <f>IF(交易處理資料__3[[#This Row],[上班時間]]=0,"否","是")</f>
        <v>是</v>
      </c>
      <c r="O2614" t="s">
        <v>76</v>
      </c>
      <c r="P2614" s="37">
        <v>0.60258249640000006</v>
      </c>
      <c r="Q2614" s="37">
        <v>0.41920000000000002</v>
      </c>
      <c r="R2614" s="37">
        <v>0.95010000000000006</v>
      </c>
    </row>
    <row r="2615" spans="1:18" hidden="1">
      <c r="A2615" t="s">
        <v>76</v>
      </c>
      <c r="B2615" t="s">
        <v>37</v>
      </c>
      <c r="C2615">
        <v>5</v>
      </c>
      <c r="D2615">
        <v>8.1300000000000008</v>
      </c>
      <c r="E2615" s="29">
        <v>0.61500615009999993</v>
      </c>
      <c r="F2615">
        <v>7.99</v>
      </c>
      <c r="G2615">
        <v>1.69</v>
      </c>
      <c r="H2615">
        <v>9.68</v>
      </c>
      <c r="I2615" s="29">
        <v>0.82540000000000002</v>
      </c>
      <c r="J2615" s="29">
        <v>0.51649999999999996</v>
      </c>
      <c r="K2615" s="9">
        <v>45357</v>
      </c>
      <c r="L2615">
        <f xml:space="preserve"> (交易處理資料__3[[#This Row],[售出工時]] * 60) / 5</f>
        <v>60</v>
      </c>
      <c r="M2615" t="str">
        <f>VLOOKUP(交易處理資料__3[[#This Row],[人員代號]],團隊分組!$B$1:$C$52,2,FALSE)</f>
        <v>查修團隊A</v>
      </c>
      <c r="N2615" t="str">
        <f>IF(交易處理資料__3[[#This Row],[上班時間]]=0,"否","是")</f>
        <v>是</v>
      </c>
      <c r="O2615" t="s">
        <v>76</v>
      </c>
      <c r="P2615" s="38">
        <v>0.61500615009999993</v>
      </c>
      <c r="Q2615" s="38">
        <v>0.51649999999999996</v>
      </c>
      <c r="R2615" s="38">
        <v>0.82540000000000002</v>
      </c>
    </row>
    <row r="2616" spans="1:18" hidden="1">
      <c r="A2616" t="s">
        <v>76</v>
      </c>
      <c r="B2616" t="s">
        <v>39</v>
      </c>
      <c r="C2616">
        <v>7.4166666670000003</v>
      </c>
      <c r="D2616">
        <v>8.33</v>
      </c>
      <c r="E2616" s="29">
        <v>0.89035614249999995</v>
      </c>
      <c r="F2616">
        <v>7.33</v>
      </c>
      <c r="G2616">
        <v>2.66</v>
      </c>
      <c r="H2616">
        <v>9.99</v>
      </c>
      <c r="I2616" s="29">
        <v>0.73370000000000002</v>
      </c>
      <c r="J2616" s="29">
        <v>0.74239999999999995</v>
      </c>
      <c r="K2616" s="9">
        <v>45357</v>
      </c>
      <c r="L2616">
        <f xml:space="preserve"> (交易處理資料__3[[#This Row],[售出工時]] * 60) / 5</f>
        <v>89.000000004</v>
      </c>
      <c r="M2616" t="str">
        <f>VLOOKUP(交易處理資料__3[[#This Row],[人員代號]],團隊分組!$B$1:$C$52,2,FALSE)</f>
        <v>查修團隊A</v>
      </c>
      <c r="N2616" t="str">
        <f>IF(交易處理資料__3[[#This Row],[上班時間]]=0,"否","是")</f>
        <v>是</v>
      </c>
      <c r="O2616" t="s">
        <v>76</v>
      </c>
      <c r="P2616" s="37">
        <v>0.89035614249999995</v>
      </c>
      <c r="Q2616" s="37">
        <v>0.74239999999999995</v>
      </c>
      <c r="R2616" s="37">
        <v>0.73370000000000002</v>
      </c>
    </row>
    <row r="2617" spans="1:18" hidden="1">
      <c r="A2617" t="s">
        <v>76</v>
      </c>
      <c r="B2617" t="s">
        <v>41</v>
      </c>
      <c r="C2617">
        <v>12.25</v>
      </c>
      <c r="D2617">
        <v>8.52</v>
      </c>
      <c r="E2617" s="29">
        <v>1.4377934269999999</v>
      </c>
      <c r="F2617">
        <v>10</v>
      </c>
      <c r="G2617">
        <v>1.01</v>
      </c>
      <c r="H2617">
        <v>11.01</v>
      </c>
      <c r="I2617" s="29">
        <v>0.9083</v>
      </c>
      <c r="J2617" s="29">
        <v>1.1126</v>
      </c>
      <c r="K2617" s="9">
        <v>45357</v>
      </c>
      <c r="L2617">
        <f xml:space="preserve"> (交易處理資料__3[[#This Row],[售出工時]] * 60) / 5</f>
        <v>147</v>
      </c>
      <c r="M2617" t="str">
        <f>VLOOKUP(交易處理資料__3[[#This Row],[人員代號]],團隊分組!$B$1:$C$52,2,FALSE)</f>
        <v>快速保養團隊A</v>
      </c>
      <c r="N2617" t="str">
        <f>IF(交易處理資料__3[[#This Row],[上班時間]]=0,"否","是")</f>
        <v>是</v>
      </c>
      <c r="O2617" t="s">
        <v>76</v>
      </c>
      <c r="P2617" s="38">
        <v>1.4377934269999999</v>
      </c>
      <c r="Q2617" s="38">
        <v>1.1126</v>
      </c>
      <c r="R2617" s="38">
        <v>0.9083</v>
      </c>
    </row>
    <row r="2618" spans="1:18" hidden="1">
      <c r="A2618" t="s">
        <v>76</v>
      </c>
      <c r="B2618" t="s">
        <v>42</v>
      </c>
      <c r="C2618">
        <v>4.0766666669999996</v>
      </c>
      <c r="D2618">
        <v>3.27</v>
      </c>
      <c r="E2618" s="29">
        <v>1.2466870539999999</v>
      </c>
      <c r="F2618">
        <v>6.11</v>
      </c>
      <c r="G2618">
        <v>1.96</v>
      </c>
      <c r="H2618">
        <v>8.07</v>
      </c>
      <c r="I2618" s="29">
        <v>0.75709999999999988</v>
      </c>
      <c r="J2618" s="29">
        <v>0.50519999999999998</v>
      </c>
      <c r="K2618" s="9">
        <v>45357</v>
      </c>
      <c r="L2618">
        <f xml:space="preserve"> (交易處理資料__3[[#This Row],[售出工時]] * 60) / 5</f>
        <v>48.920000003999995</v>
      </c>
      <c r="M2618" t="str">
        <f>VLOOKUP(交易處理資料__3[[#This Row],[人員代號]],團隊分組!$B$1:$C$52,2,FALSE)</f>
        <v>快速保養團隊A</v>
      </c>
      <c r="N2618" t="str">
        <f>IF(交易處理資料__3[[#This Row],[上班時間]]=0,"否","是")</f>
        <v>是</v>
      </c>
      <c r="O2618" t="s">
        <v>76</v>
      </c>
      <c r="P2618" s="37">
        <v>1.2466870539999999</v>
      </c>
      <c r="Q2618" s="37">
        <v>0.50519999999999998</v>
      </c>
      <c r="R2618" s="37">
        <v>0.75709999999999988</v>
      </c>
    </row>
    <row r="2619" spans="1:18" hidden="1">
      <c r="A2619" t="s">
        <v>76</v>
      </c>
      <c r="B2619" t="s">
        <v>43</v>
      </c>
      <c r="C2619">
        <v>3.2</v>
      </c>
      <c r="D2619">
        <v>6.38</v>
      </c>
      <c r="E2619" s="29">
        <v>0.50156739809999995</v>
      </c>
      <c r="F2619">
        <v>9.56</v>
      </c>
      <c r="G2619">
        <v>0.47</v>
      </c>
      <c r="H2619">
        <v>10.029999999999999</v>
      </c>
      <c r="I2619" s="29">
        <v>0.95310000000000006</v>
      </c>
      <c r="J2619" s="29">
        <v>0.31900000000000001</v>
      </c>
      <c r="K2619" s="9">
        <v>45357</v>
      </c>
      <c r="L2619">
        <f xml:space="preserve"> (交易處理資料__3[[#This Row],[售出工時]] * 60) / 5</f>
        <v>38.4</v>
      </c>
      <c r="M2619" t="str">
        <f>VLOOKUP(交易處理資料__3[[#This Row],[人員代號]],團隊分組!$B$1:$C$52,2,FALSE)</f>
        <v>查修團隊B</v>
      </c>
      <c r="N2619" t="str">
        <f>IF(交易處理資料__3[[#This Row],[上班時間]]=0,"否","是")</f>
        <v>是</v>
      </c>
      <c r="O2619" t="s">
        <v>76</v>
      </c>
      <c r="P2619" s="38">
        <v>0.50156739809999995</v>
      </c>
      <c r="Q2619" s="38">
        <v>0.31900000000000001</v>
      </c>
      <c r="R2619" s="38">
        <v>0.95310000000000006</v>
      </c>
    </row>
    <row r="2620" spans="1:18" hidden="1">
      <c r="A2620" t="s">
        <v>76</v>
      </c>
      <c r="B2620" t="s">
        <v>44</v>
      </c>
      <c r="C2620">
        <v>5.74</v>
      </c>
      <c r="D2620">
        <v>3.63</v>
      </c>
      <c r="E2620" s="29">
        <v>1.581267218</v>
      </c>
      <c r="F2620">
        <v>8.44</v>
      </c>
      <c r="G2620">
        <v>0.49</v>
      </c>
      <c r="H2620">
        <v>8.93</v>
      </c>
      <c r="I2620" s="29">
        <v>0.94510000000000005</v>
      </c>
      <c r="J2620" s="29">
        <v>0.64280000000000004</v>
      </c>
      <c r="K2620" s="9">
        <v>45357</v>
      </c>
      <c r="L2620">
        <f xml:space="preserve"> (交易處理資料__3[[#This Row],[售出工時]] * 60) / 5</f>
        <v>68.88000000000001</v>
      </c>
      <c r="M2620" t="str">
        <f>VLOOKUP(交易處理資料__3[[#This Row],[人員代號]],團隊分組!$B$1:$C$52,2,FALSE)</f>
        <v>快速保養團隊B</v>
      </c>
      <c r="N2620" t="str">
        <f>IF(交易處理資料__3[[#This Row],[上班時間]]=0,"否","是")</f>
        <v>是</v>
      </c>
      <c r="O2620" t="s">
        <v>76</v>
      </c>
      <c r="P2620" s="37">
        <v>1.581267218</v>
      </c>
      <c r="Q2620" s="37">
        <v>0.64280000000000004</v>
      </c>
      <c r="R2620" s="37">
        <v>0.94510000000000005</v>
      </c>
    </row>
    <row r="2621" spans="1:18" hidden="1">
      <c r="A2621" t="s">
        <v>76</v>
      </c>
      <c r="B2621" t="s">
        <v>45</v>
      </c>
      <c r="C2621">
        <v>11</v>
      </c>
      <c r="D2621">
        <v>5.38</v>
      </c>
      <c r="E2621" s="29">
        <v>2.0446096650000003</v>
      </c>
      <c r="F2621">
        <v>6.93</v>
      </c>
      <c r="G2621">
        <v>1.26</v>
      </c>
      <c r="H2621">
        <v>8.19</v>
      </c>
      <c r="I2621" s="29">
        <v>0.84620000000000006</v>
      </c>
      <c r="J2621" s="29">
        <v>1.3431</v>
      </c>
      <c r="K2621" s="9">
        <v>45357</v>
      </c>
      <c r="L2621">
        <f xml:space="preserve"> (交易處理資料__3[[#This Row],[售出工時]] * 60) / 5</f>
        <v>132</v>
      </c>
      <c r="M2621" t="str">
        <f>VLOOKUP(交易處理資料__3[[#This Row],[人員代號]],團隊分組!$B$1:$C$52,2,FALSE)</f>
        <v>快速保養團隊A</v>
      </c>
      <c r="N2621" t="str">
        <f>IF(交易處理資料__3[[#This Row],[上班時間]]=0,"否","是")</f>
        <v>是</v>
      </c>
      <c r="O2621" t="s">
        <v>76</v>
      </c>
      <c r="P2621" s="38">
        <v>2.0446096650000003</v>
      </c>
      <c r="Q2621" s="38">
        <v>1.3431</v>
      </c>
      <c r="R2621" s="38">
        <v>0.84620000000000006</v>
      </c>
    </row>
    <row r="2622" spans="1:18" hidden="1">
      <c r="A2622" t="s">
        <v>76</v>
      </c>
      <c r="B2622" t="s">
        <v>46</v>
      </c>
      <c r="C2622">
        <v>3.1666666669999999</v>
      </c>
      <c r="D2622">
        <v>5.87</v>
      </c>
      <c r="E2622" s="29">
        <v>0.53946621240000003</v>
      </c>
      <c r="F2622">
        <v>7.9</v>
      </c>
      <c r="G2622">
        <v>1.63</v>
      </c>
      <c r="H2622">
        <v>9.5299999999999994</v>
      </c>
      <c r="I2622" s="29">
        <v>0.82900000000000007</v>
      </c>
      <c r="J2622" s="29">
        <v>0.33229999999999998</v>
      </c>
      <c r="K2622" s="9">
        <v>45357</v>
      </c>
      <c r="L2622">
        <f xml:space="preserve"> (交易處理資料__3[[#This Row],[售出工時]] * 60) / 5</f>
        <v>38.000000004</v>
      </c>
      <c r="M2622" t="str">
        <f>VLOOKUP(交易處理資料__3[[#This Row],[人員代號]],團隊分組!$B$1:$C$52,2,FALSE)</f>
        <v>查修團隊B</v>
      </c>
      <c r="N2622" t="str">
        <f>IF(交易處理資料__3[[#This Row],[上班時間]]=0,"否","是")</f>
        <v>是</v>
      </c>
      <c r="O2622" t="s">
        <v>76</v>
      </c>
      <c r="P2622" s="37">
        <v>0.53946621240000003</v>
      </c>
      <c r="Q2622" s="37">
        <v>0.33229999999999998</v>
      </c>
      <c r="R2622" s="37">
        <v>0.82900000000000007</v>
      </c>
    </row>
    <row r="2623" spans="1:18" hidden="1">
      <c r="A2623" t="s">
        <v>76</v>
      </c>
      <c r="B2623" t="s">
        <v>47</v>
      </c>
      <c r="C2623">
        <v>8.1666666669999994</v>
      </c>
      <c r="D2623">
        <v>7.4</v>
      </c>
      <c r="E2623" s="29">
        <v>1.1036036040000001</v>
      </c>
      <c r="F2623">
        <v>7.28</v>
      </c>
      <c r="G2623">
        <v>0.75</v>
      </c>
      <c r="H2623">
        <v>8.0299999999999994</v>
      </c>
      <c r="I2623" s="29">
        <v>0.90659999999999996</v>
      </c>
      <c r="J2623" s="29">
        <v>1.0170000000000001</v>
      </c>
      <c r="K2623" s="9">
        <v>45357</v>
      </c>
      <c r="L2623">
        <f xml:space="preserve"> (交易處理資料__3[[#This Row],[售出工時]] * 60) / 5</f>
        <v>98.000000003999986</v>
      </c>
      <c r="M2623" t="str">
        <f>VLOOKUP(交易處理資料__3[[#This Row],[人員代號]],團隊分組!$B$1:$C$52,2,FALSE)</f>
        <v>查修團隊B</v>
      </c>
      <c r="N2623" t="str">
        <f>IF(交易處理資料__3[[#This Row],[上班時間]]=0,"否","是")</f>
        <v>是</v>
      </c>
      <c r="O2623" t="s">
        <v>76</v>
      </c>
      <c r="P2623" s="38">
        <v>1.1036036040000001</v>
      </c>
      <c r="Q2623" s="38">
        <v>1.0170000000000001</v>
      </c>
      <c r="R2623" s="38">
        <v>0.90659999999999996</v>
      </c>
    </row>
    <row r="2624" spans="1:18" hidden="1">
      <c r="A2624" t="s">
        <v>76</v>
      </c>
      <c r="B2624" t="s">
        <v>48</v>
      </c>
      <c r="C2624">
        <v>1</v>
      </c>
      <c r="D2624">
        <v>0.77</v>
      </c>
      <c r="E2624" s="29">
        <v>1.298701299</v>
      </c>
      <c r="F2624">
        <v>8.1</v>
      </c>
      <c r="G2624">
        <v>1.9</v>
      </c>
      <c r="H2624">
        <v>10</v>
      </c>
      <c r="I2624" s="29">
        <v>0.81</v>
      </c>
      <c r="J2624" s="29">
        <v>0.1</v>
      </c>
      <c r="K2624" s="9">
        <v>45357</v>
      </c>
      <c r="L2624">
        <f xml:space="preserve"> (交易處理資料__3[[#This Row],[售出工時]] * 60) / 5</f>
        <v>12</v>
      </c>
      <c r="M2624" t="str">
        <f>VLOOKUP(交易處理資料__3[[#This Row],[人員代號]],團隊分組!$B$1:$C$52,2,FALSE)</f>
        <v>查修團隊A</v>
      </c>
      <c r="N2624" t="str">
        <f>IF(交易處理資料__3[[#This Row],[上班時間]]=0,"否","是")</f>
        <v>是</v>
      </c>
      <c r="O2624" t="s">
        <v>76</v>
      </c>
      <c r="P2624" s="37">
        <v>1.298701299</v>
      </c>
      <c r="Q2624" s="37">
        <v>0.1</v>
      </c>
      <c r="R2624" s="37">
        <v>0.81</v>
      </c>
    </row>
    <row r="2625" spans="1:18" hidden="1">
      <c r="A2625" t="s">
        <v>76</v>
      </c>
      <c r="B2625" t="s">
        <v>49</v>
      </c>
      <c r="C2625">
        <v>4.91</v>
      </c>
      <c r="D2625">
        <v>4.37</v>
      </c>
      <c r="E2625" s="29">
        <v>1.123569794</v>
      </c>
      <c r="F2625">
        <v>8.74</v>
      </c>
      <c r="G2625">
        <v>0.83</v>
      </c>
      <c r="H2625">
        <v>9.57</v>
      </c>
      <c r="I2625" s="29">
        <v>0.9133</v>
      </c>
      <c r="J2625" s="29">
        <v>0.5131</v>
      </c>
      <c r="K2625" s="9">
        <v>45357</v>
      </c>
      <c r="L2625">
        <f xml:space="preserve"> (交易處理資料__3[[#This Row],[售出工時]] * 60) / 5</f>
        <v>58.92</v>
      </c>
      <c r="M2625" t="str">
        <f>VLOOKUP(交易處理資料__3[[#This Row],[人員代號]],團隊分組!$B$1:$C$52,2,FALSE)</f>
        <v>查修團隊A</v>
      </c>
      <c r="N2625" t="str">
        <f>IF(交易處理資料__3[[#This Row],[上班時間]]=0,"否","是")</f>
        <v>是</v>
      </c>
      <c r="O2625" t="s">
        <v>76</v>
      </c>
      <c r="P2625" s="38">
        <v>1.123569794</v>
      </c>
      <c r="Q2625" s="38">
        <v>0.5131</v>
      </c>
      <c r="R2625" s="38">
        <v>0.9133</v>
      </c>
    </row>
    <row r="2626" spans="1:18" hidden="1">
      <c r="A2626" t="s">
        <v>76</v>
      </c>
      <c r="B2626" t="s">
        <v>50</v>
      </c>
      <c r="C2626">
        <v>10.28</v>
      </c>
      <c r="D2626">
        <v>5.13</v>
      </c>
      <c r="E2626" s="29">
        <v>2.0038986350000001</v>
      </c>
      <c r="F2626">
        <v>7.49</v>
      </c>
      <c r="G2626">
        <v>0.51</v>
      </c>
      <c r="H2626">
        <v>8</v>
      </c>
      <c r="I2626" s="29">
        <v>0.93629999999999991</v>
      </c>
      <c r="J2626" s="29">
        <v>1.2849999999999999</v>
      </c>
      <c r="K2626" s="9">
        <v>45357</v>
      </c>
      <c r="L2626">
        <f xml:space="preserve"> (交易處理資料__3[[#This Row],[售出工時]] * 60) / 5</f>
        <v>123.35999999999999</v>
      </c>
      <c r="M2626" t="str">
        <f>VLOOKUP(交易處理資料__3[[#This Row],[人員代號]],團隊分組!$B$1:$C$52,2,FALSE)</f>
        <v>快速保養團隊B</v>
      </c>
      <c r="N2626" t="str">
        <f>IF(交易處理資料__3[[#This Row],[上班時間]]=0,"否","是")</f>
        <v>是</v>
      </c>
      <c r="O2626" t="s">
        <v>76</v>
      </c>
      <c r="P2626" s="37">
        <v>2.0038986350000001</v>
      </c>
      <c r="Q2626" s="37">
        <v>1.2849999999999999</v>
      </c>
      <c r="R2626" s="37">
        <v>0.93629999999999991</v>
      </c>
    </row>
    <row r="2627" spans="1:18" hidden="1">
      <c r="A2627" t="s">
        <v>76</v>
      </c>
      <c r="B2627" t="s">
        <v>51</v>
      </c>
      <c r="C2627">
        <v>0</v>
      </c>
      <c r="D2627">
        <v>0</v>
      </c>
      <c r="E2627" s="29">
        <v>0</v>
      </c>
      <c r="F2627">
        <v>0</v>
      </c>
      <c r="G2627">
        <v>0</v>
      </c>
      <c r="H2627">
        <v>0</v>
      </c>
      <c r="I2627" s="29">
        <v>0</v>
      </c>
      <c r="J2627" s="29">
        <v>0</v>
      </c>
      <c r="K2627" s="9">
        <v>45357</v>
      </c>
      <c r="L2627">
        <f xml:space="preserve"> (交易處理資料__3[[#This Row],[售出工時]] * 60) / 5</f>
        <v>0</v>
      </c>
      <c r="M2627" t="str">
        <f>VLOOKUP(交易處理資料__3[[#This Row],[人員代號]],團隊分組!$B$1:$C$52,2,FALSE)</f>
        <v>無效數據</v>
      </c>
      <c r="N2627" t="str">
        <f>IF(交易處理資料__3[[#This Row],[上班時間]]=0,"否","是")</f>
        <v>否</v>
      </c>
      <c r="O2627" t="s">
        <v>76</v>
      </c>
      <c r="P2627" s="38">
        <v>0</v>
      </c>
      <c r="Q2627" s="38">
        <v>0</v>
      </c>
      <c r="R2627" s="38">
        <v>0</v>
      </c>
    </row>
    <row r="2628" spans="1:18" hidden="1">
      <c r="A2628" t="s">
        <v>76</v>
      </c>
      <c r="B2628" t="s">
        <v>52</v>
      </c>
      <c r="C2628">
        <v>2</v>
      </c>
      <c r="D2628">
        <v>1.1200000000000001</v>
      </c>
      <c r="E2628" s="29">
        <v>1.7857142859999999</v>
      </c>
      <c r="F2628">
        <v>6.92</v>
      </c>
      <c r="G2628">
        <v>1.1599999999999999</v>
      </c>
      <c r="H2628">
        <v>8.08</v>
      </c>
      <c r="I2628" s="29">
        <v>0.85640000000000005</v>
      </c>
      <c r="J2628" s="29">
        <v>0.2475</v>
      </c>
      <c r="K2628" s="9">
        <v>45357</v>
      </c>
      <c r="L2628">
        <f xml:space="preserve"> (交易處理資料__3[[#This Row],[售出工時]] * 60) / 5</f>
        <v>24</v>
      </c>
      <c r="M2628" t="str">
        <f>VLOOKUP(交易處理資料__3[[#This Row],[人員代號]],團隊分組!$B$1:$C$52,2,FALSE)</f>
        <v>查修團隊B</v>
      </c>
      <c r="N2628" t="str">
        <f>IF(交易處理資料__3[[#This Row],[上班時間]]=0,"否","是")</f>
        <v>是</v>
      </c>
      <c r="O2628" t="s">
        <v>76</v>
      </c>
      <c r="P2628" s="37">
        <v>1.7857142859999999</v>
      </c>
      <c r="Q2628" s="37">
        <v>0.2475</v>
      </c>
      <c r="R2628" s="37">
        <v>0.85640000000000005</v>
      </c>
    </row>
    <row r="2629" spans="1:18" hidden="1">
      <c r="A2629" t="s">
        <v>76</v>
      </c>
      <c r="B2629" t="s">
        <v>53</v>
      </c>
      <c r="C2629">
        <v>0.33333333300000001</v>
      </c>
      <c r="D2629">
        <v>1.28</v>
      </c>
      <c r="E2629" s="29">
        <v>0.26041666670000002</v>
      </c>
      <c r="F2629">
        <v>9.48</v>
      </c>
      <c r="G2629">
        <v>0.5</v>
      </c>
      <c r="H2629">
        <v>9.98</v>
      </c>
      <c r="I2629" s="29">
        <v>0.94989999999999997</v>
      </c>
      <c r="J2629" s="29">
        <v>3.3399999999999999E-2</v>
      </c>
      <c r="K2629" s="9">
        <v>45357</v>
      </c>
      <c r="L2629">
        <f xml:space="preserve"> (交易處理資料__3[[#This Row],[售出工時]] * 60) / 5</f>
        <v>3.9999999960000006</v>
      </c>
      <c r="M2629" t="str">
        <f>VLOOKUP(交易處理資料__3[[#This Row],[人員代號]],團隊分組!$B$1:$C$52,2,FALSE)</f>
        <v>查修團隊A</v>
      </c>
      <c r="N2629" t="str">
        <f>IF(交易處理資料__3[[#This Row],[上班時間]]=0,"否","是")</f>
        <v>是</v>
      </c>
      <c r="O2629" t="s">
        <v>76</v>
      </c>
      <c r="P2629" s="38">
        <v>0.26041666670000002</v>
      </c>
      <c r="Q2629" s="38">
        <v>3.3399999999999999E-2</v>
      </c>
      <c r="R2629" s="38">
        <v>0.94989999999999997</v>
      </c>
    </row>
    <row r="2630" spans="1:18" hidden="1">
      <c r="A2630" s="10" t="s">
        <v>74</v>
      </c>
      <c r="B2630" t="s">
        <v>1</v>
      </c>
      <c r="C2630">
        <v>0</v>
      </c>
      <c r="D2630">
        <v>0</v>
      </c>
      <c r="E2630" s="29">
        <v>0</v>
      </c>
      <c r="F2630">
        <v>0</v>
      </c>
      <c r="G2630">
        <v>0</v>
      </c>
      <c r="H2630">
        <v>0</v>
      </c>
      <c r="I2630" s="29">
        <v>0</v>
      </c>
      <c r="J2630" s="29">
        <v>0</v>
      </c>
      <c r="K2630" s="9">
        <v>45358</v>
      </c>
      <c r="L2630">
        <f xml:space="preserve"> (交易處理資料__3[[#This Row],[售出工時]] * 60) / 5</f>
        <v>0</v>
      </c>
      <c r="M2630" t="str">
        <f>VLOOKUP(交易處理資料__3[[#This Row],[人員代號]],團隊分組!$B$1:$C$52,2,FALSE)</f>
        <v>噴漆維修組</v>
      </c>
      <c r="N2630" t="str">
        <f>IF(交易處理資料__3[[#This Row],[上班時間]]=0,"否","是")</f>
        <v>否</v>
      </c>
      <c r="O2630" s="10" t="s">
        <v>74</v>
      </c>
      <c r="P2630" s="37">
        <v>0</v>
      </c>
      <c r="Q2630" s="37">
        <v>0</v>
      </c>
      <c r="R2630" s="37">
        <v>0</v>
      </c>
    </row>
    <row r="2631" spans="1:18" hidden="1">
      <c r="A2631" s="10" t="s">
        <v>74</v>
      </c>
      <c r="B2631" t="s">
        <v>2</v>
      </c>
      <c r="C2631">
        <v>0</v>
      </c>
      <c r="D2631">
        <v>0</v>
      </c>
      <c r="E2631" s="29">
        <v>0</v>
      </c>
      <c r="F2631">
        <v>10.93</v>
      </c>
      <c r="G2631">
        <v>0.17</v>
      </c>
      <c r="H2631">
        <v>11.1</v>
      </c>
      <c r="I2631" s="29">
        <v>0.98470000000000002</v>
      </c>
      <c r="J2631" s="29">
        <v>0</v>
      </c>
      <c r="K2631" s="9">
        <v>45358</v>
      </c>
      <c r="L2631">
        <f xml:space="preserve"> (交易處理資料__3[[#This Row],[售出工時]] * 60) / 5</f>
        <v>0</v>
      </c>
      <c r="M2631" t="str">
        <f>VLOOKUP(交易處理資料__3[[#This Row],[人員代號]],團隊分組!$B$1:$C$52,2,FALSE)</f>
        <v>噴漆維修組</v>
      </c>
      <c r="N2631" t="str">
        <f>IF(交易處理資料__3[[#This Row],[上班時間]]=0,"否","是")</f>
        <v>是</v>
      </c>
      <c r="O2631" s="10" t="s">
        <v>74</v>
      </c>
      <c r="P2631" s="38">
        <v>0</v>
      </c>
      <c r="Q2631" s="38">
        <v>0</v>
      </c>
      <c r="R2631" s="38">
        <v>0.98470000000000002</v>
      </c>
    </row>
    <row r="2632" spans="1:18" hidden="1">
      <c r="A2632" s="10" t="s">
        <v>74</v>
      </c>
      <c r="B2632" t="s">
        <v>3</v>
      </c>
      <c r="C2632">
        <v>0</v>
      </c>
      <c r="D2632">
        <v>0</v>
      </c>
      <c r="E2632" s="29">
        <v>0</v>
      </c>
      <c r="F2632">
        <v>10.92</v>
      </c>
      <c r="G2632">
        <v>0.16</v>
      </c>
      <c r="H2632">
        <v>11.08</v>
      </c>
      <c r="I2632" s="29">
        <v>0.98560000000000003</v>
      </c>
      <c r="J2632" s="29">
        <v>0</v>
      </c>
      <c r="K2632" s="9">
        <v>45358</v>
      </c>
      <c r="L2632">
        <f xml:space="preserve"> (交易處理資料__3[[#This Row],[售出工時]] * 60) / 5</f>
        <v>0</v>
      </c>
      <c r="M2632" t="str">
        <f>VLOOKUP(交易處理資料__3[[#This Row],[人員代號]],團隊分組!$B$1:$C$52,2,FALSE)</f>
        <v>噴漆維修組</v>
      </c>
      <c r="N2632" t="str">
        <f>IF(交易處理資料__3[[#This Row],[上班時間]]=0,"否","是")</f>
        <v>是</v>
      </c>
      <c r="O2632" s="10" t="s">
        <v>74</v>
      </c>
      <c r="P2632" s="37">
        <v>0</v>
      </c>
      <c r="Q2632" s="37">
        <v>0</v>
      </c>
      <c r="R2632" s="37">
        <v>0.98560000000000003</v>
      </c>
    </row>
    <row r="2633" spans="1:18" hidden="1">
      <c r="A2633" s="10" t="s">
        <v>74</v>
      </c>
      <c r="B2633" t="s">
        <v>4</v>
      </c>
      <c r="C2633">
        <v>0.32</v>
      </c>
      <c r="D2633">
        <v>3.55</v>
      </c>
      <c r="E2633" s="29">
        <v>9.0140845070000003E-2</v>
      </c>
      <c r="F2633">
        <v>9.5</v>
      </c>
      <c r="G2633">
        <v>0.53</v>
      </c>
      <c r="H2633">
        <v>10.029999999999999</v>
      </c>
      <c r="I2633" s="29">
        <v>0.94720000000000004</v>
      </c>
      <c r="J2633" s="29">
        <v>3.1899999999999998E-2</v>
      </c>
      <c r="K2633" s="9">
        <v>45358</v>
      </c>
      <c r="L2633">
        <f xml:space="preserve"> (交易處理資料__3[[#This Row],[售出工時]] * 60) / 5</f>
        <v>3.84</v>
      </c>
      <c r="M2633" t="str">
        <f>VLOOKUP(交易處理資料__3[[#This Row],[人員代號]],團隊分組!$B$1:$C$52,2,FALSE)</f>
        <v>噴漆維修組</v>
      </c>
      <c r="N2633" t="str">
        <f>IF(交易處理資料__3[[#This Row],[上班時間]]=0,"否","是")</f>
        <v>是</v>
      </c>
      <c r="O2633" s="10" t="s">
        <v>74</v>
      </c>
      <c r="P2633" s="38">
        <v>9.0140845070000003E-2</v>
      </c>
      <c r="Q2633" s="38">
        <v>3.1899999999999998E-2</v>
      </c>
      <c r="R2633" s="38">
        <v>0.94720000000000004</v>
      </c>
    </row>
    <row r="2634" spans="1:18" hidden="1">
      <c r="A2634" s="10" t="s">
        <v>74</v>
      </c>
      <c r="B2634" t="s">
        <v>6</v>
      </c>
      <c r="C2634">
        <v>0</v>
      </c>
      <c r="D2634">
        <v>0</v>
      </c>
      <c r="E2634" s="29">
        <v>0</v>
      </c>
      <c r="F2634">
        <v>10.92</v>
      </c>
      <c r="G2634">
        <v>0.17</v>
      </c>
      <c r="H2634">
        <v>11.09</v>
      </c>
      <c r="I2634" s="29">
        <v>0.98470000000000002</v>
      </c>
      <c r="J2634" s="29">
        <v>0</v>
      </c>
      <c r="K2634" s="9">
        <v>45358</v>
      </c>
      <c r="L2634">
        <f xml:space="preserve"> (交易處理資料__3[[#This Row],[售出工時]] * 60) / 5</f>
        <v>0</v>
      </c>
      <c r="M2634" t="str">
        <f>VLOOKUP(交易處理資料__3[[#This Row],[人員代號]],團隊分組!$B$1:$C$52,2,FALSE)</f>
        <v>噴漆維修組</v>
      </c>
      <c r="N2634" t="str">
        <f>IF(交易處理資料__3[[#This Row],[上班時間]]=0,"否","是")</f>
        <v>是</v>
      </c>
      <c r="O2634" s="10" t="s">
        <v>74</v>
      </c>
      <c r="P2634" s="37">
        <v>0</v>
      </c>
      <c r="Q2634" s="37">
        <v>0</v>
      </c>
      <c r="R2634" s="37">
        <v>0.98470000000000002</v>
      </c>
    </row>
    <row r="2635" spans="1:18">
      <c r="A2635" s="10" t="s">
        <v>74</v>
      </c>
      <c r="B2635" t="s">
        <v>7</v>
      </c>
      <c r="C2635">
        <v>5.67</v>
      </c>
      <c r="D2635">
        <v>9.2799999999999994</v>
      </c>
      <c r="E2635" s="29">
        <v>0.61099137930000003</v>
      </c>
      <c r="F2635">
        <v>10.95</v>
      </c>
      <c r="G2635">
        <v>0.14000000000000001</v>
      </c>
      <c r="H2635">
        <v>11.09</v>
      </c>
      <c r="I2635" s="29">
        <v>0.98739999999999994</v>
      </c>
      <c r="J2635" s="29">
        <v>0.51129999999999998</v>
      </c>
      <c r="K2635" s="9">
        <v>45358</v>
      </c>
      <c r="L2635">
        <f xml:space="preserve"> (交易處理資料__3[[#This Row],[售出工時]] * 60) / 5</f>
        <v>68.039999999999992</v>
      </c>
      <c r="M2635" t="str">
        <f>VLOOKUP(交易處理資料__3[[#This Row],[人員代號]],團隊分組!$B$1:$C$52,2,FALSE)</f>
        <v>噴漆維修組</v>
      </c>
      <c r="N2635" t="str">
        <f>IF(交易處理資料__3[[#This Row],[上班時間]]=0,"否","是")</f>
        <v>是</v>
      </c>
      <c r="O2635" s="10" t="s">
        <v>74</v>
      </c>
      <c r="P2635" s="38">
        <v>0.61099137930000003</v>
      </c>
      <c r="Q2635" s="38">
        <v>0.51129999999999998</v>
      </c>
      <c r="R2635" s="38">
        <v>0.98739999999999994</v>
      </c>
    </row>
    <row r="2636" spans="1:18" hidden="1">
      <c r="A2636" s="10" t="s">
        <v>74</v>
      </c>
      <c r="B2636" t="s">
        <v>8</v>
      </c>
      <c r="C2636">
        <v>0.18</v>
      </c>
      <c r="D2636">
        <v>2.0499999999999998</v>
      </c>
      <c r="E2636" s="29">
        <v>8.7804878049999993E-2</v>
      </c>
      <c r="F2636">
        <v>7.65</v>
      </c>
      <c r="G2636">
        <v>0.4</v>
      </c>
      <c r="H2636">
        <v>8.0500000000000007</v>
      </c>
      <c r="I2636" s="29">
        <v>0.95030000000000003</v>
      </c>
      <c r="J2636" s="29">
        <v>2.2400000000000003E-2</v>
      </c>
      <c r="K2636" s="9">
        <v>45358</v>
      </c>
      <c r="L2636">
        <f xml:space="preserve"> (交易處理資料__3[[#This Row],[售出工時]] * 60) / 5</f>
        <v>2.1599999999999997</v>
      </c>
      <c r="M2636" t="str">
        <f>VLOOKUP(交易處理資料__3[[#This Row],[人員代號]],團隊分組!$B$1:$C$52,2,FALSE)</f>
        <v>噴漆維修組</v>
      </c>
      <c r="N2636" t="str">
        <f>IF(交易處理資料__3[[#This Row],[上班時間]]=0,"否","是")</f>
        <v>是</v>
      </c>
      <c r="O2636" s="10" t="s">
        <v>74</v>
      </c>
      <c r="P2636" s="37">
        <v>8.7804878049999993E-2</v>
      </c>
      <c r="Q2636" s="37">
        <v>2.2400000000000003E-2</v>
      </c>
      <c r="R2636" s="37">
        <v>0.95030000000000003</v>
      </c>
    </row>
    <row r="2637" spans="1:18" hidden="1">
      <c r="A2637" s="10" t="s">
        <v>74</v>
      </c>
      <c r="B2637" t="s">
        <v>9</v>
      </c>
      <c r="C2637">
        <v>0</v>
      </c>
      <c r="D2637">
        <v>0</v>
      </c>
      <c r="E2637" s="29">
        <v>0</v>
      </c>
      <c r="F2637">
        <v>9.5399999999999991</v>
      </c>
      <c r="G2637">
        <v>0.54</v>
      </c>
      <c r="H2637">
        <v>10.08</v>
      </c>
      <c r="I2637" s="29">
        <v>0.94640000000000002</v>
      </c>
      <c r="J2637" s="29">
        <v>0</v>
      </c>
      <c r="K2637" s="9">
        <v>45358</v>
      </c>
      <c r="L2637">
        <f xml:space="preserve"> (交易處理資料__3[[#This Row],[售出工時]] * 60) / 5</f>
        <v>0</v>
      </c>
      <c r="M2637" t="str">
        <f>VLOOKUP(交易處理資料__3[[#This Row],[人員代號]],團隊分組!$B$1:$C$52,2,FALSE)</f>
        <v>噴漆維修組</v>
      </c>
      <c r="N2637" t="str">
        <f>IF(交易處理資料__3[[#This Row],[上班時間]]=0,"否","是")</f>
        <v>是</v>
      </c>
      <c r="O2637" s="10" t="s">
        <v>74</v>
      </c>
      <c r="P2637" s="38">
        <v>0</v>
      </c>
      <c r="Q2637" s="38">
        <v>0</v>
      </c>
      <c r="R2637" s="38">
        <v>0.94640000000000002</v>
      </c>
    </row>
    <row r="2638" spans="1:18" hidden="1">
      <c r="A2638" t="s">
        <v>75</v>
      </c>
      <c r="B2638" t="s">
        <v>11</v>
      </c>
      <c r="C2638">
        <v>0</v>
      </c>
      <c r="D2638">
        <v>0</v>
      </c>
      <c r="E2638" s="29">
        <v>0</v>
      </c>
      <c r="F2638">
        <v>0</v>
      </c>
      <c r="G2638">
        <v>0</v>
      </c>
      <c r="H2638">
        <v>0</v>
      </c>
      <c r="I2638" s="29">
        <v>0</v>
      </c>
      <c r="J2638" s="29">
        <v>0</v>
      </c>
      <c r="K2638" s="9">
        <v>45358</v>
      </c>
      <c r="L2638">
        <f xml:space="preserve"> (交易處理資料__3[[#This Row],[售出工時]] * 60) / 5</f>
        <v>0</v>
      </c>
      <c r="M2638" t="str">
        <f>VLOOKUP(交易處理資料__3[[#This Row],[人員代號]],團隊分組!$B$1:$C$52,2,FALSE)</f>
        <v>鈑金維修組</v>
      </c>
      <c r="N2638" t="str">
        <f>IF(交易處理資料__3[[#This Row],[上班時間]]=0,"否","是")</f>
        <v>否</v>
      </c>
      <c r="O2638" t="s">
        <v>75</v>
      </c>
      <c r="P2638" s="37">
        <v>0</v>
      </c>
      <c r="Q2638" s="37">
        <v>0</v>
      </c>
      <c r="R2638" s="37">
        <v>0</v>
      </c>
    </row>
    <row r="2639" spans="1:18" hidden="1">
      <c r="A2639" t="s">
        <v>75</v>
      </c>
      <c r="B2639" t="s">
        <v>13</v>
      </c>
      <c r="C2639">
        <v>0</v>
      </c>
      <c r="D2639">
        <v>0</v>
      </c>
      <c r="E2639" s="29">
        <v>0</v>
      </c>
      <c r="F2639">
        <v>7.09</v>
      </c>
      <c r="G2639">
        <v>1.0900000000000001</v>
      </c>
      <c r="H2639">
        <v>8.18</v>
      </c>
      <c r="I2639" s="29">
        <v>0.86670000000000003</v>
      </c>
      <c r="J2639" s="29">
        <v>0</v>
      </c>
      <c r="K2639" s="9">
        <v>45358</v>
      </c>
      <c r="L2639">
        <f xml:space="preserve"> (交易處理資料__3[[#This Row],[售出工時]] * 60) / 5</f>
        <v>0</v>
      </c>
      <c r="M2639" t="str">
        <f>VLOOKUP(交易處理資料__3[[#This Row],[人員代號]],團隊分組!$B$1:$C$52,2,FALSE)</f>
        <v>鈑金維修組</v>
      </c>
      <c r="N2639" t="str">
        <f>IF(交易處理資料__3[[#This Row],[上班時間]]=0,"否","是")</f>
        <v>是</v>
      </c>
      <c r="O2639" t="s">
        <v>75</v>
      </c>
      <c r="P2639" s="38">
        <v>0</v>
      </c>
      <c r="Q2639" s="38">
        <v>0</v>
      </c>
      <c r="R2639" s="38">
        <v>0.86670000000000003</v>
      </c>
    </row>
    <row r="2640" spans="1:18" hidden="1">
      <c r="A2640" t="s">
        <v>75</v>
      </c>
      <c r="B2640" t="s">
        <v>14</v>
      </c>
      <c r="C2640">
        <v>1.0833333329999999</v>
      </c>
      <c r="D2640">
        <v>1.63</v>
      </c>
      <c r="E2640" s="29">
        <v>0.66462167689999996</v>
      </c>
      <c r="F2640">
        <v>6.4</v>
      </c>
      <c r="G2640">
        <v>1.77</v>
      </c>
      <c r="H2640">
        <v>8.17</v>
      </c>
      <c r="I2640" s="29">
        <v>0.78339999999999999</v>
      </c>
      <c r="J2640" s="29">
        <v>0.1326</v>
      </c>
      <c r="K2640" s="9">
        <v>45358</v>
      </c>
      <c r="L2640">
        <f xml:space="preserve"> (交易處理資料__3[[#This Row],[售出工時]] * 60) / 5</f>
        <v>12.999999996</v>
      </c>
      <c r="M2640" t="str">
        <f>VLOOKUP(交易處理資料__3[[#This Row],[人員代號]],團隊分組!$B$1:$C$52,2,FALSE)</f>
        <v>鈑金維修組</v>
      </c>
      <c r="N2640" t="str">
        <f>IF(交易處理資料__3[[#This Row],[上班時間]]=0,"否","是")</f>
        <v>是</v>
      </c>
      <c r="O2640" t="s">
        <v>75</v>
      </c>
      <c r="P2640" s="37">
        <v>0.66462167689999996</v>
      </c>
      <c r="Q2640" s="37">
        <v>0.1326</v>
      </c>
      <c r="R2640" s="37">
        <v>0.78339999999999999</v>
      </c>
    </row>
    <row r="2641" spans="1:18" hidden="1">
      <c r="A2641" t="s">
        <v>75</v>
      </c>
      <c r="B2641" t="s">
        <v>15</v>
      </c>
      <c r="C2641">
        <v>0</v>
      </c>
      <c r="D2641">
        <v>0</v>
      </c>
      <c r="E2641" s="29">
        <v>0</v>
      </c>
      <c r="F2641">
        <v>4.6399999999999997</v>
      </c>
      <c r="G2641">
        <v>3.53</v>
      </c>
      <c r="H2641">
        <v>8.17</v>
      </c>
      <c r="I2641" s="29">
        <v>0.56789999999999996</v>
      </c>
      <c r="J2641" s="29">
        <v>0</v>
      </c>
      <c r="K2641" s="9">
        <v>45358</v>
      </c>
      <c r="L2641">
        <f xml:space="preserve"> (交易處理資料__3[[#This Row],[售出工時]] * 60) / 5</f>
        <v>0</v>
      </c>
      <c r="M2641" t="str">
        <f>VLOOKUP(交易處理資料__3[[#This Row],[人員代號]],團隊分組!$B$1:$C$52,2,FALSE)</f>
        <v>鈑金維修組</v>
      </c>
      <c r="N2641" t="str">
        <f>IF(交易處理資料__3[[#This Row],[上班時間]]=0,"否","是")</f>
        <v>是</v>
      </c>
      <c r="O2641" t="s">
        <v>75</v>
      </c>
      <c r="P2641" s="38">
        <v>0</v>
      </c>
      <c r="Q2641" s="38">
        <v>0</v>
      </c>
      <c r="R2641" s="38">
        <v>0.56789999999999996</v>
      </c>
    </row>
    <row r="2642" spans="1:18" hidden="1">
      <c r="A2642" t="s">
        <v>76</v>
      </c>
      <c r="B2642" t="s">
        <v>20</v>
      </c>
      <c r="C2642">
        <v>0</v>
      </c>
      <c r="D2642">
        <v>0</v>
      </c>
      <c r="E2642" s="29">
        <v>0</v>
      </c>
      <c r="F2642">
        <v>1.1200000000000001</v>
      </c>
      <c r="G2642">
        <v>8.83</v>
      </c>
      <c r="H2642">
        <v>9.9499999999999993</v>
      </c>
      <c r="I2642" s="29">
        <v>0.11259999999999999</v>
      </c>
      <c r="J2642" s="29">
        <v>0</v>
      </c>
      <c r="K2642" s="9">
        <v>45358</v>
      </c>
      <c r="L2642">
        <f xml:space="preserve"> (交易處理資料__3[[#This Row],[售出工時]] * 60) / 5</f>
        <v>0</v>
      </c>
      <c r="M2642" t="str">
        <f>VLOOKUP(交易處理資料__3[[#This Row],[人員代號]],團隊分組!$B$1:$C$52,2,FALSE)</f>
        <v>查修團隊B</v>
      </c>
      <c r="N2642" t="str">
        <f>IF(交易處理資料__3[[#This Row],[上班時間]]=0,"否","是")</f>
        <v>是</v>
      </c>
      <c r="O2642" t="s">
        <v>76</v>
      </c>
      <c r="P2642" s="37">
        <v>0</v>
      </c>
      <c r="Q2642" s="37">
        <v>0</v>
      </c>
      <c r="R2642" s="37">
        <v>0.11259999999999999</v>
      </c>
    </row>
    <row r="2643" spans="1:18" hidden="1">
      <c r="A2643" t="s">
        <v>76</v>
      </c>
      <c r="B2643" t="s">
        <v>26</v>
      </c>
      <c r="C2643">
        <v>1</v>
      </c>
      <c r="D2643">
        <v>1.1000000000000001</v>
      </c>
      <c r="E2643" s="29">
        <v>0.90909090910000001</v>
      </c>
      <c r="F2643">
        <v>4.66</v>
      </c>
      <c r="G2643">
        <v>5.32</v>
      </c>
      <c r="H2643">
        <v>9.98</v>
      </c>
      <c r="I2643" s="29">
        <v>0.46689999999999998</v>
      </c>
      <c r="J2643" s="29">
        <v>0.1002</v>
      </c>
      <c r="K2643" s="9">
        <v>45358</v>
      </c>
      <c r="L2643">
        <f xml:space="preserve"> (交易處理資料__3[[#This Row],[售出工時]] * 60) / 5</f>
        <v>12</v>
      </c>
      <c r="M2643" t="str">
        <f>VLOOKUP(交易處理資料__3[[#This Row],[人員代號]],團隊分組!$B$1:$C$52,2,FALSE)</f>
        <v>查修團隊B</v>
      </c>
      <c r="N2643" t="str">
        <f>IF(交易處理資料__3[[#This Row],[上班時間]]=0,"否","是")</f>
        <v>是</v>
      </c>
      <c r="O2643" t="s">
        <v>76</v>
      </c>
      <c r="P2643" s="38">
        <v>0.90909090910000001</v>
      </c>
      <c r="Q2643" s="38">
        <v>0.1002</v>
      </c>
      <c r="R2643" s="38">
        <v>0.46689999999999998</v>
      </c>
    </row>
    <row r="2644" spans="1:18" hidden="1">
      <c r="A2644" t="s">
        <v>76</v>
      </c>
      <c r="B2644" t="s">
        <v>27</v>
      </c>
      <c r="C2644">
        <v>4.33</v>
      </c>
      <c r="D2644">
        <v>4.87</v>
      </c>
      <c r="E2644" s="29">
        <v>0.88911704310000006</v>
      </c>
      <c r="F2644">
        <v>9.84</v>
      </c>
      <c r="G2644">
        <v>0.25</v>
      </c>
      <c r="H2644">
        <v>10.09</v>
      </c>
      <c r="I2644" s="29">
        <v>0.97519999999999996</v>
      </c>
      <c r="J2644" s="29">
        <v>0.42909999999999998</v>
      </c>
      <c r="K2644" s="9">
        <v>45358</v>
      </c>
      <c r="L2644">
        <f xml:space="preserve"> (交易處理資料__3[[#This Row],[售出工時]] * 60) / 5</f>
        <v>51.96</v>
      </c>
      <c r="M2644" t="str">
        <f>VLOOKUP(交易處理資料__3[[#This Row],[人員代號]],團隊分組!$B$1:$C$52,2,FALSE)</f>
        <v>快速保養團隊B</v>
      </c>
      <c r="N2644" t="str">
        <f>IF(交易處理資料__3[[#This Row],[上班時間]]=0,"否","是")</f>
        <v>是</v>
      </c>
      <c r="O2644" t="s">
        <v>76</v>
      </c>
      <c r="P2644" s="37">
        <v>0.88911704310000006</v>
      </c>
      <c r="Q2644" s="37">
        <v>0.42909999999999998</v>
      </c>
      <c r="R2644" s="37">
        <v>0.97519999999999996</v>
      </c>
    </row>
    <row r="2645" spans="1:18" hidden="1">
      <c r="A2645" t="s">
        <v>76</v>
      </c>
      <c r="B2645" t="s">
        <v>28</v>
      </c>
      <c r="C2645">
        <v>12.91666667</v>
      </c>
      <c r="D2645">
        <v>9.4</v>
      </c>
      <c r="E2645" s="29">
        <v>1.3741134750000001</v>
      </c>
      <c r="F2645">
        <v>8.82</v>
      </c>
      <c r="G2645">
        <v>0.68</v>
      </c>
      <c r="H2645">
        <v>9.5</v>
      </c>
      <c r="I2645" s="29">
        <v>0.9284</v>
      </c>
      <c r="J2645" s="29">
        <v>1.3596000000000001</v>
      </c>
      <c r="K2645" s="9">
        <v>45358</v>
      </c>
      <c r="L2645">
        <f xml:space="preserve"> (交易處理資料__3[[#This Row],[售出工時]] * 60) / 5</f>
        <v>155.00000003999997</v>
      </c>
      <c r="M2645" t="str">
        <f>VLOOKUP(交易處理資料__3[[#This Row],[人員代號]],團隊分組!$B$1:$C$52,2,FALSE)</f>
        <v>快速保養團隊A</v>
      </c>
      <c r="N2645" t="str">
        <f>IF(交易處理資料__3[[#This Row],[上班時間]]=0,"否","是")</f>
        <v>是</v>
      </c>
      <c r="O2645" t="s">
        <v>76</v>
      </c>
      <c r="P2645" s="38">
        <v>1.3741134750000001</v>
      </c>
      <c r="Q2645" s="38">
        <v>1.3596000000000001</v>
      </c>
      <c r="R2645" s="38">
        <v>0.9284</v>
      </c>
    </row>
    <row r="2646" spans="1:18" hidden="1">
      <c r="A2646" t="s">
        <v>76</v>
      </c>
      <c r="B2646" t="s">
        <v>30</v>
      </c>
      <c r="C2646">
        <v>4.51</v>
      </c>
      <c r="D2646">
        <v>3.95</v>
      </c>
      <c r="E2646" s="29">
        <v>1.1417721520000002</v>
      </c>
      <c r="F2646">
        <v>9.82</v>
      </c>
      <c r="G2646">
        <v>0.28000000000000003</v>
      </c>
      <c r="H2646">
        <v>10.1</v>
      </c>
      <c r="I2646" s="29">
        <v>0.97230000000000005</v>
      </c>
      <c r="J2646" s="29">
        <v>0.44650000000000001</v>
      </c>
      <c r="K2646" s="9">
        <v>45358</v>
      </c>
      <c r="L2646">
        <f xml:space="preserve"> (交易處理資料__3[[#This Row],[售出工時]] * 60) / 5</f>
        <v>54.11999999999999</v>
      </c>
      <c r="M2646" t="str">
        <f>VLOOKUP(交易處理資料__3[[#This Row],[人員代號]],團隊分組!$B$1:$C$52,2,FALSE)</f>
        <v>快速保養團隊B</v>
      </c>
      <c r="N2646" t="str">
        <f>IF(交易處理資料__3[[#This Row],[上班時間]]=0,"否","是")</f>
        <v>是</v>
      </c>
      <c r="O2646" t="s">
        <v>76</v>
      </c>
      <c r="P2646" s="37">
        <v>1.1417721520000002</v>
      </c>
      <c r="Q2646" s="37">
        <v>0.44650000000000001</v>
      </c>
      <c r="R2646" s="37">
        <v>0.97230000000000005</v>
      </c>
    </row>
    <row r="2647" spans="1:18" hidden="1">
      <c r="A2647" t="s">
        <v>76</v>
      </c>
      <c r="B2647" t="s">
        <v>33</v>
      </c>
      <c r="C2647">
        <v>9.3333333330000006</v>
      </c>
      <c r="D2647">
        <v>6.56</v>
      </c>
      <c r="E2647" s="29">
        <v>1.4227642280000001</v>
      </c>
      <c r="F2647">
        <v>6.66</v>
      </c>
      <c r="G2647">
        <v>2.91</v>
      </c>
      <c r="H2647">
        <v>9.57</v>
      </c>
      <c r="I2647" s="29">
        <v>0.69590000000000007</v>
      </c>
      <c r="J2647" s="29">
        <v>0.97530000000000006</v>
      </c>
      <c r="K2647" s="9">
        <v>45358</v>
      </c>
      <c r="L2647">
        <f xml:space="preserve"> (交易處理資料__3[[#This Row],[售出工時]] * 60) / 5</f>
        <v>111.999999996</v>
      </c>
      <c r="M2647" t="str">
        <f>VLOOKUP(交易處理資料__3[[#This Row],[人員代號]],團隊分組!$B$1:$C$52,2,FALSE)</f>
        <v>快速保養團隊B</v>
      </c>
      <c r="N2647" t="str">
        <f>IF(交易處理資料__3[[#This Row],[上班時間]]=0,"否","是")</f>
        <v>是</v>
      </c>
      <c r="O2647" t="s">
        <v>76</v>
      </c>
      <c r="P2647" s="38">
        <v>1.4227642280000001</v>
      </c>
      <c r="Q2647" s="38">
        <v>0.97530000000000006</v>
      </c>
      <c r="R2647" s="38">
        <v>0.69590000000000007</v>
      </c>
    </row>
    <row r="2648" spans="1:18" hidden="1">
      <c r="A2648" t="s">
        <v>76</v>
      </c>
      <c r="B2648" t="s">
        <v>34</v>
      </c>
      <c r="C2648">
        <v>7</v>
      </c>
      <c r="D2648">
        <v>4.13</v>
      </c>
      <c r="E2648" s="29">
        <v>1.6949152540000001</v>
      </c>
      <c r="F2648">
        <v>8.18</v>
      </c>
      <c r="G2648">
        <v>0.32</v>
      </c>
      <c r="H2648">
        <v>8.5</v>
      </c>
      <c r="I2648" s="29">
        <v>0.96239999999999992</v>
      </c>
      <c r="J2648" s="29">
        <v>0.8234999999999999</v>
      </c>
      <c r="K2648" s="9">
        <v>45358</v>
      </c>
      <c r="L2648">
        <f xml:space="preserve"> (交易處理資料__3[[#This Row],[售出工時]] * 60) / 5</f>
        <v>84</v>
      </c>
      <c r="M2648" t="str">
        <f>VLOOKUP(交易處理資料__3[[#This Row],[人員代號]],團隊分組!$B$1:$C$52,2,FALSE)</f>
        <v>快速保養團隊A</v>
      </c>
      <c r="N2648" t="str">
        <f>IF(交易處理資料__3[[#This Row],[上班時間]]=0,"否","是")</f>
        <v>是</v>
      </c>
      <c r="O2648" t="s">
        <v>76</v>
      </c>
      <c r="P2648" s="37">
        <v>1.6949152540000001</v>
      </c>
      <c r="Q2648" s="37">
        <v>0.8234999999999999</v>
      </c>
      <c r="R2648" s="37">
        <v>0.96239999999999992</v>
      </c>
    </row>
    <row r="2649" spans="1:18" hidden="1">
      <c r="A2649" t="s">
        <v>76</v>
      </c>
      <c r="B2649" t="s">
        <v>35</v>
      </c>
      <c r="C2649">
        <v>3.6666666669999999</v>
      </c>
      <c r="D2649">
        <v>7.42</v>
      </c>
      <c r="E2649" s="29">
        <v>0.49415992809999998</v>
      </c>
      <c r="F2649">
        <v>5.95</v>
      </c>
      <c r="G2649">
        <v>4.01</v>
      </c>
      <c r="H2649">
        <v>9.9600000000000009</v>
      </c>
      <c r="I2649" s="29">
        <v>0.59740000000000004</v>
      </c>
      <c r="J2649" s="29">
        <v>0.36810000000000004</v>
      </c>
      <c r="K2649" s="9">
        <v>45358</v>
      </c>
      <c r="L2649">
        <f xml:space="preserve"> (交易處理資料__3[[#This Row],[售出工時]] * 60) / 5</f>
        <v>44.000000004</v>
      </c>
      <c r="M2649" t="str">
        <f>VLOOKUP(交易處理資料__3[[#This Row],[人員代號]],團隊分組!$B$1:$C$52,2,FALSE)</f>
        <v>查修團隊B</v>
      </c>
      <c r="N2649" t="str">
        <f>IF(交易處理資料__3[[#This Row],[上班時間]]=0,"否","是")</f>
        <v>是</v>
      </c>
      <c r="O2649" t="s">
        <v>76</v>
      </c>
      <c r="P2649" s="38">
        <v>0.49415992809999998</v>
      </c>
      <c r="Q2649" s="38">
        <v>0.36810000000000004</v>
      </c>
      <c r="R2649" s="38">
        <v>0.59740000000000004</v>
      </c>
    </row>
    <row r="2650" spans="1:18" hidden="1">
      <c r="A2650" t="s">
        <v>76</v>
      </c>
      <c r="B2650" t="s">
        <v>36</v>
      </c>
      <c r="C2650">
        <v>0.75</v>
      </c>
      <c r="D2650">
        <v>0.01</v>
      </c>
      <c r="E2650" s="29">
        <v>75</v>
      </c>
      <c r="F2650">
        <v>7.32</v>
      </c>
      <c r="G2650">
        <v>0.73</v>
      </c>
      <c r="H2650">
        <v>8.0500000000000007</v>
      </c>
      <c r="I2650" s="29">
        <v>0.90930000000000011</v>
      </c>
      <c r="J2650" s="29">
        <v>9.3200000000000005E-2</v>
      </c>
      <c r="K2650" s="9">
        <v>45358</v>
      </c>
      <c r="L2650">
        <f xml:space="preserve"> (交易處理資料__3[[#This Row],[售出工時]] * 60) / 5</f>
        <v>9</v>
      </c>
      <c r="M2650" t="str">
        <f>VLOOKUP(交易處理資料__3[[#This Row],[人員代號]],團隊分組!$B$1:$C$52,2,FALSE)</f>
        <v>查修團隊B</v>
      </c>
      <c r="N2650" t="str">
        <f>IF(交易處理資料__3[[#This Row],[上班時間]]=0,"否","是")</f>
        <v>是</v>
      </c>
      <c r="O2650" t="s">
        <v>76</v>
      </c>
      <c r="P2650" s="37">
        <v>75</v>
      </c>
      <c r="Q2650" s="37">
        <v>9.3200000000000005E-2</v>
      </c>
      <c r="R2650" s="37">
        <v>0.90930000000000011</v>
      </c>
    </row>
    <row r="2651" spans="1:18" hidden="1">
      <c r="A2651" t="s">
        <v>76</v>
      </c>
      <c r="B2651" t="s">
        <v>40</v>
      </c>
      <c r="C2651">
        <v>7.8333333329999997</v>
      </c>
      <c r="D2651">
        <v>7.1</v>
      </c>
      <c r="E2651" s="29">
        <v>1.1032863849999999</v>
      </c>
      <c r="F2651">
        <v>5.98</v>
      </c>
      <c r="G2651">
        <v>2.15</v>
      </c>
      <c r="H2651">
        <v>8.1300000000000008</v>
      </c>
      <c r="I2651" s="29">
        <v>0.73549999999999993</v>
      </c>
      <c r="J2651" s="29">
        <v>0.96349999999999991</v>
      </c>
      <c r="K2651" s="9">
        <v>45358</v>
      </c>
      <c r="L2651">
        <f xml:space="preserve"> (交易處理資料__3[[#This Row],[售出工時]] * 60) / 5</f>
        <v>93.999999996</v>
      </c>
      <c r="M2651" t="str">
        <f>VLOOKUP(交易處理資料__3[[#This Row],[人員代號]],團隊分組!$B$1:$C$52,2,FALSE)</f>
        <v>查修團隊A</v>
      </c>
      <c r="N2651" t="str">
        <f>IF(交易處理資料__3[[#This Row],[上班時間]]=0,"否","是")</f>
        <v>是</v>
      </c>
      <c r="O2651" t="s">
        <v>76</v>
      </c>
      <c r="P2651" s="38">
        <v>1.1032863849999999</v>
      </c>
      <c r="Q2651" s="38">
        <v>0.96349999999999991</v>
      </c>
      <c r="R2651" s="38">
        <v>0.73549999999999993</v>
      </c>
    </row>
    <row r="2652" spans="1:18" hidden="1">
      <c r="A2652" t="s">
        <v>76</v>
      </c>
      <c r="B2652" t="s">
        <v>41</v>
      </c>
      <c r="C2652">
        <v>18.25</v>
      </c>
      <c r="D2652">
        <v>10.01</v>
      </c>
      <c r="E2652" s="29">
        <v>1.8231768230000001</v>
      </c>
      <c r="F2652">
        <v>9.93</v>
      </c>
      <c r="G2652">
        <v>0.6</v>
      </c>
      <c r="H2652">
        <v>10.53</v>
      </c>
      <c r="I2652" s="29">
        <v>0.94299999999999995</v>
      </c>
      <c r="J2652" s="29">
        <v>1.7331000000000001</v>
      </c>
      <c r="K2652" s="9">
        <v>45358</v>
      </c>
      <c r="L2652">
        <f xml:space="preserve"> (交易處理資料__3[[#This Row],[售出工時]] * 60) / 5</f>
        <v>219</v>
      </c>
      <c r="M2652" t="str">
        <f>VLOOKUP(交易處理資料__3[[#This Row],[人員代號]],團隊分組!$B$1:$C$52,2,FALSE)</f>
        <v>快速保養團隊A</v>
      </c>
      <c r="N2652" t="str">
        <f>IF(交易處理資料__3[[#This Row],[上班時間]]=0,"否","是")</f>
        <v>是</v>
      </c>
      <c r="O2652" t="s">
        <v>76</v>
      </c>
      <c r="P2652" s="37">
        <v>1.8231768230000001</v>
      </c>
      <c r="Q2652" s="37">
        <v>1.7331000000000001</v>
      </c>
      <c r="R2652" s="37">
        <v>0.94299999999999995</v>
      </c>
    </row>
    <row r="2653" spans="1:18" hidden="1">
      <c r="A2653" t="s">
        <v>76</v>
      </c>
      <c r="B2653" t="s">
        <v>43</v>
      </c>
      <c r="C2653">
        <v>0</v>
      </c>
      <c r="D2653">
        <v>0</v>
      </c>
      <c r="E2653" s="29">
        <v>0</v>
      </c>
      <c r="F2653">
        <v>7.36</v>
      </c>
      <c r="G2653">
        <v>0.71</v>
      </c>
      <c r="H2653">
        <v>8.07</v>
      </c>
      <c r="I2653" s="29">
        <v>0.91200000000000003</v>
      </c>
      <c r="J2653" s="29">
        <v>0</v>
      </c>
      <c r="K2653" s="9">
        <v>45358</v>
      </c>
      <c r="L2653">
        <f xml:space="preserve"> (交易處理資料__3[[#This Row],[售出工時]] * 60) / 5</f>
        <v>0</v>
      </c>
      <c r="M2653" t="str">
        <f>VLOOKUP(交易處理資料__3[[#This Row],[人員代號]],團隊分組!$B$1:$C$52,2,FALSE)</f>
        <v>查修團隊B</v>
      </c>
      <c r="N2653" t="str">
        <f>IF(交易處理資料__3[[#This Row],[上班時間]]=0,"否","是")</f>
        <v>是</v>
      </c>
      <c r="O2653" t="s">
        <v>76</v>
      </c>
      <c r="P2653" s="38">
        <v>0</v>
      </c>
      <c r="Q2653" s="38">
        <v>0</v>
      </c>
      <c r="R2653" s="38">
        <v>0.91200000000000003</v>
      </c>
    </row>
    <row r="2654" spans="1:18" hidden="1">
      <c r="A2654" t="s">
        <v>76</v>
      </c>
      <c r="B2654" t="s">
        <v>45</v>
      </c>
      <c r="C2654">
        <v>12.91666667</v>
      </c>
      <c r="D2654">
        <v>6.13</v>
      </c>
      <c r="E2654" s="29">
        <v>2.1071234369999998</v>
      </c>
      <c r="F2654">
        <v>7.78</v>
      </c>
      <c r="G2654">
        <v>0.44</v>
      </c>
      <c r="H2654">
        <v>8.2200000000000006</v>
      </c>
      <c r="I2654" s="29">
        <v>0.94650000000000001</v>
      </c>
      <c r="J2654" s="29">
        <v>1.5713999999999999</v>
      </c>
      <c r="K2654" s="9">
        <v>45358</v>
      </c>
      <c r="L2654">
        <f xml:space="preserve"> (交易處理資料__3[[#This Row],[售出工時]] * 60) / 5</f>
        <v>155.00000003999997</v>
      </c>
      <c r="M2654" t="str">
        <f>VLOOKUP(交易處理資料__3[[#This Row],[人員代號]],團隊分組!$B$1:$C$52,2,FALSE)</f>
        <v>快速保養團隊A</v>
      </c>
      <c r="N2654" t="str">
        <f>IF(交易處理資料__3[[#This Row],[上班時間]]=0,"否","是")</f>
        <v>是</v>
      </c>
      <c r="O2654" t="s">
        <v>76</v>
      </c>
      <c r="P2654" s="37">
        <v>2.1071234369999998</v>
      </c>
      <c r="Q2654" s="37">
        <v>1.5713999999999999</v>
      </c>
      <c r="R2654" s="37">
        <v>0.94650000000000001</v>
      </c>
    </row>
    <row r="2655" spans="1:18" hidden="1">
      <c r="A2655" t="s">
        <v>76</v>
      </c>
      <c r="B2655" t="s">
        <v>47</v>
      </c>
      <c r="C2655">
        <v>3.5</v>
      </c>
      <c r="D2655">
        <v>5.2</v>
      </c>
      <c r="E2655" s="29">
        <v>0.67307692309999989</v>
      </c>
      <c r="F2655">
        <v>6.65</v>
      </c>
      <c r="G2655">
        <v>1.36</v>
      </c>
      <c r="H2655">
        <v>8.01</v>
      </c>
      <c r="I2655" s="29">
        <v>0.83019999999999994</v>
      </c>
      <c r="J2655" s="29">
        <v>0.43700000000000006</v>
      </c>
      <c r="K2655" s="9">
        <v>45358</v>
      </c>
      <c r="L2655">
        <f xml:space="preserve"> (交易處理資料__3[[#This Row],[售出工時]] * 60) / 5</f>
        <v>42</v>
      </c>
      <c r="M2655" t="str">
        <f>VLOOKUP(交易處理資料__3[[#This Row],[人員代號]],團隊分組!$B$1:$C$52,2,FALSE)</f>
        <v>查修團隊B</v>
      </c>
      <c r="N2655" t="str">
        <f>IF(交易處理資料__3[[#This Row],[上班時間]]=0,"否","是")</f>
        <v>是</v>
      </c>
      <c r="O2655" t="s">
        <v>76</v>
      </c>
      <c r="P2655" s="38">
        <v>0.67307692309999989</v>
      </c>
      <c r="Q2655" s="38">
        <v>0.43700000000000006</v>
      </c>
      <c r="R2655" s="38">
        <v>0.83019999999999994</v>
      </c>
    </row>
    <row r="2656" spans="1:18" hidden="1">
      <c r="A2656" t="s">
        <v>76</v>
      </c>
      <c r="B2656" t="s">
        <v>53</v>
      </c>
      <c r="C2656">
        <v>3.0433333330000001</v>
      </c>
      <c r="D2656">
        <v>2.58</v>
      </c>
      <c r="E2656" s="29">
        <v>1.179586563</v>
      </c>
      <c r="F2656">
        <v>8.67</v>
      </c>
      <c r="G2656">
        <v>1.44</v>
      </c>
      <c r="H2656">
        <v>10.11</v>
      </c>
      <c r="I2656" s="29">
        <v>0.85760000000000003</v>
      </c>
      <c r="J2656" s="29">
        <v>0.30099999999999999</v>
      </c>
      <c r="K2656" s="9">
        <v>45358</v>
      </c>
      <c r="L2656">
        <f xml:space="preserve"> (交易處理資料__3[[#This Row],[售出工時]] * 60) / 5</f>
        <v>36.519999996000003</v>
      </c>
      <c r="M2656" t="str">
        <f>VLOOKUP(交易處理資料__3[[#This Row],[人員代號]],團隊分組!$B$1:$C$52,2,FALSE)</f>
        <v>查修團隊A</v>
      </c>
      <c r="N2656" t="str">
        <f>IF(交易處理資料__3[[#This Row],[上班時間]]=0,"否","是")</f>
        <v>是</v>
      </c>
      <c r="O2656" t="s">
        <v>76</v>
      </c>
      <c r="P2656" s="37">
        <v>1.179586563</v>
      </c>
      <c r="Q2656" s="37">
        <v>0.30099999999999999</v>
      </c>
      <c r="R2656" s="37">
        <v>0.85760000000000003</v>
      </c>
    </row>
    <row r="2657" spans="1:18" hidden="1">
      <c r="A2657" s="10" t="s">
        <v>74</v>
      </c>
      <c r="B2657" t="s">
        <v>1</v>
      </c>
      <c r="C2657">
        <v>5.0999999999999996</v>
      </c>
      <c r="D2657">
        <v>7.48</v>
      </c>
      <c r="E2657" s="29">
        <v>0.68181818179999998</v>
      </c>
      <c r="F2657">
        <v>1.4</v>
      </c>
      <c r="G2657">
        <v>6.64</v>
      </c>
      <c r="H2657">
        <v>8.0399999999999991</v>
      </c>
      <c r="I2657" s="29">
        <v>0.1741</v>
      </c>
      <c r="J2657" s="29">
        <v>0.63429999999999997</v>
      </c>
      <c r="K2657" s="9">
        <v>45359</v>
      </c>
      <c r="L2657">
        <f xml:space="preserve"> (交易處理資料__3[[#This Row],[售出工時]] * 60) / 5</f>
        <v>61.2</v>
      </c>
      <c r="M2657" t="str">
        <f>VLOOKUP(交易處理資料__3[[#This Row],[人員代號]],團隊分組!$B$1:$C$52,2,FALSE)</f>
        <v>噴漆維修組</v>
      </c>
      <c r="N2657" t="str">
        <f>IF(交易處理資料__3[[#This Row],[上班時間]]=0,"否","是")</f>
        <v>是</v>
      </c>
      <c r="O2657" s="10" t="s">
        <v>74</v>
      </c>
      <c r="P2657" s="38">
        <v>0.68181818179999998</v>
      </c>
      <c r="Q2657" s="38">
        <v>0.63429999999999997</v>
      </c>
      <c r="R2657" s="38">
        <v>0.1741</v>
      </c>
    </row>
    <row r="2658" spans="1:18" hidden="1">
      <c r="A2658" s="10" t="s">
        <v>74</v>
      </c>
      <c r="B2658" t="s">
        <v>4</v>
      </c>
      <c r="C2658">
        <v>1.88</v>
      </c>
      <c r="D2658">
        <v>5.56</v>
      </c>
      <c r="E2658" s="29">
        <v>0.33812949640000001</v>
      </c>
      <c r="F2658">
        <v>1.42</v>
      </c>
      <c r="G2658">
        <v>6.65</v>
      </c>
      <c r="H2658">
        <v>8.07</v>
      </c>
      <c r="I2658" s="29">
        <v>0.17600000000000002</v>
      </c>
      <c r="J2658" s="29">
        <v>0.23300000000000001</v>
      </c>
      <c r="K2658" s="9">
        <v>45359</v>
      </c>
      <c r="L2658">
        <f xml:space="preserve"> (交易處理資料__3[[#This Row],[售出工時]] * 60) / 5</f>
        <v>22.56</v>
      </c>
      <c r="M2658" t="str">
        <f>VLOOKUP(交易處理資料__3[[#This Row],[人員代號]],團隊分組!$B$1:$C$52,2,FALSE)</f>
        <v>噴漆維修組</v>
      </c>
      <c r="N2658" t="str">
        <f>IF(交易處理資料__3[[#This Row],[上班時間]]=0,"否","是")</f>
        <v>是</v>
      </c>
      <c r="O2658" s="10" t="s">
        <v>74</v>
      </c>
      <c r="P2658" s="37">
        <v>0.33812949640000001</v>
      </c>
      <c r="Q2658" s="37">
        <v>0.23300000000000001</v>
      </c>
      <c r="R2658" s="37">
        <v>0.17600000000000002</v>
      </c>
    </row>
    <row r="2659" spans="1:18" hidden="1">
      <c r="A2659" s="10" t="s">
        <v>74</v>
      </c>
      <c r="B2659" t="s">
        <v>8</v>
      </c>
      <c r="C2659">
        <v>1.88</v>
      </c>
      <c r="D2659">
        <v>5.56</v>
      </c>
      <c r="E2659" s="29">
        <v>0.33812949640000001</v>
      </c>
      <c r="F2659">
        <v>1.4</v>
      </c>
      <c r="G2659">
        <v>6.67</v>
      </c>
      <c r="H2659">
        <v>8.07</v>
      </c>
      <c r="I2659" s="29">
        <v>0.17350000000000002</v>
      </c>
      <c r="J2659" s="29">
        <v>0.23300000000000001</v>
      </c>
      <c r="K2659" s="9">
        <v>45359</v>
      </c>
      <c r="L2659">
        <f xml:space="preserve"> (交易處理資料__3[[#This Row],[售出工時]] * 60) / 5</f>
        <v>22.56</v>
      </c>
      <c r="M2659" t="str">
        <f>VLOOKUP(交易處理資料__3[[#This Row],[人員代號]],團隊分組!$B$1:$C$52,2,FALSE)</f>
        <v>噴漆維修組</v>
      </c>
      <c r="N2659" t="str">
        <f>IF(交易處理資料__3[[#This Row],[上班時間]]=0,"否","是")</f>
        <v>是</v>
      </c>
      <c r="O2659" s="10" t="s">
        <v>74</v>
      </c>
      <c r="P2659" s="38">
        <v>0.33812949640000001</v>
      </c>
      <c r="Q2659" s="38">
        <v>0.23300000000000001</v>
      </c>
      <c r="R2659" s="38">
        <v>0.17350000000000002</v>
      </c>
    </row>
    <row r="2660" spans="1:18" hidden="1">
      <c r="A2660" t="s">
        <v>75</v>
      </c>
      <c r="B2660" t="s">
        <v>11</v>
      </c>
      <c r="C2660">
        <v>0</v>
      </c>
      <c r="D2660">
        <v>0</v>
      </c>
      <c r="E2660" s="29">
        <v>0</v>
      </c>
      <c r="F2660">
        <v>0</v>
      </c>
      <c r="G2660">
        <v>0</v>
      </c>
      <c r="H2660">
        <v>0</v>
      </c>
      <c r="I2660" s="29">
        <v>0</v>
      </c>
      <c r="J2660" s="29">
        <v>0</v>
      </c>
      <c r="K2660" s="9">
        <v>45359</v>
      </c>
      <c r="L2660">
        <f xml:space="preserve"> (交易處理資料__3[[#This Row],[售出工時]] * 60) / 5</f>
        <v>0</v>
      </c>
      <c r="M2660" t="str">
        <f>VLOOKUP(交易處理資料__3[[#This Row],[人員代號]],團隊分組!$B$1:$C$52,2,FALSE)</f>
        <v>鈑金維修組</v>
      </c>
      <c r="N2660" t="str">
        <f>IF(交易處理資料__3[[#This Row],[上班時間]]=0,"否","是")</f>
        <v>否</v>
      </c>
      <c r="O2660" t="s">
        <v>75</v>
      </c>
      <c r="P2660" s="37">
        <v>0</v>
      </c>
      <c r="Q2660" s="37">
        <v>0</v>
      </c>
      <c r="R2660" s="37">
        <v>0</v>
      </c>
    </row>
    <row r="2661" spans="1:18" hidden="1">
      <c r="A2661" t="s">
        <v>75</v>
      </c>
      <c r="B2661" t="s">
        <v>12</v>
      </c>
      <c r="C2661">
        <v>9.8333333330000006</v>
      </c>
      <c r="D2661">
        <v>6.86</v>
      </c>
      <c r="E2661" s="29">
        <v>1.433430515</v>
      </c>
      <c r="F2661">
        <v>7.72</v>
      </c>
      <c r="G2661">
        <v>0.38</v>
      </c>
      <c r="H2661">
        <v>8.1</v>
      </c>
      <c r="I2661" s="29">
        <v>0.95310000000000006</v>
      </c>
      <c r="J2661" s="29">
        <v>1.214</v>
      </c>
      <c r="K2661" s="9">
        <v>45359</v>
      </c>
      <c r="L2661">
        <f xml:space="preserve"> (交易處理資料__3[[#This Row],[售出工時]] * 60) / 5</f>
        <v>117.999999996</v>
      </c>
      <c r="M2661" t="str">
        <f>VLOOKUP(交易處理資料__3[[#This Row],[人員代號]],團隊分組!$B$1:$C$52,2,FALSE)</f>
        <v>鈑金維修組</v>
      </c>
      <c r="N2661" t="str">
        <f>IF(交易處理資料__3[[#This Row],[上班時間]]=0,"否","是")</f>
        <v>是</v>
      </c>
      <c r="O2661" t="s">
        <v>75</v>
      </c>
      <c r="P2661" s="38">
        <v>1.433430515</v>
      </c>
      <c r="Q2661" s="38">
        <v>1.214</v>
      </c>
      <c r="R2661" s="38">
        <v>0.95310000000000006</v>
      </c>
    </row>
    <row r="2662" spans="1:18" hidden="1">
      <c r="A2662" t="s">
        <v>75</v>
      </c>
      <c r="B2662" t="s">
        <v>13</v>
      </c>
      <c r="C2662">
        <v>9.7066666670000004</v>
      </c>
      <c r="D2662">
        <v>7.33</v>
      </c>
      <c r="E2662" s="29">
        <v>1.32423829</v>
      </c>
      <c r="F2662">
        <v>7.54</v>
      </c>
      <c r="G2662">
        <v>0.52</v>
      </c>
      <c r="H2662">
        <v>8.06</v>
      </c>
      <c r="I2662" s="29">
        <v>0.9355</v>
      </c>
      <c r="J2662" s="29">
        <v>1.2043000000000001</v>
      </c>
      <c r="K2662" s="9">
        <v>45359</v>
      </c>
      <c r="L2662">
        <f xml:space="preserve"> (交易處理資料__3[[#This Row],[售出工時]] * 60) / 5</f>
        <v>116.480000004</v>
      </c>
      <c r="M2662" t="str">
        <f>VLOOKUP(交易處理資料__3[[#This Row],[人員代號]],團隊分組!$B$1:$C$52,2,FALSE)</f>
        <v>鈑金維修組</v>
      </c>
      <c r="N2662" t="str">
        <f>IF(交易處理資料__3[[#This Row],[上班時間]]=0,"否","是")</f>
        <v>是</v>
      </c>
      <c r="O2662" t="s">
        <v>75</v>
      </c>
      <c r="P2662" s="37">
        <v>1.32423829</v>
      </c>
      <c r="Q2662" s="37">
        <v>1.2043000000000001</v>
      </c>
      <c r="R2662" s="37">
        <v>0.9355</v>
      </c>
    </row>
    <row r="2663" spans="1:18" hidden="1">
      <c r="A2663" t="s">
        <v>75</v>
      </c>
      <c r="B2663" t="s">
        <v>15</v>
      </c>
      <c r="C2663">
        <v>10.286666670000001</v>
      </c>
      <c r="D2663">
        <v>7.82</v>
      </c>
      <c r="E2663" s="29">
        <v>1.3154305199999998</v>
      </c>
      <c r="F2663">
        <v>7.55</v>
      </c>
      <c r="G2663">
        <v>0.52</v>
      </c>
      <c r="H2663">
        <v>8.07</v>
      </c>
      <c r="I2663" s="29">
        <v>0.93559999999999999</v>
      </c>
      <c r="J2663" s="29">
        <v>1.2746999999999999</v>
      </c>
      <c r="K2663" s="9">
        <v>45359</v>
      </c>
      <c r="L2663">
        <f xml:space="preserve"> (交易處理資料__3[[#This Row],[售出工時]] * 60) / 5</f>
        <v>123.44000004000002</v>
      </c>
      <c r="M2663" t="str">
        <f>VLOOKUP(交易處理資料__3[[#This Row],[人員代號]],團隊分組!$B$1:$C$52,2,FALSE)</f>
        <v>鈑金維修組</v>
      </c>
      <c r="N2663" t="str">
        <f>IF(交易處理資料__3[[#This Row],[上班時間]]=0,"否","是")</f>
        <v>是</v>
      </c>
      <c r="O2663" t="s">
        <v>75</v>
      </c>
      <c r="P2663" s="38">
        <v>1.3154305199999998</v>
      </c>
      <c r="Q2663" s="38">
        <v>1.2746999999999999</v>
      </c>
      <c r="R2663" s="38">
        <v>0.93559999999999999</v>
      </c>
    </row>
    <row r="2664" spans="1:18" hidden="1">
      <c r="A2664" t="s">
        <v>76</v>
      </c>
      <c r="B2664" t="s">
        <v>18</v>
      </c>
      <c r="C2664">
        <v>1.49</v>
      </c>
      <c r="D2664">
        <v>2.62</v>
      </c>
      <c r="E2664" s="29">
        <v>0.56870229010000006</v>
      </c>
      <c r="F2664">
        <v>6.94</v>
      </c>
      <c r="G2664">
        <v>1.25</v>
      </c>
      <c r="H2664">
        <v>8.19</v>
      </c>
      <c r="I2664" s="29">
        <v>0.84739999999999993</v>
      </c>
      <c r="J2664" s="29">
        <v>0.18190000000000001</v>
      </c>
      <c r="K2664" s="9">
        <v>45359</v>
      </c>
      <c r="L2664">
        <f xml:space="preserve"> (交易處理資料__3[[#This Row],[售出工時]] * 60) / 5</f>
        <v>17.880000000000003</v>
      </c>
      <c r="M2664" t="str">
        <f>VLOOKUP(交易處理資料__3[[#This Row],[人員代號]],團隊分組!$B$1:$C$52,2,FALSE)</f>
        <v>查修團隊B</v>
      </c>
      <c r="N2664" t="str">
        <f>IF(交易處理資料__3[[#This Row],[上班時間]]=0,"否","是")</f>
        <v>是</v>
      </c>
      <c r="O2664" t="s">
        <v>76</v>
      </c>
      <c r="P2664" s="37">
        <v>0.56870229010000006</v>
      </c>
      <c r="Q2664" s="37">
        <v>0.18190000000000001</v>
      </c>
      <c r="R2664" s="37">
        <v>0.84739999999999993</v>
      </c>
    </row>
    <row r="2665" spans="1:18" hidden="1">
      <c r="A2665" t="s">
        <v>76</v>
      </c>
      <c r="B2665" t="s">
        <v>20</v>
      </c>
      <c r="C2665">
        <v>0</v>
      </c>
      <c r="D2665">
        <v>0</v>
      </c>
      <c r="E2665" s="29">
        <v>0</v>
      </c>
      <c r="F2665">
        <v>1.92</v>
      </c>
      <c r="G2665">
        <v>6.38</v>
      </c>
      <c r="H2665">
        <v>8.3000000000000007</v>
      </c>
      <c r="I2665" s="29">
        <v>0.23129999999999998</v>
      </c>
      <c r="J2665" s="29">
        <v>0</v>
      </c>
      <c r="K2665" s="9">
        <v>45359</v>
      </c>
      <c r="L2665">
        <f xml:space="preserve"> (交易處理資料__3[[#This Row],[售出工時]] * 60) / 5</f>
        <v>0</v>
      </c>
      <c r="M2665" t="str">
        <f>VLOOKUP(交易處理資料__3[[#This Row],[人員代號]],團隊分組!$B$1:$C$52,2,FALSE)</f>
        <v>查修團隊B</v>
      </c>
      <c r="N2665" t="str">
        <f>IF(交易處理資料__3[[#This Row],[上班時間]]=0,"否","是")</f>
        <v>是</v>
      </c>
      <c r="O2665" t="s">
        <v>76</v>
      </c>
      <c r="P2665" s="38">
        <v>0</v>
      </c>
      <c r="Q2665" s="38">
        <v>0</v>
      </c>
      <c r="R2665" s="38">
        <v>0.23129999999999998</v>
      </c>
    </row>
    <row r="2666" spans="1:18" hidden="1">
      <c r="A2666" t="s">
        <v>76</v>
      </c>
      <c r="B2666" t="s">
        <v>24</v>
      </c>
      <c r="C2666">
        <v>11.33333333</v>
      </c>
      <c r="D2666">
        <v>6.61</v>
      </c>
      <c r="E2666" s="29">
        <v>1.7145738779999999</v>
      </c>
      <c r="F2666">
        <v>6.86</v>
      </c>
      <c r="G2666">
        <v>1.03</v>
      </c>
      <c r="H2666">
        <v>7.89</v>
      </c>
      <c r="I2666" s="29">
        <v>0.86950000000000005</v>
      </c>
      <c r="J2666" s="29">
        <v>1.4363999999999999</v>
      </c>
      <c r="K2666" s="9">
        <v>45359</v>
      </c>
      <c r="L2666">
        <f xml:space="preserve"> (交易處理資料__3[[#This Row],[售出工時]] * 60) / 5</f>
        <v>135.99999996000003</v>
      </c>
      <c r="M2666" t="str">
        <f>VLOOKUP(交易處理資料__3[[#This Row],[人員代號]],團隊分組!$B$1:$C$52,2,FALSE)</f>
        <v>快速保養團隊A</v>
      </c>
      <c r="N2666" t="str">
        <f>IF(交易處理資料__3[[#This Row],[上班時間]]=0,"否","是")</f>
        <v>是</v>
      </c>
      <c r="O2666" t="s">
        <v>76</v>
      </c>
      <c r="P2666" s="37">
        <v>1.7145738779999999</v>
      </c>
      <c r="Q2666" s="37">
        <v>1.4363999999999999</v>
      </c>
      <c r="R2666" s="37">
        <v>0.86950000000000005</v>
      </c>
    </row>
    <row r="2667" spans="1:18" hidden="1">
      <c r="A2667" t="s">
        <v>76</v>
      </c>
      <c r="B2667" t="s">
        <v>26</v>
      </c>
      <c r="C2667">
        <v>0.99</v>
      </c>
      <c r="D2667">
        <v>3.17</v>
      </c>
      <c r="E2667" s="29">
        <v>0.31230283910000001</v>
      </c>
      <c r="F2667">
        <v>3.08</v>
      </c>
      <c r="G2667">
        <v>5.1100000000000003</v>
      </c>
      <c r="H2667">
        <v>8.19</v>
      </c>
      <c r="I2667" s="29">
        <v>0.37609999999999999</v>
      </c>
      <c r="J2667" s="29">
        <v>0.12089999999999999</v>
      </c>
      <c r="K2667" s="9">
        <v>45359</v>
      </c>
      <c r="L2667">
        <f xml:space="preserve"> (交易處理資料__3[[#This Row],[售出工時]] * 60) / 5</f>
        <v>11.879999999999999</v>
      </c>
      <c r="M2667" t="str">
        <f>VLOOKUP(交易處理資料__3[[#This Row],[人員代號]],團隊分組!$B$1:$C$52,2,FALSE)</f>
        <v>查修團隊B</v>
      </c>
      <c r="N2667" t="str">
        <f>IF(交易處理資料__3[[#This Row],[上班時間]]=0,"否","是")</f>
        <v>是</v>
      </c>
      <c r="O2667" t="s">
        <v>76</v>
      </c>
      <c r="P2667" s="38">
        <v>0.31230283910000001</v>
      </c>
      <c r="Q2667" s="38">
        <v>0.12089999999999999</v>
      </c>
      <c r="R2667" s="38">
        <v>0.37609999999999999</v>
      </c>
    </row>
    <row r="2668" spans="1:18" hidden="1">
      <c r="A2668" t="s">
        <v>76</v>
      </c>
      <c r="B2668" t="s">
        <v>28</v>
      </c>
      <c r="C2668">
        <v>12.16666667</v>
      </c>
      <c r="D2668">
        <v>5.99</v>
      </c>
      <c r="E2668" s="29">
        <v>2.03116305</v>
      </c>
      <c r="F2668">
        <v>5.99</v>
      </c>
      <c r="G2668">
        <v>2</v>
      </c>
      <c r="H2668">
        <v>7.99</v>
      </c>
      <c r="I2668" s="29">
        <v>0.74970000000000003</v>
      </c>
      <c r="J2668" s="29">
        <v>1.5227000000000002</v>
      </c>
      <c r="K2668" s="9">
        <v>45359</v>
      </c>
      <c r="L2668">
        <f xml:space="preserve"> (交易處理資料__3[[#This Row],[售出工時]] * 60) / 5</f>
        <v>146.00000003999997</v>
      </c>
      <c r="M2668" t="str">
        <f>VLOOKUP(交易處理資料__3[[#This Row],[人員代號]],團隊分組!$B$1:$C$52,2,FALSE)</f>
        <v>快速保養團隊A</v>
      </c>
      <c r="N2668" t="str">
        <f>IF(交易處理資料__3[[#This Row],[上班時間]]=0,"否","是")</f>
        <v>是</v>
      </c>
      <c r="O2668" t="s">
        <v>76</v>
      </c>
      <c r="P2668" s="37">
        <v>2.03116305</v>
      </c>
      <c r="Q2668" s="37">
        <v>1.5227000000000002</v>
      </c>
      <c r="R2668" s="37">
        <v>0.74970000000000003</v>
      </c>
    </row>
    <row r="2669" spans="1:18" hidden="1">
      <c r="A2669" t="s">
        <v>76</v>
      </c>
      <c r="B2669" t="s">
        <v>30</v>
      </c>
      <c r="C2669">
        <v>11.71666667</v>
      </c>
      <c r="D2669">
        <v>5.7</v>
      </c>
      <c r="E2669" s="29">
        <v>2.0555555559999998</v>
      </c>
      <c r="F2669">
        <v>6.69</v>
      </c>
      <c r="G2669">
        <v>1.3</v>
      </c>
      <c r="H2669">
        <v>7.99</v>
      </c>
      <c r="I2669" s="29">
        <v>0.83730000000000004</v>
      </c>
      <c r="J2669" s="29">
        <v>1.4663999999999999</v>
      </c>
      <c r="K2669" s="9">
        <v>45359</v>
      </c>
      <c r="L2669">
        <f xml:space="preserve"> (交易處理資料__3[[#This Row],[售出工時]] * 60) / 5</f>
        <v>140.60000004</v>
      </c>
      <c r="M2669" t="str">
        <f>VLOOKUP(交易處理資料__3[[#This Row],[人員代號]],團隊分組!$B$1:$C$52,2,FALSE)</f>
        <v>快速保養團隊B</v>
      </c>
      <c r="N2669" t="str">
        <f>IF(交易處理資料__3[[#This Row],[上班時間]]=0,"否","是")</f>
        <v>是</v>
      </c>
      <c r="O2669" t="s">
        <v>76</v>
      </c>
      <c r="P2669" s="38">
        <v>2.0555555559999998</v>
      </c>
      <c r="Q2669" s="38">
        <v>1.4663999999999999</v>
      </c>
      <c r="R2669" s="38">
        <v>0.83730000000000004</v>
      </c>
    </row>
    <row r="2670" spans="1:18" hidden="1">
      <c r="A2670" t="s">
        <v>76</v>
      </c>
      <c r="B2670" t="s">
        <v>33</v>
      </c>
      <c r="C2670">
        <v>7.02</v>
      </c>
      <c r="D2670">
        <v>7.13</v>
      </c>
      <c r="E2670" s="29">
        <v>0.98457222999999994</v>
      </c>
      <c r="F2670">
        <v>8.2899999999999991</v>
      </c>
      <c r="G2670">
        <v>1.32</v>
      </c>
      <c r="H2670">
        <v>9.61</v>
      </c>
      <c r="I2670" s="29">
        <v>0.86260000000000003</v>
      </c>
      <c r="J2670" s="29">
        <v>0.73049999999999993</v>
      </c>
      <c r="K2670" s="9">
        <v>45359</v>
      </c>
      <c r="L2670">
        <f xml:space="preserve"> (交易處理資料__3[[#This Row],[售出工時]] * 60) / 5</f>
        <v>84.24</v>
      </c>
      <c r="M2670" t="str">
        <f>VLOOKUP(交易處理資料__3[[#This Row],[人員代號]],團隊分組!$B$1:$C$52,2,FALSE)</f>
        <v>快速保養團隊B</v>
      </c>
      <c r="N2670" t="str">
        <f>IF(交易處理資料__3[[#This Row],[上班時間]]=0,"否","是")</f>
        <v>是</v>
      </c>
      <c r="O2670" t="s">
        <v>76</v>
      </c>
      <c r="P2670" s="37">
        <v>0.98457222999999994</v>
      </c>
      <c r="Q2670" s="37">
        <v>0.73049999999999993</v>
      </c>
      <c r="R2670" s="37">
        <v>0.86260000000000003</v>
      </c>
    </row>
    <row r="2671" spans="1:18" hidden="1">
      <c r="A2671" t="s">
        <v>76</v>
      </c>
      <c r="B2671" t="s">
        <v>35</v>
      </c>
      <c r="C2671">
        <v>8.3333332999999996E-2</v>
      </c>
      <c r="D2671">
        <v>1.02</v>
      </c>
      <c r="E2671" s="29">
        <v>8.1699346409999998E-2</v>
      </c>
      <c r="F2671">
        <v>6.47</v>
      </c>
      <c r="G2671">
        <v>1.82</v>
      </c>
      <c r="H2671">
        <v>8.2899999999999991</v>
      </c>
      <c r="I2671" s="29">
        <v>0.78049999999999997</v>
      </c>
      <c r="J2671" s="29">
        <v>1.01E-2</v>
      </c>
      <c r="K2671" s="9">
        <v>45359</v>
      </c>
      <c r="L2671">
        <f xml:space="preserve"> (交易處理資料__3[[#This Row],[售出工時]] * 60) / 5</f>
        <v>0.999999996</v>
      </c>
      <c r="M2671" t="str">
        <f>VLOOKUP(交易處理資料__3[[#This Row],[人員代號]],團隊分組!$B$1:$C$52,2,FALSE)</f>
        <v>查修團隊B</v>
      </c>
      <c r="N2671" t="str">
        <f>IF(交易處理資料__3[[#This Row],[上班時間]]=0,"否","是")</f>
        <v>是</v>
      </c>
      <c r="O2671" t="s">
        <v>76</v>
      </c>
      <c r="P2671" s="38">
        <v>8.1699346409999998E-2</v>
      </c>
      <c r="Q2671" s="38">
        <v>1.01E-2</v>
      </c>
      <c r="R2671" s="38">
        <v>0.78049999999999997</v>
      </c>
    </row>
    <row r="2672" spans="1:18" hidden="1">
      <c r="A2672" t="s">
        <v>76</v>
      </c>
      <c r="B2672" t="s">
        <v>36</v>
      </c>
      <c r="C2672">
        <v>3.9266666670000001</v>
      </c>
      <c r="D2672">
        <v>4.9400000000000004</v>
      </c>
      <c r="E2672" s="29">
        <v>0.79487179490000004</v>
      </c>
      <c r="F2672">
        <v>7.84</v>
      </c>
      <c r="G2672">
        <v>0.38</v>
      </c>
      <c r="H2672">
        <v>8.2200000000000006</v>
      </c>
      <c r="I2672" s="29">
        <v>0.95379999999999998</v>
      </c>
      <c r="J2672" s="29">
        <v>0.47770000000000001</v>
      </c>
      <c r="K2672" s="9">
        <v>45359</v>
      </c>
      <c r="L2672">
        <f xml:space="preserve"> (交易處理資料__3[[#This Row],[售出工時]] * 60) / 5</f>
        <v>47.120000004000005</v>
      </c>
      <c r="M2672" t="str">
        <f>VLOOKUP(交易處理資料__3[[#This Row],[人員代號]],團隊分組!$B$1:$C$52,2,FALSE)</f>
        <v>查修團隊B</v>
      </c>
      <c r="N2672" t="str">
        <f>IF(交易處理資料__3[[#This Row],[上班時間]]=0,"否","是")</f>
        <v>是</v>
      </c>
      <c r="O2672" t="s">
        <v>76</v>
      </c>
      <c r="P2672" s="37">
        <v>0.79487179490000004</v>
      </c>
      <c r="Q2672" s="37">
        <v>0.47770000000000001</v>
      </c>
      <c r="R2672" s="37">
        <v>0.95379999999999998</v>
      </c>
    </row>
    <row r="2673" spans="1:18" hidden="1">
      <c r="A2673" t="s">
        <v>76</v>
      </c>
      <c r="B2673" t="s">
        <v>37</v>
      </c>
      <c r="C2673">
        <v>5.5</v>
      </c>
      <c r="D2673">
        <v>4.6900000000000004</v>
      </c>
      <c r="E2673" s="29">
        <v>1.172707889</v>
      </c>
      <c r="F2673">
        <v>4.32</v>
      </c>
      <c r="G2673">
        <v>3.81</v>
      </c>
      <c r="H2673">
        <v>8.1300000000000008</v>
      </c>
      <c r="I2673" s="29">
        <v>0.53139999999999998</v>
      </c>
      <c r="J2673" s="29">
        <v>0.6765000000000001</v>
      </c>
      <c r="K2673" s="9">
        <v>45359</v>
      </c>
      <c r="L2673">
        <f xml:space="preserve"> (交易處理資料__3[[#This Row],[售出工時]] * 60) / 5</f>
        <v>66</v>
      </c>
      <c r="M2673" t="str">
        <f>VLOOKUP(交易處理資料__3[[#This Row],[人員代號]],團隊分組!$B$1:$C$52,2,FALSE)</f>
        <v>查修團隊A</v>
      </c>
      <c r="N2673" t="str">
        <f>IF(交易處理資料__3[[#This Row],[上班時間]]=0,"否","是")</f>
        <v>是</v>
      </c>
      <c r="O2673" t="s">
        <v>76</v>
      </c>
      <c r="P2673" s="38">
        <v>1.172707889</v>
      </c>
      <c r="Q2673" s="38">
        <v>0.6765000000000001</v>
      </c>
      <c r="R2673" s="38">
        <v>0.53139999999999998</v>
      </c>
    </row>
    <row r="2674" spans="1:18" hidden="1">
      <c r="A2674" t="s">
        <v>76</v>
      </c>
      <c r="B2674" t="s">
        <v>38</v>
      </c>
      <c r="C2674">
        <v>12.58333333</v>
      </c>
      <c r="D2674">
        <v>7.93</v>
      </c>
      <c r="E2674" s="29">
        <v>1.5868011770000001</v>
      </c>
      <c r="F2674">
        <v>7.12</v>
      </c>
      <c r="G2674">
        <v>1.1000000000000001</v>
      </c>
      <c r="H2674">
        <v>8.2200000000000006</v>
      </c>
      <c r="I2674" s="29">
        <v>0.86620000000000008</v>
      </c>
      <c r="J2674" s="29">
        <v>1.5308000000000002</v>
      </c>
      <c r="K2674" s="9">
        <v>45359</v>
      </c>
      <c r="L2674">
        <f xml:space="preserve"> (交易處理資料__3[[#This Row],[售出工時]] * 60) / 5</f>
        <v>150.99999996000003</v>
      </c>
      <c r="M2674" t="str">
        <f>VLOOKUP(交易處理資料__3[[#This Row],[人員代號]],團隊分組!$B$1:$C$52,2,FALSE)</f>
        <v>快速保養團隊A</v>
      </c>
      <c r="N2674" t="str">
        <f>IF(交易處理資料__3[[#This Row],[上班時間]]=0,"否","是")</f>
        <v>是</v>
      </c>
      <c r="O2674" t="s">
        <v>76</v>
      </c>
      <c r="P2674" s="37">
        <v>1.5868011770000001</v>
      </c>
      <c r="Q2674" s="37">
        <v>1.5308000000000002</v>
      </c>
      <c r="R2674" s="37">
        <v>0.86620000000000008</v>
      </c>
    </row>
    <row r="2675" spans="1:18" hidden="1">
      <c r="A2675" t="s">
        <v>76</v>
      </c>
      <c r="B2675" t="s">
        <v>39</v>
      </c>
      <c r="C2675">
        <v>2.91</v>
      </c>
      <c r="D2675">
        <v>1.83</v>
      </c>
      <c r="E2675" s="29">
        <v>1.590163934</v>
      </c>
      <c r="F2675">
        <v>3.58</v>
      </c>
      <c r="G2675">
        <v>4.58</v>
      </c>
      <c r="H2675">
        <v>8.16</v>
      </c>
      <c r="I2675" s="29">
        <v>0.43869999999999998</v>
      </c>
      <c r="J2675" s="29">
        <v>0.35659999999999997</v>
      </c>
      <c r="K2675" s="9">
        <v>45359</v>
      </c>
      <c r="L2675">
        <f xml:space="preserve"> (交易處理資料__3[[#This Row],[售出工時]] * 60) / 5</f>
        <v>34.92</v>
      </c>
      <c r="M2675" t="str">
        <f>VLOOKUP(交易處理資料__3[[#This Row],[人員代號]],團隊分組!$B$1:$C$52,2,FALSE)</f>
        <v>查修團隊A</v>
      </c>
      <c r="N2675" t="str">
        <f>IF(交易處理資料__3[[#This Row],[上班時間]]=0,"否","是")</f>
        <v>是</v>
      </c>
      <c r="O2675" t="s">
        <v>76</v>
      </c>
      <c r="P2675" s="38">
        <v>1.590163934</v>
      </c>
      <c r="Q2675" s="38">
        <v>0.35659999999999997</v>
      </c>
      <c r="R2675" s="38">
        <v>0.43869999999999998</v>
      </c>
    </row>
    <row r="2676" spans="1:18" hidden="1">
      <c r="A2676" t="s">
        <v>76</v>
      </c>
      <c r="B2676" t="s">
        <v>40</v>
      </c>
      <c r="C2676">
        <v>4.5833333329999997</v>
      </c>
      <c r="D2676">
        <v>5.18</v>
      </c>
      <c r="E2676" s="29">
        <v>0.88481338480000005</v>
      </c>
      <c r="F2676">
        <v>6.37</v>
      </c>
      <c r="G2676">
        <v>1.78</v>
      </c>
      <c r="H2676">
        <v>8.15</v>
      </c>
      <c r="I2676" s="29">
        <v>0.78159999999999996</v>
      </c>
      <c r="J2676" s="29">
        <v>0.56240000000000001</v>
      </c>
      <c r="K2676" s="9">
        <v>45359</v>
      </c>
      <c r="L2676">
        <f xml:space="preserve"> (交易處理資料__3[[#This Row],[售出工時]] * 60) / 5</f>
        <v>54.999999996</v>
      </c>
      <c r="M2676" t="str">
        <f>VLOOKUP(交易處理資料__3[[#This Row],[人員代號]],團隊分組!$B$1:$C$52,2,FALSE)</f>
        <v>查修團隊A</v>
      </c>
      <c r="N2676" t="str">
        <f>IF(交易處理資料__3[[#This Row],[上班時間]]=0,"否","是")</f>
        <v>是</v>
      </c>
      <c r="O2676" t="s">
        <v>76</v>
      </c>
      <c r="P2676" s="37">
        <v>0.88481338480000005</v>
      </c>
      <c r="Q2676" s="37">
        <v>0.56240000000000001</v>
      </c>
      <c r="R2676" s="37">
        <v>0.78159999999999996</v>
      </c>
    </row>
    <row r="2677" spans="1:18" hidden="1">
      <c r="A2677" t="s">
        <v>76</v>
      </c>
      <c r="B2677" t="s">
        <v>43</v>
      </c>
      <c r="C2677">
        <v>5.25</v>
      </c>
      <c r="D2677">
        <v>7.07</v>
      </c>
      <c r="E2677" s="29">
        <v>0.74257425740000005</v>
      </c>
      <c r="F2677">
        <v>8.06</v>
      </c>
      <c r="G2677">
        <v>0.17</v>
      </c>
      <c r="H2677">
        <v>8.23</v>
      </c>
      <c r="I2677" s="29">
        <v>0.97930000000000006</v>
      </c>
      <c r="J2677" s="29">
        <v>0.63790000000000002</v>
      </c>
      <c r="K2677" s="9">
        <v>45359</v>
      </c>
      <c r="L2677">
        <f xml:space="preserve"> (交易處理資料__3[[#This Row],[售出工時]] * 60) / 5</f>
        <v>63</v>
      </c>
      <c r="M2677" t="str">
        <f>VLOOKUP(交易處理資料__3[[#This Row],[人員代號]],團隊分組!$B$1:$C$52,2,FALSE)</f>
        <v>查修團隊B</v>
      </c>
      <c r="N2677" t="str">
        <f>IF(交易處理資料__3[[#This Row],[上班時間]]=0,"否","是")</f>
        <v>是</v>
      </c>
      <c r="O2677" t="s">
        <v>76</v>
      </c>
      <c r="P2677" s="38">
        <v>0.74257425740000005</v>
      </c>
      <c r="Q2677" s="38">
        <v>0.63790000000000002</v>
      </c>
      <c r="R2677" s="38">
        <v>0.97930000000000006</v>
      </c>
    </row>
    <row r="2678" spans="1:18" hidden="1">
      <c r="A2678" t="s">
        <v>76</v>
      </c>
      <c r="B2678" t="s">
        <v>45</v>
      </c>
      <c r="C2678">
        <v>15.473333330000001</v>
      </c>
      <c r="D2678">
        <v>7.61</v>
      </c>
      <c r="E2678" s="29">
        <v>2.0332895309999999</v>
      </c>
      <c r="F2678">
        <v>6.03</v>
      </c>
      <c r="G2678">
        <v>2.12</v>
      </c>
      <c r="H2678">
        <v>8.15</v>
      </c>
      <c r="I2678" s="29">
        <v>0.7399</v>
      </c>
      <c r="J2678" s="29">
        <v>1.8986000000000001</v>
      </c>
      <c r="K2678" s="9">
        <v>45359</v>
      </c>
      <c r="L2678">
        <f xml:space="preserve"> (交易處理資料__3[[#This Row],[售出工時]] * 60) / 5</f>
        <v>185.67999996</v>
      </c>
      <c r="M2678" t="str">
        <f>VLOOKUP(交易處理資料__3[[#This Row],[人員代號]],團隊分組!$B$1:$C$52,2,FALSE)</f>
        <v>快速保養團隊A</v>
      </c>
      <c r="N2678" t="str">
        <f>IF(交易處理資料__3[[#This Row],[上班時間]]=0,"否","是")</f>
        <v>是</v>
      </c>
      <c r="O2678" t="s">
        <v>76</v>
      </c>
      <c r="P2678" s="37">
        <v>2.0332895309999999</v>
      </c>
      <c r="Q2678" s="37">
        <v>1.8986000000000001</v>
      </c>
      <c r="R2678" s="37">
        <v>0.7399</v>
      </c>
    </row>
    <row r="2679" spans="1:18" hidden="1">
      <c r="A2679" t="s">
        <v>76</v>
      </c>
      <c r="B2679" t="s">
        <v>47</v>
      </c>
      <c r="C2679">
        <v>2.5</v>
      </c>
      <c r="D2679">
        <v>4.05</v>
      </c>
      <c r="E2679" s="29">
        <v>0.61728395059999996</v>
      </c>
      <c r="F2679">
        <v>6.05</v>
      </c>
      <c r="G2679">
        <v>2.13</v>
      </c>
      <c r="H2679">
        <v>8.18</v>
      </c>
      <c r="I2679" s="29">
        <v>0.73959999999999992</v>
      </c>
      <c r="J2679" s="29">
        <v>0.30559999999999998</v>
      </c>
      <c r="K2679" s="9">
        <v>45359</v>
      </c>
      <c r="L2679">
        <f xml:space="preserve"> (交易處理資料__3[[#This Row],[售出工時]] * 60) / 5</f>
        <v>30</v>
      </c>
      <c r="M2679" t="str">
        <f>VLOOKUP(交易處理資料__3[[#This Row],[人員代號]],團隊分組!$B$1:$C$52,2,FALSE)</f>
        <v>查修團隊B</v>
      </c>
      <c r="N2679" t="str">
        <f>IF(交易處理資料__3[[#This Row],[上班時間]]=0,"否","是")</f>
        <v>是</v>
      </c>
      <c r="O2679" t="s">
        <v>76</v>
      </c>
      <c r="P2679" s="38">
        <v>0.61728395059999996</v>
      </c>
      <c r="Q2679" s="38">
        <v>0.30559999999999998</v>
      </c>
      <c r="R2679" s="38">
        <v>0.73959999999999992</v>
      </c>
    </row>
    <row r="2680" spans="1:18" hidden="1">
      <c r="A2680" t="s">
        <v>76</v>
      </c>
      <c r="B2680" t="s">
        <v>49</v>
      </c>
      <c r="C2680">
        <v>4.346666667</v>
      </c>
      <c r="D2680">
        <v>4.54</v>
      </c>
      <c r="E2680" s="29">
        <v>0.95741556529999994</v>
      </c>
      <c r="F2680">
        <v>8.15</v>
      </c>
      <c r="G2680">
        <v>0.02</v>
      </c>
      <c r="H2680">
        <v>8.17</v>
      </c>
      <c r="I2680" s="29">
        <v>0.99760000000000004</v>
      </c>
      <c r="J2680" s="29">
        <v>0.53200000000000003</v>
      </c>
      <c r="K2680" s="9">
        <v>45359</v>
      </c>
      <c r="L2680">
        <f xml:space="preserve"> (交易處理資料__3[[#This Row],[售出工時]] * 60) / 5</f>
        <v>52.160000004000004</v>
      </c>
      <c r="M2680" t="str">
        <f>VLOOKUP(交易處理資料__3[[#This Row],[人員代號]],團隊分組!$B$1:$C$52,2,FALSE)</f>
        <v>查修團隊A</v>
      </c>
      <c r="N2680" t="str">
        <f>IF(交易處理資料__3[[#This Row],[上班時間]]=0,"否","是")</f>
        <v>是</v>
      </c>
      <c r="O2680" t="s">
        <v>76</v>
      </c>
      <c r="P2680" s="37">
        <v>0.95741556529999994</v>
      </c>
      <c r="Q2680" s="37">
        <v>0.53200000000000003</v>
      </c>
      <c r="R2680" s="37">
        <v>0.99760000000000004</v>
      </c>
    </row>
    <row r="2681" spans="1:18" hidden="1">
      <c r="A2681" t="s">
        <v>76</v>
      </c>
      <c r="B2681" t="s">
        <v>50</v>
      </c>
      <c r="C2681">
        <v>5.0999999999999996</v>
      </c>
      <c r="D2681">
        <v>4.96</v>
      </c>
      <c r="E2681" s="29">
        <v>1.028225806</v>
      </c>
      <c r="F2681">
        <v>7.94</v>
      </c>
      <c r="G2681">
        <v>7.0000000000000007E-2</v>
      </c>
      <c r="H2681">
        <v>8.01</v>
      </c>
      <c r="I2681" s="29">
        <v>0.99129999999999996</v>
      </c>
      <c r="J2681" s="29">
        <v>0.63670000000000004</v>
      </c>
      <c r="K2681" s="9">
        <v>45359</v>
      </c>
      <c r="L2681">
        <f xml:space="preserve"> (交易處理資料__3[[#This Row],[售出工時]] * 60) / 5</f>
        <v>61.2</v>
      </c>
      <c r="M2681" t="str">
        <f>VLOOKUP(交易處理資料__3[[#This Row],[人員代號]],團隊分組!$B$1:$C$52,2,FALSE)</f>
        <v>快速保養團隊B</v>
      </c>
      <c r="N2681" t="str">
        <f>IF(交易處理資料__3[[#This Row],[上班時間]]=0,"否","是")</f>
        <v>是</v>
      </c>
      <c r="O2681" t="s">
        <v>76</v>
      </c>
      <c r="P2681" s="38">
        <v>1.028225806</v>
      </c>
      <c r="Q2681" s="38">
        <v>0.63670000000000004</v>
      </c>
      <c r="R2681" s="38">
        <v>0.99129999999999996</v>
      </c>
    </row>
    <row r="2682" spans="1:18" hidden="1">
      <c r="A2682" t="s">
        <v>76</v>
      </c>
      <c r="B2682" t="s">
        <v>51</v>
      </c>
      <c r="C2682">
        <v>0</v>
      </c>
      <c r="D2682">
        <v>0</v>
      </c>
      <c r="E2682" s="29">
        <v>0</v>
      </c>
      <c r="F2682">
        <v>0</v>
      </c>
      <c r="G2682">
        <v>0</v>
      </c>
      <c r="H2682">
        <v>0</v>
      </c>
      <c r="I2682" s="29">
        <v>0</v>
      </c>
      <c r="J2682" s="29">
        <v>0</v>
      </c>
      <c r="K2682" s="9">
        <v>45359</v>
      </c>
      <c r="L2682">
        <f xml:space="preserve"> (交易處理資料__3[[#This Row],[售出工時]] * 60) / 5</f>
        <v>0</v>
      </c>
      <c r="M2682" t="str">
        <f>VLOOKUP(交易處理資料__3[[#This Row],[人員代號]],團隊分組!$B$1:$C$52,2,FALSE)</f>
        <v>無效數據</v>
      </c>
      <c r="N2682" t="str">
        <f>IF(交易處理資料__3[[#This Row],[上班時間]]=0,"否","是")</f>
        <v>否</v>
      </c>
      <c r="O2682" t="s">
        <v>76</v>
      </c>
      <c r="P2682" s="37">
        <v>0</v>
      </c>
      <c r="Q2682" s="37">
        <v>0</v>
      </c>
      <c r="R2682" s="37">
        <v>0</v>
      </c>
    </row>
    <row r="2683" spans="1:18" hidden="1">
      <c r="A2683" s="10" t="s">
        <v>74</v>
      </c>
      <c r="B2683" t="s">
        <v>2</v>
      </c>
      <c r="C2683">
        <v>0</v>
      </c>
      <c r="D2683">
        <v>0</v>
      </c>
      <c r="E2683" s="29">
        <v>0</v>
      </c>
      <c r="F2683">
        <v>4.3</v>
      </c>
      <c r="G2683">
        <v>4.01</v>
      </c>
      <c r="H2683">
        <v>8.31</v>
      </c>
      <c r="I2683" s="29">
        <v>0.51739999999999997</v>
      </c>
      <c r="J2683" s="29">
        <v>0</v>
      </c>
      <c r="K2683" s="9">
        <v>45360</v>
      </c>
      <c r="L2683">
        <f xml:space="preserve"> (交易處理資料__3[[#This Row],[售出工時]] * 60) / 5</f>
        <v>0</v>
      </c>
      <c r="M2683" t="str">
        <f>VLOOKUP(交易處理資料__3[[#This Row],[人員代號]],團隊分組!$B$1:$C$52,2,FALSE)</f>
        <v>噴漆維修組</v>
      </c>
      <c r="N2683" t="str">
        <f>IF(交易處理資料__3[[#This Row],[上班時間]]=0,"否","是")</f>
        <v>是</v>
      </c>
      <c r="O2683" s="10" t="s">
        <v>74</v>
      </c>
      <c r="P2683" s="38">
        <v>0</v>
      </c>
      <c r="Q2683" s="38">
        <v>0</v>
      </c>
      <c r="R2683" s="38">
        <v>0.51739999999999997</v>
      </c>
    </row>
    <row r="2684" spans="1:18" hidden="1">
      <c r="A2684" s="10" t="s">
        <v>74</v>
      </c>
      <c r="B2684" t="s">
        <v>3</v>
      </c>
      <c r="C2684">
        <v>0</v>
      </c>
      <c r="D2684">
        <v>0</v>
      </c>
      <c r="E2684" s="29">
        <v>0</v>
      </c>
      <c r="F2684">
        <v>4.3</v>
      </c>
      <c r="G2684">
        <v>4.01</v>
      </c>
      <c r="H2684">
        <v>8.31</v>
      </c>
      <c r="I2684" s="29">
        <v>0.51739999999999997</v>
      </c>
      <c r="J2684" s="29">
        <v>0</v>
      </c>
      <c r="K2684" s="9">
        <v>45360</v>
      </c>
      <c r="L2684">
        <f xml:space="preserve"> (交易處理資料__3[[#This Row],[售出工時]] * 60) / 5</f>
        <v>0</v>
      </c>
      <c r="M2684" t="str">
        <f>VLOOKUP(交易處理資料__3[[#This Row],[人員代號]],團隊分組!$B$1:$C$52,2,FALSE)</f>
        <v>噴漆維修組</v>
      </c>
      <c r="N2684" t="str">
        <f>IF(交易處理資料__3[[#This Row],[上班時間]]=0,"否","是")</f>
        <v>是</v>
      </c>
      <c r="O2684" s="10" t="s">
        <v>74</v>
      </c>
      <c r="P2684" s="37">
        <v>0</v>
      </c>
      <c r="Q2684" s="37">
        <v>0</v>
      </c>
      <c r="R2684" s="37">
        <v>0.51739999999999997</v>
      </c>
    </row>
    <row r="2685" spans="1:18" hidden="1">
      <c r="A2685" s="10" t="s">
        <v>74</v>
      </c>
      <c r="B2685" t="s">
        <v>4</v>
      </c>
      <c r="C2685">
        <v>0</v>
      </c>
      <c r="D2685">
        <v>0</v>
      </c>
      <c r="E2685" s="29">
        <v>0</v>
      </c>
      <c r="F2685">
        <v>0</v>
      </c>
      <c r="G2685">
        <v>0</v>
      </c>
      <c r="H2685">
        <v>0</v>
      </c>
      <c r="I2685" s="29">
        <v>0</v>
      </c>
      <c r="J2685" s="29">
        <v>0</v>
      </c>
      <c r="K2685" s="9">
        <v>45360</v>
      </c>
      <c r="L2685">
        <f xml:space="preserve"> (交易處理資料__3[[#This Row],[售出工時]] * 60) / 5</f>
        <v>0</v>
      </c>
      <c r="M2685" t="str">
        <f>VLOOKUP(交易處理資料__3[[#This Row],[人員代號]],團隊分組!$B$1:$C$52,2,FALSE)</f>
        <v>噴漆維修組</v>
      </c>
      <c r="N2685" t="str">
        <f>IF(交易處理資料__3[[#This Row],[上班時間]]=0,"否","是")</f>
        <v>否</v>
      </c>
      <c r="O2685" s="10" t="s">
        <v>74</v>
      </c>
      <c r="P2685" s="38">
        <v>0</v>
      </c>
      <c r="Q2685" s="38">
        <v>0</v>
      </c>
      <c r="R2685" s="38">
        <v>0</v>
      </c>
    </row>
    <row r="2686" spans="1:18" hidden="1">
      <c r="A2686" s="10" t="s">
        <v>74</v>
      </c>
      <c r="B2686" t="s">
        <v>5</v>
      </c>
      <c r="C2686">
        <v>0</v>
      </c>
      <c r="D2686">
        <v>0</v>
      </c>
      <c r="E2686" s="29">
        <v>0</v>
      </c>
      <c r="F2686">
        <v>4.32</v>
      </c>
      <c r="G2686">
        <v>4</v>
      </c>
      <c r="H2686">
        <v>8.32</v>
      </c>
      <c r="I2686" s="29">
        <v>0.51919999999999999</v>
      </c>
      <c r="J2686" s="29">
        <v>0</v>
      </c>
      <c r="K2686" s="9">
        <v>45360</v>
      </c>
      <c r="L2686">
        <f xml:space="preserve"> (交易處理資料__3[[#This Row],[售出工時]] * 60) / 5</f>
        <v>0</v>
      </c>
      <c r="M2686" t="str">
        <f>VLOOKUP(交易處理資料__3[[#This Row],[人員代號]],團隊分組!$B$1:$C$52,2,FALSE)</f>
        <v>噴漆維修組</v>
      </c>
      <c r="N2686" t="str">
        <f>IF(交易處理資料__3[[#This Row],[上班時間]]=0,"否","是")</f>
        <v>是</v>
      </c>
      <c r="O2686" s="10" t="s">
        <v>74</v>
      </c>
      <c r="P2686" s="37">
        <v>0</v>
      </c>
      <c r="Q2686" s="37">
        <v>0</v>
      </c>
      <c r="R2686" s="37">
        <v>0.51919999999999999</v>
      </c>
    </row>
    <row r="2687" spans="1:18" hidden="1">
      <c r="A2687" s="10" t="s">
        <v>74</v>
      </c>
      <c r="B2687" t="s">
        <v>6</v>
      </c>
      <c r="C2687">
        <v>0</v>
      </c>
      <c r="D2687">
        <v>0</v>
      </c>
      <c r="E2687" s="29">
        <v>0</v>
      </c>
      <c r="F2687">
        <v>0</v>
      </c>
      <c r="G2687">
        <v>0</v>
      </c>
      <c r="H2687">
        <v>0</v>
      </c>
      <c r="I2687" s="29">
        <v>0</v>
      </c>
      <c r="J2687" s="29">
        <v>0</v>
      </c>
      <c r="K2687" s="9">
        <v>45360</v>
      </c>
      <c r="L2687">
        <f xml:space="preserve"> (交易處理資料__3[[#This Row],[售出工時]] * 60) / 5</f>
        <v>0</v>
      </c>
      <c r="M2687" t="str">
        <f>VLOOKUP(交易處理資料__3[[#This Row],[人員代號]],團隊分組!$B$1:$C$52,2,FALSE)</f>
        <v>噴漆維修組</v>
      </c>
      <c r="N2687" t="str">
        <f>IF(交易處理資料__3[[#This Row],[上班時間]]=0,"否","是")</f>
        <v>否</v>
      </c>
      <c r="O2687" s="10" t="s">
        <v>74</v>
      </c>
      <c r="P2687" s="38">
        <v>0</v>
      </c>
      <c r="Q2687" s="38">
        <v>0</v>
      </c>
      <c r="R2687" s="38">
        <v>0</v>
      </c>
    </row>
    <row r="2688" spans="1:18">
      <c r="A2688" s="10" t="s">
        <v>74</v>
      </c>
      <c r="B2688" t="s">
        <v>7</v>
      </c>
      <c r="C2688">
        <v>0</v>
      </c>
      <c r="D2688">
        <v>0</v>
      </c>
      <c r="E2688" s="29">
        <v>0</v>
      </c>
      <c r="F2688">
        <v>4.32</v>
      </c>
      <c r="G2688">
        <v>4</v>
      </c>
      <c r="H2688">
        <v>8.32</v>
      </c>
      <c r="I2688" s="29">
        <v>0.51919999999999999</v>
      </c>
      <c r="J2688" s="29">
        <v>0</v>
      </c>
      <c r="K2688" s="9">
        <v>45360</v>
      </c>
      <c r="L2688">
        <f xml:space="preserve"> (交易處理資料__3[[#This Row],[售出工時]] * 60) / 5</f>
        <v>0</v>
      </c>
      <c r="M2688" t="str">
        <f>VLOOKUP(交易處理資料__3[[#This Row],[人員代號]],團隊分組!$B$1:$C$52,2,FALSE)</f>
        <v>噴漆維修組</v>
      </c>
      <c r="N2688" t="str">
        <f>IF(交易處理資料__3[[#This Row],[上班時間]]=0,"否","是")</f>
        <v>是</v>
      </c>
      <c r="O2688" s="10" t="s">
        <v>74</v>
      </c>
      <c r="P2688" s="37">
        <v>0</v>
      </c>
      <c r="Q2688" s="37">
        <v>0</v>
      </c>
      <c r="R2688" s="37">
        <v>0.51919999999999999</v>
      </c>
    </row>
    <row r="2689" spans="1:18" hidden="1">
      <c r="A2689" s="10" t="s">
        <v>74</v>
      </c>
      <c r="B2689" t="s">
        <v>8</v>
      </c>
      <c r="C2689">
        <v>0</v>
      </c>
      <c r="D2689">
        <v>0</v>
      </c>
      <c r="E2689" s="29">
        <v>0</v>
      </c>
      <c r="F2689">
        <v>0</v>
      </c>
      <c r="G2689">
        <v>0</v>
      </c>
      <c r="H2689">
        <v>0</v>
      </c>
      <c r="I2689" s="29">
        <v>0</v>
      </c>
      <c r="J2689" s="29">
        <v>0</v>
      </c>
      <c r="K2689" s="9">
        <v>45360</v>
      </c>
      <c r="L2689">
        <f xml:space="preserve"> (交易處理資料__3[[#This Row],[售出工時]] * 60) / 5</f>
        <v>0</v>
      </c>
      <c r="M2689" t="str">
        <f>VLOOKUP(交易處理資料__3[[#This Row],[人員代號]],團隊分組!$B$1:$C$52,2,FALSE)</f>
        <v>噴漆維修組</v>
      </c>
      <c r="N2689" t="str">
        <f>IF(交易處理資料__3[[#This Row],[上班時間]]=0,"否","是")</f>
        <v>否</v>
      </c>
      <c r="O2689" s="10" t="s">
        <v>74</v>
      </c>
      <c r="P2689" s="38">
        <v>0</v>
      </c>
      <c r="Q2689" s="38">
        <v>0</v>
      </c>
      <c r="R2689" s="38">
        <v>0</v>
      </c>
    </row>
    <row r="2690" spans="1:18" hidden="1">
      <c r="A2690" s="10" t="s">
        <v>74</v>
      </c>
      <c r="B2690" t="s">
        <v>9</v>
      </c>
      <c r="C2690">
        <v>0</v>
      </c>
      <c r="D2690">
        <v>0</v>
      </c>
      <c r="E2690" s="29">
        <v>0</v>
      </c>
      <c r="F2690">
        <v>0</v>
      </c>
      <c r="G2690">
        <v>0</v>
      </c>
      <c r="H2690">
        <v>0</v>
      </c>
      <c r="I2690" s="29">
        <v>0</v>
      </c>
      <c r="J2690" s="29">
        <v>0</v>
      </c>
      <c r="K2690" s="9">
        <v>45360</v>
      </c>
      <c r="L2690">
        <f xml:space="preserve"> (交易處理資料__3[[#This Row],[售出工時]] * 60) / 5</f>
        <v>0</v>
      </c>
      <c r="M2690" t="str">
        <f>VLOOKUP(交易處理資料__3[[#This Row],[人員代號]],團隊分組!$B$1:$C$52,2,FALSE)</f>
        <v>噴漆維修組</v>
      </c>
      <c r="N2690" t="str">
        <f>IF(交易處理資料__3[[#This Row],[上班時間]]=0,"否","是")</f>
        <v>否</v>
      </c>
      <c r="O2690" s="10" t="s">
        <v>74</v>
      </c>
      <c r="P2690" s="37">
        <v>0</v>
      </c>
      <c r="Q2690" s="37">
        <v>0</v>
      </c>
      <c r="R2690" s="37">
        <v>0</v>
      </c>
    </row>
    <row r="2691" spans="1:18" hidden="1">
      <c r="A2691" t="s">
        <v>75</v>
      </c>
      <c r="B2691" t="s">
        <v>11</v>
      </c>
      <c r="C2691">
        <v>0</v>
      </c>
      <c r="D2691">
        <v>0</v>
      </c>
      <c r="E2691" s="29">
        <v>0</v>
      </c>
      <c r="F2691">
        <v>0</v>
      </c>
      <c r="G2691">
        <v>0</v>
      </c>
      <c r="H2691">
        <v>0</v>
      </c>
      <c r="I2691" s="29">
        <v>0</v>
      </c>
      <c r="J2691" s="29">
        <v>0</v>
      </c>
      <c r="K2691" s="9">
        <v>45360</v>
      </c>
      <c r="L2691">
        <f xml:space="preserve"> (交易處理資料__3[[#This Row],[售出工時]] * 60) / 5</f>
        <v>0</v>
      </c>
      <c r="M2691" t="str">
        <f>VLOOKUP(交易處理資料__3[[#This Row],[人員代號]],團隊分組!$B$1:$C$52,2,FALSE)</f>
        <v>鈑金維修組</v>
      </c>
      <c r="N2691" t="str">
        <f>IF(交易處理資料__3[[#This Row],[上班時間]]=0,"否","是")</f>
        <v>否</v>
      </c>
      <c r="O2691" t="s">
        <v>75</v>
      </c>
      <c r="P2691" s="38">
        <v>0</v>
      </c>
      <c r="Q2691" s="38">
        <v>0</v>
      </c>
      <c r="R2691" s="38">
        <v>0</v>
      </c>
    </row>
    <row r="2692" spans="1:18" hidden="1">
      <c r="A2692" t="s">
        <v>75</v>
      </c>
      <c r="B2692" t="s">
        <v>12</v>
      </c>
      <c r="C2692">
        <v>0</v>
      </c>
      <c r="D2692">
        <v>0</v>
      </c>
      <c r="E2692" s="29">
        <v>0</v>
      </c>
      <c r="F2692">
        <v>0</v>
      </c>
      <c r="G2692">
        <v>0</v>
      </c>
      <c r="H2692">
        <v>0</v>
      </c>
      <c r="I2692" s="29">
        <v>0</v>
      </c>
      <c r="J2692" s="29">
        <v>0</v>
      </c>
      <c r="K2692" s="9">
        <v>45360</v>
      </c>
      <c r="L2692">
        <f xml:space="preserve"> (交易處理資料__3[[#This Row],[售出工時]] * 60) / 5</f>
        <v>0</v>
      </c>
      <c r="M2692" t="str">
        <f>VLOOKUP(交易處理資料__3[[#This Row],[人員代號]],團隊分組!$B$1:$C$52,2,FALSE)</f>
        <v>鈑金維修組</v>
      </c>
      <c r="N2692" t="str">
        <f>IF(交易處理資料__3[[#This Row],[上班時間]]=0,"否","是")</f>
        <v>否</v>
      </c>
      <c r="O2692" t="s">
        <v>75</v>
      </c>
      <c r="P2692" s="37">
        <v>0</v>
      </c>
      <c r="Q2692" s="37">
        <v>0</v>
      </c>
      <c r="R2692" s="37">
        <v>0</v>
      </c>
    </row>
    <row r="2693" spans="1:18" hidden="1">
      <c r="A2693" t="s">
        <v>75</v>
      </c>
      <c r="B2693" t="s">
        <v>14</v>
      </c>
      <c r="C2693">
        <v>1.6</v>
      </c>
      <c r="D2693">
        <v>1.1299999999999999</v>
      </c>
      <c r="E2693" s="29">
        <v>1.415929204</v>
      </c>
      <c r="F2693">
        <v>6.47</v>
      </c>
      <c r="G2693">
        <v>1.8</v>
      </c>
      <c r="H2693">
        <v>8.27</v>
      </c>
      <c r="I2693" s="29">
        <v>0.7823</v>
      </c>
      <c r="J2693" s="29">
        <v>0.19350000000000001</v>
      </c>
      <c r="K2693" s="9">
        <v>45360</v>
      </c>
      <c r="L2693">
        <f xml:space="preserve"> (交易處理資料__3[[#This Row],[售出工時]] * 60) / 5</f>
        <v>19.2</v>
      </c>
      <c r="M2693" t="str">
        <f>VLOOKUP(交易處理資料__3[[#This Row],[人員代號]],團隊分組!$B$1:$C$52,2,FALSE)</f>
        <v>鈑金維修組</v>
      </c>
      <c r="N2693" t="str">
        <f>IF(交易處理資料__3[[#This Row],[上班時間]]=0,"否","是")</f>
        <v>是</v>
      </c>
      <c r="O2693" t="s">
        <v>75</v>
      </c>
      <c r="P2693" s="38">
        <v>1.415929204</v>
      </c>
      <c r="Q2693" s="38">
        <v>0.19350000000000001</v>
      </c>
      <c r="R2693" s="38">
        <v>0.7823</v>
      </c>
    </row>
    <row r="2694" spans="1:18" hidden="1">
      <c r="A2694" t="s">
        <v>75</v>
      </c>
      <c r="B2694" t="s">
        <v>15</v>
      </c>
      <c r="C2694">
        <v>0</v>
      </c>
      <c r="D2694">
        <v>0</v>
      </c>
      <c r="E2694" s="29">
        <v>0</v>
      </c>
      <c r="F2694">
        <v>0</v>
      </c>
      <c r="G2694">
        <v>0</v>
      </c>
      <c r="H2694">
        <v>0</v>
      </c>
      <c r="I2694" s="29">
        <v>0</v>
      </c>
      <c r="J2694" s="29">
        <v>0</v>
      </c>
      <c r="K2694" s="9">
        <v>45360</v>
      </c>
      <c r="L2694">
        <f xml:space="preserve"> (交易處理資料__3[[#This Row],[售出工時]] * 60) / 5</f>
        <v>0</v>
      </c>
      <c r="M2694" t="str">
        <f>VLOOKUP(交易處理資料__3[[#This Row],[人員代號]],團隊分組!$B$1:$C$52,2,FALSE)</f>
        <v>鈑金維修組</v>
      </c>
      <c r="N2694" t="str">
        <f>IF(交易處理資料__3[[#This Row],[上班時間]]=0,"否","是")</f>
        <v>否</v>
      </c>
      <c r="O2694" t="s">
        <v>75</v>
      </c>
      <c r="P2694" s="37">
        <v>0</v>
      </c>
      <c r="Q2694" s="37">
        <v>0</v>
      </c>
      <c r="R2694" s="37">
        <v>0</v>
      </c>
    </row>
    <row r="2695" spans="1:18" hidden="1">
      <c r="A2695" t="s">
        <v>76</v>
      </c>
      <c r="B2695" t="s">
        <v>17</v>
      </c>
      <c r="C2695">
        <v>6.5833333329999997</v>
      </c>
      <c r="D2695">
        <v>3.24</v>
      </c>
      <c r="E2695" s="29">
        <v>2.0318930040000001</v>
      </c>
      <c r="F2695">
        <v>4.74</v>
      </c>
      <c r="G2695">
        <v>3.2</v>
      </c>
      <c r="H2695">
        <v>7.94</v>
      </c>
      <c r="I2695" s="29">
        <v>0.59699999999999998</v>
      </c>
      <c r="J2695" s="29">
        <v>0.82909999999999995</v>
      </c>
      <c r="K2695" s="9">
        <v>45360</v>
      </c>
      <c r="L2695">
        <f xml:space="preserve"> (交易處理資料__3[[#This Row],[售出工時]] * 60) / 5</f>
        <v>78.999999996</v>
      </c>
      <c r="M2695" t="str">
        <f>VLOOKUP(交易處理資料__3[[#This Row],[人員代號]],團隊分組!$B$1:$C$52,2,FALSE)</f>
        <v>快速保養團隊A</v>
      </c>
      <c r="N2695" t="str">
        <f>IF(交易處理資料__3[[#This Row],[上班時間]]=0,"否","是")</f>
        <v>是</v>
      </c>
      <c r="O2695" t="s">
        <v>76</v>
      </c>
      <c r="P2695" s="38">
        <v>2.0318930040000001</v>
      </c>
      <c r="Q2695" s="38">
        <v>0.82909999999999995</v>
      </c>
      <c r="R2695" s="38">
        <v>0.59699999999999998</v>
      </c>
    </row>
    <row r="2696" spans="1:18" hidden="1">
      <c r="A2696" t="s">
        <v>76</v>
      </c>
      <c r="B2696" t="s">
        <v>18</v>
      </c>
      <c r="C2696">
        <v>3</v>
      </c>
      <c r="D2696">
        <v>2.38</v>
      </c>
      <c r="E2696" s="29">
        <v>1.2605042020000001</v>
      </c>
      <c r="F2696">
        <v>4.3600000000000003</v>
      </c>
      <c r="G2696">
        <v>3.51</v>
      </c>
      <c r="H2696">
        <v>7.87</v>
      </c>
      <c r="I2696" s="29">
        <v>0.55399999999999994</v>
      </c>
      <c r="J2696" s="29">
        <v>0.38119999999999998</v>
      </c>
      <c r="K2696" s="9">
        <v>45360</v>
      </c>
      <c r="L2696">
        <f xml:space="preserve"> (交易處理資料__3[[#This Row],[售出工時]] * 60) / 5</f>
        <v>36</v>
      </c>
      <c r="M2696" t="str">
        <f>VLOOKUP(交易處理資料__3[[#This Row],[人員代號]],團隊分組!$B$1:$C$52,2,FALSE)</f>
        <v>查修團隊B</v>
      </c>
      <c r="N2696" t="str">
        <f>IF(交易處理資料__3[[#This Row],[上班時間]]=0,"否","是")</f>
        <v>是</v>
      </c>
      <c r="O2696" t="s">
        <v>76</v>
      </c>
      <c r="P2696" s="37">
        <v>1.2605042020000001</v>
      </c>
      <c r="Q2696" s="37">
        <v>0.38119999999999998</v>
      </c>
      <c r="R2696" s="37">
        <v>0.55399999999999994</v>
      </c>
    </row>
    <row r="2697" spans="1:18" hidden="1">
      <c r="A2697" t="s">
        <v>76</v>
      </c>
      <c r="B2697" t="s">
        <v>19</v>
      </c>
      <c r="C2697">
        <v>4.47</v>
      </c>
      <c r="D2697">
        <v>5.14</v>
      </c>
      <c r="E2697" s="29">
        <v>0.86964980540000003</v>
      </c>
      <c r="F2697">
        <v>3.52</v>
      </c>
      <c r="G2697">
        <v>4.3499999999999996</v>
      </c>
      <c r="H2697">
        <v>7.87</v>
      </c>
      <c r="I2697" s="29">
        <v>0.44729999999999998</v>
      </c>
      <c r="J2697" s="29">
        <v>0.56799999999999995</v>
      </c>
      <c r="K2697" s="9">
        <v>45360</v>
      </c>
      <c r="L2697">
        <f xml:space="preserve"> (交易處理資料__3[[#This Row],[售出工時]] * 60) / 5</f>
        <v>53.64</v>
      </c>
      <c r="M2697" t="str">
        <f>VLOOKUP(交易處理資料__3[[#This Row],[人員代號]],團隊分組!$B$1:$C$52,2,FALSE)</f>
        <v>查修團隊A</v>
      </c>
      <c r="N2697" t="str">
        <f>IF(交易處理資料__3[[#This Row],[上班時間]]=0,"否","是")</f>
        <v>是</v>
      </c>
      <c r="O2697" t="s">
        <v>76</v>
      </c>
      <c r="P2697" s="38">
        <v>0.86964980540000003</v>
      </c>
      <c r="Q2697" s="38">
        <v>0.56799999999999995</v>
      </c>
      <c r="R2697" s="38">
        <v>0.44729999999999998</v>
      </c>
    </row>
    <row r="2698" spans="1:18" hidden="1">
      <c r="A2698" t="s">
        <v>76</v>
      </c>
      <c r="B2698" t="s">
        <v>20</v>
      </c>
      <c r="C2698">
        <v>0</v>
      </c>
      <c r="D2698">
        <v>0</v>
      </c>
      <c r="E2698" s="29">
        <v>0</v>
      </c>
      <c r="F2698">
        <v>4.18</v>
      </c>
      <c r="G2698">
        <v>3.72</v>
      </c>
      <c r="H2698">
        <v>7.9</v>
      </c>
      <c r="I2698" s="29">
        <v>0.52910000000000001</v>
      </c>
      <c r="J2698" s="29">
        <v>0</v>
      </c>
      <c r="K2698" s="9">
        <v>45360</v>
      </c>
      <c r="L2698">
        <f xml:space="preserve"> (交易處理資料__3[[#This Row],[售出工時]] * 60) / 5</f>
        <v>0</v>
      </c>
      <c r="M2698" t="str">
        <f>VLOOKUP(交易處理資料__3[[#This Row],[人員代號]],團隊分組!$B$1:$C$52,2,FALSE)</f>
        <v>查修團隊B</v>
      </c>
      <c r="N2698" t="str">
        <f>IF(交易處理資料__3[[#This Row],[上班時間]]=0,"否","是")</f>
        <v>是</v>
      </c>
      <c r="O2698" t="s">
        <v>76</v>
      </c>
      <c r="P2698" s="37">
        <v>0</v>
      </c>
      <c r="Q2698" s="37">
        <v>0</v>
      </c>
      <c r="R2698" s="37">
        <v>0.52910000000000001</v>
      </c>
    </row>
    <row r="2699" spans="1:18" hidden="1">
      <c r="A2699" t="s">
        <v>76</v>
      </c>
      <c r="B2699" t="s">
        <v>21</v>
      </c>
      <c r="C2699">
        <v>0</v>
      </c>
      <c r="D2699">
        <v>0</v>
      </c>
      <c r="E2699" s="29">
        <v>0</v>
      </c>
      <c r="F2699">
        <v>0</v>
      </c>
      <c r="G2699">
        <v>0</v>
      </c>
      <c r="H2699">
        <v>0</v>
      </c>
      <c r="I2699" s="29">
        <v>0</v>
      </c>
      <c r="J2699" s="29">
        <v>0</v>
      </c>
      <c r="K2699" s="9">
        <v>45360</v>
      </c>
      <c r="L2699">
        <f xml:space="preserve"> (交易處理資料__3[[#This Row],[售出工時]] * 60) / 5</f>
        <v>0</v>
      </c>
      <c r="M2699" t="str">
        <f>VLOOKUP(交易處理資料__3[[#This Row],[人員代號]],團隊分組!$B$1:$C$52,2,FALSE)</f>
        <v>查修團隊B</v>
      </c>
      <c r="N2699" t="str">
        <f>IF(交易處理資料__3[[#This Row],[上班時間]]=0,"否","是")</f>
        <v>否</v>
      </c>
      <c r="O2699" t="s">
        <v>76</v>
      </c>
      <c r="P2699" s="38">
        <v>0</v>
      </c>
      <c r="Q2699" s="38">
        <v>0</v>
      </c>
      <c r="R2699" s="38">
        <v>0</v>
      </c>
    </row>
    <row r="2700" spans="1:18" hidden="1">
      <c r="A2700" t="s">
        <v>76</v>
      </c>
      <c r="B2700" t="s">
        <v>22</v>
      </c>
      <c r="C2700">
        <v>4.9000000000000004</v>
      </c>
      <c r="D2700">
        <v>5.67</v>
      </c>
      <c r="E2700" s="29">
        <v>0.86419753089999995</v>
      </c>
      <c r="F2700">
        <v>5.67</v>
      </c>
      <c r="G2700">
        <v>1.68</v>
      </c>
      <c r="H2700">
        <v>7.35</v>
      </c>
      <c r="I2700" s="29">
        <v>0.77139999999999997</v>
      </c>
      <c r="J2700" s="29">
        <v>0.66670000000000007</v>
      </c>
      <c r="K2700" s="9">
        <v>45360</v>
      </c>
      <c r="L2700">
        <f xml:space="preserve"> (交易處理資料__3[[#This Row],[售出工時]] * 60) / 5</f>
        <v>58.8</v>
      </c>
      <c r="M2700" t="str">
        <f>VLOOKUP(交易處理資料__3[[#This Row],[人員代號]],團隊分組!$B$1:$C$52,2,FALSE)</f>
        <v>快速保養團隊A</v>
      </c>
      <c r="N2700" t="str">
        <f>IF(交易處理資料__3[[#This Row],[上班時間]]=0,"否","是")</f>
        <v>是</v>
      </c>
      <c r="O2700" t="s">
        <v>76</v>
      </c>
      <c r="P2700" s="37">
        <v>0.86419753089999995</v>
      </c>
      <c r="Q2700" s="37">
        <v>0.66670000000000007</v>
      </c>
      <c r="R2700" s="37">
        <v>0.77139999999999997</v>
      </c>
    </row>
    <row r="2701" spans="1:18" hidden="1">
      <c r="A2701" t="s">
        <v>76</v>
      </c>
      <c r="B2701" t="s">
        <v>24</v>
      </c>
      <c r="C2701">
        <v>7.7233333330000002</v>
      </c>
      <c r="D2701">
        <v>7.2</v>
      </c>
      <c r="E2701" s="29">
        <v>1.0726851850000001</v>
      </c>
      <c r="F2701">
        <v>5.85</v>
      </c>
      <c r="G2701">
        <v>2.12</v>
      </c>
      <c r="H2701">
        <v>7.97</v>
      </c>
      <c r="I2701" s="29">
        <v>0.7340000000000001</v>
      </c>
      <c r="J2701" s="29">
        <v>0.96909999999999996</v>
      </c>
      <c r="K2701" s="9">
        <v>45360</v>
      </c>
      <c r="L2701">
        <f xml:space="preserve"> (交易處理資料__3[[#This Row],[售出工時]] * 60) / 5</f>
        <v>92.679999996000006</v>
      </c>
      <c r="M2701" t="str">
        <f>VLOOKUP(交易處理資料__3[[#This Row],[人員代號]],團隊分組!$B$1:$C$52,2,FALSE)</f>
        <v>快速保養團隊A</v>
      </c>
      <c r="N2701" t="str">
        <f>IF(交易處理資料__3[[#This Row],[上班時間]]=0,"否","是")</f>
        <v>是</v>
      </c>
      <c r="O2701" t="s">
        <v>76</v>
      </c>
      <c r="P2701" s="38">
        <v>1.0726851850000001</v>
      </c>
      <c r="Q2701" s="38">
        <v>0.96909999999999996</v>
      </c>
      <c r="R2701" s="38">
        <v>0.7340000000000001</v>
      </c>
    </row>
    <row r="2702" spans="1:18" hidden="1">
      <c r="A2702" t="s">
        <v>76</v>
      </c>
      <c r="B2702" t="s">
        <v>25</v>
      </c>
      <c r="C2702">
        <v>3.76</v>
      </c>
      <c r="D2702">
        <v>3.53</v>
      </c>
      <c r="E2702" s="29">
        <v>1.065155807</v>
      </c>
      <c r="F2702">
        <v>3.53</v>
      </c>
      <c r="G2702">
        <v>4.33</v>
      </c>
      <c r="H2702">
        <v>7.86</v>
      </c>
      <c r="I2702" s="29">
        <v>0.44909999999999994</v>
      </c>
      <c r="J2702" s="29">
        <v>0.47840000000000005</v>
      </c>
      <c r="K2702" s="9">
        <v>45360</v>
      </c>
      <c r="L2702">
        <f xml:space="preserve"> (交易處理資料__3[[#This Row],[售出工時]] * 60) / 5</f>
        <v>45.12</v>
      </c>
      <c r="M2702" t="str">
        <f>VLOOKUP(交易處理資料__3[[#This Row],[人員代號]],團隊分組!$B$1:$C$52,2,FALSE)</f>
        <v>查修團隊A</v>
      </c>
      <c r="N2702" t="str">
        <f>IF(交易處理資料__3[[#This Row],[上班時間]]=0,"否","是")</f>
        <v>是</v>
      </c>
      <c r="O2702" t="s">
        <v>76</v>
      </c>
      <c r="P2702" s="37">
        <v>1.065155807</v>
      </c>
      <c r="Q2702" s="37">
        <v>0.47840000000000005</v>
      </c>
      <c r="R2702" s="37">
        <v>0.44909999999999994</v>
      </c>
    </row>
    <row r="2703" spans="1:18" hidden="1">
      <c r="A2703" t="s">
        <v>76</v>
      </c>
      <c r="B2703" t="s">
        <v>26</v>
      </c>
      <c r="C2703">
        <v>0</v>
      </c>
      <c r="D2703">
        <v>0</v>
      </c>
      <c r="E2703" s="29">
        <v>0</v>
      </c>
      <c r="F2703">
        <v>0</v>
      </c>
      <c r="G2703">
        <v>0</v>
      </c>
      <c r="H2703">
        <v>0</v>
      </c>
      <c r="I2703" s="29">
        <v>0</v>
      </c>
      <c r="J2703" s="29">
        <v>0</v>
      </c>
      <c r="K2703" s="9">
        <v>45360</v>
      </c>
      <c r="L2703">
        <f xml:space="preserve"> (交易處理資料__3[[#This Row],[售出工時]] * 60) / 5</f>
        <v>0</v>
      </c>
      <c r="M2703" t="str">
        <f>VLOOKUP(交易處理資料__3[[#This Row],[人員代號]],團隊分組!$B$1:$C$52,2,FALSE)</f>
        <v>查修團隊B</v>
      </c>
      <c r="N2703" t="str">
        <f>IF(交易處理資料__3[[#This Row],[上班時間]]=0,"否","是")</f>
        <v>否</v>
      </c>
      <c r="O2703" t="s">
        <v>76</v>
      </c>
      <c r="P2703" s="38">
        <v>0</v>
      </c>
      <c r="Q2703" s="38">
        <v>0</v>
      </c>
      <c r="R2703" s="38">
        <v>0</v>
      </c>
    </row>
    <row r="2704" spans="1:18" hidden="1">
      <c r="A2704" t="s">
        <v>76</v>
      </c>
      <c r="B2704" t="s">
        <v>27</v>
      </c>
      <c r="C2704">
        <v>0</v>
      </c>
      <c r="D2704">
        <v>0</v>
      </c>
      <c r="E2704" s="29">
        <v>0</v>
      </c>
      <c r="F2704">
        <v>0</v>
      </c>
      <c r="G2704">
        <v>0</v>
      </c>
      <c r="H2704">
        <v>0</v>
      </c>
      <c r="I2704" s="29">
        <v>0</v>
      </c>
      <c r="J2704" s="29">
        <v>0</v>
      </c>
      <c r="K2704" s="9">
        <v>45360</v>
      </c>
      <c r="L2704">
        <f xml:space="preserve"> (交易處理資料__3[[#This Row],[售出工時]] * 60) / 5</f>
        <v>0</v>
      </c>
      <c r="M2704" t="str">
        <f>VLOOKUP(交易處理資料__3[[#This Row],[人員代號]],團隊分組!$B$1:$C$52,2,FALSE)</f>
        <v>快速保養團隊B</v>
      </c>
      <c r="N2704" t="str">
        <f>IF(交易處理資料__3[[#This Row],[上班時間]]=0,"否","是")</f>
        <v>否</v>
      </c>
      <c r="O2704" t="s">
        <v>76</v>
      </c>
      <c r="P2704" s="37">
        <v>0</v>
      </c>
      <c r="Q2704" s="37">
        <v>0</v>
      </c>
      <c r="R2704" s="37">
        <v>0</v>
      </c>
    </row>
    <row r="2705" spans="1:18" hidden="1">
      <c r="A2705" t="s">
        <v>76</v>
      </c>
      <c r="B2705" t="s">
        <v>28</v>
      </c>
      <c r="C2705">
        <v>0</v>
      </c>
      <c r="D2705">
        <v>0</v>
      </c>
      <c r="E2705" s="29">
        <v>0</v>
      </c>
      <c r="F2705">
        <v>0</v>
      </c>
      <c r="G2705">
        <v>0</v>
      </c>
      <c r="H2705">
        <v>0</v>
      </c>
      <c r="I2705" s="29">
        <v>0</v>
      </c>
      <c r="J2705" s="29">
        <v>0</v>
      </c>
      <c r="K2705" s="9">
        <v>45360</v>
      </c>
      <c r="L2705">
        <f xml:space="preserve"> (交易處理資料__3[[#This Row],[售出工時]] * 60) / 5</f>
        <v>0</v>
      </c>
      <c r="M2705" t="str">
        <f>VLOOKUP(交易處理資料__3[[#This Row],[人員代號]],團隊分組!$B$1:$C$52,2,FALSE)</f>
        <v>快速保養團隊A</v>
      </c>
      <c r="N2705" t="str">
        <f>IF(交易處理資料__3[[#This Row],[上班時間]]=0,"否","是")</f>
        <v>否</v>
      </c>
      <c r="O2705" t="s">
        <v>76</v>
      </c>
      <c r="P2705" s="38">
        <v>0</v>
      </c>
      <c r="Q2705" s="38">
        <v>0</v>
      </c>
      <c r="R2705" s="38">
        <v>0</v>
      </c>
    </row>
    <row r="2706" spans="1:18" hidden="1">
      <c r="A2706" t="s">
        <v>76</v>
      </c>
      <c r="B2706" t="s">
        <v>29</v>
      </c>
      <c r="C2706">
        <v>0</v>
      </c>
      <c r="D2706">
        <v>0</v>
      </c>
      <c r="E2706" s="29">
        <v>0</v>
      </c>
      <c r="F2706">
        <v>0</v>
      </c>
      <c r="G2706">
        <v>0</v>
      </c>
      <c r="H2706">
        <v>0</v>
      </c>
      <c r="I2706" s="29">
        <v>0</v>
      </c>
      <c r="J2706" s="29">
        <v>0</v>
      </c>
      <c r="K2706" s="9">
        <v>45360</v>
      </c>
      <c r="L2706">
        <f xml:space="preserve"> (交易處理資料__3[[#This Row],[售出工時]] * 60) / 5</f>
        <v>0</v>
      </c>
      <c r="M2706" t="str">
        <f>VLOOKUP(交易處理資料__3[[#This Row],[人員代號]],團隊分組!$B$1:$C$52,2,FALSE)</f>
        <v>查修團隊B</v>
      </c>
      <c r="N2706" t="str">
        <f>IF(交易處理資料__3[[#This Row],[上班時間]]=0,"否","是")</f>
        <v>否</v>
      </c>
      <c r="O2706" t="s">
        <v>76</v>
      </c>
      <c r="P2706" s="37">
        <v>0</v>
      </c>
      <c r="Q2706" s="37">
        <v>0</v>
      </c>
      <c r="R2706" s="37">
        <v>0</v>
      </c>
    </row>
    <row r="2707" spans="1:18" hidden="1">
      <c r="A2707" t="s">
        <v>76</v>
      </c>
      <c r="B2707" t="s">
        <v>30</v>
      </c>
      <c r="C2707">
        <v>0</v>
      </c>
      <c r="D2707">
        <v>0</v>
      </c>
      <c r="E2707" s="29">
        <v>0</v>
      </c>
      <c r="F2707">
        <v>0</v>
      </c>
      <c r="G2707">
        <v>0</v>
      </c>
      <c r="H2707">
        <v>0</v>
      </c>
      <c r="I2707" s="29">
        <v>0</v>
      </c>
      <c r="J2707" s="29">
        <v>0</v>
      </c>
      <c r="K2707" s="9">
        <v>45360</v>
      </c>
      <c r="L2707">
        <f xml:space="preserve"> (交易處理資料__3[[#This Row],[售出工時]] * 60) / 5</f>
        <v>0</v>
      </c>
      <c r="M2707" t="str">
        <f>VLOOKUP(交易處理資料__3[[#This Row],[人員代號]],團隊分組!$B$1:$C$52,2,FALSE)</f>
        <v>快速保養團隊B</v>
      </c>
      <c r="N2707" t="str">
        <f>IF(交易處理資料__3[[#This Row],[上班時間]]=0,"否","是")</f>
        <v>否</v>
      </c>
      <c r="O2707" t="s">
        <v>76</v>
      </c>
      <c r="P2707" s="38">
        <v>0</v>
      </c>
      <c r="Q2707" s="38">
        <v>0</v>
      </c>
      <c r="R2707" s="38">
        <v>0</v>
      </c>
    </row>
    <row r="2708" spans="1:18" hidden="1">
      <c r="A2708" t="s">
        <v>76</v>
      </c>
      <c r="B2708" t="s">
        <v>32</v>
      </c>
      <c r="C2708">
        <v>12.186666669999999</v>
      </c>
      <c r="D2708">
        <v>5.42</v>
      </c>
      <c r="E2708" s="29">
        <v>2.2484624850000001</v>
      </c>
      <c r="F2708">
        <v>4.26</v>
      </c>
      <c r="G2708">
        <v>3.61</v>
      </c>
      <c r="H2708">
        <v>7.87</v>
      </c>
      <c r="I2708" s="29">
        <v>0.5413</v>
      </c>
      <c r="J2708" s="29">
        <v>1.5485</v>
      </c>
      <c r="K2708" s="9">
        <v>45360</v>
      </c>
      <c r="L2708">
        <f xml:space="preserve"> (交易處理資料__3[[#This Row],[售出工時]] * 60) / 5</f>
        <v>146.24000003999998</v>
      </c>
      <c r="M2708" t="str">
        <f>VLOOKUP(交易處理資料__3[[#This Row],[人員代號]],團隊分組!$B$1:$C$52,2,FALSE)</f>
        <v>快速保養團隊B</v>
      </c>
      <c r="N2708" t="str">
        <f>IF(交易處理資料__3[[#This Row],[上班時間]]=0,"否","是")</f>
        <v>是</v>
      </c>
      <c r="O2708" t="s">
        <v>76</v>
      </c>
      <c r="P2708" s="37">
        <v>2.2484624850000001</v>
      </c>
      <c r="Q2708" s="37">
        <v>1.5485</v>
      </c>
      <c r="R2708" s="37">
        <v>0.5413</v>
      </c>
    </row>
    <row r="2709" spans="1:18" hidden="1">
      <c r="A2709" t="s">
        <v>76</v>
      </c>
      <c r="B2709" t="s">
        <v>34</v>
      </c>
      <c r="C2709">
        <v>9.1666666669999994</v>
      </c>
      <c r="D2709">
        <v>3.85</v>
      </c>
      <c r="E2709" s="29">
        <v>2.3809523809999997</v>
      </c>
      <c r="F2709">
        <v>3.85</v>
      </c>
      <c r="G2709">
        <v>4.0199999999999996</v>
      </c>
      <c r="H2709">
        <v>7.87</v>
      </c>
      <c r="I2709" s="29">
        <v>0.48920000000000002</v>
      </c>
      <c r="J2709" s="29">
        <v>1.1648000000000001</v>
      </c>
      <c r="K2709" s="9">
        <v>45360</v>
      </c>
      <c r="L2709">
        <f xml:space="preserve"> (交易處理資料__3[[#This Row],[售出工時]] * 60) / 5</f>
        <v>110.000000004</v>
      </c>
      <c r="M2709" t="str">
        <f>VLOOKUP(交易處理資料__3[[#This Row],[人員代號]],團隊分組!$B$1:$C$52,2,FALSE)</f>
        <v>快速保養團隊A</v>
      </c>
      <c r="N2709" t="str">
        <f>IF(交易處理資料__3[[#This Row],[上班時間]]=0,"否","是")</f>
        <v>是</v>
      </c>
      <c r="O2709" t="s">
        <v>76</v>
      </c>
      <c r="P2709" s="38">
        <v>2.3809523809999997</v>
      </c>
      <c r="Q2709" s="38">
        <v>1.1648000000000001</v>
      </c>
      <c r="R2709" s="38">
        <v>0.48920000000000002</v>
      </c>
    </row>
    <row r="2710" spans="1:18" hidden="1">
      <c r="A2710" t="s">
        <v>76</v>
      </c>
      <c r="B2710" t="s">
        <v>35</v>
      </c>
      <c r="C2710">
        <v>0</v>
      </c>
      <c r="D2710">
        <v>0</v>
      </c>
      <c r="E2710" s="29">
        <v>0</v>
      </c>
      <c r="F2710">
        <v>5.57</v>
      </c>
      <c r="G2710">
        <v>2.3199999999999998</v>
      </c>
      <c r="H2710">
        <v>7.89</v>
      </c>
      <c r="I2710" s="29">
        <v>0.70599999999999996</v>
      </c>
      <c r="J2710" s="29">
        <v>0</v>
      </c>
      <c r="K2710" s="9">
        <v>45360</v>
      </c>
      <c r="L2710">
        <f xml:space="preserve"> (交易處理資料__3[[#This Row],[售出工時]] * 60) / 5</f>
        <v>0</v>
      </c>
      <c r="M2710" t="str">
        <f>VLOOKUP(交易處理資料__3[[#This Row],[人員代號]],團隊分組!$B$1:$C$52,2,FALSE)</f>
        <v>查修團隊B</v>
      </c>
      <c r="N2710" t="str">
        <f>IF(交易處理資料__3[[#This Row],[上班時間]]=0,"否","是")</f>
        <v>是</v>
      </c>
      <c r="O2710" t="s">
        <v>76</v>
      </c>
      <c r="P2710" s="37">
        <v>0</v>
      </c>
      <c r="Q2710" s="37">
        <v>0</v>
      </c>
      <c r="R2710" s="37">
        <v>0.70599999999999996</v>
      </c>
    </row>
    <row r="2711" spans="1:18" hidden="1">
      <c r="A2711" t="s">
        <v>76</v>
      </c>
      <c r="B2711" t="s">
        <v>36</v>
      </c>
      <c r="C2711">
        <v>0</v>
      </c>
      <c r="D2711">
        <v>0</v>
      </c>
      <c r="E2711" s="29">
        <v>0</v>
      </c>
      <c r="F2711">
        <v>0</v>
      </c>
      <c r="G2711">
        <v>0</v>
      </c>
      <c r="H2711">
        <v>0</v>
      </c>
      <c r="I2711" s="29">
        <v>0</v>
      </c>
      <c r="J2711" s="29">
        <v>0</v>
      </c>
      <c r="K2711" s="9">
        <v>45360</v>
      </c>
      <c r="L2711">
        <f xml:space="preserve"> (交易處理資料__3[[#This Row],[售出工時]] * 60) / 5</f>
        <v>0</v>
      </c>
      <c r="M2711" t="str">
        <f>VLOOKUP(交易處理資料__3[[#This Row],[人員代號]],團隊分組!$B$1:$C$52,2,FALSE)</f>
        <v>查修團隊B</v>
      </c>
      <c r="N2711" t="str">
        <f>IF(交易處理資料__3[[#This Row],[上班時間]]=0,"否","是")</f>
        <v>否</v>
      </c>
      <c r="O2711" t="s">
        <v>76</v>
      </c>
      <c r="P2711" s="38">
        <v>0</v>
      </c>
      <c r="Q2711" s="38">
        <v>0</v>
      </c>
      <c r="R2711" s="38">
        <v>0</v>
      </c>
    </row>
    <row r="2712" spans="1:18" hidden="1">
      <c r="A2712" t="s">
        <v>76</v>
      </c>
      <c r="B2712" t="s">
        <v>37</v>
      </c>
      <c r="C2712">
        <v>3.7833333329999999</v>
      </c>
      <c r="D2712">
        <v>5.3</v>
      </c>
      <c r="E2712" s="29">
        <v>0.71383647800000005</v>
      </c>
      <c r="F2712">
        <v>5.2</v>
      </c>
      <c r="G2712">
        <v>2.69</v>
      </c>
      <c r="H2712">
        <v>7.89</v>
      </c>
      <c r="I2712" s="29">
        <v>0.65910000000000002</v>
      </c>
      <c r="J2712" s="29">
        <v>0.47950000000000004</v>
      </c>
      <c r="K2712" s="9">
        <v>45360</v>
      </c>
      <c r="L2712">
        <f xml:space="preserve"> (交易處理資料__3[[#This Row],[售出工時]] * 60) / 5</f>
        <v>45.399999995999998</v>
      </c>
      <c r="M2712" t="str">
        <f>VLOOKUP(交易處理資料__3[[#This Row],[人員代號]],團隊分組!$B$1:$C$52,2,FALSE)</f>
        <v>查修團隊A</v>
      </c>
      <c r="N2712" t="str">
        <f>IF(交易處理資料__3[[#This Row],[上班時間]]=0,"否","是")</f>
        <v>是</v>
      </c>
      <c r="O2712" t="s">
        <v>76</v>
      </c>
      <c r="P2712" s="37">
        <v>0.71383647800000005</v>
      </c>
      <c r="Q2712" s="37">
        <v>0.47950000000000004</v>
      </c>
      <c r="R2712" s="37">
        <v>0.65910000000000002</v>
      </c>
    </row>
    <row r="2713" spans="1:18" hidden="1">
      <c r="A2713" t="s">
        <v>76</v>
      </c>
      <c r="B2713" t="s">
        <v>38</v>
      </c>
      <c r="C2713">
        <v>3.23</v>
      </c>
      <c r="D2713">
        <v>4.5599999999999996</v>
      </c>
      <c r="E2713" s="29">
        <v>0.70833333330000003</v>
      </c>
      <c r="F2713">
        <v>5.13</v>
      </c>
      <c r="G2713">
        <v>2.74</v>
      </c>
      <c r="H2713">
        <v>7.87</v>
      </c>
      <c r="I2713" s="29">
        <v>0.65180000000000005</v>
      </c>
      <c r="J2713" s="29">
        <v>0.41039999999999999</v>
      </c>
      <c r="K2713" s="9">
        <v>45360</v>
      </c>
      <c r="L2713">
        <f xml:space="preserve"> (交易處理資料__3[[#This Row],[售出工時]] * 60) / 5</f>
        <v>38.760000000000005</v>
      </c>
      <c r="M2713" t="str">
        <f>VLOOKUP(交易處理資料__3[[#This Row],[人員代號]],團隊分組!$B$1:$C$52,2,FALSE)</f>
        <v>快速保養團隊A</v>
      </c>
      <c r="N2713" t="str">
        <f>IF(交易處理資料__3[[#This Row],[上班時間]]=0,"否","是")</f>
        <v>是</v>
      </c>
      <c r="O2713" t="s">
        <v>76</v>
      </c>
      <c r="P2713" s="38">
        <v>0.70833333330000003</v>
      </c>
      <c r="Q2713" s="38">
        <v>0.41039999999999999</v>
      </c>
      <c r="R2713" s="38">
        <v>0.65180000000000005</v>
      </c>
    </row>
    <row r="2714" spans="1:18" hidden="1">
      <c r="A2714" t="s">
        <v>76</v>
      </c>
      <c r="B2714" t="s">
        <v>41</v>
      </c>
      <c r="C2714">
        <v>5.3666666669999996</v>
      </c>
      <c r="D2714">
        <v>4.8499999999999996</v>
      </c>
      <c r="E2714" s="29">
        <v>1.1065292100000002</v>
      </c>
      <c r="F2714">
        <v>5.68</v>
      </c>
      <c r="G2714">
        <v>2.17</v>
      </c>
      <c r="H2714">
        <v>7.85</v>
      </c>
      <c r="I2714" s="29">
        <v>0.72360000000000002</v>
      </c>
      <c r="J2714" s="29">
        <v>0.68370000000000009</v>
      </c>
      <c r="K2714" s="9">
        <v>45360</v>
      </c>
      <c r="L2714">
        <f xml:space="preserve"> (交易處理資料__3[[#This Row],[售出工時]] * 60) / 5</f>
        <v>64.400000003999992</v>
      </c>
      <c r="M2714" t="str">
        <f>VLOOKUP(交易處理資料__3[[#This Row],[人員代號]],團隊分組!$B$1:$C$52,2,FALSE)</f>
        <v>快速保養團隊A</v>
      </c>
      <c r="N2714" t="str">
        <f>IF(交易處理資料__3[[#This Row],[上班時間]]=0,"否","是")</f>
        <v>是</v>
      </c>
      <c r="O2714" t="s">
        <v>76</v>
      </c>
      <c r="P2714" s="37">
        <v>1.1065292100000002</v>
      </c>
      <c r="Q2714" s="37">
        <v>0.68370000000000009</v>
      </c>
      <c r="R2714" s="37">
        <v>0.72360000000000002</v>
      </c>
    </row>
    <row r="2715" spans="1:18" hidden="1">
      <c r="A2715" t="s">
        <v>76</v>
      </c>
      <c r="B2715" t="s">
        <v>42</v>
      </c>
      <c r="C2715">
        <v>0</v>
      </c>
      <c r="D2715">
        <v>0</v>
      </c>
      <c r="E2715" s="29">
        <v>0</v>
      </c>
      <c r="F2715">
        <v>0</v>
      </c>
      <c r="G2715">
        <v>0</v>
      </c>
      <c r="H2715">
        <v>0</v>
      </c>
      <c r="I2715" s="29">
        <v>0</v>
      </c>
      <c r="J2715" s="29">
        <v>0</v>
      </c>
      <c r="K2715" s="9">
        <v>45360</v>
      </c>
      <c r="L2715">
        <f xml:space="preserve"> (交易處理資料__3[[#This Row],[售出工時]] * 60) / 5</f>
        <v>0</v>
      </c>
      <c r="M2715" t="str">
        <f>VLOOKUP(交易處理資料__3[[#This Row],[人員代號]],團隊分組!$B$1:$C$52,2,FALSE)</f>
        <v>快速保養團隊A</v>
      </c>
      <c r="N2715" t="str">
        <f>IF(交易處理資料__3[[#This Row],[上班時間]]=0,"否","是")</f>
        <v>否</v>
      </c>
      <c r="O2715" t="s">
        <v>76</v>
      </c>
      <c r="P2715" s="38">
        <v>0</v>
      </c>
      <c r="Q2715" s="38">
        <v>0</v>
      </c>
      <c r="R2715" s="38">
        <v>0</v>
      </c>
    </row>
    <row r="2716" spans="1:18" hidden="1">
      <c r="A2716" t="s">
        <v>76</v>
      </c>
      <c r="B2716" t="s">
        <v>43</v>
      </c>
      <c r="C2716">
        <v>1.4166666670000001</v>
      </c>
      <c r="D2716">
        <v>2.1</v>
      </c>
      <c r="E2716" s="29">
        <v>0.67460317459999997</v>
      </c>
      <c r="F2716">
        <v>5.52</v>
      </c>
      <c r="G2716">
        <v>2.39</v>
      </c>
      <c r="H2716">
        <v>7.91</v>
      </c>
      <c r="I2716" s="29">
        <v>0.69790000000000008</v>
      </c>
      <c r="J2716" s="29">
        <v>0.17910000000000001</v>
      </c>
      <c r="K2716" s="9">
        <v>45360</v>
      </c>
      <c r="L2716">
        <f xml:space="preserve"> (交易處理資料__3[[#This Row],[售出工時]] * 60) / 5</f>
        <v>17.000000004</v>
      </c>
      <c r="M2716" t="str">
        <f>VLOOKUP(交易處理資料__3[[#This Row],[人員代號]],團隊分組!$B$1:$C$52,2,FALSE)</f>
        <v>查修團隊B</v>
      </c>
      <c r="N2716" t="str">
        <f>IF(交易處理資料__3[[#This Row],[上班時間]]=0,"否","是")</f>
        <v>是</v>
      </c>
      <c r="O2716" t="s">
        <v>76</v>
      </c>
      <c r="P2716" s="37">
        <v>0.67460317459999997</v>
      </c>
      <c r="Q2716" s="37">
        <v>0.17910000000000001</v>
      </c>
      <c r="R2716" s="37">
        <v>0.69790000000000008</v>
      </c>
    </row>
    <row r="2717" spans="1:18" hidden="1">
      <c r="A2717" t="s">
        <v>76</v>
      </c>
      <c r="B2717" t="s">
        <v>44</v>
      </c>
      <c r="C2717">
        <v>0</v>
      </c>
      <c r="D2717">
        <v>0</v>
      </c>
      <c r="E2717" s="29">
        <v>0</v>
      </c>
      <c r="F2717">
        <v>0</v>
      </c>
      <c r="G2717">
        <v>0</v>
      </c>
      <c r="H2717">
        <v>0</v>
      </c>
      <c r="I2717" s="29">
        <v>0</v>
      </c>
      <c r="J2717" s="29">
        <v>0</v>
      </c>
      <c r="K2717" s="9">
        <v>45360</v>
      </c>
      <c r="L2717">
        <f xml:space="preserve"> (交易處理資料__3[[#This Row],[售出工時]] * 60) / 5</f>
        <v>0</v>
      </c>
      <c r="M2717" t="str">
        <f>VLOOKUP(交易處理資料__3[[#This Row],[人員代號]],團隊分組!$B$1:$C$52,2,FALSE)</f>
        <v>快速保養團隊B</v>
      </c>
      <c r="N2717" t="str">
        <f>IF(交易處理資料__3[[#This Row],[上班時間]]=0,"否","是")</f>
        <v>否</v>
      </c>
      <c r="O2717" t="s">
        <v>76</v>
      </c>
      <c r="P2717" s="38">
        <v>0</v>
      </c>
      <c r="Q2717" s="38">
        <v>0</v>
      </c>
      <c r="R2717" s="38">
        <v>0</v>
      </c>
    </row>
    <row r="2718" spans="1:18" hidden="1">
      <c r="A2718" t="s">
        <v>76</v>
      </c>
      <c r="B2718" t="s">
        <v>46</v>
      </c>
      <c r="C2718">
        <v>3.5833333330000001</v>
      </c>
      <c r="D2718">
        <v>1.05</v>
      </c>
      <c r="E2718" s="29">
        <v>3.4126984129999998</v>
      </c>
      <c r="F2718">
        <v>2.69</v>
      </c>
      <c r="G2718">
        <v>5.2</v>
      </c>
      <c r="H2718">
        <v>7.89</v>
      </c>
      <c r="I2718" s="29">
        <v>0.34090000000000004</v>
      </c>
      <c r="J2718" s="29">
        <v>0.45419999999999999</v>
      </c>
      <c r="K2718" s="9">
        <v>45360</v>
      </c>
      <c r="L2718">
        <f xml:space="preserve"> (交易處理資料__3[[#This Row],[售出工時]] * 60) / 5</f>
        <v>42.999999996</v>
      </c>
      <c r="M2718" t="str">
        <f>VLOOKUP(交易處理資料__3[[#This Row],[人員代號]],團隊分組!$B$1:$C$52,2,FALSE)</f>
        <v>查修團隊B</v>
      </c>
      <c r="N2718" t="str">
        <f>IF(交易處理資料__3[[#This Row],[上班時間]]=0,"否","是")</f>
        <v>是</v>
      </c>
      <c r="O2718" t="s">
        <v>76</v>
      </c>
      <c r="P2718" s="37">
        <v>3.4126984129999998</v>
      </c>
      <c r="Q2718" s="37">
        <v>0.45419999999999999</v>
      </c>
      <c r="R2718" s="37">
        <v>0.34090000000000004</v>
      </c>
    </row>
    <row r="2719" spans="1:18" hidden="1">
      <c r="A2719" t="s">
        <v>76</v>
      </c>
      <c r="B2719" t="s">
        <v>47</v>
      </c>
      <c r="C2719">
        <v>7.0833333329999997</v>
      </c>
      <c r="D2719">
        <v>6.06</v>
      </c>
      <c r="E2719" s="29">
        <v>1.1688668869999999</v>
      </c>
      <c r="F2719">
        <v>3.24</v>
      </c>
      <c r="G2719">
        <v>4.6500000000000004</v>
      </c>
      <c r="H2719">
        <v>7.89</v>
      </c>
      <c r="I2719" s="29">
        <v>0.41060000000000002</v>
      </c>
      <c r="J2719" s="29">
        <v>0.89780000000000004</v>
      </c>
      <c r="K2719" s="9">
        <v>45360</v>
      </c>
      <c r="L2719">
        <f xml:space="preserve"> (交易處理資料__3[[#This Row],[售出工時]] * 60) / 5</f>
        <v>84.999999996</v>
      </c>
      <c r="M2719" t="str">
        <f>VLOOKUP(交易處理資料__3[[#This Row],[人員代號]],團隊分組!$B$1:$C$52,2,FALSE)</f>
        <v>查修團隊B</v>
      </c>
      <c r="N2719" t="str">
        <f>IF(交易處理資料__3[[#This Row],[上班時間]]=0,"否","是")</f>
        <v>是</v>
      </c>
      <c r="O2719" t="s">
        <v>76</v>
      </c>
      <c r="P2719" s="38">
        <v>1.1688668869999999</v>
      </c>
      <c r="Q2719" s="38">
        <v>0.89780000000000004</v>
      </c>
      <c r="R2719" s="38">
        <v>0.41060000000000002</v>
      </c>
    </row>
    <row r="2720" spans="1:18" hidden="1">
      <c r="A2720" t="s">
        <v>76</v>
      </c>
      <c r="B2720" t="s">
        <v>48</v>
      </c>
      <c r="C2720">
        <v>0</v>
      </c>
      <c r="D2720">
        <v>0</v>
      </c>
      <c r="E2720" s="29">
        <v>0</v>
      </c>
      <c r="F2720">
        <v>0</v>
      </c>
      <c r="G2720">
        <v>0</v>
      </c>
      <c r="H2720">
        <v>0</v>
      </c>
      <c r="I2720" s="29">
        <v>0</v>
      </c>
      <c r="J2720" s="29">
        <v>0</v>
      </c>
      <c r="K2720" s="9">
        <v>45360</v>
      </c>
      <c r="L2720">
        <f xml:space="preserve"> (交易處理資料__3[[#This Row],[售出工時]] * 60) / 5</f>
        <v>0</v>
      </c>
      <c r="M2720" t="str">
        <f>VLOOKUP(交易處理資料__3[[#This Row],[人員代號]],團隊分組!$B$1:$C$52,2,FALSE)</f>
        <v>查修團隊A</v>
      </c>
      <c r="N2720" t="str">
        <f>IF(交易處理資料__3[[#This Row],[上班時間]]=0,"否","是")</f>
        <v>否</v>
      </c>
      <c r="O2720" t="s">
        <v>76</v>
      </c>
      <c r="P2720" s="37">
        <v>0</v>
      </c>
      <c r="Q2720" s="37">
        <v>0</v>
      </c>
      <c r="R2720" s="37">
        <v>0</v>
      </c>
    </row>
    <row r="2721" spans="1:18" hidden="1">
      <c r="A2721" t="s">
        <v>76</v>
      </c>
      <c r="B2721" t="s">
        <v>50</v>
      </c>
      <c r="C2721">
        <v>0</v>
      </c>
      <c r="D2721">
        <v>0</v>
      </c>
      <c r="E2721" s="29">
        <v>0</v>
      </c>
      <c r="F2721">
        <v>0</v>
      </c>
      <c r="G2721">
        <v>0</v>
      </c>
      <c r="H2721">
        <v>0</v>
      </c>
      <c r="I2721" s="29">
        <v>0</v>
      </c>
      <c r="J2721" s="29">
        <v>0</v>
      </c>
      <c r="K2721" s="9">
        <v>45360</v>
      </c>
      <c r="L2721">
        <f xml:space="preserve"> (交易處理資料__3[[#This Row],[售出工時]] * 60) / 5</f>
        <v>0</v>
      </c>
      <c r="M2721" t="str">
        <f>VLOOKUP(交易處理資料__3[[#This Row],[人員代號]],團隊分組!$B$1:$C$52,2,FALSE)</f>
        <v>快速保養團隊B</v>
      </c>
      <c r="N2721" t="str">
        <f>IF(交易處理資料__3[[#This Row],[上班時間]]=0,"否","是")</f>
        <v>否</v>
      </c>
      <c r="O2721" t="s">
        <v>76</v>
      </c>
      <c r="P2721" s="38">
        <v>0</v>
      </c>
      <c r="Q2721" s="38">
        <v>0</v>
      </c>
      <c r="R2721" s="38">
        <v>0</v>
      </c>
    </row>
    <row r="2722" spans="1:18" hidden="1">
      <c r="A2722" t="s">
        <v>76</v>
      </c>
      <c r="B2722" t="s">
        <v>51</v>
      </c>
      <c r="C2722">
        <v>0</v>
      </c>
      <c r="D2722">
        <v>0</v>
      </c>
      <c r="E2722" s="29">
        <v>0</v>
      </c>
      <c r="F2722">
        <v>0</v>
      </c>
      <c r="G2722">
        <v>0</v>
      </c>
      <c r="H2722">
        <v>0</v>
      </c>
      <c r="I2722" s="29">
        <v>0</v>
      </c>
      <c r="J2722" s="29">
        <v>0</v>
      </c>
      <c r="K2722" s="9">
        <v>45360</v>
      </c>
      <c r="L2722">
        <f xml:space="preserve"> (交易處理資料__3[[#This Row],[售出工時]] * 60) / 5</f>
        <v>0</v>
      </c>
      <c r="M2722" t="str">
        <f>VLOOKUP(交易處理資料__3[[#This Row],[人員代號]],團隊分組!$B$1:$C$52,2,FALSE)</f>
        <v>無效數據</v>
      </c>
      <c r="N2722" t="str">
        <f>IF(交易處理資料__3[[#This Row],[上班時間]]=0,"否","是")</f>
        <v>否</v>
      </c>
      <c r="O2722" t="s">
        <v>76</v>
      </c>
      <c r="P2722" s="37">
        <v>0</v>
      </c>
      <c r="Q2722" s="37">
        <v>0</v>
      </c>
      <c r="R2722" s="37">
        <v>0</v>
      </c>
    </row>
    <row r="2723" spans="1:18" hidden="1">
      <c r="A2723" t="s">
        <v>76</v>
      </c>
      <c r="B2723" t="s">
        <v>52</v>
      </c>
      <c r="C2723">
        <v>0</v>
      </c>
      <c r="D2723">
        <v>0</v>
      </c>
      <c r="E2723" s="29">
        <v>0</v>
      </c>
      <c r="F2723">
        <v>0</v>
      </c>
      <c r="G2723">
        <v>0</v>
      </c>
      <c r="H2723">
        <v>0</v>
      </c>
      <c r="I2723" s="29">
        <v>0</v>
      </c>
      <c r="J2723" s="29">
        <v>0</v>
      </c>
      <c r="K2723" s="9">
        <v>45360</v>
      </c>
      <c r="L2723">
        <f xml:space="preserve"> (交易處理資料__3[[#This Row],[售出工時]] * 60) / 5</f>
        <v>0</v>
      </c>
      <c r="M2723" t="str">
        <f>VLOOKUP(交易處理資料__3[[#This Row],[人員代號]],團隊分組!$B$1:$C$52,2,FALSE)</f>
        <v>查修團隊B</v>
      </c>
      <c r="N2723" t="str">
        <f>IF(交易處理資料__3[[#This Row],[上班時間]]=0,"否","是")</f>
        <v>否</v>
      </c>
      <c r="O2723" t="s">
        <v>76</v>
      </c>
      <c r="P2723" s="38">
        <v>0</v>
      </c>
      <c r="Q2723" s="38">
        <v>0</v>
      </c>
      <c r="R2723" s="38">
        <v>0</v>
      </c>
    </row>
    <row r="2724" spans="1:18" hidden="1">
      <c r="A2724" t="s">
        <v>76</v>
      </c>
      <c r="B2724" t="s">
        <v>53</v>
      </c>
      <c r="C2724">
        <v>3.97</v>
      </c>
      <c r="D2724">
        <v>3.88</v>
      </c>
      <c r="E2724" s="29">
        <v>1.0231958759999999</v>
      </c>
      <c r="F2724">
        <v>5.65</v>
      </c>
      <c r="G2724">
        <v>2.23</v>
      </c>
      <c r="H2724">
        <v>7.88</v>
      </c>
      <c r="I2724" s="29">
        <v>0.71700000000000008</v>
      </c>
      <c r="J2724" s="29">
        <v>0.50380000000000003</v>
      </c>
      <c r="K2724" s="9">
        <v>45360</v>
      </c>
      <c r="L2724">
        <f xml:space="preserve"> (交易處理資料__3[[#This Row],[售出工時]] * 60) / 5</f>
        <v>47.64</v>
      </c>
      <c r="M2724" t="str">
        <f>VLOOKUP(交易處理資料__3[[#This Row],[人員代號]],團隊分組!$B$1:$C$52,2,FALSE)</f>
        <v>查修團隊A</v>
      </c>
      <c r="N2724" t="str">
        <f>IF(交易處理資料__3[[#This Row],[上班時間]]=0,"否","是")</f>
        <v>是</v>
      </c>
      <c r="O2724" t="s">
        <v>76</v>
      </c>
      <c r="P2724" s="37">
        <v>1.0231958759999999</v>
      </c>
      <c r="Q2724" s="37">
        <v>0.50380000000000003</v>
      </c>
      <c r="R2724" s="37">
        <v>0.71700000000000008</v>
      </c>
    </row>
    <row r="2725" spans="1:18" hidden="1">
      <c r="A2725" s="10" t="s">
        <v>74</v>
      </c>
      <c r="B2725" t="s">
        <v>1</v>
      </c>
      <c r="C2725">
        <v>0</v>
      </c>
      <c r="D2725">
        <v>0</v>
      </c>
      <c r="E2725" s="29">
        <v>0</v>
      </c>
      <c r="F2725">
        <v>0</v>
      </c>
      <c r="G2725">
        <v>0</v>
      </c>
      <c r="H2725">
        <v>0</v>
      </c>
      <c r="I2725" s="29">
        <v>0</v>
      </c>
      <c r="J2725" s="29">
        <v>0</v>
      </c>
      <c r="K2725" s="9">
        <v>45361</v>
      </c>
      <c r="L2725">
        <f xml:space="preserve"> (交易處理資料__3[[#This Row],[售出工時]] * 60) / 5</f>
        <v>0</v>
      </c>
      <c r="M2725" t="str">
        <f>VLOOKUP(交易處理資料__3[[#This Row],[人員代號]],團隊分組!$B$1:$C$52,2,FALSE)</f>
        <v>噴漆維修組</v>
      </c>
      <c r="N2725" t="str">
        <f>IF(交易處理資料__3[[#This Row],[上班時間]]=0,"否","是")</f>
        <v>否</v>
      </c>
      <c r="O2725" s="10" t="s">
        <v>74</v>
      </c>
      <c r="P2725" s="38">
        <v>0</v>
      </c>
      <c r="Q2725" s="38">
        <v>0</v>
      </c>
      <c r="R2725" s="38">
        <v>0</v>
      </c>
    </row>
    <row r="2726" spans="1:18" hidden="1">
      <c r="A2726" s="10" t="s">
        <v>74</v>
      </c>
      <c r="B2726" t="s">
        <v>2</v>
      </c>
      <c r="C2726">
        <v>0</v>
      </c>
      <c r="D2726">
        <v>0</v>
      </c>
      <c r="E2726" s="29">
        <v>0</v>
      </c>
      <c r="F2726">
        <v>0</v>
      </c>
      <c r="G2726">
        <v>0</v>
      </c>
      <c r="H2726">
        <v>0</v>
      </c>
      <c r="I2726" s="29">
        <v>0</v>
      </c>
      <c r="J2726" s="29">
        <v>0</v>
      </c>
      <c r="K2726" s="9">
        <v>45361</v>
      </c>
      <c r="L2726">
        <f xml:space="preserve"> (交易處理資料__3[[#This Row],[售出工時]] * 60) / 5</f>
        <v>0</v>
      </c>
      <c r="M2726" t="str">
        <f>VLOOKUP(交易處理資料__3[[#This Row],[人員代號]],團隊分組!$B$1:$C$52,2,FALSE)</f>
        <v>噴漆維修組</v>
      </c>
      <c r="N2726" t="str">
        <f>IF(交易處理資料__3[[#This Row],[上班時間]]=0,"否","是")</f>
        <v>否</v>
      </c>
      <c r="O2726" s="10" t="s">
        <v>74</v>
      </c>
      <c r="P2726" s="37">
        <v>0</v>
      </c>
      <c r="Q2726" s="37">
        <v>0</v>
      </c>
      <c r="R2726" s="37">
        <v>0</v>
      </c>
    </row>
    <row r="2727" spans="1:18" hidden="1">
      <c r="A2727" s="10" t="s">
        <v>74</v>
      </c>
      <c r="B2727" t="s">
        <v>3</v>
      </c>
      <c r="C2727">
        <v>0</v>
      </c>
      <c r="D2727">
        <v>0</v>
      </c>
      <c r="E2727" s="29">
        <v>0</v>
      </c>
      <c r="F2727">
        <v>0</v>
      </c>
      <c r="G2727">
        <v>0</v>
      </c>
      <c r="H2727">
        <v>0</v>
      </c>
      <c r="I2727" s="29">
        <v>0</v>
      </c>
      <c r="J2727" s="29">
        <v>0</v>
      </c>
      <c r="K2727" s="9">
        <v>45361</v>
      </c>
      <c r="L2727">
        <f xml:space="preserve"> (交易處理資料__3[[#This Row],[售出工時]] * 60) / 5</f>
        <v>0</v>
      </c>
      <c r="M2727" t="str">
        <f>VLOOKUP(交易處理資料__3[[#This Row],[人員代號]],團隊分組!$B$1:$C$52,2,FALSE)</f>
        <v>噴漆維修組</v>
      </c>
      <c r="N2727" t="str">
        <f>IF(交易處理資料__3[[#This Row],[上班時間]]=0,"否","是")</f>
        <v>否</v>
      </c>
      <c r="O2727" s="10" t="s">
        <v>74</v>
      </c>
      <c r="P2727" s="38">
        <v>0</v>
      </c>
      <c r="Q2727" s="38">
        <v>0</v>
      </c>
      <c r="R2727" s="38">
        <v>0</v>
      </c>
    </row>
    <row r="2728" spans="1:18" hidden="1">
      <c r="A2728" s="10" t="s">
        <v>74</v>
      </c>
      <c r="B2728" t="s">
        <v>4</v>
      </c>
      <c r="C2728">
        <v>0</v>
      </c>
      <c r="D2728">
        <v>0</v>
      </c>
      <c r="E2728" s="29">
        <v>0</v>
      </c>
      <c r="F2728">
        <v>0</v>
      </c>
      <c r="G2728">
        <v>0</v>
      </c>
      <c r="H2728">
        <v>0</v>
      </c>
      <c r="I2728" s="29">
        <v>0</v>
      </c>
      <c r="J2728" s="29">
        <v>0</v>
      </c>
      <c r="K2728" s="9">
        <v>45361</v>
      </c>
      <c r="L2728">
        <f xml:space="preserve"> (交易處理資料__3[[#This Row],[售出工時]] * 60) / 5</f>
        <v>0</v>
      </c>
      <c r="M2728" t="str">
        <f>VLOOKUP(交易處理資料__3[[#This Row],[人員代號]],團隊分組!$B$1:$C$52,2,FALSE)</f>
        <v>噴漆維修組</v>
      </c>
      <c r="N2728" t="str">
        <f>IF(交易處理資料__3[[#This Row],[上班時間]]=0,"否","是")</f>
        <v>否</v>
      </c>
      <c r="O2728" s="10" t="s">
        <v>74</v>
      </c>
      <c r="P2728" s="37">
        <v>0</v>
      </c>
      <c r="Q2728" s="37">
        <v>0</v>
      </c>
      <c r="R2728" s="37">
        <v>0</v>
      </c>
    </row>
    <row r="2729" spans="1:18" hidden="1">
      <c r="A2729" s="10" t="s">
        <v>74</v>
      </c>
      <c r="B2729" t="s">
        <v>5</v>
      </c>
      <c r="C2729">
        <v>0</v>
      </c>
      <c r="D2729">
        <v>0</v>
      </c>
      <c r="E2729" s="29">
        <v>0</v>
      </c>
      <c r="F2729">
        <v>0</v>
      </c>
      <c r="G2729">
        <v>0</v>
      </c>
      <c r="H2729">
        <v>0</v>
      </c>
      <c r="I2729" s="29">
        <v>0</v>
      </c>
      <c r="J2729" s="29">
        <v>0</v>
      </c>
      <c r="K2729" s="9">
        <v>45361</v>
      </c>
      <c r="L2729">
        <f xml:space="preserve"> (交易處理資料__3[[#This Row],[售出工時]] * 60) / 5</f>
        <v>0</v>
      </c>
      <c r="M2729" t="str">
        <f>VLOOKUP(交易處理資料__3[[#This Row],[人員代號]],團隊分組!$B$1:$C$52,2,FALSE)</f>
        <v>噴漆維修組</v>
      </c>
      <c r="N2729" t="str">
        <f>IF(交易處理資料__3[[#This Row],[上班時間]]=0,"否","是")</f>
        <v>否</v>
      </c>
      <c r="O2729" s="10" t="s">
        <v>74</v>
      </c>
      <c r="P2729" s="38">
        <v>0</v>
      </c>
      <c r="Q2729" s="38">
        <v>0</v>
      </c>
      <c r="R2729" s="38">
        <v>0</v>
      </c>
    </row>
    <row r="2730" spans="1:18" hidden="1">
      <c r="A2730" s="10" t="s">
        <v>74</v>
      </c>
      <c r="B2730" t="s">
        <v>6</v>
      </c>
      <c r="C2730">
        <v>0</v>
      </c>
      <c r="D2730">
        <v>0</v>
      </c>
      <c r="E2730" s="29">
        <v>0</v>
      </c>
      <c r="F2730">
        <v>0</v>
      </c>
      <c r="G2730">
        <v>0</v>
      </c>
      <c r="H2730">
        <v>0</v>
      </c>
      <c r="I2730" s="29">
        <v>0</v>
      </c>
      <c r="J2730" s="29">
        <v>0</v>
      </c>
      <c r="K2730" s="9">
        <v>45361</v>
      </c>
      <c r="L2730">
        <f xml:space="preserve"> (交易處理資料__3[[#This Row],[售出工時]] * 60) / 5</f>
        <v>0</v>
      </c>
      <c r="M2730" t="str">
        <f>VLOOKUP(交易處理資料__3[[#This Row],[人員代號]],團隊分組!$B$1:$C$52,2,FALSE)</f>
        <v>噴漆維修組</v>
      </c>
      <c r="N2730" t="str">
        <f>IF(交易處理資料__3[[#This Row],[上班時間]]=0,"否","是")</f>
        <v>否</v>
      </c>
      <c r="O2730" s="10" t="s">
        <v>74</v>
      </c>
      <c r="P2730" s="37">
        <v>0</v>
      </c>
      <c r="Q2730" s="37">
        <v>0</v>
      </c>
      <c r="R2730" s="37">
        <v>0</v>
      </c>
    </row>
    <row r="2731" spans="1:18">
      <c r="A2731" s="10" t="s">
        <v>74</v>
      </c>
      <c r="B2731" t="s">
        <v>7</v>
      </c>
      <c r="C2731">
        <v>0</v>
      </c>
      <c r="D2731">
        <v>0</v>
      </c>
      <c r="E2731" s="29">
        <v>0</v>
      </c>
      <c r="F2731">
        <v>0</v>
      </c>
      <c r="G2731">
        <v>0</v>
      </c>
      <c r="H2731">
        <v>0</v>
      </c>
      <c r="I2731" s="29">
        <v>0</v>
      </c>
      <c r="J2731" s="29">
        <v>0</v>
      </c>
      <c r="K2731" s="9">
        <v>45361</v>
      </c>
      <c r="L2731">
        <f xml:space="preserve"> (交易處理資料__3[[#This Row],[售出工時]] * 60) / 5</f>
        <v>0</v>
      </c>
      <c r="M2731" t="str">
        <f>VLOOKUP(交易處理資料__3[[#This Row],[人員代號]],團隊分組!$B$1:$C$52,2,FALSE)</f>
        <v>噴漆維修組</v>
      </c>
      <c r="N2731" t="str">
        <f>IF(交易處理資料__3[[#This Row],[上班時間]]=0,"否","是")</f>
        <v>否</v>
      </c>
      <c r="O2731" s="10" t="s">
        <v>74</v>
      </c>
      <c r="P2731" s="38">
        <v>0</v>
      </c>
      <c r="Q2731" s="38">
        <v>0</v>
      </c>
      <c r="R2731" s="38">
        <v>0</v>
      </c>
    </row>
    <row r="2732" spans="1:18" hidden="1">
      <c r="A2732" s="10" t="s">
        <v>74</v>
      </c>
      <c r="B2732" t="s">
        <v>8</v>
      </c>
      <c r="C2732">
        <v>0</v>
      </c>
      <c r="D2732">
        <v>0</v>
      </c>
      <c r="E2732" s="29">
        <v>0</v>
      </c>
      <c r="F2732">
        <v>0</v>
      </c>
      <c r="G2732">
        <v>0</v>
      </c>
      <c r="H2732">
        <v>0</v>
      </c>
      <c r="I2732" s="29">
        <v>0</v>
      </c>
      <c r="J2732" s="29">
        <v>0</v>
      </c>
      <c r="K2732" s="9">
        <v>45361</v>
      </c>
      <c r="L2732">
        <f xml:space="preserve"> (交易處理資料__3[[#This Row],[售出工時]] * 60) / 5</f>
        <v>0</v>
      </c>
      <c r="M2732" t="str">
        <f>VLOOKUP(交易處理資料__3[[#This Row],[人員代號]],團隊分組!$B$1:$C$52,2,FALSE)</f>
        <v>噴漆維修組</v>
      </c>
      <c r="N2732" t="str">
        <f>IF(交易處理資料__3[[#This Row],[上班時間]]=0,"否","是")</f>
        <v>否</v>
      </c>
      <c r="O2732" s="10" t="s">
        <v>74</v>
      </c>
      <c r="P2732" s="37">
        <v>0</v>
      </c>
      <c r="Q2732" s="37">
        <v>0</v>
      </c>
      <c r="R2732" s="37">
        <v>0</v>
      </c>
    </row>
    <row r="2733" spans="1:18" hidden="1">
      <c r="A2733" s="10" t="s">
        <v>74</v>
      </c>
      <c r="B2733" t="s">
        <v>9</v>
      </c>
      <c r="C2733">
        <v>0</v>
      </c>
      <c r="D2733">
        <v>0</v>
      </c>
      <c r="E2733" s="29">
        <v>0</v>
      </c>
      <c r="F2733">
        <v>0</v>
      </c>
      <c r="G2733">
        <v>0</v>
      </c>
      <c r="H2733">
        <v>0</v>
      </c>
      <c r="I2733" s="29">
        <v>0</v>
      </c>
      <c r="J2733" s="29">
        <v>0</v>
      </c>
      <c r="K2733" s="9">
        <v>45361</v>
      </c>
      <c r="L2733">
        <f xml:space="preserve"> (交易處理資料__3[[#This Row],[售出工時]] * 60) / 5</f>
        <v>0</v>
      </c>
      <c r="M2733" t="str">
        <f>VLOOKUP(交易處理資料__3[[#This Row],[人員代號]],團隊分組!$B$1:$C$52,2,FALSE)</f>
        <v>噴漆維修組</v>
      </c>
      <c r="N2733" t="str">
        <f>IF(交易處理資料__3[[#This Row],[上班時間]]=0,"否","是")</f>
        <v>否</v>
      </c>
      <c r="O2733" s="10" t="s">
        <v>74</v>
      </c>
      <c r="P2733" s="38">
        <v>0</v>
      </c>
      <c r="Q2733" s="38">
        <v>0</v>
      </c>
      <c r="R2733" s="38">
        <v>0</v>
      </c>
    </row>
    <row r="2734" spans="1:18" hidden="1">
      <c r="A2734" t="s">
        <v>75</v>
      </c>
      <c r="B2734" t="s">
        <v>11</v>
      </c>
      <c r="C2734">
        <v>0</v>
      </c>
      <c r="D2734">
        <v>0</v>
      </c>
      <c r="E2734" s="29">
        <v>0</v>
      </c>
      <c r="F2734">
        <v>0</v>
      </c>
      <c r="G2734">
        <v>0</v>
      </c>
      <c r="H2734">
        <v>0</v>
      </c>
      <c r="I2734" s="29">
        <v>0</v>
      </c>
      <c r="J2734" s="29">
        <v>0</v>
      </c>
      <c r="K2734" s="9">
        <v>45361</v>
      </c>
      <c r="L2734">
        <f xml:space="preserve"> (交易處理資料__3[[#This Row],[售出工時]] * 60) / 5</f>
        <v>0</v>
      </c>
      <c r="M2734" t="str">
        <f>VLOOKUP(交易處理資料__3[[#This Row],[人員代號]],團隊分組!$B$1:$C$52,2,FALSE)</f>
        <v>鈑金維修組</v>
      </c>
      <c r="N2734" t="str">
        <f>IF(交易處理資料__3[[#This Row],[上班時間]]=0,"否","是")</f>
        <v>否</v>
      </c>
      <c r="O2734" t="s">
        <v>75</v>
      </c>
      <c r="P2734" s="37">
        <v>0</v>
      </c>
      <c r="Q2734" s="37">
        <v>0</v>
      </c>
      <c r="R2734" s="37">
        <v>0</v>
      </c>
    </row>
    <row r="2735" spans="1:18" hidden="1">
      <c r="A2735" t="s">
        <v>75</v>
      </c>
      <c r="B2735" t="s">
        <v>12</v>
      </c>
      <c r="C2735">
        <v>0</v>
      </c>
      <c r="D2735">
        <v>0</v>
      </c>
      <c r="E2735" s="29">
        <v>0</v>
      </c>
      <c r="F2735">
        <v>0</v>
      </c>
      <c r="G2735">
        <v>0</v>
      </c>
      <c r="H2735">
        <v>0</v>
      </c>
      <c r="I2735" s="29">
        <v>0</v>
      </c>
      <c r="J2735" s="29">
        <v>0</v>
      </c>
      <c r="K2735" s="9">
        <v>45361</v>
      </c>
      <c r="L2735">
        <f xml:space="preserve"> (交易處理資料__3[[#This Row],[售出工時]] * 60) / 5</f>
        <v>0</v>
      </c>
      <c r="M2735" t="str">
        <f>VLOOKUP(交易處理資料__3[[#This Row],[人員代號]],團隊分組!$B$1:$C$52,2,FALSE)</f>
        <v>鈑金維修組</v>
      </c>
      <c r="N2735" t="str">
        <f>IF(交易處理資料__3[[#This Row],[上班時間]]=0,"否","是")</f>
        <v>否</v>
      </c>
      <c r="O2735" t="s">
        <v>75</v>
      </c>
      <c r="P2735" s="38">
        <v>0</v>
      </c>
      <c r="Q2735" s="38">
        <v>0</v>
      </c>
      <c r="R2735" s="38">
        <v>0</v>
      </c>
    </row>
    <row r="2736" spans="1:18" hidden="1">
      <c r="A2736" t="s">
        <v>75</v>
      </c>
      <c r="B2736" t="s">
        <v>13</v>
      </c>
      <c r="C2736">
        <v>0</v>
      </c>
      <c r="D2736">
        <v>0</v>
      </c>
      <c r="E2736" s="29">
        <v>0</v>
      </c>
      <c r="F2736">
        <v>0</v>
      </c>
      <c r="G2736">
        <v>0</v>
      </c>
      <c r="H2736">
        <v>0</v>
      </c>
      <c r="I2736" s="29">
        <v>0</v>
      </c>
      <c r="J2736" s="29">
        <v>0</v>
      </c>
      <c r="K2736" s="9">
        <v>45361</v>
      </c>
      <c r="L2736">
        <f xml:space="preserve"> (交易處理資料__3[[#This Row],[售出工時]] * 60) / 5</f>
        <v>0</v>
      </c>
      <c r="M2736" t="str">
        <f>VLOOKUP(交易處理資料__3[[#This Row],[人員代號]],團隊分組!$B$1:$C$52,2,FALSE)</f>
        <v>鈑金維修組</v>
      </c>
      <c r="N2736" t="str">
        <f>IF(交易處理資料__3[[#This Row],[上班時間]]=0,"否","是")</f>
        <v>否</v>
      </c>
      <c r="O2736" t="s">
        <v>75</v>
      </c>
      <c r="P2736" s="37">
        <v>0</v>
      </c>
      <c r="Q2736" s="37">
        <v>0</v>
      </c>
      <c r="R2736" s="37">
        <v>0</v>
      </c>
    </row>
    <row r="2737" spans="1:18" hidden="1">
      <c r="A2737" t="s">
        <v>75</v>
      </c>
      <c r="B2737" t="s">
        <v>14</v>
      </c>
      <c r="C2737">
        <v>0</v>
      </c>
      <c r="D2737">
        <v>0</v>
      </c>
      <c r="E2737" s="29">
        <v>0</v>
      </c>
      <c r="F2737">
        <v>0</v>
      </c>
      <c r="G2737">
        <v>0</v>
      </c>
      <c r="H2737">
        <v>0</v>
      </c>
      <c r="I2737" s="29">
        <v>0</v>
      </c>
      <c r="J2737" s="29">
        <v>0</v>
      </c>
      <c r="K2737" s="9">
        <v>45361</v>
      </c>
      <c r="L2737">
        <f xml:space="preserve"> (交易處理資料__3[[#This Row],[售出工時]] * 60) / 5</f>
        <v>0</v>
      </c>
      <c r="M2737" t="str">
        <f>VLOOKUP(交易處理資料__3[[#This Row],[人員代號]],團隊分組!$B$1:$C$52,2,FALSE)</f>
        <v>鈑金維修組</v>
      </c>
      <c r="N2737" t="str">
        <f>IF(交易處理資料__3[[#This Row],[上班時間]]=0,"否","是")</f>
        <v>否</v>
      </c>
      <c r="O2737" t="s">
        <v>75</v>
      </c>
      <c r="P2737" s="38">
        <v>0</v>
      </c>
      <c r="Q2737" s="38">
        <v>0</v>
      </c>
      <c r="R2737" s="38">
        <v>0</v>
      </c>
    </row>
    <row r="2738" spans="1:18" hidden="1">
      <c r="A2738" t="s">
        <v>75</v>
      </c>
      <c r="B2738" t="s">
        <v>15</v>
      </c>
      <c r="C2738">
        <v>0</v>
      </c>
      <c r="D2738">
        <v>0</v>
      </c>
      <c r="E2738" s="29">
        <v>0</v>
      </c>
      <c r="F2738">
        <v>0</v>
      </c>
      <c r="G2738">
        <v>0</v>
      </c>
      <c r="H2738">
        <v>0</v>
      </c>
      <c r="I2738" s="29">
        <v>0</v>
      </c>
      <c r="J2738" s="29">
        <v>0</v>
      </c>
      <c r="K2738" s="9">
        <v>45361</v>
      </c>
      <c r="L2738">
        <f xml:space="preserve"> (交易處理資料__3[[#This Row],[售出工時]] * 60) / 5</f>
        <v>0</v>
      </c>
      <c r="M2738" t="str">
        <f>VLOOKUP(交易處理資料__3[[#This Row],[人員代號]],團隊分組!$B$1:$C$52,2,FALSE)</f>
        <v>鈑金維修組</v>
      </c>
      <c r="N2738" t="str">
        <f>IF(交易處理資料__3[[#This Row],[上班時間]]=0,"否","是")</f>
        <v>否</v>
      </c>
      <c r="O2738" t="s">
        <v>75</v>
      </c>
      <c r="P2738" s="37">
        <v>0</v>
      </c>
      <c r="Q2738" s="37">
        <v>0</v>
      </c>
      <c r="R2738" s="37">
        <v>0</v>
      </c>
    </row>
    <row r="2739" spans="1:18" hidden="1">
      <c r="A2739" t="s">
        <v>76</v>
      </c>
      <c r="B2739" t="s">
        <v>17</v>
      </c>
      <c r="C2739">
        <v>0</v>
      </c>
      <c r="D2739">
        <v>0</v>
      </c>
      <c r="E2739" s="29">
        <v>0</v>
      </c>
      <c r="F2739">
        <v>0</v>
      </c>
      <c r="G2739">
        <v>0</v>
      </c>
      <c r="H2739">
        <v>0</v>
      </c>
      <c r="I2739" s="29">
        <v>0</v>
      </c>
      <c r="J2739" s="29">
        <v>0</v>
      </c>
      <c r="K2739" s="9">
        <v>45361</v>
      </c>
      <c r="L2739">
        <f xml:space="preserve"> (交易處理資料__3[[#This Row],[售出工時]] * 60) / 5</f>
        <v>0</v>
      </c>
      <c r="M2739" t="str">
        <f>VLOOKUP(交易處理資料__3[[#This Row],[人員代號]],團隊分組!$B$1:$C$52,2,FALSE)</f>
        <v>快速保養團隊A</v>
      </c>
      <c r="N2739" t="str">
        <f>IF(交易處理資料__3[[#This Row],[上班時間]]=0,"否","是")</f>
        <v>否</v>
      </c>
      <c r="O2739" t="s">
        <v>76</v>
      </c>
      <c r="P2739" s="38">
        <v>0</v>
      </c>
      <c r="Q2739" s="38">
        <v>0</v>
      </c>
      <c r="R2739" s="38">
        <v>0</v>
      </c>
    </row>
    <row r="2740" spans="1:18" hidden="1">
      <c r="A2740" t="s">
        <v>76</v>
      </c>
      <c r="B2740" t="s">
        <v>18</v>
      </c>
      <c r="C2740">
        <v>0</v>
      </c>
      <c r="D2740">
        <v>0</v>
      </c>
      <c r="E2740" s="29">
        <v>0</v>
      </c>
      <c r="F2740">
        <v>0</v>
      </c>
      <c r="G2740">
        <v>0</v>
      </c>
      <c r="H2740">
        <v>0</v>
      </c>
      <c r="I2740" s="29">
        <v>0</v>
      </c>
      <c r="J2740" s="29">
        <v>0</v>
      </c>
      <c r="K2740" s="9">
        <v>45361</v>
      </c>
      <c r="L2740">
        <f xml:space="preserve"> (交易處理資料__3[[#This Row],[售出工時]] * 60) / 5</f>
        <v>0</v>
      </c>
      <c r="M2740" t="str">
        <f>VLOOKUP(交易處理資料__3[[#This Row],[人員代號]],團隊分組!$B$1:$C$52,2,FALSE)</f>
        <v>查修團隊B</v>
      </c>
      <c r="N2740" t="str">
        <f>IF(交易處理資料__3[[#This Row],[上班時間]]=0,"否","是")</f>
        <v>否</v>
      </c>
      <c r="O2740" t="s">
        <v>76</v>
      </c>
      <c r="P2740" s="37">
        <v>0</v>
      </c>
      <c r="Q2740" s="37">
        <v>0</v>
      </c>
      <c r="R2740" s="37">
        <v>0</v>
      </c>
    </row>
    <row r="2741" spans="1:18" hidden="1">
      <c r="A2741" t="s">
        <v>76</v>
      </c>
      <c r="B2741" t="s">
        <v>19</v>
      </c>
      <c r="C2741">
        <v>0</v>
      </c>
      <c r="D2741">
        <v>0</v>
      </c>
      <c r="E2741" s="29">
        <v>0</v>
      </c>
      <c r="F2741">
        <v>0</v>
      </c>
      <c r="G2741">
        <v>0</v>
      </c>
      <c r="H2741">
        <v>0</v>
      </c>
      <c r="I2741" s="29">
        <v>0</v>
      </c>
      <c r="J2741" s="29">
        <v>0</v>
      </c>
      <c r="K2741" s="9">
        <v>45361</v>
      </c>
      <c r="L2741">
        <f xml:space="preserve"> (交易處理資料__3[[#This Row],[售出工時]] * 60) / 5</f>
        <v>0</v>
      </c>
      <c r="M2741" t="str">
        <f>VLOOKUP(交易處理資料__3[[#This Row],[人員代號]],團隊分組!$B$1:$C$52,2,FALSE)</f>
        <v>查修團隊A</v>
      </c>
      <c r="N2741" t="str">
        <f>IF(交易處理資料__3[[#This Row],[上班時間]]=0,"否","是")</f>
        <v>否</v>
      </c>
      <c r="O2741" t="s">
        <v>76</v>
      </c>
      <c r="P2741" s="38">
        <v>0</v>
      </c>
      <c r="Q2741" s="38">
        <v>0</v>
      </c>
      <c r="R2741" s="38">
        <v>0</v>
      </c>
    </row>
    <row r="2742" spans="1:18" hidden="1">
      <c r="A2742" t="s">
        <v>76</v>
      </c>
      <c r="B2742" t="s">
        <v>20</v>
      </c>
      <c r="C2742">
        <v>0</v>
      </c>
      <c r="D2742">
        <v>0</v>
      </c>
      <c r="E2742" s="29">
        <v>0</v>
      </c>
      <c r="F2742">
        <v>0</v>
      </c>
      <c r="G2742">
        <v>0</v>
      </c>
      <c r="H2742">
        <v>0</v>
      </c>
      <c r="I2742" s="29">
        <v>0</v>
      </c>
      <c r="J2742" s="29">
        <v>0</v>
      </c>
      <c r="K2742" s="9">
        <v>45361</v>
      </c>
      <c r="L2742">
        <f xml:space="preserve"> (交易處理資料__3[[#This Row],[售出工時]] * 60) / 5</f>
        <v>0</v>
      </c>
      <c r="M2742" t="str">
        <f>VLOOKUP(交易處理資料__3[[#This Row],[人員代號]],團隊分組!$B$1:$C$52,2,FALSE)</f>
        <v>查修團隊B</v>
      </c>
      <c r="N2742" t="str">
        <f>IF(交易處理資料__3[[#This Row],[上班時間]]=0,"否","是")</f>
        <v>否</v>
      </c>
      <c r="O2742" t="s">
        <v>76</v>
      </c>
      <c r="P2742" s="37">
        <v>0</v>
      </c>
      <c r="Q2742" s="37">
        <v>0</v>
      </c>
      <c r="R2742" s="37">
        <v>0</v>
      </c>
    </row>
    <row r="2743" spans="1:18" hidden="1">
      <c r="A2743" t="s">
        <v>76</v>
      </c>
      <c r="B2743" t="s">
        <v>21</v>
      </c>
      <c r="C2743">
        <v>0</v>
      </c>
      <c r="D2743">
        <v>0</v>
      </c>
      <c r="E2743" s="29">
        <v>0</v>
      </c>
      <c r="F2743">
        <v>0</v>
      </c>
      <c r="G2743">
        <v>0</v>
      </c>
      <c r="H2743">
        <v>0</v>
      </c>
      <c r="I2743" s="29">
        <v>0</v>
      </c>
      <c r="J2743" s="29">
        <v>0</v>
      </c>
      <c r="K2743" s="9">
        <v>45361</v>
      </c>
      <c r="L2743">
        <f xml:space="preserve"> (交易處理資料__3[[#This Row],[售出工時]] * 60) / 5</f>
        <v>0</v>
      </c>
      <c r="M2743" t="str">
        <f>VLOOKUP(交易處理資料__3[[#This Row],[人員代號]],團隊分組!$B$1:$C$52,2,FALSE)</f>
        <v>查修團隊B</v>
      </c>
      <c r="N2743" t="str">
        <f>IF(交易處理資料__3[[#This Row],[上班時間]]=0,"否","是")</f>
        <v>否</v>
      </c>
      <c r="O2743" t="s">
        <v>76</v>
      </c>
      <c r="P2743" s="38">
        <v>0</v>
      </c>
      <c r="Q2743" s="38">
        <v>0</v>
      </c>
      <c r="R2743" s="38">
        <v>0</v>
      </c>
    </row>
    <row r="2744" spans="1:18" hidden="1">
      <c r="A2744" t="s">
        <v>76</v>
      </c>
      <c r="B2744" t="s">
        <v>22</v>
      </c>
      <c r="C2744">
        <v>0</v>
      </c>
      <c r="D2744">
        <v>0</v>
      </c>
      <c r="E2744" s="29">
        <v>0</v>
      </c>
      <c r="F2744">
        <v>0</v>
      </c>
      <c r="G2744">
        <v>0</v>
      </c>
      <c r="H2744">
        <v>0</v>
      </c>
      <c r="I2744" s="29">
        <v>0</v>
      </c>
      <c r="J2744" s="29">
        <v>0</v>
      </c>
      <c r="K2744" s="9">
        <v>45361</v>
      </c>
      <c r="L2744">
        <f xml:space="preserve"> (交易處理資料__3[[#This Row],[售出工時]] * 60) / 5</f>
        <v>0</v>
      </c>
      <c r="M2744" t="str">
        <f>VLOOKUP(交易處理資料__3[[#This Row],[人員代號]],團隊分組!$B$1:$C$52,2,FALSE)</f>
        <v>快速保養團隊A</v>
      </c>
      <c r="N2744" t="str">
        <f>IF(交易處理資料__3[[#This Row],[上班時間]]=0,"否","是")</f>
        <v>否</v>
      </c>
      <c r="O2744" t="s">
        <v>76</v>
      </c>
      <c r="P2744" s="37">
        <v>0</v>
      </c>
      <c r="Q2744" s="37">
        <v>0</v>
      </c>
      <c r="R2744" s="37">
        <v>0</v>
      </c>
    </row>
    <row r="2745" spans="1:18" hidden="1">
      <c r="A2745" t="s">
        <v>76</v>
      </c>
      <c r="B2745" t="s">
        <v>23</v>
      </c>
      <c r="C2745">
        <v>0</v>
      </c>
      <c r="D2745">
        <v>0</v>
      </c>
      <c r="E2745" s="29">
        <v>0</v>
      </c>
      <c r="F2745">
        <v>0</v>
      </c>
      <c r="G2745">
        <v>0</v>
      </c>
      <c r="H2745">
        <v>0</v>
      </c>
      <c r="I2745" s="29">
        <v>0</v>
      </c>
      <c r="J2745" s="29">
        <v>0</v>
      </c>
      <c r="K2745" s="9">
        <v>45361</v>
      </c>
      <c r="L2745">
        <f xml:space="preserve"> (交易處理資料__3[[#This Row],[售出工時]] * 60) / 5</f>
        <v>0</v>
      </c>
      <c r="M2745" t="str">
        <f>VLOOKUP(交易處理資料__3[[#This Row],[人員代號]],團隊分組!$B$1:$C$52,2,FALSE)</f>
        <v>快速保養團隊B</v>
      </c>
      <c r="N2745" t="str">
        <f>IF(交易處理資料__3[[#This Row],[上班時間]]=0,"否","是")</f>
        <v>否</v>
      </c>
      <c r="O2745" t="s">
        <v>76</v>
      </c>
      <c r="P2745" s="38">
        <v>0</v>
      </c>
      <c r="Q2745" s="38">
        <v>0</v>
      </c>
      <c r="R2745" s="38">
        <v>0</v>
      </c>
    </row>
    <row r="2746" spans="1:18" hidden="1">
      <c r="A2746" t="s">
        <v>76</v>
      </c>
      <c r="B2746" t="s">
        <v>24</v>
      </c>
      <c r="C2746">
        <v>0</v>
      </c>
      <c r="D2746">
        <v>0</v>
      </c>
      <c r="E2746" s="29">
        <v>0</v>
      </c>
      <c r="F2746">
        <v>0</v>
      </c>
      <c r="G2746">
        <v>0</v>
      </c>
      <c r="H2746">
        <v>0</v>
      </c>
      <c r="I2746" s="29">
        <v>0</v>
      </c>
      <c r="J2746" s="29">
        <v>0</v>
      </c>
      <c r="K2746" s="9">
        <v>45361</v>
      </c>
      <c r="L2746">
        <f xml:space="preserve"> (交易處理資料__3[[#This Row],[售出工時]] * 60) / 5</f>
        <v>0</v>
      </c>
      <c r="M2746" t="str">
        <f>VLOOKUP(交易處理資料__3[[#This Row],[人員代號]],團隊分組!$B$1:$C$52,2,FALSE)</f>
        <v>快速保養團隊A</v>
      </c>
      <c r="N2746" t="str">
        <f>IF(交易處理資料__3[[#This Row],[上班時間]]=0,"否","是")</f>
        <v>否</v>
      </c>
      <c r="O2746" t="s">
        <v>76</v>
      </c>
      <c r="P2746" s="37">
        <v>0</v>
      </c>
      <c r="Q2746" s="37">
        <v>0</v>
      </c>
      <c r="R2746" s="37">
        <v>0</v>
      </c>
    </row>
    <row r="2747" spans="1:18" hidden="1">
      <c r="A2747" t="s">
        <v>76</v>
      </c>
      <c r="B2747" t="s">
        <v>25</v>
      </c>
      <c r="C2747">
        <v>0</v>
      </c>
      <c r="D2747">
        <v>0</v>
      </c>
      <c r="E2747" s="29">
        <v>0</v>
      </c>
      <c r="F2747">
        <v>0</v>
      </c>
      <c r="G2747">
        <v>0</v>
      </c>
      <c r="H2747">
        <v>0</v>
      </c>
      <c r="I2747" s="29">
        <v>0</v>
      </c>
      <c r="J2747" s="29">
        <v>0</v>
      </c>
      <c r="K2747" s="9">
        <v>45361</v>
      </c>
      <c r="L2747">
        <f xml:space="preserve"> (交易處理資料__3[[#This Row],[售出工時]] * 60) / 5</f>
        <v>0</v>
      </c>
      <c r="M2747" t="str">
        <f>VLOOKUP(交易處理資料__3[[#This Row],[人員代號]],團隊分組!$B$1:$C$52,2,FALSE)</f>
        <v>查修團隊A</v>
      </c>
      <c r="N2747" t="str">
        <f>IF(交易處理資料__3[[#This Row],[上班時間]]=0,"否","是")</f>
        <v>否</v>
      </c>
      <c r="O2747" t="s">
        <v>76</v>
      </c>
      <c r="P2747" s="38">
        <v>0</v>
      </c>
      <c r="Q2747" s="38">
        <v>0</v>
      </c>
      <c r="R2747" s="38">
        <v>0</v>
      </c>
    </row>
    <row r="2748" spans="1:18" hidden="1">
      <c r="A2748" t="s">
        <v>76</v>
      </c>
      <c r="B2748" t="s">
        <v>26</v>
      </c>
      <c r="C2748">
        <v>0</v>
      </c>
      <c r="D2748">
        <v>0</v>
      </c>
      <c r="E2748" s="29">
        <v>0</v>
      </c>
      <c r="F2748">
        <v>0</v>
      </c>
      <c r="G2748">
        <v>0</v>
      </c>
      <c r="H2748">
        <v>0</v>
      </c>
      <c r="I2748" s="29">
        <v>0</v>
      </c>
      <c r="J2748" s="29">
        <v>0</v>
      </c>
      <c r="K2748" s="9">
        <v>45361</v>
      </c>
      <c r="L2748">
        <f xml:space="preserve"> (交易處理資料__3[[#This Row],[售出工時]] * 60) / 5</f>
        <v>0</v>
      </c>
      <c r="M2748" t="str">
        <f>VLOOKUP(交易處理資料__3[[#This Row],[人員代號]],團隊分組!$B$1:$C$52,2,FALSE)</f>
        <v>查修團隊B</v>
      </c>
      <c r="N2748" t="str">
        <f>IF(交易處理資料__3[[#This Row],[上班時間]]=0,"否","是")</f>
        <v>否</v>
      </c>
      <c r="O2748" t="s">
        <v>76</v>
      </c>
      <c r="P2748" s="37">
        <v>0</v>
      </c>
      <c r="Q2748" s="37">
        <v>0</v>
      </c>
      <c r="R2748" s="37">
        <v>0</v>
      </c>
    </row>
    <row r="2749" spans="1:18" hidden="1">
      <c r="A2749" t="s">
        <v>76</v>
      </c>
      <c r="B2749" t="s">
        <v>27</v>
      </c>
      <c r="C2749">
        <v>0</v>
      </c>
      <c r="D2749">
        <v>0</v>
      </c>
      <c r="E2749" s="29">
        <v>0</v>
      </c>
      <c r="F2749">
        <v>0</v>
      </c>
      <c r="G2749">
        <v>0</v>
      </c>
      <c r="H2749">
        <v>0</v>
      </c>
      <c r="I2749" s="29">
        <v>0</v>
      </c>
      <c r="J2749" s="29">
        <v>0</v>
      </c>
      <c r="K2749" s="9">
        <v>45361</v>
      </c>
      <c r="L2749">
        <f xml:space="preserve"> (交易處理資料__3[[#This Row],[售出工時]] * 60) / 5</f>
        <v>0</v>
      </c>
      <c r="M2749" t="str">
        <f>VLOOKUP(交易處理資料__3[[#This Row],[人員代號]],團隊分組!$B$1:$C$52,2,FALSE)</f>
        <v>快速保養團隊B</v>
      </c>
      <c r="N2749" t="str">
        <f>IF(交易處理資料__3[[#This Row],[上班時間]]=0,"否","是")</f>
        <v>否</v>
      </c>
      <c r="O2749" t="s">
        <v>76</v>
      </c>
      <c r="P2749" s="38">
        <v>0</v>
      </c>
      <c r="Q2749" s="38">
        <v>0</v>
      </c>
      <c r="R2749" s="38">
        <v>0</v>
      </c>
    </row>
    <row r="2750" spans="1:18" hidden="1">
      <c r="A2750" t="s">
        <v>76</v>
      </c>
      <c r="B2750" t="s">
        <v>28</v>
      </c>
      <c r="C2750">
        <v>0</v>
      </c>
      <c r="D2750">
        <v>0</v>
      </c>
      <c r="E2750" s="29">
        <v>0</v>
      </c>
      <c r="F2750">
        <v>0</v>
      </c>
      <c r="G2750">
        <v>0</v>
      </c>
      <c r="H2750">
        <v>0</v>
      </c>
      <c r="I2750" s="29">
        <v>0</v>
      </c>
      <c r="J2750" s="29">
        <v>0</v>
      </c>
      <c r="K2750" s="9">
        <v>45361</v>
      </c>
      <c r="L2750">
        <f xml:space="preserve"> (交易處理資料__3[[#This Row],[售出工時]] * 60) / 5</f>
        <v>0</v>
      </c>
      <c r="M2750" t="str">
        <f>VLOOKUP(交易處理資料__3[[#This Row],[人員代號]],團隊分組!$B$1:$C$52,2,FALSE)</f>
        <v>快速保養團隊A</v>
      </c>
      <c r="N2750" t="str">
        <f>IF(交易處理資料__3[[#This Row],[上班時間]]=0,"否","是")</f>
        <v>否</v>
      </c>
      <c r="O2750" t="s">
        <v>76</v>
      </c>
      <c r="P2750" s="37">
        <v>0</v>
      </c>
      <c r="Q2750" s="37">
        <v>0</v>
      </c>
      <c r="R2750" s="37">
        <v>0</v>
      </c>
    </row>
    <row r="2751" spans="1:18" hidden="1">
      <c r="A2751" t="s">
        <v>76</v>
      </c>
      <c r="B2751" t="s">
        <v>29</v>
      </c>
      <c r="C2751">
        <v>0</v>
      </c>
      <c r="D2751">
        <v>0</v>
      </c>
      <c r="E2751" s="29">
        <v>0</v>
      </c>
      <c r="F2751">
        <v>0</v>
      </c>
      <c r="G2751">
        <v>0</v>
      </c>
      <c r="H2751">
        <v>0</v>
      </c>
      <c r="I2751" s="29">
        <v>0</v>
      </c>
      <c r="J2751" s="29">
        <v>0</v>
      </c>
      <c r="K2751" s="9">
        <v>45361</v>
      </c>
      <c r="L2751">
        <f xml:space="preserve"> (交易處理資料__3[[#This Row],[售出工時]] * 60) / 5</f>
        <v>0</v>
      </c>
      <c r="M2751" t="str">
        <f>VLOOKUP(交易處理資料__3[[#This Row],[人員代號]],團隊分組!$B$1:$C$52,2,FALSE)</f>
        <v>查修團隊B</v>
      </c>
      <c r="N2751" t="str">
        <f>IF(交易處理資料__3[[#This Row],[上班時間]]=0,"否","是")</f>
        <v>否</v>
      </c>
      <c r="O2751" t="s">
        <v>76</v>
      </c>
      <c r="P2751" s="38">
        <v>0</v>
      </c>
      <c r="Q2751" s="38">
        <v>0</v>
      </c>
      <c r="R2751" s="38">
        <v>0</v>
      </c>
    </row>
    <row r="2752" spans="1:18" hidden="1">
      <c r="A2752" t="s">
        <v>76</v>
      </c>
      <c r="B2752" t="s">
        <v>30</v>
      </c>
      <c r="C2752">
        <v>0</v>
      </c>
      <c r="D2752">
        <v>0</v>
      </c>
      <c r="E2752" s="29">
        <v>0</v>
      </c>
      <c r="F2752">
        <v>0</v>
      </c>
      <c r="G2752">
        <v>0</v>
      </c>
      <c r="H2752">
        <v>0</v>
      </c>
      <c r="I2752" s="29">
        <v>0</v>
      </c>
      <c r="J2752" s="29">
        <v>0</v>
      </c>
      <c r="K2752" s="9">
        <v>45361</v>
      </c>
      <c r="L2752">
        <f xml:space="preserve"> (交易處理資料__3[[#This Row],[售出工時]] * 60) / 5</f>
        <v>0</v>
      </c>
      <c r="M2752" t="str">
        <f>VLOOKUP(交易處理資料__3[[#This Row],[人員代號]],團隊分組!$B$1:$C$52,2,FALSE)</f>
        <v>快速保養團隊B</v>
      </c>
      <c r="N2752" t="str">
        <f>IF(交易處理資料__3[[#This Row],[上班時間]]=0,"否","是")</f>
        <v>否</v>
      </c>
      <c r="O2752" t="s">
        <v>76</v>
      </c>
      <c r="P2752" s="37">
        <v>0</v>
      </c>
      <c r="Q2752" s="37">
        <v>0</v>
      </c>
      <c r="R2752" s="37">
        <v>0</v>
      </c>
    </row>
    <row r="2753" spans="1:18" hidden="1">
      <c r="A2753" t="s">
        <v>76</v>
      </c>
      <c r="B2753" t="s">
        <v>32</v>
      </c>
      <c r="C2753">
        <v>0</v>
      </c>
      <c r="D2753">
        <v>0</v>
      </c>
      <c r="E2753" s="29">
        <v>0</v>
      </c>
      <c r="F2753">
        <v>0</v>
      </c>
      <c r="G2753">
        <v>0</v>
      </c>
      <c r="H2753">
        <v>0</v>
      </c>
      <c r="I2753" s="29">
        <v>0</v>
      </c>
      <c r="J2753" s="29">
        <v>0</v>
      </c>
      <c r="K2753" s="9">
        <v>45361</v>
      </c>
      <c r="L2753">
        <f xml:space="preserve"> (交易處理資料__3[[#This Row],[售出工時]] * 60) / 5</f>
        <v>0</v>
      </c>
      <c r="M2753" t="str">
        <f>VLOOKUP(交易處理資料__3[[#This Row],[人員代號]],團隊分組!$B$1:$C$52,2,FALSE)</f>
        <v>快速保養團隊B</v>
      </c>
      <c r="N2753" t="str">
        <f>IF(交易處理資料__3[[#This Row],[上班時間]]=0,"否","是")</f>
        <v>否</v>
      </c>
      <c r="O2753" t="s">
        <v>76</v>
      </c>
      <c r="P2753" s="38">
        <v>0</v>
      </c>
      <c r="Q2753" s="38">
        <v>0</v>
      </c>
      <c r="R2753" s="38">
        <v>0</v>
      </c>
    </row>
    <row r="2754" spans="1:18" hidden="1">
      <c r="A2754" t="s">
        <v>76</v>
      </c>
      <c r="B2754" t="s">
        <v>33</v>
      </c>
      <c r="C2754">
        <v>0</v>
      </c>
      <c r="D2754">
        <v>0</v>
      </c>
      <c r="E2754" s="29">
        <v>0</v>
      </c>
      <c r="F2754">
        <v>0</v>
      </c>
      <c r="G2754">
        <v>0</v>
      </c>
      <c r="H2754">
        <v>0</v>
      </c>
      <c r="I2754" s="29">
        <v>0</v>
      </c>
      <c r="J2754" s="29">
        <v>0</v>
      </c>
      <c r="K2754" s="9">
        <v>45361</v>
      </c>
      <c r="L2754">
        <f xml:space="preserve"> (交易處理資料__3[[#This Row],[售出工時]] * 60) / 5</f>
        <v>0</v>
      </c>
      <c r="M2754" t="str">
        <f>VLOOKUP(交易處理資料__3[[#This Row],[人員代號]],團隊分組!$B$1:$C$52,2,FALSE)</f>
        <v>快速保養團隊B</v>
      </c>
      <c r="N2754" t="str">
        <f>IF(交易處理資料__3[[#This Row],[上班時間]]=0,"否","是")</f>
        <v>否</v>
      </c>
      <c r="O2754" t="s">
        <v>76</v>
      </c>
      <c r="P2754" s="37">
        <v>0</v>
      </c>
      <c r="Q2754" s="37">
        <v>0</v>
      </c>
      <c r="R2754" s="37">
        <v>0</v>
      </c>
    </row>
    <row r="2755" spans="1:18" hidden="1">
      <c r="A2755" t="s">
        <v>76</v>
      </c>
      <c r="B2755" t="s">
        <v>34</v>
      </c>
      <c r="C2755">
        <v>0</v>
      </c>
      <c r="D2755">
        <v>0</v>
      </c>
      <c r="E2755" s="29">
        <v>0</v>
      </c>
      <c r="F2755">
        <v>0</v>
      </c>
      <c r="G2755">
        <v>0</v>
      </c>
      <c r="H2755">
        <v>0</v>
      </c>
      <c r="I2755" s="29">
        <v>0</v>
      </c>
      <c r="J2755" s="29">
        <v>0</v>
      </c>
      <c r="K2755" s="9">
        <v>45361</v>
      </c>
      <c r="L2755">
        <f xml:space="preserve"> (交易處理資料__3[[#This Row],[售出工時]] * 60) / 5</f>
        <v>0</v>
      </c>
      <c r="M2755" t="str">
        <f>VLOOKUP(交易處理資料__3[[#This Row],[人員代號]],團隊分組!$B$1:$C$52,2,FALSE)</f>
        <v>快速保養團隊A</v>
      </c>
      <c r="N2755" t="str">
        <f>IF(交易處理資料__3[[#This Row],[上班時間]]=0,"否","是")</f>
        <v>否</v>
      </c>
      <c r="O2755" t="s">
        <v>76</v>
      </c>
      <c r="P2755" s="38">
        <v>0</v>
      </c>
      <c r="Q2755" s="38">
        <v>0</v>
      </c>
      <c r="R2755" s="38">
        <v>0</v>
      </c>
    </row>
    <row r="2756" spans="1:18" hidden="1">
      <c r="A2756" t="s">
        <v>76</v>
      </c>
      <c r="B2756" t="s">
        <v>35</v>
      </c>
      <c r="C2756">
        <v>0</v>
      </c>
      <c r="D2756">
        <v>0</v>
      </c>
      <c r="E2756" s="29">
        <v>0</v>
      </c>
      <c r="F2756">
        <v>0</v>
      </c>
      <c r="G2756">
        <v>0</v>
      </c>
      <c r="H2756">
        <v>0</v>
      </c>
      <c r="I2756" s="29">
        <v>0</v>
      </c>
      <c r="J2756" s="29">
        <v>0</v>
      </c>
      <c r="K2756" s="9">
        <v>45361</v>
      </c>
      <c r="L2756">
        <f xml:space="preserve"> (交易處理資料__3[[#This Row],[售出工時]] * 60) / 5</f>
        <v>0</v>
      </c>
      <c r="M2756" t="str">
        <f>VLOOKUP(交易處理資料__3[[#This Row],[人員代號]],團隊分組!$B$1:$C$52,2,FALSE)</f>
        <v>查修團隊B</v>
      </c>
      <c r="N2756" t="str">
        <f>IF(交易處理資料__3[[#This Row],[上班時間]]=0,"否","是")</f>
        <v>否</v>
      </c>
      <c r="O2756" t="s">
        <v>76</v>
      </c>
      <c r="P2756" s="37">
        <v>0</v>
      </c>
      <c r="Q2756" s="37">
        <v>0</v>
      </c>
      <c r="R2756" s="37">
        <v>0</v>
      </c>
    </row>
    <row r="2757" spans="1:18" hidden="1">
      <c r="A2757" t="s">
        <v>76</v>
      </c>
      <c r="B2757" t="s">
        <v>36</v>
      </c>
      <c r="C2757">
        <v>0</v>
      </c>
      <c r="D2757">
        <v>0</v>
      </c>
      <c r="E2757" s="29">
        <v>0</v>
      </c>
      <c r="F2757">
        <v>0</v>
      </c>
      <c r="G2757">
        <v>0</v>
      </c>
      <c r="H2757">
        <v>0</v>
      </c>
      <c r="I2757" s="29">
        <v>0</v>
      </c>
      <c r="J2757" s="29">
        <v>0</v>
      </c>
      <c r="K2757" s="9">
        <v>45361</v>
      </c>
      <c r="L2757">
        <f xml:space="preserve"> (交易處理資料__3[[#This Row],[售出工時]] * 60) / 5</f>
        <v>0</v>
      </c>
      <c r="M2757" t="str">
        <f>VLOOKUP(交易處理資料__3[[#This Row],[人員代號]],團隊分組!$B$1:$C$52,2,FALSE)</f>
        <v>查修團隊B</v>
      </c>
      <c r="N2757" t="str">
        <f>IF(交易處理資料__3[[#This Row],[上班時間]]=0,"否","是")</f>
        <v>否</v>
      </c>
      <c r="O2757" t="s">
        <v>76</v>
      </c>
      <c r="P2757" s="38">
        <v>0</v>
      </c>
      <c r="Q2757" s="38">
        <v>0</v>
      </c>
      <c r="R2757" s="38">
        <v>0</v>
      </c>
    </row>
    <row r="2758" spans="1:18" hidden="1">
      <c r="A2758" t="s">
        <v>76</v>
      </c>
      <c r="B2758" t="s">
        <v>37</v>
      </c>
      <c r="C2758">
        <v>0</v>
      </c>
      <c r="D2758">
        <v>0</v>
      </c>
      <c r="E2758" s="29">
        <v>0</v>
      </c>
      <c r="F2758">
        <v>0</v>
      </c>
      <c r="G2758">
        <v>0</v>
      </c>
      <c r="H2758">
        <v>0</v>
      </c>
      <c r="I2758" s="29">
        <v>0</v>
      </c>
      <c r="J2758" s="29">
        <v>0</v>
      </c>
      <c r="K2758" s="9">
        <v>45361</v>
      </c>
      <c r="L2758">
        <f xml:space="preserve"> (交易處理資料__3[[#This Row],[售出工時]] * 60) / 5</f>
        <v>0</v>
      </c>
      <c r="M2758" t="str">
        <f>VLOOKUP(交易處理資料__3[[#This Row],[人員代號]],團隊分組!$B$1:$C$52,2,FALSE)</f>
        <v>查修團隊A</v>
      </c>
      <c r="N2758" t="str">
        <f>IF(交易處理資料__3[[#This Row],[上班時間]]=0,"否","是")</f>
        <v>否</v>
      </c>
      <c r="O2758" t="s">
        <v>76</v>
      </c>
      <c r="P2758" s="37">
        <v>0</v>
      </c>
      <c r="Q2758" s="37">
        <v>0</v>
      </c>
      <c r="R2758" s="37">
        <v>0</v>
      </c>
    </row>
    <row r="2759" spans="1:18" hidden="1">
      <c r="A2759" t="s">
        <v>76</v>
      </c>
      <c r="B2759" t="s">
        <v>38</v>
      </c>
      <c r="C2759">
        <v>0</v>
      </c>
      <c r="D2759">
        <v>0</v>
      </c>
      <c r="E2759" s="29">
        <v>0</v>
      </c>
      <c r="F2759">
        <v>0</v>
      </c>
      <c r="G2759">
        <v>0</v>
      </c>
      <c r="H2759">
        <v>0</v>
      </c>
      <c r="I2759" s="29">
        <v>0</v>
      </c>
      <c r="J2759" s="29">
        <v>0</v>
      </c>
      <c r="K2759" s="9">
        <v>45361</v>
      </c>
      <c r="L2759">
        <f xml:space="preserve"> (交易處理資料__3[[#This Row],[售出工時]] * 60) / 5</f>
        <v>0</v>
      </c>
      <c r="M2759" t="str">
        <f>VLOOKUP(交易處理資料__3[[#This Row],[人員代號]],團隊分組!$B$1:$C$52,2,FALSE)</f>
        <v>快速保養團隊A</v>
      </c>
      <c r="N2759" t="str">
        <f>IF(交易處理資料__3[[#This Row],[上班時間]]=0,"否","是")</f>
        <v>否</v>
      </c>
      <c r="O2759" t="s">
        <v>76</v>
      </c>
      <c r="P2759" s="38">
        <v>0</v>
      </c>
      <c r="Q2759" s="38">
        <v>0</v>
      </c>
      <c r="R2759" s="38">
        <v>0</v>
      </c>
    </row>
    <row r="2760" spans="1:18" hidden="1">
      <c r="A2760" t="s">
        <v>76</v>
      </c>
      <c r="B2760" t="s">
        <v>39</v>
      </c>
      <c r="C2760">
        <v>0</v>
      </c>
      <c r="D2760">
        <v>0</v>
      </c>
      <c r="E2760" s="29">
        <v>0</v>
      </c>
      <c r="F2760">
        <v>0</v>
      </c>
      <c r="G2760">
        <v>0</v>
      </c>
      <c r="H2760">
        <v>0</v>
      </c>
      <c r="I2760" s="29">
        <v>0</v>
      </c>
      <c r="J2760" s="29">
        <v>0</v>
      </c>
      <c r="K2760" s="9">
        <v>45361</v>
      </c>
      <c r="L2760">
        <f xml:space="preserve"> (交易處理資料__3[[#This Row],[售出工時]] * 60) / 5</f>
        <v>0</v>
      </c>
      <c r="M2760" t="str">
        <f>VLOOKUP(交易處理資料__3[[#This Row],[人員代號]],團隊分組!$B$1:$C$52,2,FALSE)</f>
        <v>查修團隊A</v>
      </c>
      <c r="N2760" t="str">
        <f>IF(交易處理資料__3[[#This Row],[上班時間]]=0,"否","是")</f>
        <v>否</v>
      </c>
      <c r="O2760" t="s">
        <v>76</v>
      </c>
      <c r="P2760" s="37">
        <v>0</v>
      </c>
      <c r="Q2760" s="37">
        <v>0</v>
      </c>
      <c r="R2760" s="37">
        <v>0</v>
      </c>
    </row>
    <row r="2761" spans="1:18" hidden="1">
      <c r="A2761" t="s">
        <v>76</v>
      </c>
      <c r="B2761" t="s">
        <v>40</v>
      </c>
      <c r="C2761">
        <v>0</v>
      </c>
      <c r="D2761">
        <v>0</v>
      </c>
      <c r="E2761" s="29">
        <v>0</v>
      </c>
      <c r="F2761">
        <v>0</v>
      </c>
      <c r="G2761">
        <v>0</v>
      </c>
      <c r="H2761">
        <v>0</v>
      </c>
      <c r="I2761" s="29">
        <v>0</v>
      </c>
      <c r="J2761" s="29">
        <v>0</v>
      </c>
      <c r="K2761" s="9">
        <v>45361</v>
      </c>
      <c r="L2761">
        <f xml:space="preserve"> (交易處理資料__3[[#This Row],[售出工時]] * 60) / 5</f>
        <v>0</v>
      </c>
      <c r="M2761" t="str">
        <f>VLOOKUP(交易處理資料__3[[#This Row],[人員代號]],團隊分組!$B$1:$C$52,2,FALSE)</f>
        <v>查修團隊A</v>
      </c>
      <c r="N2761" t="str">
        <f>IF(交易處理資料__3[[#This Row],[上班時間]]=0,"否","是")</f>
        <v>否</v>
      </c>
      <c r="O2761" t="s">
        <v>76</v>
      </c>
      <c r="P2761" s="38">
        <v>0</v>
      </c>
      <c r="Q2761" s="38">
        <v>0</v>
      </c>
      <c r="R2761" s="38">
        <v>0</v>
      </c>
    </row>
    <row r="2762" spans="1:18" hidden="1">
      <c r="A2762" t="s">
        <v>76</v>
      </c>
      <c r="B2762" t="s">
        <v>41</v>
      </c>
      <c r="C2762">
        <v>0</v>
      </c>
      <c r="D2762">
        <v>0</v>
      </c>
      <c r="E2762" s="29">
        <v>0</v>
      </c>
      <c r="F2762">
        <v>0</v>
      </c>
      <c r="G2762">
        <v>0</v>
      </c>
      <c r="H2762">
        <v>0</v>
      </c>
      <c r="I2762" s="29">
        <v>0</v>
      </c>
      <c r="J2762" s="29">
        <v>0</v>
      </c>
      <c r="K2762" s="9">
        <v>45361</v>
      </c>
      <c r="L2762">
        <f xml:space="preserve"> (交易處理資料__3[[#This Row],[售出工時]] * 60) / 5</f>
        <v>0</v>
      </c>
      <c r="M2762" t="str">
        <f>VLOOKUP(交易處理資料__3[[#This Row],[人員代號]],團隊分組!$B$1:$C$52,2,FALSE)</f>
        <v>快速保養團隊A</v>
      </c>
      <c r="N2762" t="str">
        <f>IF(交易處理資料__3[[#This Row],[上班時間]]=0,"否","是")</f>
        <v>否</v>
      </c>
      <c r="O2762" t="s">
        <v>76</v>
      </c>
      <c r="P2762" s="37">
        <v>0</v>
      </c>
      <c r="Q2762" s="37">
        <v>0</v>
      </c>
      <c r="R2762" s="37">
        <v>0</v>
      </c>
    </row>
    <row r="2763" spans="1:18" hidden="1">
      <c r="A2763" t="s">
        <v>76</v>
      </c>
      <c r="B2763" t="s">
        <v>42</v>
      </c>
      <c r="C2763">
        <v>0</v>
      </c>
      <c r="D2763">
        <v>0</v>
      </c>
      <c r="E2763" s="29">
        <v>0</v>
      </c>
      <c r="F2763">
        <v>0</v>
      </c>
      <c r="G2763">
        <v>0</v>
      </c>
      <c r="H2763">
        <v>0</v>
      </c>
      <c r="I2763" s="29">
        <v>0</v>
      </c>
      <c r="J2763" s="29">
        <v>0</v>
      </c>
      <c r="K2763" s="9">
        <v>45361</v>
      </c>
      <c r="L2763">
        <f xml:space="preserve"> (交易處理資料__3[[#This Row],[售出工時]] * 60) / 5</f>
        <v>0</v>
      </c>
      <c r="M2763" t="str">
        <f>VLOOKUP(交易處理資料__3[[#This Row],[人員代號]],團隊分組!$B$1:$C$52,2,FALSE)</f>
        <v>快速保養團隊A</v>
      </c>
      <c r="N2763" t="str">
        <f>IF(交易處理資料__3[[#This Row],[上班時間]]=0,"否","是")</f>
        <v>否</v>
      </c>
      <c r="O2763" t="s">
        <v>76</v>
      </c>
      <c r="P2763" s="38">
        <v>0</v>
      </c>
      <c r="Q2763" s="38">
        <v>0</v>
      </c>
      <c r="R2763" s="38">
        <v>0</v>
      </c>
    </row>
    <row r="2764" spans="1:18" hidden="1">
      <c r="A2764" t="s">
        <v>76</v>
      </c>
      <c r="B2764" t="s">
        <v>43</v>
      </c>
      <c r="C2764">
        <v>0</v>
      </c>
      <c r="D2764">
        <v>0</v>
      </c>
      <c r="E2764" s="29">
        <v>0</v>
      </c>
      <c r="F2764">
        <v>0</v>
      </c>
      <c r="G2764">
        <v>0</v>
      </c>
      <c r="H2764">
        <v>0</v>
      </c>
      <c r="I2764" s="29">
        <v>0</v>
      </c>
      <c r="J2764" s="29">
        <v>0</v>
      </c>
      <c r="K2764" s="9">
        <v>45361</v>
      </c>
      <c r="L2764">
        <f xml:space="preserve"> (交易處理資料__3[[#This Row],[售出工時]] * 60) / 5</f>
        <v>0</v>
      </c>
      <c r="M2764" t="str">
        <f>VLOOKUP(交易處理資料__3[[#This Row],[人員代號]],團隊分組!$B$1:$C$52,2,FALSE)</f>
        <v>查修團隊B</v>
      </c>
      <c r="N2764" t="str">
        <f>IF(交易處理資料__3[[#This Row],[上班時間]]=0,"否","是")</f>
        <v>否</v>
      </c>
      <c r="O2764" t="s">
        <v>76</v>
      </c>
      <c r="P2764" s="37">
        <v>0</v>
      </c>
      <c r="Q2764" s="37">
        <v>0</v>
      </c>
      <c r="R2764" s="37">
        <v>0</v>
      </c>
    </row>
    <row r="2765" spans="1:18" hidden="1">
      <c r="A2765" t="s">
        <v>76</v>
      </c>
      <c r="B2765" t="s">
        <v>44</v>
      </c>
      <c r="C2765">
        <v>0</v>
      </c>
      <c r="D2765">
        <v>0</v>
      </c>
      <c r="E2765" s="29">
        <v>0</v>
      </c>
      <c r="F2765">
        <v>0</v>
      </c>
      <c r="G2765">
        <v>0</v>
      </c>
      <c r="H2765">
        <v>0</v>
      </c>
      <c r="I2765" s="29">
        <v>0</v>
      </c>
      <c r="J2765" s="29">
        <v>0</v>
      </c>
      <c r="K2765" s="9">
        <v>45361</v>
      </c>
      <c r="L2765">
        <f xml:space="preserve"> (交易處理資料__3[[#This Row],[售出工時]] * 60) / 5</f>
        <v>0</v>
      </c>
      <c r="M2765" t="str">
        <f>VLOOKUP(交易處理資料__3[[#This Row],[人員代號]],團隊分組!$B$1:$C$52,2,FALSE)</f>
        <v>快速保養團隊B</v>
      </c>
      <c r="N2765" t="str">
        <f>IF(交易處理資料__3[[#This Row],[上班時間]]=0,"否","是")</f>
        <v>否</v>
      </c>
      <c r="O2765" t="s">
        <v>76</v>
      </c>
      <c r="P2765" s="38">
        <v>0</v>
      </c>
      <c r="Q2765" s="38">
        <v>0</v>
      </c>
      <c r="R2765" s="38">
        <v>0</v>
      </c>
    </row>
    <row r="2766" spans="1:18" hidden="1">
      <c r="A2766" t="s">
        <v>76</v>
      </c>
      <c r="B2766" t="s">
        <v>45</v>
      </c>
      <c r="C2766">
        <v>0</v>
      </c>
      <c r="D2766">
        <v>0</v>
      </c>
      <c r="E2766" s="29">
        <v>0</v>
      </c>
      <c r="F2766">
        <v>0</v>
      </c>
      <c r="G2766">
        <v>0</v>
      </c>
      <c r="H2766">
        <v>0</v>
      </c>
      <c r="I2766" s="29">
        <v>0</v>
      </c>
      <c r="J2766" s="29">
        <v>0</v>
      </c>
      <c r="K2766" s="9">
        <v>45361</v>
      </c>
      <c r="L2766">
        <f xml:space="preserve"> (交易處理資料__3[[#This Row],[售出工時]] * 60) / 5</f>
        <v>0</v>
      </c>
      <c r="M2766" t="str">
        <f>VLOOKUP(交易處理資料__3[[#This Row],[人員代號]],團隊分組!$B$1:$C$52,2,FALSE)</f>
        <v>快速保養團隊A</v>
      </c>
      <c r="N2766" t="str">
        <f>IF(交易處理資料__3[[#This Row],[上班時間]]=0,"否","是")</f>
        <v>否</v>
      </c>
      <c r="O2766" t="s">
        <v>76</v>
      </c>
      <c r="P2766" s="37">
        <v>0</v>
      </c>
      <c r="Q2766" s="37">
        <v>0</v>
      </c>
      <c r="R2766" s="37">
        <v>0</v>
      </c>
    </row>
    <row r="2767" spans="1:18" hidden="1">
      <c r="A2767" t="s">
        <v>76</v>
      </c>
      <c r="B2767" t="s">
        <v>46</v>
      </c>
      <c r="C2767">
        <v>0</v>
      </c>
      <c r="D2767">
        <v>0</v>
      </c>
      <c r="E2767" s="29">
        <v>0</v>
      </c>
      <c r="F2767">
        <v>0</v>
      </c>
      <c r="G2767">
        <v>0</v>
      </c>
      <c r="H2767">
        <v>0</v>
      </c>
      <c r="I2767" s="29">
        <v>0</v>
      </c>
      <c r="J2767" s="29">
        <v>0</v>
      </c>
      <c r="K2767" s="9">
        <v>45361</v>
      </c>
      <c r="L2767">
        <f xml:space="preserve"> (交易處理資料__3[[#This Row],[售出工時]] * 60) / 5</f>
        <v>0</v>
      </c>
      <c r="M2767" t="str">
        <f>VLOOKUP(交易處理資料__3[[#This Row],[人員代號]],團隊分組!$B$1:$C$52,2,FALSE)</f>
        <v>查修團隊B</v>
      </c>
      <c r="N2767" t="str">
        <f>IF(交易處理資料__3[[#This Row],[上班時間]]=0,"否","是")</f>
        <v>否</v>
      </c>
      <c r="O2767" t="s">
        <v>76</v>
      </c>
      <c r="P2767" s="38">
        <v>0</v>
      </c>
      <c r="Q2767" s="38">
        <v>0</v>
      </c>
      <c r="R2767" s="38">
        <v>0</v>
      </c>
    </row>
    <row r="2768" spans="1:18" hidden="1">
      <c r="A2768" t="s">
        <v>76</v>
      </c>
      <c r="B2768" t="s">
        <v>47</v>
      </c>
      <c r="C2768">
        <v>0</v>
      </c>
      <c r="D2768">
        <v>0</v>
      </c>
      <c r="E2768" s="29">
        <v>0</v>
      </c>
      <c r="F2768">
        <v>0</v>
      </c>
      <c r="G2768">
        <v>0</v>
      </c>
      <c r="H2768">
        <v>0</v>
      </c>
      <c r="I2768" s="29">
        <v>0</v>
      </c>
      <c r="J2768" s="29">
        <v>0</v>
      </c>
      <c r="K2768" s="9">
        <v>45361</v>
      </c>
      <c r="L2768">
        <f xml:space="preserve"> (交易處理資料__3[[#This Row],[售出工時]] * 60) / 5</f>
        <v>0</v>
      </c>
      <c r="M2768" t="str">
        <f>VLOOKUP(交易處理資料__3[[#This Row],[人員代號]],團隊分組!$B$1:$C$52,2,FALSE)</f>
        <v>查修團隊B</v>
      </c>
      <c r="N2768" t="str">
        <f>IF(交易處理資料__3[[#This Row],[上班時間]]=0,"否","是")</f>
        <v>否</v>
      </c>
      <c r="O2768" t="s">
        <v>76</v>
      </c>
      <c r="P2768" s="37">
        <v>0</v>
      </c>
      <c r="Q2768" s="37">
        <v>0</v>
      </c>
      <c r="R2768" s="37">
        <v>0</v>
      </c>
    </row>
    <row r="2769" spans="1:18" hidden="1">
      <c r="A2769" t="s">
        <v>76</v>
      </c>
      <c r="B2769" t="s">
        <v>48</v>
      </c>
      <c r="C2769">
        <v>0</v>
      </c>
      <c r="D2769">
        <v>0</v>
      </c>
      <c r="E2769" s="29">
        <v>0</v>
      </c>
      <c r="F2769">
        <v>0</v>
      </c>
      <c r="G2769">
        <v>0</v>
      </c>
      <c r="H2769">
        <v>0</v>
      </c>
      <c r="I2769" s="29">
        <v>0</v>
      </c>
      <c r="J2769" s="29">
        <v>0</v>
      </c>
      <c r="K2769" s="9">
        <v>45361</v>
      </c>
      <c r="L2769">
        <f xml:space="preserve"> (交易處理資料__3[[#This Row],[售出工時]] * 60) / 5</f>
        <v>0</v>
      </c>
      <c r="M2769" t="str">
        <f>VLOOKUP(交易處理資料__3[[#This Row],[人員代號]],團隊分組!$B$1:$C$52,2,FALSE)</f>
        <v>查修團隊A</v>
      </c>
      <c r="N2769" t="str">
        <f>IF(交易處理資料__3[[#This Row],[上班時間]]=0,"否","是")</f>
        <v>否</v>
      </c>
      <c r="O2769" t="s">
        <v>76</v>
      </c>
      <c r="P2769" s="38">
        <v>0</v>
      </c>
      <c r="Q2769" s="38">
        <v>0</v>
      </c>
      <c r="R2769" s="38">
        <v>0</v>
      </c>
    </row>
    <row r="2770" spans="1:18" hidden="1">
      <c r="A2770" t="s">
        <v>76</v>
      </c>
      <c r="B2770" t="s">
        <v>49</v>
      </c>
      <c r="C2770">
        <v>0</v>
      </c>
      <c r="D2770">
        <v>0</v>
      </c>
      <c r="E2770" s="29">
        <v>0</v>
      </c>
      <c r="F2770">
        <v>0</v>
      </c>
      <c r="G2770">
        <v>0</v>
      </c>
      <c r="H2770">
        <v>0</v>
      </c>
      <c r="I2770" s="29">
        <v>0</v>
      </c>
      <c r="J2770" s="29">
        <v>0</v>
      </c>
      <c r="K2770" s="9">
        <v>45361</v>
      </c>
      <c r="L2770">
        <f xml:space="preserve"> (交易處理資料__3[[#This Row],[售出工時]] * 60) / 5</f>
        <v>0</v>
      </c>
      <c r="M2770" t="str">
        <f>VLOOKUP(交易處理資料__3[[#This Row],[人員代號]],團隊分組!$B$1:$C$52,2,FALSE)</f>
        <v>查修團隊A</v>
      </c>
      <c r="N2770" t="str">
        <f>IF(交易處理資料__3[[#This Row],[上班時間]]=0,"否","是")</f>
        <v>否</v>
      </c>
      <c r="O2770" t="s">
        <v>76</v>
      </c>
      <c r="P2770" s="37">
        <v>0</v>
      </c>
      <c r="Q2770" s="37">
        <v>0</v>
      </c>
      <c r="R2770" s="37">
        <v>0</v>
      </c>
    </row>
    <row r="2771" spans="1:18" hidden="1">
      <c r="A2771" t="s">
        <v>76</v>
      </c>
      <c r="B2771" t="s">
        <v>50</v>
      </c>
      <c r="C2771">
        <v>0</v>
      </c>
      <c r="D2771">
        <v>0</v>
      </c>
      <c r="E2771" s="29">
        <v>0</v>
      </c>
      <c r="F2771">
        <v>0</v>
      </c>
      <c r="G2771">
        <v>0</v>
      </c>
      <c r="H2771">
        <v>0</v>
      </c>
      <c r="I2771" s="29">
        <v>0</v>
      </c>
      <c r="J2771" s="29">
        <v>0</v>
      </c>
      <c r="K2771" s="9">
        <v>45361</v>
      </c>
      <c r="L2771">
        <f xml:space="preserve"> (交易處理資料__3[[#This Row],[售出工時]] * 60) / 5</f>
        <v>0</v>
      </c>
      <c r="M2771" t="str">
        <f>VLOOKUP(交易處理資料__3[[#This Row],[人員代號]],團隊分組!$B$1:$C$52,2,FALSE)</f>
        <v>快速保養團隊B</v>
      </c>
      <c r="N2771" t="str">
        <f>IF(交易處理資料__3[[#This Row],[上班時間]]=0,"否","是")</f>
        <v>否</v>
      </c>
      <c r="O2771" t="s">
        <v>76</v>
      </c>
      <c r="P2771" s="38">
        <v>0</v>
      </c>
      <c r="Q2771" s="38">
        <v>0</v>
      </c>
      <c r="R2771" s="38">
        <v>0</v>
      </c>
    </row>
    <row r="2772" spans="1:18" hidden="1">
      <c r="A2772" t="s">
        <v>76</v>
      </c>
      <c r="B2772" t="s">
        <v>51</v>
      </c>
      <c r="C2772">
        <v>0</v>
      </c>
      <c r="D2772">
        <v>0</v>
      </c>
      <c r="E2772" s="29">
        <v>0</v>
      </c>
      <c r="F2772">
        <v>0</v>
      </c>
      <c r="G2772">
        <v>0</v>
      </c>
      <c r="H2772">
        <v>0</v>
      </c>
      <c r="I2772" s="29">
        <v>0</v>
      </c>
      <c r="J2772" s="29">
        <v>0</v>
      </c>
      <c r="K2772" s="9">
        <v>45361</v>
      </c>
      <c r="L2772">
        <f xml:space="preserve"> (交易處理資料__3[[#This Row],[售出工時]] * 60) / 5</f>
        <v>0</v>
      </c>
      <c r="M2772" t="str">
        <f>VLOOKUP(交易處理資料__3[[#This Row],[人員代號]],團隊分組!$B$1:$C$52,2,FALSE)</f>
        <v>無效數據</v>
      </c>
      <c r="N2772" t="str">
        <f>IF(交易處理資料__3[[#This Row],[上班時間]]=0,"否","是")</f>
        <v>否</v>
      </c>
      <c r="O2772" t="s">
        <v>76</v>
      </c>
      <c r="P2772" s="37">
        <v>0</v>
      </c>
      <c r="Q2772" s="37">
        <v>0</v>
      </c>
      <c r="R2772" s="37">
        <v>0</v>
      </c>
    </row>
    <row r="2773" spans="1:18" hidden="1">
      <c r="A2773" t="s">
        <v>76</v>
      </c>
      <c r="B2773" t="s">
        <v>52</v>
      </c>
      <c r="C2773">
        <v>0</v>
      </c>
      <c r="D2773">
        <v>0</v>
      </c>
      <c r="E2773" s="29">
        <v>0</v>
      </c>
      <c r="F2773">
        <v>0</v>
      </c>
      <c r="G2773">
        <v>0</v>
      </c>
      <c r="H2773">
        <v>0</v>
      </c>
      <c r="I2773" s="29">
        <v>0</v>
      </c>
      <c r="J2773" s="29">
        <v>0</v>
      </c>
      <c r="K2773" s="9">
        <v>45361</v>
      </c>
      <c r="L2773">
        <f xml:space="preserve"> (交易處理資料__3[[#This Row],[售出工時]] * 60) / 5</f>
        <v>0</v>
      </c>
      <c r="M2773" t="str">
        <f>VLOOKUP(交易處理資料__3[[#This Row],[人員代號]],團隊分組!$B$1:$C$52,2,FALSE)</f>
        <v>查修團隊B</v>
      </c>
      <c r="N2773" t="str">
        <f>IF(交易處理資料__3[[#This Row],[上班時間]]=0,"否","是")</f>
        <v>否</v>
      </c>
      <c r="O2773" t="s">
        <v>76</v>
      </c>
      <c r="P2773" s="38">
        <v>0</v>
      </c>
      <c r="Q2773" s="38">
        <v>0</v>
      </c>
      <c r="R2773" s="38">
        <v>0</v>
      </c>
    </row>
    <row r="2774" spans="1:18" hidden="1">
      <c r="A2774" t="s">
        <v>76</v>
      </c>
      <c r="B2774" t="s">
        <v>53</v>
      </c>
      <c r="C2774">
        <v>0</v>
      </c>
      <c r="D2774">
        <v>0</v>
      </c>
      <c r="E2774" s="29">
        <v>0</v>
      </c>
      <c r="F2774">
        <v>0</v>
      </c>
      <c r="G2774">
        <v>0</v>
      </c>
      <c r="H2774">
        <v>0</v>
      </c>
      <c r="I2774" s="29">
        <v>0</v>
      </c>
      <c r="J2774" s="29">
        <v>0</v>
      </c>
      <c r="K2774" s="9">
        <v>45361</v>
      </c>
      <c r="L2774">
        <f xml:space="preserve"> (交易處理資料__3[[#This Row],[售出工時]] * 60) / 5</f>
        <v>0</v>
      </c>
      <c r="M2774" t="str">
        <f>VLOOKUP(交易處理資料__3[[#This Row],[人員代號]],團隊分組!$B$1:$C$52,2,FALSE)</f>
        <v>查修團隊A</v>
      </c>
      <c r="N2774" t="str">
        <f>IF(交易處理資料__3[[#This Row],[上班時間]]=0,"否","是")</f>
        <v>否</v>
      </c>
      <c r="O2774" t="s">
        <v>76</v>
      </c>
      <c r="P2774" s="37">
        <v>0</v>
      </c>
      <c r="Q2774" s="37">
        <v>0</v>
      </c>
      <c r="R2774" s="37">
        <v>0</v>
      </c>
    </row>
    <row r="2775" spans="1:18" hidden="1">
      <c r="A2775" s="10" t="s">
        <v>74</v>
      </c>
      <c r="B2775" t="s">
        <v>1</v>
      </c>
      <c r="C2775">
        <v>0</v>
      </c>
      <c r="D2775">
        <v>0</v>
      </c>
      <c r="E2775" s="29">
        <v>0</v>
      </c>
      <c r="F2775">
        <v>0</v>
      </c>
      <c r="G2775">
        <v>0</v>
      </c>
      <c r="H2775">
        <v>0</v>
      </c>
      <c r="I2775" s="29">
        <v>0</v>
      </c>
      <c r="J2775" s="29">
        <v>0</v>
      </c>
      <c r="K2775" s="9">
        <v>45362</v>
      </c>
      <c r="L2775">
        <f xml:space="preserve"> (交易處理資料__3[[#This Row],[售出工時]] * 60) / 5</f>
        <v>0</v>
      </c>
      <c r="M2775" t="str">
        <f>VLOOKUP(交易處理資料__3[[#This Row],[人員代號]],團隊分組!$B$1:$C$52,2,FALSE)</f>
        <v>噴漆維修組</v>
      </c>
      <c r="N2775" t="str">
        <f>IF(交易處理資料__3[[#This Row],[上班時間]]=0,"否","是")</f>
        <v>否</v>
      </c>
      <c r="O2775" s="10" t="s">
        <v>74</v>
      </c>
      <c r="P2775" s="38">
        <v>0</v>
      </c>
      <c r="Q2775" s="38">
        <v>0</v>
      </c>
      <c r="R2775" s="38">
        <v>0</v>
      </c>
    </row>
    <row r="2776" spans="1:18" hidden="1">
      <c r="A2776" s="10" t="s">
        <v>74</v>
      </c>
      <c r="B2776" t="s">
        <v>2</v>
      </c>
      <c r="C2776">
        <v>1.19</v>
      </c>
      <c r="D2776">
        <v>6.95</v>
      </c>
      <c r="E2776" s="29">
        <v>0.1712230216</v>
      </c>
      <c r="F2776">
        <v>10.24</v>
      </c>
      <c r="G2776">
        <v>0.14000000000000001</v>
      </c>
      <c r="H2776">
        <v>10.38</v>
      </c>
      <c r="I2776" s="29">
        <v>0.98650000000000004</v>
      </c>
      <c r="J2776" s="29">
        <v>0.11460000000000001</v>
      </c>
      <c r="K2776" s="9">
        <v>45362</v>
      </c>
      <c r="L2776">
        <f xml:space="preserve"> (交易處理資料__3[[#This Row],[售出工時]] * 60) / 5</f>
        <v>14.279999999999998</v>
      </c>
      <c r="M2776" t="str">
        <f>VLOOKUP(交易處理資料__3[[#This Row],[人員代號]],團隊分組!$B$1:$C$52,2,FALSE)</f>
        <v>噴漆維修組</v>
      </c>
      <c r="N2776" t="str">
        <f>IF(交易處理資料__3[[#This Row],[上班時間]]=0,"否","是")</f>
        <v>是</v>
      </c>
      <c r="O2776" s="10" t="s">
        <v>74</v>
      </c>
      <c r="P2776" s="37">
        <v>0.1712230216</v>
      </c>
      <c r="Q2776" s="37">
        <v>0.11460000000000001</v>
      </c>
      <c r="R2776" s="37">
        <v>0.98650000000000004</v>
      </c>
    </row>
    <row r="2777" spans="1:18" hidden="1">
      <c r="A2777" s="10" t="s">
        <v>74</v>
      </c>
      <c r="B2777" t="s">
        <v>3</v>
      </c>
      <c r="C2777">
        <v>1.19</v>
      </c>
      <c r="D2777">
        <v>6.95</v>
      </c>
      <c r="E2777" s="29">
        <v>0.1712230216</v>
      </c>
      <c r="F2777">
        <v>10.25</v>
      </c>
      <c r="G2777">
        <v>0.14000000000000001</v>
      </c>
      <c r="H2777">
        <v>10.39</v>
      </c>
      <c r="I2777" s="29">
        <v>0.98650000000000004</v>
      </c>
      <c r="J2777" s="29">
        <v>0.11449999999999999</v>
      </c>
      <c r="K2777" s="9">
        <v>45362</v>
      </c>
      <c r="L2777">
        <f xml:space="preserve"> (交易處理資料__3[[#This Row],[售出工時]] * 60) / 5</f>
        <v>14.279999999999998</v>
      </c>
      <c r="M2777" t="str">
        <f>VLOOKUP(交易處理資料__3[[#This Row],[人員代號]],團隊分組!$B$1:$C$52,2,FALSE)</f>
        <v>噴漆維修組</v>
      </c>
      <c r="N2777" t="str">
        <f>IF(交易處理資料__3[[#This Row],[上班時間]]=0,"否","是")</f>
        <v>是</v>
      </c>
      <c r="O2777" s="10" t="s">
        <v>74</v>
      </c>
      <c r="P2777" s="38">
        <v>0.1712230216</v>
      </c>
      <c r="Q2777" s="38">
        <v>0.11449999999999999</v>
      </c>
      <c r="R2777" s="38">
        <v>0.98650000000000004</v>
      </c>
    </row>
    <row r="2778" spans="1:18" hidden="1">
      <c r="A2778" s="10" t="s">
        <v>74</v>
      </c>
      <c r="B2778" t="s">
        <v>4</v>
      </c>
      <c r="C2778">
        <v>0.75</v>
      </c>
      <c r="D2778">
        <v>6</v>
      </c>
      <c r="E2778" s="29">
        <v>0.125</v>
      </c>
      <c r="F2778">
        <v>7.9</v>
      </c>
      <c r="G2778">
        <v>0.09</v>
      </c>
      <c r="H2778">
        <v>7.99</v>
      </c>
      <c r="I2778" s="29">
        <v>0.98870000000000002</v>
      </c>
      <c r="J2778" s="29">
        <v>9.3900000000000011E-2</v>
      </c>
      <c r="K2778" s="9">
        <v>45362</v>
      </c>
      <c r="L2778">
        <f xml:space="preserve"> (交易處理資料__3[[#This Row],[售出工時]] * 60) / 5</f>
        <v>9</v>
      </c>
      <c r="M2778" t="str">
        <f>VLOOKUP(交易處理資料__3[[#This Row],[人員代號]],團隊分組!$B$1:$C$52,2,FALSE)</f>
        <v>噴漆維修組</v>
      </c>
      <c r="N2778" t="str">
        <f>IF(交易處理資料__3[[#This Row],[上班時間]]=0,"否","是")</f>
        <v>是</v>
      </c>
      <c r="O2778" s="10" t="s">
        <v>74</v>
      </c>
      <c r="P2778" s="37">
        <v>0.125</v>
      </c>
      <c r="Q2778" s="37">
        <v>9.3900000000000011E-2</v>
      </c>
      <c r="R2778" s="37">
        <v>0.98870000000000002</v>
      </c>
    </row>
    <row r="2779" spans="1:18" hidden="1">
      <c r="A2779" s="10" t="s">
        <v>74</v>
      </c>
      <c r="B2779" t="s">
        <v>5</v>
      </c>
      <c r="C2779">
        <v>5.55</v>
      </c>
      <c r="D2779">
        <v>8.41</v>
      </c>
      <c r="E2779" s="29">
        <v>0.65992865640000009</v>
      </c>
      <c r="F2779">
        <v>10.27</v>
      </c>
      <c r="G2779">
        <v>0.16</v>
      </c>
      <c r="H2779">
        <v>10.43</v>
      </c>
      <c r="I2779" s="29">
        <v>0.98470000000000002</v>
      </c>
      <c r="J2779" s="29">
        <v>0.53210000000000002</v>
      </c>
      <c r="K2779" s="9">
        <v>45362</v>
      </c>
      <c r="L2779">
        <f xml:space="preserve"> (交易處理資料__3[[#This Row],[售出工時]] * 60) / 5</f>
        <v>66.599999999999994</v>
      </c>
      <c r="M2779" t="str">
        <f>VLOOKUP(交易處理資料__3[[#This Row],[人員代號]],團隊分組!$B$1:$C$52,2,FALSE)</f>
        <v>噴漆維修組</v>
      </c>
      <c r="N2779" t="str">
        <f>IF(交易處理資料__3[[#This Row],[上班時間]]=0,"否","是")</f>
        <v>是</v>
      </c>
      <c r="O2779" s="10" t="s">
        <v>74</v>
      </c>
      <c r="P2779" s="38">
        <v>0.65992865640000009</v>
      </c>
      <c r="Q2779" s="38">
        <v>0.53210000000000002</v>
      </c>
      <c r="R2779" s="38">
        <v>0.98470000000000002</v>
      </c>
    </row>
    <row r="2780" spans="1:18" hidden="1">
      <c r="A2780" s="10" t="s">
        <v>74</v>
      </c>
      <c r="B2780" t="s">
        <v>6</v>
      </c>
      <c r="C2780">
        <v>1.19</v>
      </c>
      <c r="D2780">
        <v>6.95</v>
      </c>
      <c r="E2780" s="29">
        <v>0.1712230216</v>
      </c>
      <c r="F2780">
        <v>10.23</v>
      </c>
      <c r="G2780">
        <v>0.14000000000000001</v>
      </c>
      <c r="H2780">
        <v>10.37</v>
      </c>
      <c r="I2780" s="29">
        <v>0.98650000000000004</v>
      </c>
      <c r="J2780" s="29">
        <v>0.1148</v>
      </c>
      <c r="K2780" s="9">
        <v>45362</v>
      </c>
      <c r="L2780">
        <f xml:space="preserve"> (交易處理資料__3[[#This Row],[售出工時]] * 60) / 5</f>
        <v>14.279999999999998</v>
      </c>
      <c r="M2780" t="str">
        <f>VLOOKUP(交易處理資料__3[[#This Row],[人員代號]],團隊分組!$B$1:$C$52,2,FALSE)</f>
        <v>噴漆維修組</v>
      </c>
      <c r="N2780" t="str">
        <f>IF(交易處理資料__3[[#This Row],[上班時間]]=0,"否","是")</f>
        <v>是</v>
      </c>
      <c r="O2780" s="10" t="s">
        <v>74</v>
      </c>
      <c r="P2780" s="37">
        <v>0.1712230216</v>
      </c>
      <c r="Q2780" s="37">
        <v>0.1148</v>
      </c>
      <c r="R2780" s="37">
        <v>0.98650000000000004</v>
      </c>
    </row>
    <row r="2781" spans="1:18">
      <c r="A2781" s="10" t="s">
        <v>74</v>
      </c>
      <c r="B2781" t="s">
        <v>7</v>
      </c>
      <c r="C2781">
        <v>7.2166666670000001</v>
      </c>
      <c r="D2781">
        <v>8.91</v>
      </c>
      <c r="E2781" s="29">
        <v>0.80995136550000002</v>
      </c>
      <c r="F2781">
        <v>10.26</v>
      </c>
      <c r="G2781">
        <v>0.16</v>
      </c>
      <c r="H2781">
        <v>10.42</v>
      </c>
      <c r="I2781" s="29">
        <v>0.98459999999999992</v>
      </c>
      <c r="J2781" s="29">
        <v>0.6926000000000001</v>
      </c>
      <c r="K2781" s="9">
        <v>45362</v>
      </c>
      <c r="L2781">
        <f xml:space="preserve"> (交易處理資料__3[[#This Row],[售出工時]] * 60) / 5</f>
        <v>86.600000004000009</v>
      </c>
      <c r="M2781" t="str">
        <f>VLOOKUP(交易處理資料__3[[#This Row],[人員代號]],團隊分組!$B$1:$C$52,2,FALSE)</f>
        <v>噴漆維修組</v>
      </c>
      <c r="N2781" t="str">
        <f>IF(交易處理資料__3[[#This Row],[上班時間]]=0,"否","是")</f>
        <v>是</v>
      </c>
      <c r="O2781" s="10" t="s">
        <v>74</v>
      </c>
      <c r="P2781" s="38">
        <v>0.80995136550000002</v>
      </c>
      <c r="Q2781" s="38">
        <v>0.6926000000000001</v>
      </c>
      <c r="R2781" s="38">
        <v>0.98459999999999992</v>
      </c>
    </row>
    <row r="2782" spans="1:18" hidden="1">
      <c r="A2782" s="10" t="s">
        <v>74</v>
      </c>
      <c r="B2782" t="s">
        <v>8</v>
      </c>
      <c r="C2782">
        <v>3.29</v>
      </c>
      <c r="D2782">
        <v>9.61</v>
      </c>
      <c r="E2782" s="29">
        <v>0.342351717</v>
      </c>
      <c r="F2782">
        <v>10.18</v>
      </c>
      <c r="G2782">
        <v>0.09</v>
      </c>
      <c r="H2782">
        <v>10.27</v>
      </c>
      <c r="I2782" s="29">
        <v>0.99120000000000008</v>
      </c>
      <c r="J2782" s="29">
        <v>0.32040000000000002</v>
      </c>
      <c r="K2782" s="9">
        <v>45362</v>
      </c>
      <c r="L2782">
        <f xml:space="preserve"> (交易處理資料__3[[#This Row],[售出工時]] * 60) / 5</f>
        <v>39.480000000000004</v>
      </c>
      <c r="M2782" t="str">
        <f>VLOOKUP(交易處理資料__3[[#This Row],[人員代號]],團隊分組!$B$1:$C$52,2,FALSE)</f>
        <v>噴漆維修組</v>
      </c>
      <c r="N2782" t="str">
        <f>IF(交易處理資料__3[[#This Row],[上班時間]]=0,"否","是")</f>
        <v>是</v>
      </c>
      <c r="O2782" s="10" t="s">
        <v>74</v>
      </c>
      <c r="P2782" s="37">
        <v>0.342351717</v>
      </c>
      <c r="Q2782" s="37">
        <v>0.32040000000000002</v>
      </c>
      <c r="R2782" s="37">
        <v>0.99120000000000008</v>
      </c>
    </row>
    <row r="2783" spans="1:18" hidden="1">
      <c r="A2783" s="10" t="s">
        <v>74</v>
      </c>
      <c r="B2783" t="s">
        <v>9</v>
      </c>
      <c r="C2783">
        <v>4.37</v>
      </c>
      <c r="D2783">
        <v>6.23</v>
      </c>
      <c r="E2783" s="29">
        <v>0.70144462279999997</v>
      </c>
      <c r="F2783">
        <v>10.31</v>
      </c>
      <c r="G2783">
        <v>0.19</v>
      </c>
      <c r="H2783">
        <v>10.5</v>
      </c>
      <c r="I2783" s="29">
        <v>0.9819</v>
      </c>
      <c r="J2783" s="29">
        <v>0.41619999999999996</v>
      </c>
      <c r="K2783" s="9">
        <v>45362</v>
      </c>
      <c r="L2783">
        <f xml:space="preserve"> (交易處理資料__3[[#This Row],[售出工時]] * 60) / 5</f>
        <v>52.44</v>
      </c>
      <c r="M2783" t="str">
        <f>VLOOKUP(交易處理資料__3[[#This Row],[人員代號]],團隊分組!$B$1:$C$52,2,FALSE)</f>
        <v>噴漆維修組</v>
      </c>
      <c r="N2783" t="str">
        <f>IF(交易處理資料__3[[#This Row],[上班時間]]=0,"否","是")</f>
        <v>是</v>
      </c>
      <c r="O2783" s="10" t="s">
        <v>74</v>
      </c>
      <c r="P2783" s="38">
        <v>0.70144462279999997</v>
      </c>
      <c r="Q2783" s="38">
        <v>0.41619999999999996</v>
      </c>
      <c r="R2783" s="38">
        <v>0.9819</v>
      </c>
    </row>
    <row r="2784" spans="1:18" hidden="1">
      <c r="A2784" t="s">
        <v>75</v>
      </c>
      <c r="B2784" t="s">
        <v>11</v>
      </c>
      <c r="C2784">
        <v>0</v>
      </c>
      <c r="D2784">
        <v>0</v>
      </c>
      <c r="E2784" s="29">
        <v>0</v>
      </c>
      <c r="F2784">
        <v>0</v>
      </c>
      <c r="G2784">
        <v>0</v>
      </c>
      <c r="H2784">
        <v>0</v>
      </c>
      <c r="I2784" s="29">
        <v>0</v>
      </c>
      <c r="J2784" s="29">
        <v>0</v>
      </c>
      <c r="K2784" s="9">
        <v>45362</v>
      </c>
      <c r="L2784">
        <f xml:space="preserve"> (交易處理資料__3[[#This Row],[售出工時]] * 60) / 5</f>
        <v>0</v>
      </c>
      <c r="M2784" t="str">
        <f>VLOOKUP(交易處理資料__3[[#This Row],[人員代號]],團隊分組!$B$1:$C$52,2,FALSE)</f>
        <v>鈑金維修組</v>
      </c>
      <c r="N2784" t="str">
        <f>IF(交易處理資料__3[[#This Row],[上班時間]]=0,"否","是")</f>
        <v>否</v>
      </c>
      <c r="O2784" t="s">
        <v>75</v>
      </c>
      <c r="P2784" s="37">
        <v>0</v>
      </c>
      <c r="Q2784" s="37">
        <v>0</v>
      </c>
      <c r="R2784" s="37">
        <v>0</v>
      </c>
    </row>
    <row r="2785" spans="1:18" hidden="1">
      <c r="A2785" t="s">
        <v>75</v>
      </c>
      <c r="B2785" t="s">
        <v>12</v>
      </c>
      <c r="C2785">
        <v>0</v>
      </c>
      <c r="D2785">
        <v>0</v>
      </c>
      <c r="E2785" s="29">
        <v>0</v>
      </c>
      <c r="F2785">
        <v>5.39</v>
      </c>
      <c r="G2785">
        <v>2.56</v>
      </c>
      <c r="H2785">
        <v>7.95</v>
      </c>
      <c r="I2785" s="29">
        <v>0.67799999999999994</v>
      </c>
      <c r="J2785" s="29">
        <v>0</v>
      </c>
      <c r="K2785" s="9">
        <v>45362</v>
      </c>
      <c r="L2785">
        <f xml:space="preserve"> (交易處理資料__3[[#This Row],[售出工時]] * 60) / 5</f>
        <v>0</v>
      </c>
      <c r="M2785" t="str">
        <f>VLOOKUP(交易處理資料__3[[#This Row],[人員代號]],團隊分組!$B$1:$C$52,2,FALSE)</f>
        <v>鈑金維修組</v>
      </c>
      <c r="N2785" t="str">
        <f>IF(交易處理資料__3[[#This Row],[上班時間]]=0,"否","是")</f>
        <v>是</v>
      </c>
      <c r="O2785" t="s">
        <v>75</v>
      </c>
      <c r="P2785" s="38">
        <v>0</v>
      </c>
      <c r="Q2785" s="38">
        <v>0</v>
      </c>
      <c r="R2785" s="38">
        <v>0.67799999999999994</v>
      </c>
    </row>
    <row r="2786" spans="1:18" hidden="1">
      <c r="A2786" t="s">
        <v>75</v>
      </c>
      <c r="B2786" t="s">
        <v>14</v>
      </c>
      <c r="C2786">
        <v>6.86</v>
      </c>
      <c r="D2786">
        <v>6.35</v>
      </c>
      <c r="E2786" s="29">
        <v>1.080314961</v>
      </c>
      <c r="F2786">
        <v>3.55</v>
      </c>
      <c r="G2786">
        <v>4.45</v>
      </c>
      <c r="H2786">
        <v>8</v>
      </c>
      <c r="I2786" s="29">
        <v>0.44380000000000003</v>
      </c>
      <c r="J2786" s="29">
        <v>0.85750000000000004</v>
      </c>
      <c r="K2786" s="9">
        <v>45362</v>
      </c>
      <c r="L2786">
        <f xml:space="preserve"> (交易處理資料__3[[#This Row],[售出工時]] * 60) / 5</f>
        <v>82.320000000000007</v>
      </c>
      <c r="M2786" t="str">
        <f>VLOOKUP(交易處理資料__3[[#This Row],[人員代號]],團隊分組!$B$1:$C$52,2,FALSE)</f>
        <v>鈑金維修組</v>
      </c>
      <c r="N2786" t="str">
        <f>IF(交易處理資料__3[[#This Row],[上班時間]]=0,"否","是")</f>
        <v>是</v>
      </c>
      <c r="O2786" t="s">
        <v>75</v>
      </c>
      <c r="P2786" s="37">
        <v>1.080314961</v>
      </c>
      <c r="Q2786" s="37">
        <v>0.85750000000000004</v>
      </c>
      <c r="R2786" s="37">
        <v>0.44380000000000003</v>
      </c>
    </row>
    <row r="2787" spans="1:18" hidden="1">
      <c r="A2787" t="s">
        <v>76</v>
      </c>
      <c r="B2787" t="s">
        <v>17</v>
      </c>
      <c r="C2787">
        <v>11.41666667</v>
      </c>
      <c r="D2787">
        <v>4.7300000000000004</v>
      </c>
      <c r="E2787" s="29">
        <v>2.4136716000000003</v>
      </c>
      <c r="F2787">
        <v>6.33</v>
      </c>
      <c r="G2787">
        <v>1.68</v>
      </c>
      <c r="H2787">
        <v>8.01</v>
      </c>
      <c r="I2787" s="29">
        <v>0.7903</v>
      </c>
      <c r="J2787" s="29">
        <v>1.4253</v>
      </c>
      <c r="K2787" s="9">
        <v>45362</v>
      </c>
      <c r="L2787">
        <f xml:space="preserve"> (交易處理資料__3[[#This Row],[售出工時]] * 60) / 5</f>
        <v>137.00000003999997</v>
      </c>
      <c r="M2787" t="str">
        <f>VLOOKUP(交易處理資料__3[[#This Row],[人員代號]],團隊分組!$B$1:$C$52,2,FALSE)</f>
        <v>快速保養團隊A</v>
      </c>
      <c r="N2787" t="str">
        <f>IF(交易處理資料__3[[#This Row],[上班時間]]=0,"否","是")</f>
        <v>是</v>
      </c>
      <c r="O2787" t="s">
        <v>76</v>
      </c>
      <c r="P2787" s="38">
        <v>2.4136716000000003</v>
      </c>
      <c r="Q2787" s="38">
        <v>1.4253</v>
      </c>
      <c r="R2787" s="38">
        <v>0.7903</v>
      </c>
    </row>
    <row r="2788" spans="1:18" hidden="1">
      <c r="A2788" t="s">
        <v>76</v>
      </c>
      <c r="B2788" t="s">
        <v>18</v>
      </c>
      <c r="C2788">
        <v>1.6666666670000001</v>
      </c>
      <c r="D2788">
        <v>3.87</v>
      </c>
      <c r="E2788" s="29">
        <v>0.43066322139999996</v>
      </c>
      <c r="F2788">
        <v>7.93</v>
      </c>
      <c r="G2788">
        <v>0.2</v>
      </c>
      <c r="H2788">
        <v>8.1300000000000008</v>
      </c>
      <c r="I2788" s="29">
        <v>0.97540000000000004</v>
      </c>
      <c r="J2788" s="29">
        <v>0.20499999999999999</v>
      </c>
      <c r="K2788" s="9">
        <v>45362</v>
      </c>
      <c r="L2788">
        <f xml:space="preserve"> (交易處理資料__3[[#This Row],[售出工時]] * 60) / 5</f>
        <v>20.000000004</v>
      </c>
      <c r="M2788" t="str">
        <f>VLOOKUP(交易處理資料__3[[#This Row],[人員代號]],團隊分組!$B$1:$C$52,2,FALSE)</f>
        <v>查修團隊B</v>
      </c>
      <c r="N2788" t="str">
        <f>IF(交易處理資料__3[[#This Row],[上班時間]]=0,"否","是")</f>
        <v>是</v>
      </c>
      <c r="O2788" t="s">
        <v>76</v>
      </c>
      <c r="P2788" s="37">
        <v>0.43066322139999996</v>
      </c>
      <c r="Q2788" s="37">
        <v>0.20499999999999999</v>
      </c>
      <c r="R2788" s="37">
        <v>0.97540000000000004</v>
      </c>
    </row>
    <row r="2789" spans="1:18" hidden="1">
      <c r="A2789" t="s">
        <v>76</v>
      </c>
      <c r="B2789" t="s">
        <v>19</v>
      </c>
      <c r="C2789">
        <v>1.01</v>
      </c>
      <c r="D2789">
        <v>0.9</v>
      </c>
      <c r="E2789" s="29">
        <v>1.122222222</v>
      </c>
      <c r="F2789">
        <v>7.84</v>
      </c>
      <c r="G2789">
        <v>0.27</v>
      </c>
      <c r="H2789">
        <v>8.11</v>
      </c>
      <c r="I2789" s="29">
        <v>0.9667</v>
      </c>
      <c r="J2789" s="29">
        <v>0.1245</v>
      </c>
      <c r="K2789" s="9">
        <v>45362</v>
      </c>
      <c r="L2789">
        <f xml:space="preserve"> (交易處理資料__3[[#This Row],[售出工時]] * 60) / 5</f>
        <v>12.120000000000001</v>
      </c>
      <c r="M2789" t="str">
        <f>VLOOKUP(交易處理資料__3[[#This Row],[人員代號]],團隊分組!$B$1:$C$52,2,FALSE)</f>
        <v>查修團隊A</v>
      </c>
      <c r="N2789" t="str">
        <f>IF(交易處理資料__3[[#This Row],[上班時間]]=0,"否","是")</f>
        <v>是</v>
      </c>
      <c r="O2789" t="s">
        <v>76</v>
      </c>
      <c r="P2789" s="38">
        <v>1.122222222</v>
      </c>
      <c r="Q2789" s="38">
        <v>0.1245</v>
      </c>
      <c r="R2789" s="38">
        <v>0.9667</v>
      </c>
    </row>
    <row r="2790" spans="1:18" hidden="1">
      <c r="A2790" t="s">
        <v>76</v>
      </c>
      <c r="B2790" t="s">
        <v>20</v>
      </c>
      <c r="C2790">
        <v>1.25</v>
      </c>
      <c r="D2790">
        <v>4.05</v>
      </c>
      <c r="E2790" s="29">
        <v>0.30864197529999998</v>
      </c>
      <c r="F2790">
        <v>6.69</v>
      </c>
      <c r="G2790">
        <v>3.15</v>
      </c>
      <c r="H2790">
        <v>9.84</v>
      </c>
      <c r="I2790" s="29">
        <v>0.67989999999999995</v>
      </c>
      <c r="J2790" s="29">
        <v>0.127</v>
      </c>
      <c r="K2790" s="9">
        <v>45362</v>
      </c>
      <c r="L2790">
        <f xml:space="preserve"> (交易處理資料__3[[#This Row],[售出工時]] * 60) / 5</f>
        <v>15</v>
      </c>
      <c r="M2790" t="str">
        <f>VLOOKUP(交易處理資料__3[[#This Row],[人員代號]],團隊分組!$B$1:$C$52,2,FALSE)</f>
        <v>查修團隊B</v>
      </c>
      <c r="N2790" t="str">
        <f>IF(交易處理資料__3[[#This Row],[上班時間]]=0,"否","是")</f>
        <v>是</v>
      </c>
      <c r="O2790" t="s">
        <v>76</v>
      </c>
      <c r="P2790" s="37">
        <v>0.30864197529999998</v>
      </c>
      <c r="Q2790" s="37">
        <v>0.127</v>
      </c>
      <c r="R2790" s="37">
        <v>0.67989999999999995</v>
      </c>
    </row>
    <row r="2791" spans="1:18" hidden="1">
      <c r="A2791" t="s">
        <v>76</v>
      </c>
      <c r="B2791" t="s">
        <v>21</v>
      </c>
      <c r="C2791">
        <v>0</v>
      </c>
      <c r="D2791">
        <v>0</v>
      </c>
      <c r="E2791" s="29">
        <v>0</v>
      </c>
      <c r="F2791">
        <v>4.88</v>
      </c>
      <c r="G2791">
        <v>3.04</v>
      </c>
      <c r="H2791">
        <v>7.92</v>
      </c>
      <c r="I2791" s="29">
        <v>0.61619999999999997</v>
      </c>
      <c r="J2791" s="29">
        <v>0</v>
      </c>
      <c r="K2791" s="9">
        <v>45362</v>
      </c>
      <c r="L2791">
        <f xml:space="preserve"> (交易處理資料__3[[#This Row],[售出工時]] * 60) / 5</f>
        <v>0</v>
      </c>
      <c r="M2791" t="str">
        <f>VLOOKUP(交易處理資料__3[[#This Row],[人員代號]],團隊分組!$B$1:$C$52,2,FALSE)</f>
        <v>查修團隊B</v>
      </c>
      <c r="N2791" t="str">
        <f>IF(交易處理資料__3[[#This Row],[上班時間]]=0,"否","是")</f>
        <v>是</v>
      </c>
      <c r="O2791" t="s">
        <v>76</v>
      </c>
      <c r="P2791" s="38">
        <v>0</v>
      </c>
      <c r="Q2791" s="38">
        <v>0</v>
      </c>
      <c r="R2791" s="38">
        <v>0.61619999999999997</v>
      </c>
    </row>
    <row r="2792" spans="1:18" hidden="1">
      <c r="A2792" t="s">
        <v>76</v>
      </c>
      <c r="B2792" t="s">
        <v>22</v>
      </c>
      <c r="C2792">
        <v>7.1666666670000003</v>
      </c>
      <c r="D2792">
        <v>5.32</v>
      </c>
      <c r="E2792" s="29">
        <v>1.3471177940000001</v>
      </c>
      <c r="F2792">
        <v>7.12</v>
      </c>
      <c r="G2792">
        <v>0.84</v>
      </c>
      <c r="H2792">
        <v>7.96</v>
      </c>
      <c r="I2792" s="29">
        <v>0.89450000000000007</v>
      </c>
      <c r="J2792" s="29">
        <v>0.90029999999999999</v>
      </c>
      <c r="K2792" s="9">
        <v>45362</v>
      </c>
      <c r="L2792">
        <f xml:space="preserve"> (交易處理資料__3[[#This Row],[售出工時]] * 60) / 5</f>
        <v>86.000000004</v>
      </c>
      <c r="M2792" t="str">
        <f>VLOOKUP(交易處理資料__3[[#This Row],[人員代號]],團隊分組!$B$1:$C$52,2,FALSE)</f>
        <v>快速保養團隊A</v>
      </c>
      <c r="N2792" t="str">
        <f>IF(交易處理資料__3[[#This Row],[上班時間]]=0,"否","是")</f>
        <v>是</v>
      </c>
      <c r="O2792" t="s">
        <v>76</v>
      </c>
      <c r="P2792" s="37">
        <v>1.3471177940000001</v>
      </c>
      <c r="Q2792" s="37">
        <v>0.90029999999999999</v>
      </c>
      <c r="R2792" s="37">
        <v>0.89450000000000007</v>
      </c>
    </row>
    <row r="2793" spans="1:18" hidden="1">
      <c r="A2793" t="s">
        <v>76</v>
      </c>
      <c r="B2793" t="s">
        <v>23</v>
      </c>
      <c r="C2793">
        <v>7.2866666670000004</v>
      </c>
      <c r="D2793">
        <v>5.87</v>
      </c>
      <c r="E2793" s="29">
        <v>1.2413401479999999</v>
      </c>
      <c r="F2793">
        <v>6.99</v>
      </c>
      <c r="G2793">
        <v>1.1100000000000001</v>
      </c>
      <c r="H2793">
        <v>8.1</v>
      </c>
      <c r="I2793" s="29">
        <v>0.86299999999999999</v>
      </c>
      <c r="J2793" s="29">
        <v>0.89959999999999996</v>
      </c>
      <c r="K2793" s="9">
        <v>45362</v>
      </c>
      <c r="L2793">
        <f xml:space="preserve"> (交易處理資料__3[[#This Row],[售出工時]] * 60) / 5</f>
        <v>87.440000003999998</v>
      </c>
      <c r="M2793" t="str">
        <f>VLOOKUP(交易處理資料__3[[#This Row],[人員代號]],團隊分組!$B$1:$C$52,2,FALSE)</f>
        <v>快速保養團隊B</v>
      </c>
      <c r="N2793" t="str">
        <f>IF(交易處理資料__3[[#This Row],[上班時間]]=0,"否","是")</f>
        <v>是</v>
      </c>
      <c r="O2793" t="s">
        <v>76</v>
      </c>
      <c r="P2793" s="38">
        <v>1.2413401479999999</v>
      </c>
      <c r="Q2793" s="38">
        <v>0.89959999999999996</v>
      </c>
      <c r="R2793" s="38">
        <v>0.86299999999999999</v>
      </c>
    </row>
    <row r="2794" spans="1:18" hidden="1">
      <c r="A2794" t="s">
        <v>76</v>
      </c>
      <c r="B2794" t="s">
        <v>24</v>
      </c>
      <c r="C2794">
        <v>11.91666667</v>
      </c>
      <c r="D2794">
        <v>6.88</v>
      </c>
      <c r="E2794" s="29">
        <v>1.7320736429999999</v>
      </c>
      <c r="F2794">
        <v>6.87</v>
      </c>
      <c r="G2794">
        <v>1.07</v>
      </c>
      <c r="H2794">
        <v>7.94</v>
      </c>
      <c r="I2794" s="29">
        <v>0.86519999999999997</v>
      </c>
      <c r="J2794" s="29">
        <v>1.5008000000000001</v>
      </c>
      <c r="K2794" s="9">
        <v>45362</v>
      </c>
      <c r="L2794">
        <f xml:space="preserve"> (交易處理資料__3[[#This Row],[售出工時]] * 60) / 5</f>
        <v>143.00000003999997</v>
      </c>
      <c r="M2794" t="str">
        <f>VLOOKUP(交易處理資料__3[[#This Row],[人員代號]],團隊分組!$B$1:$C$52,2,FALSE)</f>
        <v>快速保養團隊A</v>
      </c>
      <c r="N2794" t="str">
        <f>IF(交易處理資料__3[[#This Row],[上班時間]]=0,"否","是")</f>
        <v>是</v>
      </c>
      <c r="O2794" t="s">
        <v>76</v>
      </c>
      <c r="P2794" s="37">
        <v>1.7320736429999999</v>
      </c>
      <c r="Q2794" s="37">
        <v>1.5008000000000001</v>
      </c>
      <c r="R2794" s="37">
        <v>0.86519999999999997</v>
      </c>
    </row>
    <row r="2795" spans="1:18" hidden="1">
      <c r="A2795" t="s">
        <v>76</v>
      </c>
      <c r="B2795" t="s">
        <v>25</v>
      </c>
      <c r="C2795">
        <v>0</v>
      </c>
      <c r="D2795">
        <v>0</v>
      </c>
      <c r="E2795" s="29">
        <v>0</v>
      </c>
      <c r="F2795">
        <v>6.97</v>
      </c>
      <c r="G2795">
        <v>1.1100000000000001</v>
      </c>
      <c r="H2795">
        <v>8.08</v>
      </c>
      <c r="I2795" s="29">
        <v>0.86260000000000003</v>
      </c>
      <c r="J2795" s="29">
        <v>0</v>
      </c>
      <c r="K2795" s="9">
        <v>45362</v>
      </c>
      <c r="L2795">
        <f xml:space="preserve"> (交易處理資料__3[[#This Row],[售出工時]] * 60) / 5</f>
        <v>0</v>
      </c>
      <c r="M2795" t="str">
        <f>VLOOKUP(交易處理資料__3[[#This Row],[人員代號]],團隊分組!$B$1:$C$52,2,FALSE)</f>
        <v>查修團隊A</v>
      </c>
      <c r="N2795" t="str">
        <f>IF(交易處理資料__3[[#This Row],[上班時間]]=0,"否","是")</f>
        <v>是</v>
      </c>
      <c r="O2795" t="s">
        <v>76</v>
      </c>
      <c r="P2795" s="38">
        <v>0</v>
      </c>
      <c r="Q2795" s="38">
        <v>0</v>
      </c>
      <c r="R2795" s="38">
        <v>0.86260000000000003</v>
      </c>
    </row>
    <row r="2796" spans="1:18" hidden="1">
      <c r="A2796" t="s">
        <v>76</v>
      </c>
      <c r="B2796" t="s">
        <v>26</v>
      </c>
      <c r="C2796">
        <v>0</v>
      </c>
      <c r="D2796">
        <v>0</v>
      </c>
      <c r="E2796" s="29">
        <v>0</v>
      </c>
      <c r="F2796">
        <v>2.02</v>
      </c>
      <c r="G2796">
        <v>7.85</v>
      </c>
      <c r="H2796">
        <v>9.8699999999999992</v>
      </c>
      <c r="I2796" s="29">
        <v>0.20469999999999999</v>
      </c>
      <c r="J2796" s="29">
        <v>0</v>
      </c>
      <c r="K2796" s="9">
        <v>45362</v>
      </c>
      <c r="L2796">
        <f xml:space="preserve"> (交易處理資料__3[[#This Row],[售出工時]] * 60) / 5</f>
        <v>0</v>
      </c>
      <c r="M2796" t="str">
        <f>VLOOKUP(交易處理資料__3[[#This Row],[人員代號]],團隊分組!$B$1:$C$52,2,FALSE)</f>
        <v>查修團隊B</v>
      </c>
      <c r="N2796" t="str">
        <f>IF(交易處理資料__3[[#This Row],[上班時間]]=0,"否","是")</f>
        <v>是</v>
      </c>
      <c r="O2796" t="s">
        <v>76</v>
      </c>
      <c r="P2796" s="37">
        <v>0</v>
      </c>
      <c r="Q2796" s="37">
        <v>0</v>
      </c>
      <c r="R2796" s="37">
        <v>0.20469999999999999</v>
      </c>
    </row>
    <row r="2797" spans="1:18" hidden="1">
      <c r="A2797" t="s">
        <v>76</v>
      </c>
      <c r="B2797" t="s">
        <v>27</v>
      </c>
      <c r="C2797">
        <v>1.04</v>
      </c>
      <c r="D2797">
        <v>0.82</v>
      </c>
      <c r="E2797" s="29">
        <v>1.2682926829999999</v>
      </c>
      <c r="F2797">
        <v>7.53</v>
      </c>
      <c r="G2797">
        <v>0.41</v>
      </c>
      <c r="H2797">
        <v>7.94</v>
      </c>
      <c r="I2797" s="29">
        <v>0.94840000000000002</v>
      </c>
      <c r="J2797" s="29">
        <v>0.13100000000000001</v>
      </c>
      <c r="K2797" s="9">
        <v>45362</v>
      </c>
      <c r="L2797">
        <f xml:space="preserve"> (交易處理資料__3[[#This Row],[售出工時]] * 60) / 5</f>
        <v>12.48</v>
      </c>
      <c r="M2797" t="str">
        <f>VLOOKUP(交易處理資料__3[[#This Row],[人員代號]],團隊分組!$B$1:$C$52,2,FALSE)</f>
        <v>快速保養團隊B</v>
      </c>
      <c r="N2797" t="str">
        <f>IF(交易處理資料__3[[#This Row],[上班時間]]=0,"否","是")</f>
        <v>是</v>
      </c>
      <c r="O2797" t="s">
        <v>76</v>
      </c>
      <c r="P2797" s="38">
        <v>1.2682926829999999</v>
      </c>
      <c r="Q2797" s="38">
        <v>0.13100000000000001</v>
      </c>
      <c r="R2797" s="38">
        <v>0.94840000000000002</v>
      </c>
    </row>
    <row r="2798" spans="1:18" hidden="1">
      <c r="A2798" t="s">
        <v>76</v>
      </c>
      <c r="B2798" t="s">
        <v>28</v>
      </c>
      <c r="C2798">
        <v>6.8333333329999997</v>
      </c>
      <c r="D2798">
        <v>6.21</v>
      </c>
      <c r="E2798" s="29">
        <v>1.1003757380000001</v>
      </c>
      <c r="F2798">
        <v>6.21</v>
      </c>
      <c r="G2798">
        <v>1.74</v>
      </c>
      <c r="H2798">
        <v>7.95</v>
      </c>
      <c r="I2798" s="29">
        <v>0.78110000000000002</v>
      </c>
      <c r="J2798" s="29">
        <v>0.85950000000000004</v>
      </c>
      <c r="K2798" s="9">
        <v>45362</v>
      </c>
      <c r="L2798">
        <f xml:space="preserve"> (交易處理資料__3[[#This Row],[售出工時]] * 60) / 5</f>
        <v>81.999999996</v>
      </c>
      <c r="M2798" t="str">
        <f>VLOOKUP(交易處理資料__3[[#This Row],[人員代號]],團隊分組!$B$1:$C$52,2,FALSE)</f>
        <v>快速保養團隊A</v>
      </c>
      <c r="N2798" t="str">
        <f>IF(交易處理資料__3[[#This Row],[上班時間]]=0,"否","是")</f>
        <v>是</v>
      </c>
      <c r="O2798" t="s">
        <v>76</v>
      </c>
      <c r="P2798" s="37">
        <v>1.1003757380000001</v>
      </c>
      <c r="Q2798" s="37">
        <v>0.85950000000000004</v>
      </c>
      <c r="R2798" s="37">
        <v>0.78110000000000002</v>
      </c>
    </row>
    <row r="2799" spans="1:18" hidden="1">
      <c r="A2799" t="s">
        <v>76</v>
      </c>
      <c r="B2799" t="s">
        <v>29</v>
      </c>
      <c r="C2799">
        <v>6.1666666670000003</v>
      </c>
      <c r="D2799">
        <v>5.24</v>
      </c>
      <c r="E2799" s="29">
        <v>1.176844784</v>
      </c>
      <c r="F2799">
        <v>5.23</v>
      </c>
      <c r="G2799">
        <v>2.85</v>
      </c>
      <c r="H2799">
        <v>8.08</v>
      </c>
      <c r="I2799" s="29">
        <v>0.64729999999999999</v>
      </c>
      <c r="J2799" s="29">
        <v>0.76319999999999988</v>
      </c>
      <c r="K2799" s="9">
        <v>45362</v>
      </c>
      <c r="L2799">
        <f xml:space="preserve"> (交易處理資料__3[[#This Row],[售出工時]] * 60) / 5</f>
        <v>74.000000004</v>
      </c>
      <c r="M2799" t="str">
        <f>VLOOKUP(交易處理資料__3[[#This Row],[人員代號]],團隊分組!$B$1:$C$52,2,FALSE)</f>
        <v>查修團隊B</v>
      </c>
      <c r="N2799" t="str">
        <f>IF(交易處理資料__3[[#This Row],[上班時間]]=0,"否","是")</f>
        <v>是</v>
      </c>
      <c r="O2799" t="s">
        <v>76</v>
      </c>
      <c r="P2799" s="38">
        <v>1.176844784</v>
      </c>
      <c r="Q2799" s="38">
        <v>0.76319999999999988</v>
      </c>
      <c r="R2799" s="38">
        <v>0.64729999999999999</v>
      </c>
    </row>
    <row r="2800" spans="1:18" hidden="1">
      <c r="A2800" t="s">
        <v>76</v>
      </c>
      <c r="B2800" t="s">
        <v>30</v>
      </c>
      <c r="C2800">
        <v>9.5399999999999991</v>
      </c>
      <c r="D2800">
        <v>4.74</v>
      </c>
      <c r="E2800" s="29">
        <v>2.0126582279999998</v>
      </c>
      <c r="F2800">
        <v>7.55</v>
      </c>
      <c r="G2800">
        <v>0.39</v>
      </c>
      <c r="H2800">
        <v>7.94</v>
      </c>
      <c r="I2800" s="29">
        <v>0.95090000000000008</v>
      </c>
      <c r="J2800" s="29">
        <v>1.2015</v>
      </c>
      <c r="K2800" s="9">
        <v>45362</v>
      </c>
      <c r="L2800">
        <f xml:space="preserve"> (交易處理資料__3[[#This Row],[售出工時]] * 60) / 5</f>
        <v>114.47999999999999</v>
      </c>
      <c r="M2800" t="str">
        <f>VLOOKUP(交易處理資料__3[[#This Row],[人員代號]],團隊分組!$B$1:$C$52,2,FALSE)</f>
        <v>快速保養團隊B</v>
      </c>
      <c r="N2800" t="str">
        <f>IF(交易處理資料__3[[#This Row],[上班時間]]=0,"否","是")</f>
        <v>是</v>
      </c>
      <c r="O2800" t="s">
        <v>76</v>
      </c>
      <c r="P2800" s="37">
        <v>2.0126582279999998</v>
      </c>
      <c r="Q2800" s="37">
        <v>1.2015</v>
      </c>
      <c r="R2800" s="37">
        <v>0.95090000000000008</v>
      </c>
    </row>
    <row r="2801" spans="1:18" hidden="1">
      <c r="A2801" t="s">
        <v>76</v>
      </c>
      <c r="B2801" t="s">
        <v>34</v>
      </c>
      <c r="C2801">
        <v>9.443333333</v>
      </c>
      <c r="D2801">
        <v>5.42</v>
      </c>
      <c r="E2801" s="29">
        <v>1.742312423</v>
      </c>
      <c r="F2801">
        <v>6.57</v>
      </c>
      <c r="G2801">
        <v>1.35</v>
      </c>
      <c r="H2801">
        <v>7.92</v>
      </c>
      <c r="I2801" s="29">
        <v>0.82950000000000002</v>
      </c>
      <c r="J2801" s="29">
        <v>1.1923000000000001</v>
      </c>
      <c r="K2801" s="9">
        <v>45362</v>
      </c>
      <c r="L2801">
        <f xml:space="preserve"> (交易處理資料__3[[#This Row],[售出工時]] * 60) / 5</f>
        <v>113.31999999600001</v>
      </c>
      <c r="M2801" t="str">
        <f>VLOOKUP(交易處理資料__3[[#This Row],[人員代號]],團隊分組!$B$1:$C$52,2,FALSE)</f>
        <v>快速保養團隊A</v>
      </c>
      <c r="N2801" t="str">
        <f>IF(交易處理資料__3[[#This Row],[上班時間]]=0,"否","是")</f>
        <v>是</v>
      </c>
      <c r="O2801" t="s">
        <v>76</v>
      </c>
      <c r="P2801" s="38">
        <v>1.742312423</v>
      </c>
      <c r="Q2801" s="38">
        <v>1.1923000000000001</v>
      </c>
      <c r="R2801" s="38">
        <v>0.82950000000000002</v>
      </c>
    </row>
    <row r="2802" spans="1:18" hidden="1">
      <c r="A2802" t="s">
        <v>76</v>
      </c>
      <c r="B2802" t="s">
        <v>35</v>
      </c>
      <c r="C2802">
        <v>0.66666666699999999</v>
      </c>
      <c r="D2802">
        <v>3.49</v>
      </c>
      <c r="E2802" s="29">
        <v>0.1910219675</v>
      </c>
      <c r="F2802">
        <v>4.6500000000000004</v>
      </c>
      <c r="G2802">
        <v>4.76</v>
      </c>
      <c r="H2802">
        <v>9.41</v>
      </c>
      <c r="I2802" s="29">
        <v>0.49420000000000003</v>
      </c>
      <c r="J2802" s="29">
        <v>7.0800000000000002E-2</v>
      </c>
      <c r="K2802" s="9">
        <v>45362</v>
      </c>
      <c r="L2802">
        <f xml:space="preserve"> (交易處理資料__3[[#This Row],[售出工時]] * 60) / 5</f>
        <v>8.0000000040000003</v>
      </c>
      <c r="M2802" t="str">
        <f>VLOOKUP(交易處理資料__3[[#This Row],[人員代號]],團隊分組!$B$1:$C$52,2,FALSE)</f>
        <v>查修團隊B</v>
      </c>
      <c r="N2802" t="str">
        <f>IF(交易處理資料__3[[#This Row],[上班時間]]=0,"否","是")</f>
        <v>是</v>
      </c>
      <c r="O2802" t="s">
        <v>76</v>
      </c>
      <c r="P2802" s="37">
        <v>0.1910219675</v>
      </c>
      <c r="Q2802" s="37">
        <v>7.0800000000000002E-2</v>
      </c>
      <c r="R2802" s="37">
        <v>0.49420000000000003</v>
      </c>
    </row>
    <row r="2803" spans="1:18" hidden="1">
      <c r="A2803" t="s">
        <v>76</v>
      </c>
      <c r="B2803" t="s">
        <v>36</v>
      </c>
      <c r="C2803">
        <v>1.76</v>
      </c>
      <c r="D2803">
        <v>2.1800000000000002</v>
      </c>
      <c r="E2803" s="29">
        <v>0.80733944949999992</v>
      </c>
      <c r="F2803">
        <v>1.1200000000000001</v>
      </c>
      <c r="G2803">
        <v>4.45</v>
      </c>
      <c r="H2803">
        <v>5.57</v>
      </c>
      <c r="I2803" s="29">
        <v>0.2011</v>
      </c>
      <c r="J2803" s="29">
        <v>0.316</v>
      </c>
      <c r="K2803" s="9">
        <v>45362</v>
      </c>
      <c r="L2803">
        <f xml:space="preserve"> (交易處理資料__3[[#This Row],[售出工時]] * 60) / 5</f>
        <v>21.119999999999997</v>
      </c>
      <c r="M2803" t="str">
        <f>VLOOKUP(交易處理資料__3[[#This Row],[人員代號]],團隊分組!$B$1:$C$52,2,FALSE)</f>
        <v>查修團隊B</v>
      </c>
      <c r="N2803" t="str">
        <f>IF(交易處理資料__3[[#This Row],[上班時間]]=0,"否","是")</f>
        <v>是</v>
      </c>
      <c r="O2803" t="s">
        <v>76</v>
      </c>
      <c r="P2803" s="38">
        <v>0.80733944949999992</v>
      </c>
      <c r="Q2803" s="38">
        <v>0.316</v>
      </c>
      <c r="R2803" s="38">
        <v>0.2011</v>
      </c>
    </row>
    <row r="2804" spans="1:18" hidden="1">
      <c r="A2804" t="s">
        <v>76</v>
      </c>
      <c r="B2804" t="s">
        <v>38</v>
      </c>
      <c r="C2804">
        <v>6.0833333329999997</v>
      </c>
      <c r="D2804">
        <v>4.7699999999999996</v>
      </c>
      <c r="E2804" s="29">
        <v>1.2753319359999999</v>
      </c>
      <c r="F2804">
        <v>9.31</v>
      </c>
      <c r="G2804">
        <v>0.67</v>
      </c>
      <c r="H2804">
        <v>9.98</v>
      </c>
      <c r="I2804" s="29">
        <v>0.93290000000000006</v>
      </c>
      <c r="J2804" s="29">
        <v>0.60960000000000003</v>
      </c>
      <c r="K2804" s="9">
        <v>45362</v>
      </c>
      <c r="L2804">
        <f xml:space="preserve"> (交易處理資料__3[[#This Row],[售出工時]] * 60) / 5</f>
        <v>72.999999996</v>
      </c>
      <c r="M2804" t="str">
        <f>VLOOKUP(交易處理資料__3[[#This Row],[人員代號]],團隊分組!$B$1:$C$52,2,FALSE)</f>
        <v>快速保養團隊A</v>
      </c>
      <c r="N2804" t="str">
        <f>IF(交易處理資料__3[[#This Row],[上班時間]]=0,"否","是")</f>
        <v>是</v>
      </c>
      <c r="O2804" t="s">
        <v>76</v>
      </c>
      <c r="P2804" s="37">
        <v>1.2753319359999999</v>
      </c>
      <c r="Q2804" s="37">
        <v>0.60960000000000003</v>
      </c>
      <c r="R2804" s="37">
        <v>0.93290000000000006</v>
      </c>
    </row>
    <row r="2805" spans="1:18" hidden="1">
      <c r="A2805" t="s">
        <v>76</v>
      </c>
      <c r="B2805" t="s">
        <v>40</v>
      </c>
      <c r="C2805">
        <v>0</v>
      </c>
      <c r="D2805">
        <v>0</v>
      </c>
      <c r="E2805" s="29">
        <v>0</v>
      </c>
      <c r="F2805">
        <v>0</v>
      </c>
      <c r="G2805">
        <v>0</v>
      </c>
      <c r="H2805">
        <v>0</v>
      </c>
      <c r="I2805" s="29">
        <v>0</v>
      </c>
      <c r="J2805" s="29">
        <v>0</v>
      </c>
      <c r="K2805" s="9">
        <v>45362</v>
      </c>
      <c r="L2805">
        <f xml:space="preserve"> (交易處理資料__3[[#This Row],[售出工時]] * 60) / 5</f>
        <v>0</v>
      </c>
      <c r="M2805" t="str">
        <f>VLOOKUP(交易處理資料__3[[#This Row],[人員代號]],團隊分組!$B$1:$C$52,2,FALSE)</f>
        <v>查修團隊A</v>
      </c>
      <c r="N2805" t="str">
        <f>IF(交易處理資料__3[[#This Row],[上班時間]]=0,"否","是")</f>
        <v>否</v>
      </c>
      <c r="O2805" t="s">
        <v>76</v>
      </c>
      <c r="P2805" s="38">
        <v>0</v>
      </c>
      <c r="Q2805" s="38">
        <v>0</v>
      </c>
      <c r="R2805" s="38">
        <v>0</v>
      </c>
    </row>
    <row r="2806" spans="1:18" hidden="1">
      <c r="A2806" t="s">
        <v>76</v>
      </c>
      <c r="B2806" t="s">
        <v>41</v>
      </c>
      <c r="C2806">
        <v>15.08333333</v>
      </c>
      <c r="D2806">
        <v>7.26</v>
      </c>
      <c r="E2806" s="29">
        <v>2.0775941229999999</v>
      </c>
      <c r="F2806">
        <v>8.58</v>
      </c>
      <c r="G2806">
        <v>1.37</v>
      </c>
      <c r="H2806">
        <v>9.9499999999999993</v>
      </c>
      <c r="I2806" s="29">
        <v>0.86230000000000007</v>
      </c>
      <c r="J2806" s="29">
        <v>1.5159</v>
      </c>
      <c r="K2806" s="9">
        <v>45362</v>
      </c>
      <c r="L2806">
        <f xml:space="preserve"> (交易處理資料__3[[#This Row],[售出工時]] * 60) / 5</f>
        <v>180.99999996000003</v>
      </c>
      <c r="M2806" t="str">
        <f>VLOOKUP(交易處理資料__3[[#This Row],[人員代號]],團隊分組!$B$1:$C$52,2,FALSE)</f>
        <v>快速保養團隊A</v>
      </c>
      <c r="N2806" t="str">
        <f>IF(交易處理資料__3[[#This Row],[上班時間]]=0,"否","是")</f>
        <v>是</v>
      </c>
      <c r="O2806" t="s">
        <v>76</v>
      </c>
      <c r="P2806" s="37">
        <v>2.0775941229999999</v>
      </c>
      <c r="Q2806" s="37">
        <v>1.5159</v>
      </c>
      <c r="R2806" s="37">
        <v>0.86230000000000007</v>
      </c>
    </row>
    <row r="2807" spans="1:18" hidden="1">
      <c r="A2807" t="s">
        <v>76</v>
      </c>
      <c r="B2807" t="s">
        <v>42</v>
      </c>
      <c r="C2807">
        <v>3.9166666669999999</v>
      </c>
      <c r="D2807">
        <v>3.43</v>
      </c>
      <c r="E2807" s="29">
        <v>1.1418853259999999</v>
      </c>
      <c r="F2807">
        <v>6.24</v>
      </c>
      <c r="G2807">
        <v>1.69</v>
      </c>
      <c r="H2807">
        <v>7.93</v>
      </c>
      <c r="I2807" s="29">
        <v>0.78689999999999993</v>
      </c>
      <c r="J2807" s="29">
        <v>0.49390000000000001</v>
      </c>
      <c r="K2807" s="9">
        <v>45362</v>
      </c>
      <c r="L2807">
        <f xml:space="preserve"> (交易處理資料__3[[#This Row],[售出工時]] * 60) / 5</f>
        <v>47.000000004</v>
      </c>
      <c r="M2807" t="str">
        <f>VLOOKUP(交易處理資料__3[[#This Row],[人員代號]],團隊分組!$B$1:$C$52,2,FALSE)</f>
        <v>快速保養團隊A</v>
      </c>
      <c r="N2807" t="str">
        <f>IF(交易處理資料__3[[#This Row],[上班時間]]=0,"否","是")</f>
        <v>是</v>
      </c>
      <c r="O2807" t="s">
        <v>76</v>
      </c>
      <c r="P2807" s="38">
        <v>1.1418853259999999</v>
      </c>
      <c r="Q2807" s="38">
        <v>0.49390000000000001</v>
      </c>
      <c r="R2807" s="38">
        <v>0.78689999999999993</v>
      </c>
    </row>
    <row r="2808" spans="1:18" hidden="1">
      <c r="A2808" t="s">
        <v>76</v>
      </c>
      <c r="B2808" t="s">
        <v>43</v>
      </c>
      <c r="C2808">
        <v>1.74</v>
      </c>
      <c r="D2808">
        <v>2.15</v>
      </c>
      <c r="E2808" s="29">
        <v>0.80930232559999993</v>
      </c>
      <c r="F2808">
        <v>2.97</v>
      </c>
      <c r="G2808">
        <v>4.8899999999999997</v>
      </c>
      <c r="H2808">
        <v>7.86</v>
      </c>
      <c r="I2808" s="29">
        <v>0.37790000000000001</v>
      </c>
      <c r="J2808" s="29">
        <v>0.22140000000000001</v>
      </c>
      <c r="K2808" s="9">
        <v>45362</v>
      </c>
      <c r="L2808">
        <f xml:space="preserve"> (交易處理資料__3[[#This Row],[售出工時]] * 60) / 5</f>
        <v>20.880000000000003</v>
      </c>
      <c r="M2808" t="str">
        <f>VLOOKUP(交易處理資料__3[[#This Row],[人員代號]],團隊分組!$B$1:$C$52,2,FALSE)</f>
        <v>查修團隊B</v>
      </c>
      <c r="N2808" t="str">
        <f>IF(交易處理資料__3[[#This Row],[上班時間]]=0,"否","是")</f>
        <v>是</v>
      </c>
      <c r="O2808" t="s">
        <v>76</v>
      </c>
      <c r="P2808" s="37">
        <v>0.80930232559999993</v>
      </c>
      <c r="Q2808" s="37">
        <v>0.22140000000000001</v>
      </c>
      <c r="R2808" s="37">
        <v>0.37790000000000001</v>
      </c>
    </row>
    <row r="2809" spans="1:18" hidden="1">
      <c r="A2809" t="s">
        <v>76</v>
      </c>
      <c r="B2809" t="s">
        <v>44</v>
      </c>
      <c r="C2809">
        <v>3.23</v>
      </c>
      <c r="D2809">
        <v>2.6</v>
      </c>
      <c r="E2809" s="29">
        <v>1.242307692</v>
      </c>
      <c r="F2809">
        <v>8.0500000000000007</v>
      </c>
      <c r="G2809">
        <v>1.93</v>
      </c>
      <c r="H2809">
        <v>9.98</v>
      </c>
      <c r="I2809" s="29">
        <v>0.80659999999999998</v>
      </c>
      <c r="J2809" s="29">
        <v>0.3236</v>
      </c>
      <c r="K2809" s="9">
        <v>45362</v>
      </c>
      <c r="L2809">
        <f xml:space="preserve"> (交易處理資料__3[[#This Row],[售出工時]] * 60) / 5</f>
        <v>38.760000000000005</v>
      </c>
      <c r="M2809" t="str">
        <f>VLOOKUP(交易處理資料__3[[#This Row],[人員代號]],團隊分組!$B$1:$C$52,2,FALSE)</f>
        <v>快速保養團隊B</v>
      </c>
      <c r="N2809" t="str">
        <f>IF(交易處理資料__3[[#This Row],[上班時間]]=0,"否","是")</f>
        <v>是</v>
      </c>
      <c r="O2809" t="s">
        <v>76</v>
      </c>
      <c r="P2809" s="38">
        <v>1.242307692</v>
      </c>
      <c r="Q2809" s="38">
        <v>0.3236</v>
      </c>
      <c r="R2809" s="38">
        <v>0.80659999999999998</v>
      </c>
    </row>
    <row r="2810" spans="1:18" hidden="1">
      <c r="A2810" t="s">
        <v>76</v>
      </c>
      <c r="B2810" t="s">
        <v>45</v>
      </c>
      <c r="C2810">
        <v>10.963333329999999</v>
      </c>
      <c r="D2810">
        <v>8</v>
      </c>
      <c r="E2810" s="29">
        <v>1.370416667</v>
      </c>
      <c r="F2810">
        <v>7.25</v>
      </c>
      <c r="G2810">
        <v>0.76</v>
      </c>
      <c r="H2810">
        <v>8.01</v>
      </c>
      <c r="I2810" s="29">
        <v>0.90510000000000002</v>
      </c>
      <c r="J2810" s="29">
        <v>1.3687</v>
      </c>
      <c r="K2810" s="9">
        <v>45362</v>
      </c>
      <c r="L2810">
        <f xml:space="preserve"> (交易處理資料__3[[#This Row],[售出工時]] * 60) / 5</f>
        <v>131.55999995999997</v>
      </c>
      <c r="M2810" t="str">
        <f>VLOOKUP(交易處理資料__3[[#This Row],[人員代號]],團隊分組!$B$1:$C$52,2,FALSE)</f>
        <v>快速保養團隊A</v>
      </c>
      <c r="N2810" t="str">
        <f>IF(交易處理資料__3[[#This Row],[上班時間]]=0,"否","是")</f>
        <v>是</v>
      </c>
      <c r="O2810" t="s">
        <v>76</v>
      </c>
      <c r="P2810" s="37">
        <v>1.370416667</v>
      </c>
      <c r="Q2810" s="37">
        <v>1.3687</v>
      </c>
      <c r="R2810" s="37">
        <v>0.90510000000000002</v>
      </c>
    </row>
    <row r="2811" spans="1:18" hidden="1">
      <c r="A2811" t="s">
        <v>76</v>
      </c>
      <c r="B2811" t="s">
        <v>46</v>
      </c>
      <c r="C2811">
        <v>0</v>
      </c>
      <c r="D2811">
        <v>0</v>
      </c>
      <c r="E2811" s="29">
        <v>0</v>
      </c>
      <c r="F2811">
        <v>5.94</v>
      </c>
      <c r="G2811">
        <v>2.21</v>
      </c>
      <c r="H2811">
        <v>8.15</v>
      </c>
      <c r="I2811" s="29">
        <v>0.7288</v>
      </c>
      <c r="J2811" s="29">
        <v>0</v>
      </c>
      <c r="K2811" s="9">
        <v>45362</v>
      </c>
      <c r="L2811">
        <f xml:space="preserve"> (交易處理資料__3[[#This Row],[售出工時]] * 60) / 5</f>
        <v>0</v>
      </c>
      <c r="M2811" t="str">
        <f>VLOOKUP(交易處理資料__3[[#This Row],[人員代號]],團隊分組!$B$1:$C$52,2,FALSE)</f>
        <v>查修團隊B</v>
      </c>
      <c r="N2811" t="str">
        <f>IF(交易處理資料__3[[#This Row],[上班時間]]=0,"否","是")</f>
        <v>是</v>
      </c>
      <c r="O2811" t="s">
        <v>76</v>
      </c>
      <c r="P2811" s="38">
        <v>0</v>
      </c>
      <c r="Q2811" s="38">
        <v>0</v>
      </c>
      <c r="R2811" s="38">
        <v>0.7288</v>
      </c>
    </row>
    <row r="2812" spans="1:18" hidden="1">
      <c r="A2812" t="s">
        <v>76</v>
      </c>
      <c r="B2812" t="s">
        <v>47</v>
      </c>
      <c r="C2812">
        <v>4</v>
      </c>
      <c r="D2812">
        <v>4.59</v>
      </c>
      <c r="E2812" s="29">
        <v>0.87145969500000009</v>
      </c>
      <c r="F2812">
        <v>4.58</v>
      </c>
      <c r="G2812">
        <v>3.54</v>
      </c>
      <c r="H2812">
        <v>8.1199999999999992</v>
      </c>
      <c r="I2812" s="29">
        <v>0.56399999999999995</v>
      </c>
      <c r="J2812" s="29">
        <v>0.49259999999999998</v>
      </c>
      <c r="K2812" s="9">
        <v>45362</v>
      </c>
      <c r="L2812">
        <f xml:space="preserve"> (交易處理資料__3[[#This Row],[售出工時]] * 60) / 5</f>
        <v>48</v>
      </c>
      <c r="M2812" t="str">
        <f>VLOOKUP(交易處理資料__3[[#This Row],[人員代號]],團隊分組!$B$1:$C$52,2,FALSE)</f>
        <v>查修團隊B</v>
      </c>
      <c r="N2812" t="str">
        <f>IF(交易處理資料__3[[#This Row],[上班時間]]=0,"否","是")</f>
        <v>是</v>
      </c>
      <c r="O2812" t="s">
        <v>76</v>
      </c>
      <c r="P2812" s="37">
        <v>0.87145969500000009</v>
      </c>
      <c r="Q2812" s="37">
        <v>0.49259999999999998</v>
      </c>
      <c r="R2812" s="37">
        <v>0.56399999999999995</v>
      </c>
    </row>
    <row r="2813" spans="1:18" hidden="1">
      <c r="A2813" t="s">
        <v>76</v>
      </c>
      <c r="B2813" t="s">
        <v>48</v>
      </c>
      <c r="C2813">
        <v>0</v>
      </c>
      <c r="D2813">
        <v>0</v>
      </c>
      <c r="E2813" s="29">
        <v>0</v>
      </c>
      <c r="F2813">
        <v>2.82</v>
      </c>
      <c r="G2813">
        <v>5.17</v>
      </c>
      <c r="H2813">
        <v>7.99</v>
      </c>
      <c r="I2813" s="29">
        <v>0.35289999999999999</v>
      </c>
      <c r="J2813" s="29">
        <v>0</v>
      </c>
      <c r="K2813" s="9">
        <v>45362</v>
      </c>
      <c r="L2813">
        <f xml:space="preserve"> (交易處理資料__3[[#This Row],[售出工時]] * 60) / 5</f>
        <v>0</v>
      </c>
      <c r="M2813" t="str">
        <f>VLOOKUP(交易處理資料__3[[#This Row],[人員代號]],團隊分組!$B$1:$C$52,2,FALSE)</f>
        <v>查修團隊A</v>
      </c>
      <c r="N2813" t="str">
        <f>IF(交易處理資料__3[[#This Row],[上班時間]]=0,"否","是")</f>
        <v>是</v>
      </c>
      <c r="O2813" t="s">
        <v>76</v>
      </c>
      <c r="P2813" s="38">
        <v>0</v>
      </c>
      <c r="Q2813" s="38">
        <v>0</v>
      </c>
      <c r="R2813" s="38">
        <v>0.35289999999999999</v>
      </c>
    </row>
    <row r="2814" spans="1:18" hidden="1">
      <c r="A2814" t="s">
        <v>76</v>
      </c>
      <c r="B2814" t="s">
        <v>49</v>
      </c>
      <c r="C2814">
        <v>0.99</v>
      </c>
      <c r="D2814">
        <v>0.88</v>
      </c>
      <c r="E2814" s="29">
        <v>1.125</v>
      </c>
      <c r="F2814">
        <v>7.78</v>
      </c>
      <c r="G2814">
        <v>0.28999999999999998</v>
      </c>
      <c r="H2814">
        <v>8.07</v>
      </c>
      <c r="I2814" s="29">
        <v>0.96409999999999996</v>
      </c>
      <c r="J2814" s="29">
        <v>0.12269999999999999</v>
      </c>
      <c r="K2814" s="9">
        <v>45362</v>
      </c>
      <c r="L2814">
        <f xml:space="preserve"> (交易處理資料__3[[#This Row],[售出工時]] * 60) / 5</f>
        <v>11.879999999999999</v>
      </c>
      <c r="M2814" t="str">
        <f>VLOOKUP(交易處理資料__3[[#This Row],[人員代號]],團隊分組!$B$1:$C$52,2,FALSE)</f>
        <v>查修團隊A</v>
      </c>
      <c r="N2814" t="str">
        <f>IF(交易處理資料__3[[#This Row],[上班時間]]=0,"否","是")</f>
        <v>是</v>
      </c>
      <c r="O2814" t="s">
        <v>76</v>
      </c>
      <c r="P2814" s="37">
        <v>1.125</v>
      </c>
      <c r="Q2814" s="37">
        <v>0.12269999999999999</v>
      </c>
      <c r="R2814" s="37">
        <v>0.96409999999999996</v>
      </c>
    </row>
    <row r="2815" spans="1:18" hidden="1">
      <c r="A2815" t="s">
        <v>76</v>
      </c>
      <c r="B2815" t="s">
        <v>50</v>
      </c>
      <c r="C2815">
        <v>4.0433333329999996</v>
      </c>
      <c r="D2815">
        <v>4.18</v>
      </c>
      <c r="E2815" s="29">
        <v>0.96730462520000005</v>
      </c>
      <c r="F2815">
        <v>7.68</v>
      </c>
      <c r="G2815">
        <v>0.3</v>
      </c>
      <c r="H2815">
        <v>7.98</v>
      </c>
      <c r="I2815" s="29">
        <v>0.96239999999999992</v>
      </c>
      <c r="J2815" s="29">
        <v>0.50670000000000004</v>
      </c>
      <c r="K2815" s="9">
        <v>45362</v>
      </c>
      <c r="L2815">
        <f xml:space="preserve"> (交易處理資料__3[[#This Row],[售出工時]] * 60) / 5</f>
        <v>48.519999995999996</v>
      </c>
      <c r="M2815" t="str">
        <f>VLOOKUP(交易處理資料__3[[#This Row],[人員代號]],團隊分組!$B$1:$C$52,2,FALSE)</f>
        <v>快速保養團隊B</v>
      </c>
      <c r="N2815" t="str">
        <f>IF(交易處理資料__3[[#This Row],[上班時間]]=0,"否","是")</f>
        <v>是</v>
      </c>
      <c r="O2815" t="s">
        <v>76</v>
      </c>
      <c r="P2815" s="38">
        <v>0.96730462520000005</v>
      </c>
      <c r="Q2815" s="38">
        <v>0.50670000000000004</v>
      </c>
      <c r="R2815" s="38">
        <v>0.96239999999999992</v>
      </c>
    </row>
    <row r="2816" spans="1:18" hidden="1">
      <c r="A2816" t="s">
        <v>76</v>
      </c>
      <c r="B2816" t="s">
        <v>51</v>
      </c>
      <c r="C2816">
        <v>0</v>
      </c>
      <c r="D2816">
        <v>0</v>
      </c>
      <c r="E2816" s="29">
        <v>0</v>
      </c>
      <c r="F2816">
        <v>0</v>
      </c>
      <c r="G2816">
        <v>0</v>
      </c>
      <c r="H2816">
        <v>0</v>
      </c>
      <c r="I2816" s="29">
        <v>0</v>
      </c>
      <c r="J2816" s="29">
        <v>0</v>
      </c>
      <c r="K2816" s="9">
        <v>45362</v>
      </c>
      <c r="L2816">
        <f xml:space="preserve"> (交易處理資料__3[[#This Row],[售出工時]] * 60) / 5</f>
        <v>0</v>
      </c>
      <c r="M2816" t="str">
        <f>VLOOKUP(交易處理資料__3[[#This Row],[人員代號]],團隊分組!$B$1:$C$52,2,FALSE)</f>
        <v>無效數據</v>
      </c>
      <c r="N2816" t="str">
        <f>IF(交易處理資料__3[[#This Row],[上班時間]]=0,"否","是")</f>
        <v>否</v>
      </c>
      <c r="O2816" t="s">
        <v>76</v>
      </c>
      <c r="P2816" s="37">
        <v>0</v>
      </c>
      <c r="Q2816" s="37">
        <v>0</v>
      </c>
      <c r="R2816" s="37">
        <v>0</v>
      </c>
    </row>
    <row r="2817" spans="1:18" hidden="1">
      <c r="A2817" t="s">
        <v>76</v>
      </c>
      <c r="B2817" t="s">
        <v>53</v>
      </c>
      <c r="C2817">
        <v>0</v>
      </c>
      <c r="D2817">
        <v>0</v>
      </c>
      <c r="E2817" s="29">
        <v>0</v>
      </c>
      <c r="F2817">
        <v>7.77</v>
      </c>
      <c r="G2817">
        <v>0.43</v>
      </c>
      <c r="H2817">
        <v>8.1999999999999993</v>
      </c>
      <c r="I2817" s="29">
        <v>0.9476</v>
      </c>
      <c r="J2817" s="29">
        <v>0</v>
      </c>
      <c r="K2817" s="9">
        <v>45362</v>
      </c>
      <c r="L2817">
        <f xml:space="preserve"> (交易處理資料__3[[#This Row],[售出工時]] * 60) / 5</f>
        <v>0</v>
      </c>
      <c r="M2817" t="str">
        <f>VLOOKUP(交易處理資料__3[[#This Row],[人員代號]],團隊分組!$B$1:$C$52,2,FALSE)</f>
        <v>查修團隊A</v>
      </c>
      <c r="N2817" t="str">
        <f>IF(交易處理資料__3[[#This Row],[上班時間]]=0,"否","是")</f>
        <v>是</v>
      </c>
      <c r="O2817" t="s">
        <v>76</v>
      </c>
      <c r="P2817" s="38">
        <v>0</v>
      </c>
      <c r="Q2817" s="38">
        <v>0</v>
      </c>
      <c r="R2817" s="38">
        <v>0.9476</v>
      </c>
    </row>
    <row r="2818" spans="1:18" hidden="1">
      <c r="A2818" s="10" t="s">
        <v>74</v>
      </c>
      <c r="B2818" t="s">
        <v>1</v>
      </c>
      <c r="C2818">
        <v>0</v>
      </c>
      <c r="D2818">
        <v>0</v>
      </c>
      <c r="E2818" s="29">
        <v>0</v>
      </c>
      <c r="F2818">
        <v>0</v>
      </c>
      <c r="G2818">
        <v>0</v>
      </c>
      <c r="H2818">
        <v>0</v>
      </c>
      <c r="I2818" s="29">
        <v>0</v>
      </c>
      <c r="J2818" s="29">
        <v>0</v>
      </c>
      <c r="K2818" s="9">
        <v>45363</v>
      </c>
      <c r="L2818">
        <f xml:space="preserve"> (交易處理資料__3[[#This Row],[售出工時]] * 60) / 5</f>
        <v>0</v>
      </c>
      <c r="M2818" t="str">
        <f>VLOOKUP(交易處理資料__3[[#This Row],[人員代號]],團隊分組!$B$1:$C$52,2,FALSE)</f>
        <v>噴漆維修組</v>
      </c>
      <c r="N2818" t="str">
        <f>IF(交易處理資料__3[[#This Row],[上班時間]]=0,"否","是")</f>
        <v>否</v>
      </c>
      <c r="O2818" s="10" t="s">
        <v>74</v>
      </c>
      <c r="P2818" s="37">
        <v>0</v>
      </c>
      <c r="Q2818" s="37">
        <v>0</v>
      </c>
      <c r="R2818" s="37">
        <v>0</v>
      </c>
    </row>
    <row r="2819" spans="1:18" hidden="1">
      <c r="A2819" s="10" t="s">
        <v>74</v>
      </c>
      <c r="B2819" t="s">
        <v>2</v>
      </c>
      <c r="C2819">
        <v>1.92</v>
      </c>
      <c r="D2819">
        <v>5.6</v>
      </c>
      <c r="E2819" s="29">
        <v>0.34285714290000002</v>
      </c>
      <c r="F2819">
        <v>10.88</v>
      </c>
      <c r="G2819">
        <v>0.13</v>
      </c>
      <c r="H2819">
        <v>11.01</v>
      </c>
      <c r="I2819" s="29">
        <v>0.98819999999999997</v>
      </c>
      <c r="J2819" s="29">
        <v>0.1744</v>
      </c>
      <c r="K2819" s="9">
        <v>45363</v>
      </c>
      <c r="L2819">
        <f xml:space="preserve"> (交易處理資料__3[[#This Row],[售出工時]] * 60) / 5</f>
        <v>23.04</v>
      </c>
      <c r="M2819" t="str">
        <f>VLOOKUP(交易處理資料__3[[#This Row],[人員代號]],團隊分組!$B$1:$C$52,2,FALSE)</f>
        <v>噴漆維修組</v>
      </c>
      <c r="N2819" t="str">
        <f>IF(交易處理資料__3[[#This Row],[上班時間]]=0,"否","是")</f>
        <v>是</v>
      </c>
      <c r="O2819" s="10" t="s">
        <v>74</v>
      </c>
      <c r="P2819" s="38">
        <v>0.34285714290000002</v>
      </c>
      <c r="Q2819" s="38">
        <v>0.1744</v>
      </c>
      <c r="R2819" s="38">
        <v>0.98819999999999997</v>
      </c>
    </row>
    <row r="2820" spans="1:18" hidden="1">
      <c r="A2820" s="10" t="s">
        <v>74</v>
      </c>
      <c r="B2820" t="s">
        <v>3</v>
      </c>
      <c r="C2820">
        <v>3.21</v>
      </c>
      <c r="D2820">
        <v>9.59</v>
      </c>
      <c r="E2820" s="29">
        <v>0.33472367050000001</v>
      </c>
      <c r="F2820">
        <v>10.93</v>
      </c>
      <c r="G2820">
        <v>0.09</v>
      </c>
      <c r="H2820">
        <v>11.02</v>
      </c>
      <c r="I2820" s="29">
        <v>0.99180000000000001</v>
      </c>
      <c r="J2820" s="29">
        <v>0.2913</v>
      </c>
      <c r="K2820" s="9">
        <v>45363</v>
      </c>
      <c r="L2820">
        <f xml:space="preserve"> (交易處理資料__3[[#This Row],[售出工時]] * 60) / 5</f>
        <v>38.519999999999996</v>
      </c>
      <c r="M2820" t="str">
        <f>VLOOKUP(交易處理資料__3[[#This Row],[人員代號]],團隊分組!$B$1:$C$52,2,FALSE)</f>
        <v>噴漆維修組</v>
      </c>
      <c r="N2820" t="str">
        <f>IF(交易處理資料__3[[#This Row],[上班時間]]=0,"否","是")</f>
        <v>是</v>
      </c>
      <c r="O2820" s="10" t="s">
        <v>74</v>
      </c>
      <c r="P2820" s="37">
        <v>0.33472367050000001</v>
      </c>
      <c r="Q2820" s="37">
        <v>0.2913</v>
      </c>
      <c r="R2820" s="37">
        <v>0.99180000000000001</v>
      </c>
    </row>
    <row r="2821" spans="1:18" hidden="1">
      <c r="A2821" s="10" t="s">
        <v>74</v>
      </c>
      <c r="B2821" t="s">
        <v>4</v>
      </c>
      <c r="C2821">
        <v>0</v>
      </c>
      <c r="D2821">
        <v>0</v>
      </c>
      <c r="E2821" s="29">
        <v>0</v>
      </c>
      <c r="F2821">
        <v>7.71</v>
      </c>
      <c r="G2821">
        <v>0.36</v>
      </c>
      <c r="H2821">
        <v>8.07</v>
      </c>
      <c r="I2821" s="29">
        <v>0.95540000000000003</v>
      </c>
      <c r="J2821" s="29">
        <v>0</v>
      </c>
      <c r="K2821" s="9">
        <v>45363</v>
      </c>
      <c r="L2821">
        <f xml:space="preserve"> (交易處理資料__3[[#This Row],[售出工時]] * 60) / 5</f>
        <v>0</v>
      </c>
      <c r="M2821" t="str">
        <f>VLOOKUP(交易處理資料__3[[#This Row],[人員代號]],團隊分組!$B$1:$C$52,2,FALSE)</f>
        <v>噴漆維修組</v>
      </c>
      <c r="N2821" t="str">
        <f>IF(交易處理資料__3[[#This Row],[上班時間]]=0,"否","是")</f>
        <v>是</v>
      </c>
      <c r="O2821" s="10" t="s">
        <v>74</v>
      </c>
      <c r="P2821" s="38">
        <v>0</v>
      </c>
      <c r="Q2821" s="38">
        <v>0</v>
      </c>
      <c r="R2821" s="38">
        <v>0.95540000000000003</v>
      </c>
    </row>
    <row r="2822" spans="1:18" hidden="1">
      <c r="A2822" s="10" t="s">
        <v>74</v>
      </c>
      <c r="B2822" t="s">
        <v>5</v>
      </c>
      <c r="C2822">
        <v>3.58</v>
      </c>
      <c r="D2822">
        <v>4.03</v>
      </c>
      <c r="E2822" s="29">
        <v>0.88833746899999999</v>
      </c>
      <c r="F2822">
        <v>10.48</v>
      </c>
      <c r="G2822">
        <v>0.13</v>
      </c>
      <c r="H2822">
        <v>10.61</v>
      </c>
      <c r="I2822" s="29">
        <v>0.98769999999999991</v>
      </c>
      <c r="J2822" s="29">
        <v>0.33740000000000003</v>
      </c>
      <c r="K2822" s="9">
        <v>45363</v>
      </c>
      <c r="L2822">
        <f xml:space="preserve"> (交易處理資料__3[[#This Row],[售出工時]] * 60) / 5</f>
        <v>42.96</v>
      </c>
      <c r="M2822" t="str">
        <f>VLOOKUP(交易處理資料__3[[#This Row],[人員代號]],團隊分組!$B$1:$C$52,2,FALSE)</f>
        <v>噴漆維修組</v>
      </c>
      <c r="N2822" t="str">
        <f>IF(交易處理資料__3[[#This Row],[上班時間]]=0,"否","是")</f>
        <v>是</v>
      </c>
      <c r="O2822" s="10" t="s">
        <v>74</v>
      </c>
      <c r="P2822" s="37">
        <v>0.88833746899999999</v>
      </c>
      <c r="Q2822" s="37">
        <v>0.33740000000000003</v>
      </c>
      <c r="R2822" s="37">
        <v>0.98769999999999991</v>
      </c>
    </row>
    <row r="2823" spans="1:18" hidden="1">
      <c r="A2823" s="10" t="s">
        <v>74</v>
      </c>
      <c r="B2823" t="s">
        <v>6</v>
      </c>
      <c r="C2823">
        <v>3.21</v>
      </c>
      <c r="D2823">
        <v>9.59</v>
      </c>
      <c r="E2823" s="29">
        <v>0.33472367050000001</v>
      </c>
      <c r="F2823">
        <v>10.55</v>
      </c>
      <c r="G2823">
        <v>0.08</v>
      </c>
      <c r="H2823">
        <v>10.63</v>
      </c>
      <c r="I2823" s="29">
        <v>0.99250000000000005</v>
      </c>
      <c r="J2823" s="29">
        <v>0.30199999999999999</v>
      </c>
      <c r="K2823" s="9">
        <v>45363</v>
      </c>
      <c r="L2823">
        <f xml:space="preserve"> (交易處理資料__3[[#This Row],[售出工時]] * 60) / 5</f>
        <v>38.519999999999996</v>
      </c>
      <c r="M2823" t="str">
        <f>VLOOKUP(交易處理資料__3[[#This Row],[人員代號]],團隊分組!$B$1:$C$52,2,FALSE)</f>
        <v>噴漆維修組</v>
      </c>
      <c r="N2823" t="str">
        <f>IF(交易處理資料__3[[#This Row],[上班時間]]=0,"否","是")</f>
        <v>是</v>
      </c>
      <c r="O2823" s="10" t="s">
        <v>74</v>
      </c>
      <c r="P2823" s="38">
        <v>0.33472367050000001</v>
      </c>
      <c r="Q2823" s="38">
        <v>0.30199999999999999</v>
      </c>
      <c r="R2823" s="38">
        <v>0.99250000000000005</v>
      </c>
    </row>
    <row r="2824" spans="1:18" hidden="1">
      <c r="A2824" s="10" t="s">
        <v>74</v>
      </c>
      <c r="B2824" t="s">
        <v>8</v>
      </c>
      <c r="C2824">
        <v>2.19</v>
      </c>
      <c r="D2824">
        <v>3.9</v>
      </c>
      <c r="E2824" s="29">
        <v>0.56153846149999997</v>
      </c>
      <c r="F2824">
        <v>7.67</v>
      </c>
      <c r="G2824">
        <v>0.35</v>
      </c>
      <c r="H2824">
        <v>8.02</v>
      </c>
      <c r="I2824" s="29">
        <v>0.95640000000000003</v>
      </c>
      <c r="J2824" s="29">
        <v>0.27310000000000001</v>
      </c>
      <c r="K2824" s="9">
        <v>45363</v>
      </c>
      <c r="L2824">
        <f xml:space="preserve"> (交易處理資料__3[[#This Row],[售出工時]] * 60) / 5</f>
        <v>26.28</v>
      </c>
      <c r="M2824" t="str">
        <f>VLOOKUP(交易處理資料__3[[#This Row],[人員代號]],團隊分組!$B$1:$C$52,2,FALSE)</f>
        <v>噴漆維修組</v>
      </c>
      <c r="N2824" t="str">
        <f>IF(交易處理資料__3[[#This Row],[上班時間]]=0,"否","是")</f>
        <v>是</v>
      </c>
      <c r="O2824" s="10" t="s">
        <v>74</v>
      </c>
      <c r="P2824" s="37">
        <v>0.56153846149999997</v>
      </c>
      <c r="Q2824" s="37">
        <v>0.27310000000000001</v>
      </c>
      <c r="R2824" s="37">
        <v>0.95640000000000003</v>
      </c>
    </row>
    <row r="2825" spans="1:18" hidden="1">
      <c r="A2825" t="s">
        <v>75</v>
      </c>
      <c r="B2825" t="s">
        <v>12</v>
      </c>
      <c r="C2825">
        <v>4.8333333329999997</v>
      </c>
      <c r="D2825">
        <v>1.97</v>
      </c>
      <c r="E2825" s="29">
        <v>2.4534686969999999</v>
      </c>
      <c r="F2825">
        <v>10.01</v>
      </c>
      <c r="G2825">
        <v>0.56000000000000005</v>
      </c>
      <c r="H2825">
        <v>10.57</v>
      </c>
      <c r="I2825" s="29">
        <v>0.94700000000000006</v>
      </c>
      <c r="J2825" s="29">
        <v>0.45729999999999998</v>
      </c>
      <c r="K2825" s="9">
        <v>45363</v>
      </c>
      <c r="L2825">
        <f xml:space="preserve"> (交易處理資料__3[[#This Row],[售出工時]] * 60) / 5</f>
        <v>57.999999996</v>
      </c>
      <c r="M2825" t="str">
        <f>VLOOKUP(交易處理資料__3[[#This Row],[人員代號]],團隊分組!$B$1:$C$52,2,FALSE)</f>
        <v>鈑金維修組</v>
      </c>
      <c r="N2825" t="str">
        <f>IF(交易處理資料__3[[#This Row],[上班時間]]=0,"否","是")</f>
        <v>是</v>
      </c>
      <c r="O2825" t="s">
        <v>75</v>
      </c>
      <c r="P2825" s="38">
        <v>2.4534686969999999</v>
      </c>
      <c r="Q2825" s="38">
        <v>0.45729999999999998</v>
      </c>
      <c r="R2825" s="38">
        <v>0.94700000000000006</v>
      </c>
    </row>
    <row r="2826" spans="1:18" hidden="1">
      <c r="A2826" t="s">
        <v>75</v>
      </c>
      <c r="B2826" t="s">
        <v>13</v>
      </c>
      <c r="C2826">
        <v>5.3633333329999999</v>
      </c>
      <c r="D2826">
        <v>3.44</v>
      </c>
      <c r="E2826" s="29">
        <v>1.559108527</v>
      </c>
      <c r="F2826">
        <v>6.99</v>
      </c>
      <c r="G2826">
        <v>1.05</v>
      </c>
      <c r="H2826">
        <v>8.0399999999999991</v>
      </c>
      <c r="I2826" s="29">
        <v>0.86939999999999995</v>
      </c>
      <c r="J2826" s="29">
        <v>0.66709999999999992</v>
      </c>
      <c r="K2826" s="9">
        <v>45363</v>
      </c>
      <c r="L2826">
        <f xml:space="preserve"> (交易處理資料__3[[#This Row],[售出工時]] * 60) / 5</f>
        <v>64.359999995999999</v>
      </c>
      <c r="M2826" t="str">
        <f>VLOOKUP(交易處理資料__3[[#This Row],[人員代號]],團隊分組!$B$1:$C$52,2,FALSE)</f>
        <v>鈑金維修組</v>
      </c>
      <c r="N2826" t="str">
        <f>IF(交易處理資料__3[[#This Row],[上班時間]]=0,"否","是")</f>
        <v>是</v>
      </c>
      <c r="O2826" t="s">
        <v>75</v>
      </c>
      <c r="P2826" s="37">
        <v>1.559108527</v>
      </c>
      <c r="Q2826" s="37">
        <v>0.66709999999999992</v>
      </c>
      <c r="R2826" s="37">
        <v>0.86939999999999995</v>
      </c>
    </row>
    <row r="2827" spans="1:18" hidden="1">
      <c r="A2827" t="s">
        <v>75</v>
      </c>
      <c r="B2827" t="s">
        <v>14</v>
      </c>
      <c r="C2827">
        <v>6.43</v>
      </c>
      <c r="D2827">
        <v>7.66</v>
      </c>
      <c r="E2827" s="29">
        <v>0.83942558750000007</v>
      </c>
      <c r="F2827">
        <v>8.93</v>
      </c>
      <c r="G2827">
        <v>1.25</v>
      </c>
      <c r="H2827">
        <v>10.18</v>
      </c>
      <c r="I2827" s="29">
        <v>0.87719999999999998</v>
      </c>
      <c r="J2827" s="29">
        <v>0.63159999999999994</v>
      </c>
      <c r="K2827" s="9">
        <v>45363</v>
      </c>
      <c r="L2827">
        <f xml:space="preserve"> (交易處理資料__3[[#This Row],[售出工時]] * 60) / 5</f>
        <v>77.16</v>
      </c>
      <c r="M2827" t="str">
        <f>VLOOKUP(交易處理資料__3[[#This Row],[人員代號]],團隊分組!$B$1:$C$52,2,FALSE)</f>
        <v>鈑金維修組</v>
      </c>
      <c r="N2827" t="str">
        <f>IF(交易處理資料__3[[#This Row],[上班時間]]=0,"否","是")</f>
        <v>是</v>
      </c>
      <c r="O2827" t="s">
        <v>75</v>
      </c>
      <c r="P2827" s="38">
        <v>0.83942558750000007</v>
      </c>
      <c r="Q2827" s="38">
        <v>0.63159999999999994</v>
      </c>
      <c r="R2827" s="38">
        <v>0.87719999999999998</v>
      </c>
    </row>
    <row r="2828" spans="1:18" hidden="1">
      <c r="A2828" t="s">
        <v>76</v>
      </c>
      <c r="B2828" t="s">
        <v>17</v>
      </c>
      <c r="C2828">
        <v>15.83333333</v>
      </c>
      <c r="D2828">
        <v>6.61</v>
      </c>
      <c r="E2828" s="29">
        <v>2.3953605649999998</v>
      </c>
      <c r="F2828">
        <v>7.43</v>
      </c>
      <c r="G2828">
        <v>0.5</v>
      </c>
      <c r="H2828">
        <v>7.93</v>
      </c>
      <c r="I2828" s="29">
        <v>0.93689999999999996</v>
      </c>
      <c r="J2828" s="29">
        <v>1.9965999999999999</v>
      </c>
      <c r="K2828" s="9">
        <v>45363</v>
      </c>
      <c r="L2828">
        <f xml:space="preserve"> (交易處理資料__3[[#This Row],[售出工時]] * 60) / 5</f>
        <v>189.99999996000003</v>
      </c>
      <c r="M2828" t="str">
        <f>VLOOKUP(交易處理資料__3[[#This Row],[人員代號]],團隊分組!$B$1:$C$52,2,FALSE)</f>
        <v>快速保養團隊A</v>
      </c>
      <c r="N2828" t="str">
        <f>IF(交易處理資料__3[[#This Row],[上班時間]]=0,"否","是")</f>
        <v>是</v>
      </c>
      <c r="O2828" t="s">
        <v>76</v>
      </c>
      <c r="P2828" s="37">
        <v>2.3953605649999998</v>
      </c>
      <c r="Q2828" s="37">
        <v>1.9965999999999999</v>
      </c>
      <c r="R2828" s="37">
        <v>0.93689999999999996</v>
      </c>
    </row>
    <row r="2829" spans="1:18" hidden="1">
      <c r="A2829" t="s">
        <v>76</v>
      </c>
      <c r="B2829" t="s">
        <v>18</v>
      </c>
      <c r="C2829">
        <v>1.1666666670000001</v>
      </c>
      <c r="D2829">
        <v>3.03</v>
      </c>
      <c r="E2829" s="29">
        <v>0.38503850389999994</v>
      </c>
      <c r="F2829">
        <v>8.01</v>
      </c>
      <c r="G2829">
        <v>1.25</v>
      </c>
      <c r="H2829">
        <v>9.26</v>
      </c>
      <c r="I2829" s="29">
        <v>0.86499999999999999</v>
      </c>
      <c r="J2829" s="29">
        <v>0.126</v>
      </c>
      <c r="K2829" s="9">
        <v>45363</v>
      </c>
      <c r="L2829">
        <f xml:space="preserve"> (交易處理資料__3[[#This Row],[售出工時]] * 60) / 5</f>
        <v>14.000000004</v>
      </c>
      <c r="M2829" t="str">
        <f>VLOOKUP(交易處理資料__3[[#This Row],[人員代號]],團隊分組!$B$1:$C$52,2,FALSE)</f>
        <v>查修團隊B</v>
      </c>
      <c r="N2829" t="str">
        <f>IF(交易處理資料__3[[#This Row],[上班時間]]=0,"否","是")</f>
        <v>是</v>
      </c>
      <c r="O2829" t="s">
        <v>76</v>
      </c>
      <c r="P2829" s="38">
        <v>0.38503850389999994</v>
      </c>
      <c r="Q2829" s="38">
        <v>0.126</v>
      </c>
      <c r="R2829" s="38">
        <v>0.86499999999999999</v>
      </c>
    </row>
    <row r="2830" spans="1:18" hidden="1">
      <c r="A2830" t="s">
        <v>76</v>
      </c>
      <c r="B2830" t="s">
        <v>20</v>
      </c>
      <c r="C2830">
        <v>0</v>
      </c>
      <c r="D2830">
        <v>0</v>
      </c>
      <c r="E2830" s="29">
        <v>0</v>
      </c>
      <c r="F2830">
        <v>0</v>
      </c>
      <c r="G2830">
        <v>11.13</v>
      </c>
      <c r="H2830">
        <v>11.13</v>
      </c>
      <c r="I2830" s="29">
        <v>0</v>
      </c>
      <c r="J2830" s="29">
        <v>0</v>
      </c>
      <c r="K2830" s="9">
        <v>45363</v>
      </c>
      <c r="L2830">
        <f xml:space="preserve"> (交易處理資料__3[[#This Row],[售出工時]] * 60) / 5</f>
        <v>0</v>
      </c>
      <c r="M2830" t="str">
        <f>VLOOKUP(交易處理資料__3[[#This Row],[人員代號]],團隊分組!$B$1:$C$52,2,FALSE)</f>
        <v>查修團隊B</v>
      </c>
      <c r="N2830" t="str">
        <f>IF(交易處理資料__3[[#This Row],[上班時間]]=0,"否","是")</f>
        <v>是</v>
      </c>
      <c r="O2830" t="s">
        <v>76</v>
      </c>
      <c r="P2830" s="37">
        <v>0</v>
      </c>
      <c r="Q2830" s="37">
        <v>0</v>
      </c>
      <c r="R2830" s="37">
        <v>0</v>
      </c>
    </row>
    <row r="2831" spans="1:18" hidden="1">
      <c r="A2831" t="s">
        <v>76</v>
      </c>
      <c r="B2831" t="s">
        <v>23</v>
      </c>
      <c r="C2831">
        <v>1.7</v>
      </c>
      <c r="D2831">
        <v>1.03</v>
      </c>
      <c r="E2831" s="29">
        <v>1.6504854370000002</v>
      </c>
      <c r="F2831">
        <v>7.88</v>
      </c>
      <c r="G2831">
        <v>0.37</v>
      </c>
      <c r="H2831">
        <v>8.25</v>
      </c>
      <c r="I2831" s="29">
        <v>0.95519999999999994</v>
      </c>
      <c r="J2831" s="29">
        <v>0.20610000000000001</v>
      </c>
      <c r="K2831" s="9">
        <v>45363</v>
      </c>
      <c r="L2831">
        <f xml:space="preserve"> (交易處理資料__3[[#This Row],[售出工時]] * 60) / 5</f>
        <v>20.399999999999999</v>
      </c>
      <c r="M2831" t="str">
        <f>VLOOKUP(交易處理資料__3[[#This Row],[人員代號]],團隊分組!$B$1:$C$52,2,FALSE)</f>
        <v>快速保養團隊B</v>
      </c>
      <c r="N2831" t="str">
        <f>IF(交易處理資料__3[[#This Row],[上班時間]]=0,"否","是")</f>
        <v>是</v>
      </c>
      <c r="O2831" t="s">
        <v>76</v>
      </c>
      <c r="P2831" s="38">
        <v>1.6504854370000002</v>
      </c>
      <c r="Q2831" s="38">
        <v>0.20610000000000001</v>
      </c>
      <c r="R2831" s="38">
        <v>0.95519999999999994</v>
      </c>
    </row>
    <row r="2832" spans="1:18" hidden="1">
      <c r="A2832" t="s">
        <v>76</v>
      </c>
      <c r="B2832" t="s">
        <v>24</v>
      </c>
      <c r="C2832">
        <v>10.83333333</v>
      </c>
      <c r="D2832">
        <v>4.8099999999999996</v>
      </c>
      <c r="E2832" s="29">
        <v>2.2522522519999999</v>
      </c>
      <c r="F2832">
        <v>7.14</v>
      </c>
      <c r="G2832">
        <v>0.85</v>
      </c>
      <c r="H2832">
        <v>7.99</v>
      </c>
      <c r="I2832" s="29">
        <v>0.89359999999999995</v>
      </c>
      <c r="J2832" s="29">
        <v>1.3559000000000001</v>
      </c>
      <c r="K2832" s="9">
        <v>45363</v>
      </c>
      <c r="L2832">
        <f xml:space="preserve"> (交易處理資料__3[[#This Row],[售出工時]] * 60) / 5</f>
        <v>129.99999996000003</v>
      </c>
      <c r="M2832" t="str">
        <f>VLOOKUP(交易處理資料__3[[#This Row],[人員代號]],團隊分組!$B$1:$C$52,2,FALSE)</f>
        <v>快速保養團隊A</v>
      </c>
      <c r="N2832" t="str">
        <f>IF(交易處理資料__3[[#This Row],[上班時間]]=0,"否","是")</f>
        <v>是</v>
      </c>
      <c r="O2832" t="s">
        <v>76</v>
      </c>
      <c r="P2832" s="37">
        <v>2.2522522519999999</v>
      </c>
      <c r="Q2832" s="37">
        <v>1.3559000000000001</v>
      </c>
      <c r="R2832" s="37">
        <v>0.89359999999999995</v>
      </c>
    </row>
    <row r="2833" spans="1:18" hidden="1">
      <c r="A2833" t="s">
        <v>76</v>
      </c>
      <c r="B2833" t="s">
        <v>26</v>
      </c>
      <c r="C2833">
        <v>0</v>
      </c>
      <c r="D2833">
        <v>0</v>
      </c>
      <c r="E2833" s="29">
        <v>0</v>
      </c>
      <c r="F2833">
        <v>8.81</v>
      </c>
      <c r="G2833">
        <v>2.29</v>
      </c>
      <c r="H2833">
        <v>11.1</v>
      </c>
      <c r="I2833" s="29">
        <v>0.79370000000000007</v>
      </c>
      <c r="J2833" s="29">
        <v>0</v>
      </c>
      <c r="K2833" s="9">
        <v>45363</v>
      </c>
      <c r="L2833">
        <f xml:space="preserve"> (交易處理資料__3[[#This Row],[售出工時]] * 60) / 5</f>
        <v>0</v>
      </c>
      <c r="M2833" t="str">
        <f>VLOOKUP(交易處理資料__3[[#This Row],[人員代號]],團隊分組!$B$1:$C$52,2,FALSE)</f>
        <v>查修團隊B</v>
      </c>
      <c r="N2833" t="str">
        <f>IF(交易處理資料__3[[#This Row],[上班時間]]=0,"否","是")</f>
        <v>是</v>
      </c>
      <c r="O2833" t="s">
        <v>76</v>
      </c>
      <c r="P2833" s="38">
        <v>0</v>
      </c>
      <c r="Q2833" s="38">
        <v>0</v>
      </c>
      <c r="R2833" s="38">
        <v>0.79370000000000007</v>
      </c>
    </row>
    <row r="2834" spans="1:18" hidden="1">
      <c r="A2834" t="s">
        <v>76</v>
      </c>
      <c r="B2834" t="s">
        <v>28</v>
      </c>
      <c r="C2834">
        <v>7.4166666670000003</v>
      </c>
      <c r="D2834">
        <v>6.28</v>
      </c>
      <c r="E2834" s="29">
        <v>1.180997877</v>
      </c>
      <c r="F2834">
        <v>6.28</v>
      </c>
      <c r="G2834">
        <v>1.74</v>
      </c>
      <c r="H2834">
        <v>8.02</v>
      </c>
      <c r="I2834" s="29">
        <v>0.78299999999999992</v>
      </c>
      <c r="J2834" s="29">
        <v>0.92480000000000007</v>
      </c>
      <c r="K2834" s="9">
        <v>45363</v>
      </c>
      <c r="L2834">
        <f xml:space="preserve"> (交易處理資料__3[[#This Row],[售出工時]] * 60) / 5</f>
        <v>89.000000004</v>
      </c>
      <c r="M2834" t="str">
        <f>VLOOKUP(交易處理資料__3[[#This Row],[人員代號]],團隊分組!$B$1:$C$52,2,FALSE)</f>
        <v>快速保養團隊A</v>
      </c>
      <c r="N2834" t="str">
        <f>IF(交易處理資料__3[[#This Row],[上班時間]]=0,"否","是")</f>
        <v>是</v>
      </c>
      <c r="O2834" t="s">
        <v>76</v>
      </c>
      <c r="P2834" s="37">
        <v>1.180997877</v>
      </c>
      <c r="Q2834" s="37">
        <v>0.92480000000000007</v>
      </c>
      <c r="R2834" s="37">
        <v>0.78299999999999992</v>
      </c>
    </row>
    <row r="2835" spans="1:18" hidden="1">
      <c r="A2835" t="s">
        <v>76</v>
      </c>
      <c r="B2835" t="s">
        <v>33</v>
      </c>
      <c r="C2835">
        <v>8.1633333330000006</v>
      </c>
      <c r="D2835">
        <v>7.6</v>
      </c>
      <c r="E2835" s="29">
        <v>1.074122807</v>
      </c>
      <c r="F2835">
        <v>7.77</v>
      </c>
      <c r="G2835">
        <v>0.46</v>
      </c>
      <c r="H2835">
        <v>8.23</v>
      </c>
      <c r="I2835" s="29">
        <v>0.94409999999999994</v>
      </c>
      <c r="J2835" s="29">
        <v>0.9919</v>
      </c>
      <c r="K2835" s="9">
        <v>45363</v>
      </c>
      <c r="L2835">
        <f xml:space="preserve"> (交易處理資料__3[[#This Row],[售出工時]] * 60) / 5</f>
        <v>97.959999996000008</v>
      </c>
      <c r="M2835" t="str">
        <f>VLOOKUP(交易處理資料__3[[#This Row],[人員代號]],團隊分組!$B$1:$C$52,2,FALSE)</f>
        <v>快速保養團隊B</v>
      </c>
      <c r="N2835" t="str">
        <f>IF(交易處理資料__3[[#This Row],[上班時間]]=0,"否","是")</f>
        <v>是</v>
      </c>
      <c r="O2835" t="s">
        <v>76</v>
      </c>
      <c r="P2835" s="38">
        <v>1.074122807</v>
      </c>
      <c r="Q2835" s="38">
        <v>0.9919</v>
      </c>
      <c r="R2835" s="38">
        <v>0.94409999999999994</v>
      </c>
    </row>
    <row r="2836" spans="1:18" hidden="1">
      <c r="A2836" t="s">
        <v>76</v>
      </c>
      <c r="B2836" t="s">
        <v>35</v>
      </c>
      <c r="C2836">
        <v>0.3</v>
      </c>
      <c r="D2836">
        <v>1.98</v>
      </c>
      <c r="E2836" s="29">
        <v>0.1515151515</v>
      </c>
      <c r="F2836">
        <v>9.51</v>
      </c>
      <c r="G2836">
        <v>1.61</v>
      </c>
      <c r="H2836">
        <v>11.12</v>
      </c>
      <c r="I2836" s="29">
        <v>0.85519999999999996</v>
      </c>
      <c r="J2836" s="29">
        <v>2.7000000000000003E-2</v>
      </c>
      <c r="K2836" s="9">
        <v>45363</v>
      </c>
      <c r="L2836">
        <f xml:space="preserve"> (交易處理資料__3[[#This Row],[售出工時]] * 60) / 5</f>
        <v>3.6</v>
      </c>
      <c r="M2836" t="str">
        <f>VLOOKUP(交易處理資料__3[[#This Row],[人員代號]],團隊分組!$B$1:$C$52,2,FALSE)</f>
        <v>查修團隊B</v>
      </c>
      <c r="N2836" t="str">
        <f>IF(交易處理資料__3[[#This Row],[上班時間]]=0,"否","是")</f>
        <v>是</v>
      </c>
      <c r="O2836" t="s">
        <v>76</v>
      </c>
      <c r="P2836" s="37">
        <v>0.1515151515</v>
      </c>
      <c r="Q2836" s="37">
        <v>2.7000000000000003E-2</v>
      </c>
      <c r="R2836" s="37">
        <v>0.85519999999999996</v>
      </c>
    </row>
    <row r="2837" spans="1:18" hidden="1">
      <c r="A2837" t="s">
        <v>76</v>
      </c>
      <c r="B2837" t="s">
        <v>36</v>
      </c>
      <c r="C2837">
        <v>2.41</v>
      </c>
      <c r="D2837">
        <v>3.71</v>
      </c>
      <c r="E2837" s="29">
        <v>0.64959568730000006</v>
      </c>
      <c r="F2837">
        <v>6.78</v>
      </c>
      <c r="G2837">
        <v>2.2799999999999998</v>
      </c>
      <c r="H2837">
        <v>9.06</v>
      </c>
      <c r="I2837" s="29">
        <v>0.74829999999999997</v>
      </c>
      <c r="J2837" s="29">
        <v>0.26600000000000001</v>
      </c>
      <c r="K2837" s="9">
        <v>45363</v>
      </c>
      <c r="L2837">
        <f xml:space="preserve"> (交易處理資料__3[[#This Row],[售出工時]] * 60) / 5</f>
        <v>28.920000000000005</v>
      </c>
      <c r="M2837" t="str">
        <f>VLOOKUP(交易處理資料__3[[#This Row],[人員代號]],團隊分組!$B$1:$C$52,2,FALSE)</f>
        <v>查修團隊B</v>
      </c>
      <c r="N2837" t="str">
        <f>IF(交易處理資料__3[[#This Row],[上班時間]]=0,"否","是")</f>
        <v>是</v>
      </c>
      <c r="O2837" t="s">
        <v>76</v>
      </c>
      <c r="P2837" s="38">
        <v>0.64959568730000006</v>
      </c>
      <c r="Q2837" s="38">
        <v>0.26600000000000001</v>
      </c>
      <c r="R2837" s="38">
        <v>0.74829999999999997</v>
      </c>
    </row>
    <row r="2838" spans="1:18" hidden="1">
      <c r="A2838" t="s">
        <v>76</v>
      </c>
      <c r="B2838" t="s">
        <v>37</v>
      </c>
      <c r="C2838">
        <v>0.66666666699999999</v>
      </c>
      <c r="D2838">
        <v>0.82</v>
      </c>
      <c r="E2838" s="29">
        <v>0.81300813009999995</v>
      </c>
      <c r="F2838">
        <v>8.4700000000000006</v>
      </c>
      <c r="G2838">
        <v>1.64</v>
      </c>
      <c r="H2838">
        <v>10.11</v>
      </c>
      <c r="I2838" s="29">
        <v>0.83779999999999999</v>
      </c>
      <c r="J2838" s="29">
        <v>6.59E-2</v>
      </c>
      <c r="K2838" s="9">
        <v>45363</v>
      </c>
      <c r="L2838">
        <f xml:space="preserve"> (交易處理資料__3[[#This Row],[售出工時]] * 60) / 5</f>
        <v>8.0000000040000003</v>
      </c>
      <c r="M2838" t="str">
        <f>VLOOKUP(交易處理資料__3[[#This Row],[人員代號]],團隊分組!$B$1:$C$52,2,FALSE)</f>
        <v>查修團隊A</v>
      </c>
      <c r="N2838" t="str">
        <f>IF(交易處理資料__3[[#This Row],[上班時間]]=0,"否","是")</f>
        <v>是</v>
      </c>
      <c r="O2838" t="s">
        <v>76</v>
      </c>
      <c r="P2838" s="37">
        <v>0.81300813009999995</v>
      </c>
      <c r="Q2838" s="37">
        <v>6.59E-2</v>
      </c>
      <c r="R2838" s="37">
        <v>0.83779999999999999</v>
      </c>
    </row>
    <row r="2839" spans="1:18" hidden="1">
      <c r="A2839" t="s">
        <v>76</v>
      </c>
      <c r="B2839" t="s">
        <v>39</v>
      </c>
      <c r="C2839">
        <v>0</v>
      </c>
      <c r="D2839">
        <v>0</v>
      </c>
      <c r="E2839" s="29">
        <v>0</v>
      </c>
      <c r="F2839">
        <v>8.69</v>
      </c>
      <c r="G2839">
        <v>1.41</v>
      </c>
      <c r="H2839">
        <v>10.1</v>
      </c>
      <c r="I2839" s="29">
        <v>0.86040000000000005</v>
      </c>
      <c r="J2839" s="29">
        <v>0</v>
      </c>
      <c r="K2839" s="9">
        <v>45363</v>
      </c>
      <c r="L2839">
        <f xml:space="preserve"> (交易處理資料__3[[#This Row],[售出工時]] * 60) / 5</f>
        <v>0</v>
      </c>
      <c r="M2839" t="str">
        <f>VLOOKUP(交易處理資料__3[[#This Row],[人員代號]],團隊分組!$B$1:$C$52,2,FALSE)</f>
        <v>查修團隊A</v>
      </c>
      <c r="N2839" t="str">
        <f>IF(交易處理資料__3[[#This Row],[上班時間]]=0,"否","是")</f>
        <v>是</v>
      </c>
      <c r="O2839" t="s">
        <v>76</v>
      </c>
      <c r="P2839" s="38">
        <v>0</v>
      </c>
      <c r="Q2839" s="38">
        <v>0</v>
      </c>
      <c r="R2839" s="38">
        <v>0.86040000000000005</v>
      </c>
    </row>
    <row r="2840" spans="1:18" hidden="1">
      <c r="A2840" t="s">
        <v>76</v>
      </c>
      <c r="B2840" t="s">
        <v>40</v>
      </c>
      <c r="C2840">
        <v>0</v>
      </c>
      <c r="D2840">
        <v>0</v>
      </c>
      <c r="E2840" s="29">
        <v>0</v>
      </c>
      <c r="F2840">
        <v>8.1999999999999993</v>
      </c>
      <c r="G2840">
        <v>0.96</v>
      </c>
      <c r="H2840">
        <v>9.16</v>
      </c>
      <c r="I2840" s="29">
        <v>0.8952</v>
      </c>
      <c r="J2840" s="29">
        <v>0</v>
      </c>
      <c r="K2840" s="9">
        <v>45363</v>
      </c>
      <c r="L2840">
        <f xml:space="preserve"> (交易處理資料__3[[#This Row],[售出工時]] * 60) / 5</f>
        <v>0</v>
      </c>
      <c r="M2840" t="str">
        <f>VLOOKUP(交易處理資料__3[[#This Row],[人員代號]],團隊分組!$B$1:$C$52,2,FALSE)</f>
        <v>查修團隊A</v>
      </c>
      <c r="N2840" t="str">
        <f>IF(交易處理資料__3[[#This Row],[上班時間]]=0,"否","是")</f>
        <v>是</v>
      </c>
      <c r="O2840" t="s">
        <v>76</v>
      </c>
      <c r="P2840" s="37">
        <v>0</v>
      </c>
      <c r="Q2840" s="37">
        <v>0</v>
      </c>
      <c r="R2840" s="37">
        <v>0.8952</v>
      </c>
    </row>
    <row r="2841" spans="1:18" hidden="1">
      <c r="A2841" t="s">
        <v>76</v>
      </c>
      <c r="B2841" t="s">
        <v>41</v>
      </c>
      <c r="C2841">
        <v>11.33333333</v>
      </c>
      <c r="D2841">
        <v>6.77</v>
      </c>
      <c r="E2841" s="29">
        <v>1.6740521910000001</v>
      </c>
      <c r="F2841">
        <v>9.23</v>
      </c>
      <c r="G2841">
        <v>0.4</v>
      </c>
      <c r="H2841">
        <v>9.6300000000000008</v>
      </c>
      <c r="I2841" s="29">
        <v>0.95849999999999991</v>
      </c>
      <c r="J2841" s="29">
        <v>1.1769000000000001</v>
      </c>
      <c r="K2841" s="9">
        <v>45363</v>
      </c>
      <c r="L2841">
        <f xml:space="preserve"> (交易處理資料__3[[#This Row],[售出工時]] * 60) / 5</f>
        <v>135.99999996000003</v>
      </c>
      <c r="M2841" t="str">
        <f>VLOOKUP(交易處理資料__3[[#This Row],[人員代號]],團隊分組!$B$1:$C$52,2,FALSE)</f>
        <v>快速保養團隊A</v>
      </c>
      <c r="N2841" t="str">
        <f>IF(交易處理資料__3[[#This Row],[上班時間]]=0,"否","是")</f>
        <v>是</v>
      </c>
      <c r="O2841" t="s">
        <v>76</v>
      </c>
      <c r="P2841" s="38">
        <v>1.6740521910000001</v>
      </c>
      <c r="Q2841" s="38">
        <v>1.1769000000000001</v>
      </c>
      <c r="R2841" s="38">
        <v>0.95849999999999991</v>
      </c>
    </row>
    <row r="2842" spans="1:18" hidden="1">
      <c r="A2842" t="s">
        <v>76</v>
      </c>
      <c r="B2842" t="s">
        <v>42</v>
      </c>
      <c r="C2842">
        <v>9.3333333330000006</v>
      </c>
      <c r="D2842">
        <v>7.84</v>
      </c>
      <c r="E2842" s="29">
        <v>1.19047619</v>
      </c>
      <c r="F2842">
        <v>7.03</v>
      </c>
      <c r="G2842">
        <v>0.96</v>
      </c>
      <c r="H2842">
        <v>7.99</v>
      </c>
      <c r="I2842" s="29">
        <v>0.87980000000000003</v>
      </c>
      <c r="J2842" s="29">
        <v>1.1680999999999999</v>
      </c>
      <c r="K2842" s="9">
        <v>45363</v>
      </c>
      <c r="L2842">
        <f xml:space="preserve"> (交易處理資料__3[[#This Row],[售出工時]] * 60) / 5</f>
        <v>111.999999996</v>
      </c>
      <c r="M2842" t="str">
        <f>VLOOKUP(交易處理資料__3[[#This Row],[人員代號]],團隊分組!$B$1:$C$52,2,FALSE)</f>
        <v>快速保養團隊A</v>
      </c>
      <c r="N2842" t="str">
        <f>IF(交易處理資料__3[[#This Row],[上班時間]]=0,"否","是")</f>
        <v>是</v>
      </c>
      <c r="O2842" t="s">
        <v>76</v>
      </c>
      <c r="P2842" s="37">
        <v>1.19047619</v>
      </c>
      <c r="Q2842" s="37">
        <v>1.1680999999999999</v>
      </c>
      <c r="R2842" s="37">
        <v>0.87980000000000003</v>
      </c>
    </row>
    <row r="2843" spans="1:18" hidden="1">
      <c r="A2843" t="s">
        <v>76</v>
      </c>
      <c r="B2843" t="s">
        <v>43</v>
      </c>
      <c r="C2843">
        <v>3.43</v>
      </c>
      <c r="D2843">
        <v>4.41</v>
      </c>
      <c r="E2843" s="29">
        <v>0.7777777777999999</v>
      </c>
      <c r="F2843">
        <v>8.82</v>
      </c>
      <c r="G2843">
        <v>2.2799999999999998</v>
      </c>
      <c r="H2843">
        <v>11.1</v>
      </c>
      <c r="I2843" s="29">
        <v>0.79459999999999997</v>
      </c>
      <c r="J2843" s="29">
        <v>0.309</v>
      </c>
      <c r="K2843" s="9">
        <v>45363</v>
      </c>
      <c r="L2843">
        <f xml:space="preserve"> (交易處理資料__3[[#This Row],[售出工時]] * 60) / 5</f>
        <v>41.160000000000004</v>
      </c>
      <c r="M2843" t="str">
        <f>VLOOKUP(交易處理資料__3[[#This Row],[人員代號]],團隊分組!$B$1:$C$52,2,FALSE)</f>
        <v>查修團隊B</v>
      </c>
      <c r="N2843" t="str">
        <f>IF(交易處理資料__3[[#This Row],[上班時間]]=0,"否","是")</f>
        <v>是</v>
      </c>
      <c r="O2843" t="s">
        <v>76</v>
      </c>
      <c r="P2843" s="38">
        <v>0.7777777777999999</v>
      </c>
      <c r="Q2843" s="38">
        <v>0.309</v>
      </c>
      <c r="R2843" s="38">
        <v>0.79459999999999997</v>
      </c>
    </row>
    <row r="2844" spans="1:18" hidden="1">
      <c r="A2844" t="s">
        <v>76</v>
      </c>
      <c r="B2844" t="s">
        <v>44</v>
      </c>
      <c r="C2844">
        <v>5.23</v>
      </c>
      <c r="D2844">
        <v>4.41</v>
      </c>
      <c r="E2844" s="29">
        <v>1.1859410429999999</v>
      </c>
      <c r="F2844">
        <v>7.96</v>
      </c>
      <c r="G2844">
        <v>0.12</v>
      </c>
      <c r="H2844">
        <v>8.08</v>
      </c>
      <c r="I2844" s="29">
        <v>0.98510000000000009</v>
      </c>
      <c r="J2844" s="29">
        <v>0.64729999999999999</v>
      </c>
      <c r="K2844" s="9">
        <v>45363</v>
      </c>
      <c r="L2844">
        <f xml:space="preserve"> (交易處理資料__3[[#This Row],[售出工時]] * 60) / 5</f>
        <v>62.760000000000005</v>
      </c>
      <c r="M2844" t="str">
        <f>VLOOKUP(交易處理資料__3[[#This Row],[人員代號]],團隊分組!$B$1:$C$52,2,FALSE)</f>
        <v>快速保養團隊B</v>
      </c>
      <c r="N2844" t="str">
        <f>IF(交易處理資料__3[[#This Row],[上班時間]]=0,"否","是")</f>
        <v>是</v>
      </c>
      <c r="O2844" t="s">
        <v>76</v>
      </c>
      <c r="P2844" s="37">
        <v>1.1859410429999999</v>
      </c>
      <c r="Q2844" s="37">
        <v>0.64729999999999999</v>
      </c>
      <c r="R2844" s="37">
        <v>0.98510000000000009</v>
      </c>
    </row>
    <row r="2845" spans="1:18" hidden="1">
      <c r="A2845" t="s">
        <v>76</v>
      </c>
      <c r="B2845" t="s">
        <v>49</v>
      </c>
      <c r="C2845">
        <v>0.51</v>
      </c>
      <c r="D2845">
        <v>0.8</v>
      </c>
      <c r="E2845" s="29">
        <v>0.63749999999999996</v>
      </c>
      <c r="F2845">
        <v>7.53</v>
      </c>
      <c r="G2845">
        <v>0.56999999999999995</v>
      </c>
      <c r="H2845">
        <v>8.1</v>
      </c>
      <c r="I2845" s="29">
        <v>0.92959999999999998</v>
      </c>
      <c r="J2845" s="29">
        <v>6.3E-2</v>
      </c>
      <c r="K2845" s="9">
        <v>45363</v>
      </c>
      <c r="L2845">
        <f xml:space="preserve"> (交易處理資料__3[[#This Row],[售出工時]] * 60) / 5</f>
        <v>6.12</v>
      </c>
      <c r="M2845" t="str">
        <f>VLOOKUP(交易處理資料__3[[#This Row],[人員代號]],團隊分組!$B$1:$C$52,2,FALSE)</f>
        <v>查修團隊A</v>
      </c>
      <c r="N2845" t="str">
        <f>IF(交易處理資料__3[[#This Row],[上班時間]]=0,"否","是")</f>
        <v>是</v>
      </c>
      <c r="O2845" t="s">
        <v>76</v>
      </c>
      <c r="P2845" s="38">
        <v>0.63749999999999996</v>
      </c>
      <c r="Q2845" s="38">
        <v>6.3E-2</v>
      </c>
      <c r="R2845" s="38">
        <v>0.92959999999999998</v>
      </c>
    </row>
    <row r="2846" spans="1:18" hidden="1">
      <c r="A2846" t="s">
        <v>76</v>
      </c>
      <c r="B2846" t="s">
        <v>50</v>
      </c>
      <c r="C2846">
        <v>6.7566666670000002</v>
      </c>
      <c r="D2846">
        <v>5.47</v>
      </c>
      <c r="E2846" s="29">
        <v>1.2352224250000001</v>
      </c>
      <c r="F2846">
        <v>8.01</v>
      </c>
      <c r="G2846">
        <v>0.1</v>
      </c>
      <c r="H2846">
        <v>8.11</v>
      </c>
      <c r="I2846" s="29">
        <v>0.98769999999999991</v>
      </c>
      <c r="J2846" s="29">
        <v>0.83310000000000006</v>
      </c>
      <c r="K2846" s="9">
        <v>45363</v>
      </c>
      <c r="L2846">
        <f xml:space="preserve"> (交易處理資料__3[[#This Row],[售出工時]] * 60) / 5</f>
        <v>81.080000003999999</v>
      </c>
      <c r="M2846" t="str">
        <f>VLOOKUP(交易處理資料__3[[#This Row],[人員代號]],團隊分組!$B$1:$C$52,2,FALSE)</f>
        <v>快速保養團隊B</v>
      </c>
      <c r="N2846" t="str">
        <f>IF(交易處理資料__3[[#This Row],[上班時間]]=0,"否","是")</f>
        <v>是</v>
      </c>
      <c r="O2846" t="s">
        <v>76</v>
      </c>
      <c r="P2846" s="37">
        <v>1.2352224250000001</v>
      </c>
      <c r="Q2846" s="37">
        <v>0.83310000000000006</v>
      </c>
      <c r="R2846" s="37">
        <v>0.98769999999999991</v>
      </c>
    </row>
    <row r="2847" spans="1:18" hidden="1">
      <c r="A2847" t="s">
        <v>76</v>
      </c>
      <c r="B2847" t="s">
        <v>51</v>
      </c>
      <c r="C2847">
        <v>0</v>
      </c>
      <c r="D2847">
        <v>0</v>
      </c>
      <c r="E2847" s="29">
        <v>0</v>
      </c>
      <c r="F2847">
        <v>0</v>
      </c>
      <c r="G2847">
        <v>0</v>
      </c>
      <c r="H2847">
        <v>0</v>
      </c>
      <c r="I2847" s="29">
        <v>0</v>
      </c>
      <c r="J2847" s="29">
        <v>0</v>
      </c>
      <c r="K2847" s="9">
        <v>45363</v>
      </c>
      <c r="L2847">
        <f xml:space="preserve"> (交易處理資料__3[[#This Row],[售出工時]] * 60) / 5</f>
        <v>0</v>
      </c>
      <c r="M2847" t="str">
        <f>VLOOKUP(交易處理資料__3[[#This Row],[人員代號]],團隊分組!$B$1:$C$52,2,FALSE)</f>
        <v>無效數據</v>
      </c>
      <c r="N2847" t="str">
        <f>IF(交易處理資料__3[[#This Row],[上班時間]]=0,"否","是")</f>
        <v>否</v>
      </c>
      <c r="O2847" t="s">
        <v>76</v>
      </c>
      <c r="P2847" s="38">
        <v>0</v>
      </c>
      <c r="Q2847" s="38">
        <v>0</v>
      </c>
      <c r="R2847" s="38">
        <v>0</v>
      </c>
    </row>
    <row r="2848" spans="1:18" hidden="1">
      <c r="A2848" t="s">
        <v>76</v>
      </c>
      <c r="B2848" t="s">
        <v>52</v>
      </c>
      <c r="C2848">
        <v>1</v>
      </c>
      <c r="D2848">
        <v>1.25</v>
      </c>
      <c r="E2848" s="29">
        <v>0.8</v>
      </c>
      <c r="F2848">
        <v>7.68</v>
      </c>
      <c r="G2848">
        <v>1.31</v>
      </c>
      <c r="H2848">
        <v>8.99</v>
      </c>
      <c r="I2848" s="29">
        <v>0.85430000000000006</v>
      </c>
      <c r="J2848" s="29">
        <v>0.11119999999999999</v>
      </c>
      <c r="K2848" s="9">
        <v>45363</v>
      </c>
      <c r="L2848">
        <f xml:space="preserve"> (交易處理資料__3[[#This Row],[售出工時]] * 60) / 5</f>
        <v>12</v>
      </c>
      <c r="M2848" t="str">
        <f>VLOOKUP(交易處理資料__3[[#This Row],[人員代號]],團隊分組!$B$1:$C$52,2,FALSE)</f>
        <v>查修團隊B</v>
      </c>
      <c r="N2848" t="str">
        <f>IF(交易處理資料__3[[#This Row],[上班時間]]=0,"否","是")</f>
        <v>是</v>
      </c>
      <c r="O2848" t="s">
        <v>76</v>
      </c>
      <c r="P2848" s="37">
        <v>0.8</v>
      </c>
      <c r="Q2848" s="37">
        <v>0.11119999999999999</v>
      </c>
      <c r="R2848" s="37">
        <v>0.85430000000000006</v>
      </c>
    </row>
    <row r="2849" spans="1:18" hidden="1">
      <c r="A2849" t="s">
        <v>76</v>
      </c>
      <c r="B2849" t="s">
        <v>53</v>
      </c>
      <c r="C2849">
        <v>1.9566666669999999</v>
      </c>
      <c r="D2849">
        <v>2</v>
      </c>
      <c r="E2849" s="29">
        <v>0.97833333330000005</v>
      </c>
      <c r="F2849">
        <v>8.06</v>
      </c>
      <c r="G2849">
        <v>0.15</v>
      </c>
      <c r="H2849">
        <v>8.2100000000000009</v>
      </c>
      <c r="I2849" s="29">
        <v>0.98170000000000002</v>
      </c>
      <c r="J2849" s="29">
        <v>0.23829999999999998</v>
      </c>
      <c r="K2849" s="9">
        <v>45363</v>
      </c>
      <c r="L2849">
        <f xml:space="preserve"> (交易處理資料__3[[#This Row],[售出工時]] * 60) / 5</f>
        <v>23.480000003999997</v>
      </c>
      <c r="M2849" t="str">
        <f>VLOOKUP(交易處理資料__3[[#This Row],[人員代號]],團隊分組!$B$1:$C$52,2,FALSE)</f>
        <v>查修團隊A</v>
      </c>
      <c r="N2849" t="str">
        <f>IF(交易處理資料__3[[#This Row],[上班時間]]=0,"否","是")</f>
        <v>是</v>
      </c>
      <c r="O2849" t="s">
        <v>76</v>
      </c>
      <c r="P2849" s="38">
        <v>0.97833333330000005</v>
      </c>
      <c r="Q2849" s="38">
        <v>0.23829999999999998</v>
      </c>
      <c r="R2849" s="38">
        <v>0.98170000000000002</v>
      </c>
    </row>
    <row r="2850" spans="1:18" hidden="1">
      <c r="A2850" s="10" t="s">
        <v>74</v>
      </c>
      <c r="B2850" t="s">
        <v>1</v>
      </c>
      <c r="C2850">
        <v>0</v>
      </c>
      <c r="D2850">
        <v>0</v>
      </c>
      <c r="E2850" s="29">
        <v>0</v>
      </c>
      <c r="F2850">
        <v>0</v>
      </c>
      <c r="G2850">
        <v>0</v>
      </c>
      <c r="H2850">
        <v>0</v>
      </c>
      <c r="I2850" s="29">
        <v>0</v>
      </c>
      <c r="J2850" s="29">
        <v>0</v>
      </c>
      <c r="K2850" s="9">
        <v>45364</v>
      </c>
      <c r="L2850">
        <f xml:space="preserve"> (交易處理資料__3[[#This Row],[售出工時]] * 60) / 5</f>
        <v>0</v>
      </c>
      <c r="M2850" t="str">
        <f>VLOOKUP(交易處理資料__3[[#This Row],[人員代號]],團隊分組!$B$1:$C$52,2,FALSE)</f>
        <v>噴漆維修組</v>
      </c>
      <c r="N2850" t="str">
        <f>IF(交易處理資料__3[[#This Row],[上班時間]]=0,"否","是")</f>
        <v>否</v>
      </c>
      <c r="O2850" s="10" t="s">
        <v>74</v>
      </c>
      <c r="P2850" s="37">
        <v>0</v>
      </c>
      <c r="Q2850" s="37">
        <v>0</v>
      </c>
      <c r="R2850" s="37">
        <v>0</v>
      </c>
    </row>
    <row r="2851" spans="1:18" hidden="1">
      <c r="A2851" s="10" t="s">
        <v>74</v>
      </c>
      <c r="B2851" t="s">
        <v>2</v>
      </c>
      <c r="C2851">
        <v>2.78</v>
      </c>
      <c r="D2851">
        <v>10.220000000000001</v>
      </c>
      <c r="E2851" s="29">
        <v>0.27201565559999996</v>
      </c>
      <c r="F2851">
        <v>10.55</v>
      </c>
      <c r="G2851">
        <v>0.03</v>
      </c>
      <c r="H2851">
        <v>10.58</v>
      </c>
      <c r="I2851" s="29">
        <v>0.99719999999999998</v>
      </c>
      <c r="J2851" s="29">
        <v>0.26280000000000003</v>
      </c>
      <c r="K2851" s="9">
        <v>45364</v>
      </c>
      <c r="L2851">
        <f xml:space="preserve"> (交易處理資料__3[[#This Row],[售出工時]] * 60) / 5</f>
        <v>33.36</v>
      </c>
      <c r="M2851" t="str">
        <f>VLOOKUP(交易處理資料__3[[#This Row],[人員代號]],團隊分組!$B$1:$C$52,2,FALSE)</f>
        <v>噴漆維修組</v>
      </c>
      <c r="N2851" t="str">
        <f>IF(交易處理資料__3[[#This Row],[上班時間]]=0,"否","是")</f>
        <v>是</v>
      </c>
      <c r="O2851" s="10" t="s">
        <v>74</v>
      </c>
      <c r="P2851" s="38">
        <v>0.27201565559999996</v>
      </c>
      <c r="Q2851" s="38">
        <v>0.26280000000000003</v>
      </c>
      <c r="R2851" s="38">
        <v>0.99719999999999998</v>
      </c>
    </row>
    <row r="2852" spans="1:18" hidden="1">
      <c r="A2852" s="10" t="s">
        <v>74</v>
      </c>
      <c r="B2852" t="s">
        <v>5</v>
      </c>
      <c r="C2852">
        <v>1.25</v>
      </c>
      <c r="D2852">
        <v>3.48</v>
      </c>
      <c r="E2852" s="29">
        <v>0.35919540230000002</v>
      </c>
      <c r="F2852">
        <v>9.61</v>
      </c>
      <c r="G2852">
        <v>0.86</v>
      </c>
      <c r="H2852">
        <v>10.47</v>
      </c>
      <c r="I2852" s="29">
        <v>0.91790000000000005</v>
      </c>
      <c r="J2852" s="29">
        <v>0.11939999999999999</v>
      </c>
      <c r="K2852" s="9">
        <v>45364</v>
      </c>
      <c r="L2852">
        <f xml:space="preserve"> (交易處理資料__3[[#This Row],[售出工時]] * 60) / 5</f>
        <v>15</v>
      </c>
      <c r="M2852" t="str">
        <f>VLOOKUP(交易處理資料__3[[#This Row],[人員代號]],團隊分組!$B$1:$C$52,2,FALSE)</f>
        <v>噴漆維修組</v>
      </c>
      <c r="N2852" t="str">
        <f>IF(交易處理資料__3[[#This Row],[上班時間]]=0,"否","是")</f>
        <v>是</v>
      </c>
      <c r="O2852" s="10" t="s">
        <v>74</v>
      </c>
      <c r="P2852" s="37">
        <v>0.35919540230000002</v>
      </c>
      <c r="Q2852" s="37">
        <v>0.11939999999999999</v>
      </c>
      <c r="R2852" s="37">
        <v>0.91790000000000005</v>
      </c>
    </row>
    <row r="2853" spans="1:18" hidden="1">
      <c r="A2853" s="10" t="s">
        <v>74</v>
      </c>
      <c r="B2853" t="s">
        <v>6</v>
      </c>
      <c r="C2853">
        <v>2.78</v>
      </c>
      <c r="D2853">
        <v>10.199999999999999</v>
      </c>
      <c r="E2853" s="29">
        <v>0.2725490196</v>
      </c>
      <c r="F2853">
        <v>10.55</v>
      </c>
      <c r="G2853">
        <v>0.03</v>
      </c>
      <c r="H2853">
        <v>10.58</v>
      </c>
      <c r="I2853" s="29">
        <v>0.99719999999999998</v>
      </c>
      <c r="J2853" s="29">
        <v>0.26280000000000003</v>
      </c>
      <c r="K2853" s="9">
        <v>45364</v>
      </c>
      <c r="L2853">
        <f xml:space="preserve"> (交易處理資料__3[[#This Row],[售出工時]] * 60) / 5</f>
        <v>33.36</v>
      </c>
      <c r="M2853" t="str">
        <f>VLOOKUP(交易處理資料__3[[#This Row],[人員代號]],團隊分組!$B$1:$C$52,2,FALSE)</f>
        <v>噴漆維修組</v>
      </c>
      <c r="N2853" t="str">
        <f>IF(交易處理資料__3[[#This Row],[上班時間]]=0,"否","是")</f>
        <v>是</v>
      </c>
      <c r="O2853" s="10" t="s">
        <v>74</v>
      </c>
      <c r="P2853" s="38">
        <v>0.2725490196</v>
      </c>
      <c r="Q2853" s="38">
        <v>0.26280000000000003</v>
      </c>
      <c r="R2853" s="38">
        <v>0.99719999999999998</v>
      </c>
    </row>
    <row r="2854" spans="1:18" hidden="1">
      <c r="A2854" t="s">
        <v>75</v>
      </c>
      <c r="B2854" t="s">
        <v>11</v>
      </c>
      <c r="C2854">
        <v>0</v>
      </c>
      <c r="D2854">
        <v>0</v>
      </c>
      <c r="E2854" s="29">
        <v>0</v>
      </c>
      <c r="F2854">
        <v>1.66</v>
      </c>
      <c r="G2854">
        <v>6.4</v>
      </c>
      <c r="H2854">
        <v>8.06</v>
      </c>
      <c r="I2854" s="29">
        <v>0.20600000000000002</v>
      </c>
      <c r="J2854" s="29">
        <v>0</v>
      </c>
      <c r="K2854" s="9">
        <v>45364</v>
      </c>
      <c r="L2854">
        <f xml:space="preserve"> (交易處理資料__3[[#This Row],[售出工時]] * 60) / 5</f>
        <v>0</v>
      </c>
      <c r="M2854" t="str">
        <f>VLOOKUP(交易處理資料__3[[#This Row],[人員代號]],團隊分組!$B$1:$C$52,2,FALSE)</f>
        <v>鈑金維修組</v>
      </c>
      <c r="N2854" t="str">
        <f>IF(交易處理資料__3[[#This Row],[上班時間]]=0,"否","是")</f>
        <v>是</v>
      </c>
      <c r="O2854" t="s">
        <v>75</v>
      </c>
      <c r="P2854" s="37">
        <v>0</v>
      </c>
      <c r="Q2854" s="37">
        <v>0</v>
      </c>
      <c r="R2854" s="37">
        <v>0.20600000000000002</v>
      </c>
    </row>
    <row r="2855" spans="1:18" hidden="1">
      <c r="A2855" t="s">
        <v>75</v>
      </c>
      <c r="B2855" t="s">
        <v>12</v>
      </c>
      <c r="C2855">
        <v>2.4166666669999999</v>
      </c>
      <c r="D2855">
        <v>2.2599999999999998</v>
      </c>
      <c r="E2855" s="29">
        <v>1.069321534</v>
      </c>
      <c r="F2855">
        <v>6.76</v>
      </c>
      <c r="G2855">
        <v>1.3</v>
      </c>
      <c r="H2855">
        <v>8.06</v>
      </c>
      <c r="I2855" s="29">
        <v>0.8387</v>
      </c>
      <c r="J2855" s="29">
        <v>0.29980000000000001</v>
      </c>
      <c r="K2855" s="9">
        <v>45364</v>
      </c>
      <c r="L2855">
        <f xml:space="preserve"> (交易處理資料__3[[#This Row],[售出工時]] * 60) / 5</f>
        <v>29.000000003999997</v>
      </c>
      <c r="M2855" t="str">
        <f>VLOOKUP(交易處理資料__3[[#This Row],[人員代號]],團隊分組!$B$1:$C$52,2,FALSE)</f>
        <v>鈑金維修組</v>
      </c>
      <c r="N2855" t="str">
        <f>IF(交易處理資料__3[[#This Row],[上班時間]]=0,"否","是")</f>
        <v>是</v>
      </c>
      <c r="O2855" t="s">
        <v>75</v>
      </c>
      <c r="P2855" s="38">
        <v>1.069321534</v>
      </c>
      <c r="Q2855" s="38">
        <v>0.29980000000000001</v>
      </c>
      <c r="R2855" s="38">
        <v>0.8387</v>
      </c>
    </row>
    <row r="2856" spans="1:18" hidden="1">
      <c r="A2856" t="s">
        <v>75</v>
      </c>
      <c r="B2856" t="s">
        <v>14</v>
      </c>
      <c r="C2856">
        <v>6.55</v>
      </c>
      <c r="D2856">
        <v>6.25</v>
      </c>
      <c r="E2856" s="29">
        <v>1.048</v>
      </c>
      <c r="F2856">
        <v>7.08</v>
      </c>
      <c r="G2856">
        <v>1</v>
      </c>
      <c r="H2856">
        <v>8.08</v>
      </c>
      <c r="I2856" s="29">
        <v>0.87620000000000009</v>
      </c>
      <c r="J2856" s="29">
        <v>0.81059999999999999</v>
      </c>
      <c r="K2856" s="9">
        <v>45364</v>
      </c>
      <c r="L2856">
        <f xml:space="preserve"> (交易處理資料__3[[#This Row],[售出工時]] * 60) / 5</f>
        <v>78.599999999999994</v>
      </c>
      <c r="M2856" t="str">
        <f>VLOOKUP(交易處理資料__3[[#This Row],[人員代號]],團隊分組!$B$1:$C$52,2,FALSE)</f>
        <v>鈑金維修組</v>
      </c>
      <c r="N2856" t="str">
        <f>IF(交易處理資料__3[[#This Row],[上班時間]]=0,"否","是")</f>
        <v>是</v>
      </c>
      <c r="O2856" t="s">
        <v>75</v>
      </c>
      <c r="P2856" s="37">
        <v>1.048</v>
      </c>
      <c r="Q2856" s="37">
        <v>0.81059999999999999</v>
      </c>
      <c r="R2856" s="37">
        <v>0.87620000000000009</v>
      </c>
    </row>
    <row r="2857" spans="1:18" hidden="1">
      <c r="A2857" t="s">
        <v>75</v>
      </c>
      <c r="B2857" t="s">
        <v>15</v>
      </c>
      <c r="C2857">
        <v>4.1100000000000003</v>
      </c>
      <c r="D2857">
        <v>4.29</v>
      </c>
      <c r="E2857" s="29">
        <v>0.95804195800000003</v>
      </c>
      <c r="F2857">
        <v>6.84</v>
      </c>
      <c r="G2857">
        <v>1.25</v>
      </c>
      <c r="H2857">
        <v>8.09</v>
      </c>
      <c r="I2857" s="29">
        <v>0.84549999999999992</v>
      </c>
      <c r="J2857" s="29">
        <v>0.50800000000000001</v>
      </c>
      <c r="K2857" s="9">
        <v>45364</v>
      </c>
      <c r="L2857">
        <f xml:space="preserve"> (交易處理資料__3[[#This Row],[售出工時]] * 60) / 5</f>
        <v>49.320000000000007</v>
      </c>
      <c r="M2857" t="str">
        <f>VLOOKUP(交易處理資料__3[[#This Row],[人員代號]],團隊分組!$B$1:$C$52,2,FALSE)</f>
        <v>鈑金維修組</v>
      </c>
      <c r="N2857" t="str">
        <f>IF(交易處理資料__3[[#This Row],[上班時間]]=0,"否","是")</f>
        <v>是</v>
      </c>
      <c r="O2857" t="s">
        <v>75</v>
      </c>
      <c r="P2857" s="38">
        <v>0.95804195800000003</v>
      </c>
      <c r="Q2857" s="38">
        <v>0.50800000000000001</v>
      </c>
      <c r="R2857" s="38">
        <v>0.84549999999999992</v>
      </c>
    </row>
    <row r="2858" spans="1:18" hidden="1">
      <c r="A2858" t="s">
        <v>76</v>
      </c>
      <c r="B2858" t="s">
        <v>17</v>
      </c>
      <c r="C2858">
        <v>15.91666667</v>
      </c>
      <c r="D2858">
        <v>7.15</v>
      </c>
      <c r="E2858" s="29">
        <v>2.2261072259999999</v>
      </c>
      <c r="F2858">
        <v>7.85</v>
      </c>
      <c r="G2858">
        <v>0.28999999999999998</v>
      </c>
      <c r="H2858">
        <v>8.14</v>
      </c>
      <c r="I2858" s="29">
        <v>0.96439999999999992</v>
      </c>
      <c r="J2858" s="29">
        <v>1.9554</v>
      </c>
      <c r="K2858" s="9">
        <v>45364</v>
      </c>
      <c r="L2858">
        <f xml:space="preserve"> (交易處理資料__3[[#This Row],[售出工時]] * 60) / 5</f>
        <v>191.00000003999997</v>
      </c>
      <c r="M2858" t="str">
        <f>VLOOKUP(交易處理資料__3[[#This Row],[人員代號]],團隊分組!$B$1:$C$52,2,FALSE)</f>
        <v>快速保養團隊A</v>
      </c>
      <c r="N2858" t="str">
        <f>IF(交易處理資料__3[[#This Row],[上班時間]]=0,"否","是")</f>
        <v>是</v>
      </c>
      <c r="O2858" t="s">
        <v>76</v>
      </c>
      <c r="P2858" s="37">
        <v>2.2261072259999999</v>
      </c>
      <c r="Q2858" s="37">
        <v>1.9554</v>
      </c>
      <c r="R2858" s="37">
        <v>0.96439999999999992</v>
      </c>
    </row>
    <row r="2859" spans="1:18" hidden="1">
      <c r="A2859" t="s">
        <v>76</v>
      </c>
      <c r="B2859" t="s">
        <v>19</v>
      </c>
      <c r="C2859">
        <v>0.49</v>
      </c>
      <c r="D2859">
        <v>0.65</v>
      </c>
      <c r="E2859" s="29">
        <v>0.75384615379999997</v>
      </c>
      <c r="F2859">
        <v>7.81</v>
      </c>
      <c r="G2859">
        <v>0.24</v>
      </c>
      <c r="H2859">
        <v>8.0500000000000007</v>
      </c>
      <c r="I2859" s="29">
        <v>0.97019999999999995</v>
      </c>
      <c r="J2859" s="29">
        <v>6.0899999999999996E-2</v>
      </c>
      <c r="K2859" s="9">
        <v>45364</v>
      </c>
      <c r="L2859">
        <f xml:space="preserve"> (交易處理資料__3[[#This Row],[售出工時]] * 60) / 5</f>
        <v>5.88</v>
      </c>
      <c r="M2859" t="str">
        <f>VLOOKUP(交易處理資料__3[[#This Row],[人員代號]],團隊分組!$B$1:$C$52,2,FALSE)</f>
        <v>查修團隊A</v>
      </c>
      <c r="N2859" t="str">
        <f>IF(交易處理資料__3[[#This Row],[上班時間]]=0,"否","是")</f>
        <v>是</v>
      </c>
      <c r="O2859" t="s">
        <v>76</v>
      </c>
      <c r="P2859" s="38">
        <v>0.75384615379999997</v>
      </c>
      <c r="Q2859" s="38">
        <v>6.0899999999999996E-2</v>
      </c>
      <c r="R2859" s="38">
        <v>0.97019999999999995</v>
      </c>
    </row>
    <row r="2860" spans="1:18" hidden="1">
      <c r="A2860" t="s">
        <v>76</v>
      </c>
      <c r="B2860" t="s">
        <v>20</v>
      </c>
      <c r="C2860">
        <v>0.33333333300000001</v>
      </c>
      <c r="D2860">
        <v>0.43</v>
      </c>
      <c r="E2860" s="29">
        <v>0.77519379840000002</v>
      </c>
      <c r="F2860">
        <v>5.56</v>
      </c>
      <c r="G2860">
        <v>4.03</v>
      </c>
      <c r="H2860">
        <v>9.59</v>
      </c>
      <c r="I2860" s="29">
        <v>0.57979999999999998</v>
      </c>
      <c r="J2860" s="29">
        <v>3.4799999999999998E-2</v>
      </c>
      <c r="K2860" s="9">
        <v>45364</v>
      </c>
      <c r="L2860">
        <f xml:space="preserve"> (交易處理資料__3[[#This Row],[售出工時]] * 60) / 5</f>
        <v>3.9999999960000006</v>
      </c>
      <c r="M2860" t="str">
        <f>VLOOKUP(交易處理資料__3[[#This Row],[人員代號]],團隊分組!$B$1:$C$52,2,FALSE)</f>
        <v>查修團隊B</v>
      </c>
      <c r="N2860" t="str">
        <f>IF(交易處理資料__3[[#This Row],[上班時間]]=0,"否","是")</f>
        <v>是</v>
      </c>
      <c r="O2860" t="s">
        <v>76</v>
      </c>
      <c r="P2860" s="37">
        <v>0.77519379840000002</v>
      </c>
      <c r="Q2860" s="37">
        <v>3.4799999999999998E-2</v>
      </c>
      <c r="R2860" s="37">
        <v>0.57979999999999998</v>
      </c>
    </row>
    <row r="2861" spans="1:18" hidden="1">
      <c r="A2861" t="s">
        <v>76</v>
      </c>
      <c r="B2861" t="s">
        <v>21</v>
      </c>
      <c r="C2861">
        <v>2</v>
      </c>
      <c r="D2861">
        <v>5.23</v>
      </c>
      <c r="E2861" s="29">
        <v>0.38240917779999994</v>
      </c>
      <c r="F2861">
        <v>6.59</v>
      </c>
      <c r="G2861">
        <v>2.1800000000000002</v>
      </c>
      <c r="H2861">
        <v>8.77</v>
      </c>
      <c r="I2861" s="29">
        <v>0.75139999999999996</v>
      </c>
      <c r="J2861" s="29">
        <v>0.2281</v>
      </c>
      <c r="K2861" s="9">
        <v>45364</v>
      </c>
      <c r="L2861">
        <f xml:space="preserve"> (交易處理資料__3[[#This Row],[售出工時]] * 60) / 5</f>
        <v>24</v>
      </c>
      <c r="M2861" t="str">
        <f>VLOOKUP(交易處理資料__3[[#This Row],[人員代號]],團隊分組!$B$1:$C$52,2,FALSE)</f>
        <v>查修團隊B</v>
      </c>
      <c r="N2861" t="str">
        <f>IF(交易處理資料__3[[#This Row],[上班時間]]=0,"否","是")</f>
        <v>是</v>
      </c>
      <c r="O2861" t="s">
        <v>76</v>
      </c>
      <c r="P2861" s="38">
        <v>0.38240917779999994</v>
      </c>
      <c r="Q2861" s="38">
        <v>0.2281</v>
      </c>
      <c r="R2861" s="38">
        <v>0.75139999999999996</v>
      </c>
    </row>
    <row r="2862" spans="1:18" hidden="1">
      <c r="A2862" t="s">
        <v>76</v>
      </c>
      <c r="B2862" t="s">
        <v>22</v>
      </c>
      <c r="C2862">
        <v>6</v>
      </c>
      <c r="D2862">
        <v>3.77</v>
      </c>
      <c r="E2862" s="29">
        <v>1.5915119360000001</v>
      </c>
      <c r="F2862">
        <v>8.65</v>
      </c>
      <c r="G2862">
        <v>1.1399999999999999</v>
      </c>
      <c r="H2862">
        <v>9.7899999999999991</v>
      </c>
      <c r="I2862" s="29">
        <v>0.88359999999999994</v>
      </c>
      <c r="J2862" s="29">
        <v>0.6129</v>
      </c>
      <c r="K2862" s="9">
        <v>45364</v>
      </c>
      <c r="L2862">
        <f xml:space="preserve"> (交易處理資料__3[[#This Row],[售出工時]] * 60) / 5</f>
        <v>72</v>
      </c>
      <c r="M2862" t="str">
        <f>VLOOKUP(交易處理資料__3[[#This Row],[人員代號]],團隊分組!$B$1:$C$52,2,FALSE)</f>
        <v>快速保養團隊A</v>
      </c>
      <c r="N2862" t="str">
        <f>IF(交易處理資料__3[[#This Row],[上班時間]]=0,"否","是")</f>
        <v>是</v>
      </c>
      <c r="O2862" t="s">
        <v>76</v>
      </c>
      <c r="P2862" s="37">
        <v>1.5915119360000001</v>
      </c>
      <c r="Q2862" s="37">
        <v>0.6129</v>
      </c>
      <c r="R2862" s="37">
        <v>0.88359999999999994</v>
      </c>
    </row>
    <row r="2863" spans="1:18" hidden="1">
      <c r="A2863" t="s">
        <v>76</v>
      </c>
      <c r="B2863" t="s">
        <v>23</v>
      </c>
      <c r="C2863">
        <v>8.943333333</v>
      </c>
      <c r="D2863">
        <v>5.58</v>
      </c>
      <c r="E2863" s="29">
        <v>1.6027479090000001</v>
      </c>
      <c r="F2863">
        <v>11.08</v>
      </c>
      <c r="G2863">
        <v>0.39</v>
      </c>
      <c r="H2863">
        <v>11.47</v>
      </c>
      <c r="I2863" s="29">
        <v>0.96599999999999997</v>
      </c>
      <c r="J2863" s="29">
        <v>0.77969999999999995</v>
      </c>
      <c r="K2863" s="9">
        <v>45364</v>
      </c>
      <c r="L2863">
        <f xml:space="preserve"> (交易處理資料__3[[#This Row],[售出工時]] * 60) / 5</f>
        <v>107.31999999600001</v>
      </c>
      <c r="M2863" t="str">
        <f>VLOOKUP(交易處理資料__3[[#This Row],[人員代號]],團隊分組!$B$1:$C$52,2,FALSE)</f>
        <v>快速保養團隊B</v>
      </c>
      <c r="N2863" t="str">
        <f>IF(交易處理資料__3[[#This Row],[上班時間]]=0,"否","是")</f>
        <v>是</v>
      </c>
      <c r="O2863" t="s">
        <v>76</v>
      </c>
      <c r="P2863" s="38">
        <v>1.6027479090000001</v>
      </c>
      <c r="Q2863" s="38">
        <v>0.77969999999999995</v>
      </c>
      <c r="R2863" s="38">
        <v>0.96599999999999997</v>
      </c>
    </row>
    <row r="2864" spans="1:18" hidden="1">
      <c r="A2864" t="s">
        <v>76</v>
      </c>
      <c r="B2864" t="s">
        <v>24</v>
      </c>
      <c r="C2864">
        <v>9</v>
      </c>
      <c r="D2864">
        <v>5.77</v>
      </c>
      <c r="E2864" s="29">
        <v>1.5597920279999999</v>
      </c>
      <c r="F2864">
        <v>5.56</v>
      </c>
      <c r="G2864">
        <v>0.94</v>
      </c>
      <c r="H2864">
        <v>6.5</v>
      </c>
      <c r="I2864" s="29">
        <v>0.85540000000000005</v>
      </c>
      <c r="J2864" s="29">
        <v>1.3846000000000001</v>
      </c>
      <c r="K2864" s="9">
        <v>45364</v>
      </c>
      <c r="L2864">
        <f xml:space="preserve"> (交易處理資料__3[[#This Row],[售出工時]] * 60) / 5</f>
        <v>108</v>
      </c>
      <c r="M2864" t="str">
        <f>VLOOKUP(交易處理資料__3[[#This Row],[人員代號]],團隊分組!$B$1:$C$52,2,FALSE)</f>
        <v>快速保養團隊A</v>
      </c>
      <c r="N2864" t="str">
        <f>IF(交易處理資料__3[[#This Row],[上班時間]]=0,"否","是")</f>
        <v>是</v>
      </c>
      <c r="O2864" t="s">
        <v>76</v>
      </c>
      <c r="P2864" s="37">
        <v>1.5597920279999999</v>
      </c>
      <c r="Q2864" s="37">
        <v>1.3846000000000001</v>
      </c>
      <c r="R2864" s="37">
        <v>0.85540000000000005</v>
      </c>
    </row>
    <row r="2865" spans="1:18" hidden="1">
      <c r="A2865" t="s">
        <v>76</v>
      </c>
      <c r="B2865" t="s">
        <v>25</v>
      </c>
      <c r="C2865">
        <v>0</v>
      </c>
      <c r="D2865">
        <v>0</v>
      </c>
      <c r="E2865" s="29">
        <v>0</v>
      </c>
      <c r="F2865">
        <v>7.05</v>
      </c>
      <c r="G2865">
        <v>1.48</v>
      </c>
      <c r="H2865">
        <v>8.5299999999999994</v>
      </c>
      <c r="I2865" s="29">
        <v>0.82650000000000001</v>
      </c>
      <c r="J2865" s="29">
        <v>0</v>
      </c>
      <c r="K2865" s="9">
        <v>45364</v>
      </c>
      <c r="L2865">
        <f xml:space="preserve"> (交易處理資料__3[[#This Row],[售出工時]] * 60) / 5</f>
        <v>0</v>
      </c>
      <c r="M2865" t="str">
        <f>VLOOKUP(交易處理資料__3[[#This Row],[人員代號]],團隊分組!$B$1:$C$52,2,FALSE)</f>
        <v>查修團隊A</v>
      </c>
      <c r="N2865" t="str">
        <f>IF(交易處理資料__3[[#This Row],[上班時間]]=0,"否","是")</f>
        <v>是</v>
      </c>
      <c r="O2865" t="s">
        <v>76</v>
      </c>
      <c r="P2865" s="38">
        <v>0</v>
      </c>
      <c r="Q2865" s="38">
        <v>0</v>
      </c>
      <c r="R2865" s="38">
        <v>0.82650000000000001</v>
      </c>
    </row>
    <row r="2866" spans="1:18" hidden="1">
      <c r="A2866" t="s">
        <v>76</v>
      </c>
      <c r="B2866" t="s">
        <v>26</v>
      </c>
      <c r="C2866">
        <v>3.23</v>
      </c>
      <c r="D2866">
        <v>8.7100000000000009</v>
      </c>
      <c r="E2866" s="29">
        <v>0.37083811709999998</v>
      </c>
      <c r="F2866">
        <v>4.3499999999999996</v>
      </c>
      <c r="G2866">
        <v>5.21</v>
      </c>
      <c r="H2866">
        <v>9.56</v>
      </c>
      <c r="I2866" s="29">
        <v>0.45500000000000002</v>
      </c>
      <c r="J2866" s="29">
        <v>0.33789999999999998</v>
      </c>
      <c r="K2866" s="9">
        <v>45364</v>
      </c>
      <c r="L2866">
        <f xml:space="preserve"> (交易處理資料__3[[#This Row],[售出工時]] * 60) / 5</f>
        <v>38.760000000000005</v>
      </c>
      <c r="M2866" t="str">
        <f>VLOOKUP(交易處理資料__3[[#This Row],[人員代號]],團隊分組!$B$1:$C$52,2,FALSE)</f>
        <v>查修團隊B</v>
      </c>
      <c r="N2866" t="str">
        <f>IF(交易處理資料__3[[#This Row],[上班時間]]=0,"否","是")</f>
        <v>是</v>
      </c>
      <c r="O2866" t="s">
        <v>76</v>
      </c>
      <c r="P2866" s="37">
        <v>0.37083811709999998</v>
      </c>
      <c r="Q2866" s="37">
        <v>0.33789999999999998</v>
      </c>
      <c r="R2866" s="37">
        <v>0.45500000000000002</v>
      </c>
    </row>
    <row r="2867" spans="1:18" hidden="1">
      <c r="A2867" t="s">
        <v>76</v>
      </c>
      <c r="B2867" t="s">
        <v>28</v>
      </c>
      <c r="C2867">
        <v>7.5</v>
      </c>
      <c r="D2867">
        <v>4.4400000000000004</v>
      </c>
      <c r="E2867" s="29">
        <v>1.6891891889999999</v>
      </c>
      <c r="F2867">
        <v>7.02</v>
      </c>
      <c r="G2867">
        <v>1.1000000000000001</v>
      </c>
      <c r="H2867">
        <v>8.1199999999999992</v>
      </c>
      <c r="I2867" s="29">
        <v>0.86450000000000005</v>
      </c>
      <c r="J2867" s="29">
        <v>0.92359999999999998</v>
      </c>
      <c r="K2867" s="9">
        <v>45364</v>
      </c>
      <c r="L2867">
        <f xml:space="preserve"> (交易處理資料__3[[#This Row],[售出工時]] * 60) / 5</f>
        <v>90</v>
      </c>
      <c r="M2867" t="str">
        <f>VLOOKUP(交易處理資料__3[[#This Row],[人員代號]],團隊分組!$B$1:$C$52,2,FALSE)</f>
        <v>快速保養團隊A</v>
      </c>
      <c r="N2867" t="str">
        <f>IF(交易處理資料__3[[#This Row],[上班時間]]=0,"否","是")</f>
        <v>是</v>
      </c>
      <c r="O2867" t="s">
        <v>76</v>
      </c>
      <c r="P2867" s="38">
        <v>1.6891891889999999</v>
      </c>
      <c r="Q2867" s="38">
        <v>0.92359999999999998</v>
      </c>
      <c r="R2867" s="38">
        <v>0.86450000000000005</v>
      </c>
    </row>
    <row r="2868" spans="1:18" hidden="1">
      <c r="A2868" t="s">
        <v>76</v>
      </c>
      <c r="B2868" t="s">
        <v>29</v>
      </c>
      <c r="C2868">
        <v>4.7866666670000004</v>
      </c>
      <c r="D2868">
        <v>6.04</v>
      </c>
      <c r="E2868" s="29">
        <v>0.79249448119999999</v>
      </c>
      <c r="F2868">
        <v>7.26</v>
      </c>
      <c r="G2868">
        <v>0.93</v>
      </c>
      <c r="H2868">
        <v>8.19</v>
      </c>
      <c r="I2868" s="29">
        <v>0.88639999999999997</v>
      </c>
      <c r="J2868" s="29">
        <v>0.58450000000000002</v>
      </c>
      <c r="K2868" s="9">
        <v>45364</v>
      </c>
      <c r="L2868">
        <f xml:space="preserve"> (交易處理資料__3[[#This Row],[售出工時]] * 60) / 5</f>
        <v>57.440000003999998</v>
      </c>
      <c r="M2868" t="str">
        <f>VLOOKUP(交易處理資料__3[[#This Row],[人員代號]],團隊分組!$B$1:$C$52,2,FALSE)</f>
        <v>查修團隊B</v>
      </c>
      <c r="N2868" t="str">
        <f>IF(交易處理資料__3[[#This Row],[上班時間]]=0,"否","是")</f>
        <v>是</v>
      </c>
      <c r="O2868" t="s">
        <v>76</v>
      </c>
      <c r="P2868" s="37">
        <v>0.79249448119999999</v>
      </c>
      <c r="Q2868" s="37">
        <v>0.58450000000000002</v>
      </c>
      <c r="R2868" s="37">
        <v>0.88639999999999997</v>
      </c>
    </row>
    <row r="2869" spans="1:18" hidden="1">
      <c r="A2869" t="s">
        <v>76</v>
      </c>
      <c r="B2869" t="s">
        <v>30</v>
      </c>
      <c r="C2869">
        <v>7.47</v>
      </c>
      <c r="D2869">
        <v>5.34</v>
      </c>
      <c r="E2869" s="29">
        <v>1.3988764040000001</v>
      </c>
      <c r="F2869">
        <v>9.66</v>
      </c>
      <c r="G2869">
        <v>0.51</v>
      </c>
      <c r="H2869">
        <v>10.17</v>
      </c>
      <c r="I2869" s="29">
        <v>0.94989999999999997</v>
      </c>
      <c r="J2869" s="29">
        <v>0.73450000000000004</v>
      </c>
      <c r="K2869" s="9">
        <v>45364</v>
      </c>
      <c r="L2869">
        <f xml:space="preserve"> (交易處理資料__3[[#This Row],[售出工時]] * 60) / 5</f>
        <v>89.64</v>
      </c>
      <c r="M2869" t="str">
        <f>VLOOKUP(交易處理資料__3[[#This Row],[人員代號]],團隊分組!$B$1:$C$52,2,FALSE)</f>
        <v>快速保養團隊B</v>
      </c>
      <c r="N2869" t="str">
        <f>IF(交易處理資料__3[[#This Row],[上班時間]]=0,"否","是")</f>
        <v>是</v>
      </c>
      <c r="O2869" t="s">
        <v>76</v>
      </c>
      <c r="P2869" s="38">
        <v>1.3988764040000001</v>
      </c>
      <c r="Q2869" s="38">
        <v>0.73450000000000004</v>
      </c>
      <c r="R2869" s="38">
        <v>0.94989999999999997</v>
      </c>
    </row>
    <row r="2870" spans="1:18" hidden="1">
      <c r="A2870" t="s">
        <v>76</v>
      </c>
      <c r="B2870" t="s">
        <v>32</v>
      </c>
      <c r="C2870">
        <v>0</v>
      </c>
      <c r="D2870">
        <v>0</v>
      </c>
      <c r="E2870" s="29">
        <v>0</v>
      </c>
      <c r="F2870">
        <v>0</v>
      </c>
      <c r="G2870">
        <v>0</v>
      </c>
      <c r="H2870">
        <v>0</v>
      </c>
      <c r="I2870" s="29">
        <v>0</v>
      </c>
      <c r="J2870" s="29">
        <v>0</v>
      </c>
      <c r="K2870" s="9">
        <v>45364</v>
      </c>
      <c r="L2870">
        <f xml:space="preserve"> (交易處理資料__3[[#This Row],[售出工時]] * 60) / 5</f>
        <v>0</v>
      </c>
      <c r="M2870" t="str">
        <f>VLOOKUP(交易處理資料__3[[#This Row],[人員代號]],團隊分組!$B$1:$C$52,2,FALSE)</f>
        <v>快速保養團隊B</v>
      </c>
      <c r="N2870" t="str">
        <f>IF(交易處理資料__3[[#This Row],[上班時間]]=0,"否","是")</f>
        <v>否</v>
      </c>
      <c r="O2870" t="s">
        <v>76</v>
      </c>
      <c r="P2870" s="37">
        <v>0</v>
      </c>
      <c r="Q2870" s="37">
        <v>0</v>
      </c>
      <c r="R2870" s="37">
        <v>0</v>
      </c>
    </row>
    <row r="2871" spans="1:18" hidden="1">
      <c r="A2871" t="s">
        <v>76</v>
      </c>
      <c r="B2871" t="s">
        <v>33</v>
      </c>
      <c r="C2871">
        <v>12.963333329999999</v>
      </c>
      <c r="D2871">
        <v>11.04</v>
      </c>
      <c r="E2871" s="29">
        <v>1.174214976</v>
      </c>
      <c r="F2871">
        <v>10.92</v>
      </c>
      <c r="G2871">
        <v>0.6</v>
      </c>
      <c r="H2871">
        <v>11.52</v>
      </c>
      <c r="I2871" s="29">
        <v>0.94790000000000008</v>
      </c>
      <c r="J2871" s="29">
        <v>1.1253</v>
      </c>
      <c r="K2871" s="9">
        <v>45364</v>
      </c>
      <c r="L2871">
        <f xml:space="preserve"> (交易處理資料__3[[#This Row],[售出工時]] * 60) / 5</f>
        <v>155.55999995999997</v>
      </c>
      <c r="M2871" t="str">
        <f>VLOOKUP(交易處理資料__3[[#This Row],[人員代號]],團隊分組!$B$1:$C$52,2,FALSE)</f>
        <v>快速保養團隊B</v>
      </c>
      <c r="N2871" t="str">
        <f>IF(交易處理資料__3[[#This Row],[上班時間]]=0,"否","是")</f>
        <v>是</v>
      </c>
      <c r="O2871" t="s">
        <v>76</v>
      </c>
      <c r="P2871" s="38">
        <v>1.174214976</v>
      </c>
      <c r="Q2871" s="38">
        <v>1.1253</v>
      </c>
      <c r="R2871" s="38">
        <v>0.94790000000000008</v>
      </c>
    </row>
    <row r="2872" spans="1:18" hidden="1">
      <c r="A2872" t="s">
        <v>76</v>
      </c>
      <c r="B2872" t="s">
        <v>34</v>
      </c>
      <c r="C2872">
        <v>8.8333333330000006</v>
      </c>
      <c r="D2872">
        <v>8.06</v>
      </c>
      <c r="E2872" s="29">
        <v>1.095947064</v>
      </c>
      <c r="F2872">
        <v>6.96</v>
      </c>
      <c r="G2872">
        <v>1.27</v>
      </c>
      <c r="H2872">
        <v>8.23</v>
      </c>
      <c r="I2872" s="29">
        <v>0.8456999999999999</v>
      </c>
      <c r="J2872" s="29">
        <v>1.0732999999999999</v>
      </c>
      <c r="K2872" s="9">
        <v>45364</v>
      </c>
      <c r="L2872">
        <f xml:space="preserve"> (交易處理資料__3[[#This Row],[售出工時]] * 60) / 5</f>
        <v>105.999999996</v>
      </c>
      <c r="M2872" t="str">
        <f>VLOOKUP(交易處理資料__3[[#This Row],[人員代號]],團隊分組!$B$1:$C$52,2,FALSE)</f>
        <v>快速保養團隊A</v>
      </c>
      <c r="N2872" t="str">
        <f>IF(交易處理資料__3[[#This Row],[上班時間]]=0,"否","是")</f>
        <v>是</v>
      </c>
      <c r="O2872" t="s">
        <v>76</v>
      </c>
      <c r="P2872" s="37">
        <v>1.095947064</v>
      </c>
      <c r="Q2872" s="37">
        <v>1.0732999999999999</v>
      </c>
      <c r="R2872" s="37">
        <v>0.8456999999999999</v>
      </c>
    </row>
    <row r="2873" spans="1:18" hidden="1">
      <c r="A2873" t="s">
        <v>76</v>
      </c>
      <c r="B2873" t="s">
        <v>35</v>
      </c>
      <c r="C2873">
        <v>1.1033333329999999</v>
      </c>
      <c r="D2873">
        <v>9.33</v>
      </c>
      <c r="E2873" s="29">
        <v>0.11825652019999999</v>
      </c>
      <c r="F2873">
        <v>8.1300000000000008</v>
      </c>
      <c r="G2873">
        <v>1.45</v>
      </c>
      <c r="H2873">
        <v>9.58</v>
      </c>
      <c r="I2873" s="29">
        <v>0.84860000000000002</v>
      </c>
      <c r="J2873" s="29">
        <v>0.1152</v>
      </c>
      <c r="K2873" s="9">
        <v>45364</v>
      </c>
      <c r="L2873">
        <f xml:space="preserve"> (交易處理資料__3[[#This Row],[售出工時]] * 60) / 5</f>
        <v>13.239999996</v>
      </c>
      <c r="M2873" t="str">
        <f>VLOOKUP(交易處理資料__3[[#This Row],[人員代號]],團隊分組!$B$1:$C$52,2,FALSE)</f>
        <v>查修團隊B</v>
      </c>
      <c r="N2873" t="str">
        <f>IF(交易處理資料__3[[#This Row],[上班時間]]=0,"否","是")</f>
        <v>是</v>
      </c>
      <c r="O2873" t="s">
        <v>76</v>
      </c>
      <c r="P2873" s="38">
        <v>0.11825652019999999</v>
      </c>
      <c r="Q2873" s="38">
        <v>0.1152</v>
      </c>
      <c r="R2873" s="38">
        <v>0.84860000000000002</v>
      </c>
    </row>
    <row r="2874" spans="1:18" hidden="1">
      <c r="A2874" t="s">
        <v>76</v>
      </c>
      <c r="B2874" t="s">
        <v>36</v>
      </c>
      <c r="C2874">
        <v>3.3433333329999999</v>
      </c>
      <c r="D2874">
        <v>8.06</v>
      </c>
      <c r="E2874" s="29">
        <v>0.41480562450000003</v>
      </c>
      <c r="F2874">
        <v>8.14</v>
      </c>
      <c r="G2874">
        <v>1.1499999999999999</v>
      </c>
      <c r="H2874">
        <v>9.2899999999999991</v>
      </c>
      <c r="I2874" s="29">
        <v>0.87620000000000009</v>
      </c>
      <c r="J2874" s="29">
        <v>0.3599</v>
      </c>
      <c r="K2874" s="9">
        <v>45364</v>
      </c>
      <c r="L2874">
        <f xml:space="preserve"> (交易處理資料__3[[#This Row],[售出工時]] * 60) / 5</f>
        <v>40.119999996000004</v>
      </c>
      <c r="M2874" t="str">
        <f>VLOOKUP(交易處理資料__3[[#This Row],[人員代號]],團隊分組!$B$1:$C$52,2,FALSE)</f>
        <v>查修團隊B</v>
      </c>
      <c r="N2874" t="str">
        <f>IF(交易處理資料__3[[#This Row],[上班時間]]=0,"否","是")</f>
        <v>是</v>
      </c>
      <c r="O2874" t="s">
        <v>76</v>
      </c>
      <c r="P2874" s="37">
        <v>0.41480562450000003</v>
      </c>
      <c r="Q2874" s="37">
        <v>0.3599</v>
      </c>
      <c r="R2874" s="37">
        <v>0.87620000000000009</v>
      </c>
    </row>
    <row r="2875" spans="1:18" hidden="1">
      <c r="A2875" t="s">
        <v>76</v>
      </c>
      <c r="B2875" t="s">
        <v>38</v>
      </c>
      <c r="C2875">
        <v>12.91666667</v>
      </c>
      <c r="D2875">
        <v>7.08</v>
      </c>
      <c r="E2875" s="29">
        <v>1.824387947</v>
      </c>
      <c r="F2875">
        <v>9.98</v>
      </c>
      <c r="G2875">
        <v>1.27</v>
      </c>
      <c r="H2875">
        <v>11.25</v>
      </c>
      <c r="I2875" s="29">
        <v>0.88709999999999989</v>
      </c>
      <c r="J2875" s="29">
        <v>1.1481000000000001</v>
      </c>
      <c r="K2875" s="9">
        <v>45364</v>
      </c>
      <c r="L2875">
        <f xml:space="preserve"> (交易處理資料__3[[#This Row],[售出工時]] * 60) / 5</f>
        <v>155.00000003999997</v>
      </c>
      <c r="M2875" t="str">
        <f>VLOOKUP(交易處理資料__3[[#This Row],[人員代號]],團隊分組!$B$1:$C$52,2,FALSE)</f>
        <v>快速保養團隊A</v>
      </c>
      <c r="N2875" t="str">
        <f>IF(交易處理資料__3[[#This Row],[上班時間]]=0,"否","是")</f>
        <v>是</v>
      </c>
      <c r="O2875" t="s">
        <v>76</v>
      </c>
      <c r="P2875" s="38">
        <v>1.824387947</v>
      </c>
      <c r="Q2875" s="38">
        <v>1.1481000000000001</v>
      </c>
      <c r="R2875" s="38">
        <v>0.88709999999999989</v>
      </c>
    </row>
    <row r="2876" spans="1:18" hidden="1">
      <c r="A2876" t="s">
        <v>76</v>
      </c>
      <c r="B2876" t="s">
        <v>39</v>
      </c>
      <c r="C2876">
        <v>0</v>
      </c>
      <c r="D2876">
        <v>0</v>
      </c>
      <c r="E2876" s="29">
        <v>0</v>
      </c>
      <c r="F2876">
        <v>7.2</v>
      </c>
      <c r="G2876">
        <v>3.71</v>
      </c>
      <c r="H2876">
        <v>10.91</v>
      </c>
      <c r="I2876" s="29">
        <v>0.65989999999999993</v>
      </c>
      <c r="J2876" s="29">
        <v>0</v>
      </c>
      <c r="K2876" s="9">
        <v>45364</v>
      </c>
      <c r="L2876">
        <f xml:space="preserve"> (交易處理資料__3[[#This Row],[售出工時]] * 60) / 5</f>
        <v>0</v>
      </c>
      <c r="M2876" t="str">
        <f>VLOOKUP(交易處理資料__3[[#This Row],[人員代號]],團隊分組!$B$1:$C$52,2,FALSE)</f>
        <v>查修團隊A</v>
      </c>
      <c r="N2876" t="str">
        <f>IF(交易處理資料__3[[#This Row],[上班時間]]=0,"否","是")</f>
        <v>是</v>
      </c>
      <c r="O2876" t="s">
        <v>76</v>
      </c>
      <c r="P2876" s="37">
        <v>0</v>
      </c>
      <c r="Q2876" s="37">
        <v>0</v>
      </c>
      <c r="R2876" s="37">
        <v>0.65989999999999993</v>
      </c>
    </row>
    <row r="2877" spans="1:18" hidden="1">
      <c r="A2877" t="s">
        <v>76</v>
      </c>
      <c r="B2877" t="s">
        <v>40</v>
      </c>
      <c r="C2877">
        <v>0</v>
      </c>
      <c r="D2877">
        <v>0</v>
      </c>
      <c r="E2877" s="29">
        <v>0</v>
      </c>
      <c r="F2877">
        <v>8.02</v>
      </c>
      <c r="G2877">
        <v>0.56999999999999995</v>
      </c>
      <c r="H2877">
        <v>8.59</v>
      </c>
      <c r="I2877" s="29">
        <v>0.93359999999999999</v>
      </c>
      <c r="J2877" s="29">
        <v>0</v>
      </c>
      <c r="K2877" s="9">
        <v>45364</v>
      </c>
      <c r="L2877">
        <f xml:space="preserve"> (交易處理資料__3[[#This Row],[售出工時]] * 60) / 5</f>
        <v>0</v>
      </c>
      <c r="M2877" t="str">
        <f>VLOOKUP(交易處理資料__3[[#This Row],[人員代號]],團隊分組!$B$1:$C$52,2,FALSE)</f>
        <v>查修團隊A</v>
      </c>
      <c r="N2877" t="str">
        <f>IF(交易處理資料__3[[#This Row],[上班時間]]=0,"否","是")</f>
        <v>是</v>
      </c>
      <c r="O2877" t="s">
        <v>76</v>
      </c>
      <c r="P2877" s="38">
        <v>0</v>
      </c>
      <c r="Q2877" s="38">
        <v>0</v>
      </c>
      <c r="R2877" s="38">
        <v>0.93359999999999999</v>
      </c>
    </row>
    <row r="2878" spans="1:18" hidden="1">
      <c r="A2878" t="s">
        <v>76</v>
      </c>
      <c r="B2878" t="s">
        <v>41</v>
      </c>
      <c r="C2878">
        <v>8.5833333330000006</v>
      </c>
      <c r="D2878">
        <v>7.67</v>
      </c>
      <c r="E2878" s="29">
        <v>1.1190786610000001</v>
      </c>
      <c r="F2878">
        <v>9.27</v>
      </c>
      <c r="G2878">
        <v>0.51</v>
      </c>
      <c r="H2878">
        <v>9.7799999999999994</v>
      </c>
      <c r="I2878" s="29">
        <v>0.94790000000000008</v>
      </c>
      <c r="J2878" s="29">
        <v>0.87760000000000005</v>
      </c>
      <c r="K2878" s="9">
        <v>45364</v>
      </c>
      <c r="L2878">
        <f xml:space="preserve"> (交易處理資料__3[[#This Row],[售出工時]] * 60) / 5</f>
        <v>102.999999996</v>
      </c>
      <c r="M2878" t="str">
        <f>VLOOKUP(交易處理資料__3[[#This Row],[人員代號]],團隊分組!$B$1:$C$52,2,FALSE)</f>
        <v>快速保養團隊A</v>
      </c>
      <c r="N2878" t="str">
        <f>IF(交易處理資料__3[[#This Row],[上班時間]]=0,"否","是")</f>
        <v>是</v>
      </c>
      <c r="O2878" t="s">
        <v>76</v>
      </c>
      <c r="P2878" s="37">
        <v>1.1190786610000001</v>
      </c>
      <c r="Q2878" s="37">
        <v>0.87760000000000005</v>
      </c>
      <c r="R2878" s="37">
        <v>0.94790000000000008</v>
      </c>
    </row>
    <row r="2879" spans="1:18" hidden="1">
      <c r="A2879" t="s">
        <v>76</v>
      </c>
      <c r="B2879" t="s">
        <v>43</v>
      </c>
      <c r="C2879">
        <v>1.01</v>
      </c>
      <c r="D2879">
        <v>5.51</v>
      </c>
      <c r="E2879" s="29">
        <v>0.1833030853</v>
      </c>
      <c r="F2879">
        <v>8.0500000000000007</v>
      </c>
      <c r="G2879">
        <v>1.1599999999999999</v>
      </c>
      <c r="H2879">
        <v>9.2100000000000009</v>
      </c>
      <c r="I2879" s="29">
        <v>0.87400000000000011</v>
      </c>
      <c r="J2879" s="29">
        <v>0.10970000000000001</v>
      </c>
      <c r="K2879" s="9">
        <v>45364</v>
      </c>
      <c r="L2879">
        <f xml:space="preserve"> (交易處理資料__3[[#This Row],[售出工時]] * 60) / 5</f>
        <v>12.120000000000001</v>
      </c>
      <c r="M2879" t="str">
        <f>VLOOKUP(交易處理資料__3[[#This Row],[人員代號]],團隊分組!$B$1:$C$52,2,FALSE)</f>
        <v>查修團隊B</v>
      </c>
      <c r="N2879" t="str">
        <f>IF(交易處理資料__3[[#This Row],[上班時間]]=0,"否","是")</f>
        <v>是</v>
      </c>
      <c r="O2879" t="s">
        <v>76</v>
      </c>
      <c r="P2879" s="38">
        <v>0.1833030853</v>
      </c>
      <c r="Q2879" s="38">
        <v>0.10970000000000001</v>
      </c>
      <c r="R2879" s="38">
        <v>0.87400000000000011</v>
      </c>
    </row>
    <row r="2880" spans="1:18" hidden="1">
      <c r="A2880" t="s">
        <v>76</v>
      </c>
      <c r="B2880" t="s">
        <v>44</v>
      </c>
      <c r="C2880">
        <v>6.57</v>
      </c>
      <c r="D2880">
        <v>5.21</v>
      </c>
      <c r="E2880" s="29">
        <v>1.2610364680000001</v>
      </c>
      <c r="F2880">
        <v>7.19</v>
      </c>
      <c r="G2880">
        <v>0.83</v>
      </c>
      <c r="H2880">
        <v>8.02</v>
      </c>
      <c r="I2880" s="29">
        <v>0.89650000000000007</v>
      </c>
      <c r="J2880" s="29">
        <v>0.81920000000000004</v>
      </c>
      <c r="K2880" s="9">
        <v>45364</v>
      </c>
      <c r="L2880">
        <f xml:space="preserve"> (交易處理資料__3[[#This Row],[售出工時]] * 60) / 5</f>
        <v>78.84</v>
      </c>
      <c r="M2880" t="str">
        <f>VLOOKUP(交易處理資料__3[[#This Row],[人員代號]],團隊分組!$B$1:$C$52,2,FALSE)</f>
        <v>快速保養團隊B</v>
      </c>
      <c r="N2880" t="str">
        <f>IF(交易處理資料__3[[#This Row],[上班時間]]=0,"否","是")</f>
        <v>是</v>
      </c>
      <c r="O2880" t="s">
        <v>76</v>
      </c>
      <c r="P2880" s="37">
        <v>1.2610364680000001</v>
      </c>
      <c r="Q2880" s="37">
        <v>0.81920000000000004</v>
      </c>
      <c r="R2880" s="37">
        <v>0.89650000000000007</v>
      </c>
    </row>
    <row r="2881" spans="1:18" hidden="1">
      <c r="A2881" t="s">
        <v>76</v>
      </c>
      <c r="B2881" t="s">
        <v>45</v>
      </c>
      <c r="C2881">
        <v>9.5833333330000006</v>
      </c>
      <c r="D2881">
        <v>5.37</v>
      </c>
      <c r="E2881" s="29">
        <v>1.784605835</v>
      </c>
      <c r="F2881">
        <v>6.97</v>
      </c>
      <c r="G2881">
        <v>1.31</v>
      </c>
      <c r="H2881">
        <v>8.2799999999999994</v>
      </c>
      <c r="I2881" s="29">
        <v>0.8418000000000001</v>
      </c>
      <c r="J2881" s="29">
        <v>1.1574</v>
      </c>
      <c r="K2881" s="9">
        <v>45364</v>
      </c>
      <c r="L2881">
        <f xml:space="preserve"> (交易處理資料__3[[#This Row],[售出工時]] * 60) / 5</f>
        <v>114.999999996</v>
      </c>
      <c r="M2881" t="str">
        <f>VLOOKUP(交易處理資料__3[[#This Row],[人員代號]],團隊分組!$B$1:$C$52,2,FALSE)</f>
        <v>快速保養團隊A</v>
      </c>
      <c r="N2881" t="str">
        <f>IF(交易處理資料__3[[#This Row],[上班時間]]=0,"否","是")</f>
        <v>是</v>
      </c>
      <c r="O2881" t="s">
        <v>76</v>
      </c>
      <c r="P2881" s="38">
        <v>1.784605835</v>
      </c>
      <c r="Q2881" s="38">
        <v>1.1574</v>
      </c>
      <c r="R2881" s="38">
        <v>0.8418000000000001</v>
      </c>
    </row>
    <row r="2882" spans="1:18" hidden="1">
      <c r="A2882" t="s">
        <v>76</v>
      </c>
      <c r="B2882" t="s">
        <v>47</v>
      </c>
      <c r="C2882">
        <v>3.6666666669999999</v>
      </c>
      <c r="D2882">
        <v>2.5099999999999998</v>
      </c>
      <c r="E2882" s="29">
        <v>1.460823373</v>
      </c>
      <c r="F2882">
        <v>6.8</v>
      </c>
      <c r="G2882">
        <v>1.31</v>
      </c>
      <c r="H2882">
        <v>8.11</v>
      </c>
      <c r="I2882" s="29">
        <v>0.83849999999999991</v>
      </c>
      <c r="J2882" s="29">
        <v>0.4521</v>
      </c>
      <c r="K2882" s="9">
        <v>45364</v>
      </c>
      <c r="L2882">
        <f xml:space="preserve"> (交易處理資料__3[[#This Row],[售出工時]] * 60) / 5</f>
        <v>44.000000004</v>
      </c>
      <c r="M2882" t="str">
        <f>VLOOKUP(交易處理資料__3[[#This Row],[人員代號]],團隊分組!$B$1:$C$52,2,FALSE)</f>
        <v>查修團隊B</v>
      </c>
      <c r="N2882" t="str">
        <f>IF(交易處理資料__3[[#This Row],[上班時間]]=0,"否","是")</f>
        <v>是</v>
      </c>
      <c r="O2882" t="s">
        <v>76</v>
      </c>
      <c r="P2882" s="37">
        <v>1.460823373</v>
      </c>
      <c r="Q2882" s="37">
        <v>0.4521</v>
      </c>
      <c r="R2882" s="37">
        <v>0.83849999999999991</v>
      </c>
    </row>
    <row r="2883" spans="1:18" hidden="1">
      <c r="A2883" t="s">
        <v>76</v>
      </c>
      <c r="B2883" t="s">
        <v>48</v>
      </c>
      <c r="C2883">
        <v>1.4166666670000001</v>
      </c>
      <c r="D2883">
        <v>3.68</v>
      </c>
      <c r="E2883" s="29">
        <v>0.38496376809999999</v>
      </c>
      <c r="F2883">
        <v>3.15</v>
      </c>
      <c r="G2883">
        <v>5.78</v>
      </c>
      <c r="H2883">
        <v>8.93</v>
      </c>
      <c r="I2883" s="29">
        <v>0.35270000000000001</v>
      </c>
      <c r="J2883" s="29">
        <v>0.15859999999999999</v>
      </c>
      <c r="K2883" s="9">
        <v>45364</v>
      </c>
      <c r="L2883">
        <f xml:space="preserve"> (交易處理資料__3[[#This Row],[售出工時]] * 60) / 5</f>
        <v>17.000000004</v>
      </c>
      <c r="M2883" t="str">
        <f>VLOOKUP(交易處理資料__3[[#This Row],[人員代號]],團隊分組!$B$1:$C$52,2,FALSE)</f>
        <v>查修團隊A</v>
      </c>
      <c r="N2883" t="str">
        <f>IF(交易處理資料__3[[#This Row],[上班時間]]=0,"否","是")</f>
        <v>是</v>
      </c>
      <c r="O2883" t="s">
        <v>76</v>
      </c>
      <c r="P2883" s="38">
        <v>0.38496376809999999</v>
      </c>
      <c r="Q2883" s="38">
        <v>0.15859999999999999</v>
      </c>
      <c r="R2883" s="38">
        <v>0.35270000000000001</v>
      </c>
    </row>
    <row r="2884" spans="1:18" hidden="1">
      <c r="A2884" t="s">
        <v>76</v>
      </c>
      <c r="B2884" t="s">
        <v>50</v>
      </c>
      <c r="C2884">
        <v>8.58</v>
      </c>
      <c r="D2884">
        <v>6.1</v>
      </c>
      <c r="E2884" s="29">
        <v>1.4065573769999999</v>
      </c>
      <c r="F2884">
        <v>7.21</v>
      </c>
      <c r="G2884">
        <v>0.81</v>
      </c>
      <c r="H2884">
        <v>8.02</v>
      </c>
      <c r="I2884" s="29">
        <v>0.89900000000000002</v>
      </c>
      <c r="J2884" s="29">
        <v>1.0698000000000001</v>
      </c>
      <c r="K2884" s="9">
        <v>45364</v>
      </c>
      <c r="L2884">
        <f xml:space="preserve"> (交易處理資料__3[[#This Row],[售出工時]] * 60) / 5</f>
        <v>102.96</v>
      </c>
      <c r="M2884" t="str">
        <f>VLOOKUP(交易處理資料__3[[#This Row],[人員代號]],團隊分組!$B$1:$C$52,2,FALSE)</f>
        <v>快速保養團隊B</v>
      </c>
      <c r="N2884" t="str">
        <f>IF(交易處理資料__3[[#This Row],[上班時間]]=0,"否","是")</f>
        <v>是</v>
      </c>
      <c r="O2884" t="s">
        <v>76</v>
      </c>
      <c r="P2884" s="37">
        <v>1.4065573769999999</v>
      </c>
      <c r="Q2884" s="37">
        <v>1.0698000000000001</v>
      </c>
      <c r="R2884" s="37">
        <v>0.89900000000000002</v>
      </c>
    </row>
    <row r="2885" spans="1:18" hidden="1">
      <c r="A2885" t="s">
        <v>76</v>
      </c>
      <c r="B2885" t="s">
        <v>51</v>
      </c>
      <c r="C2885">
        <v>0</v>
      </c>
      <c r="D2885">
        <v>0</v>
      </c>
      <c r="E2885" s="29">
        <v>0</v>
      </c>
      <c r="F2885">
        <v>0</v>
      </c>
      <c r="G2885">
        <v>0</v>
      </c>
      <c r="H2885">
        <v>0</v>
      </c>
      <c r="I2885" s="29">
        <v>0</v>
      </c>
      <c r="J2885" s="29">
        <v>0</v>
      </c>
      <c r="K2885" s="9">
        <v>45364</v>
      </c>
      <c r="L2885">
        <f xml:space="preserve"> (交易處理資料__3[[#This Row],[售出工時]] * 60) / 5</f>
        <v>0</v>
      </c>
      <c r="M2885" t="str">
        <f>VLOOKUP(交易處理資料__3[[#This Row],[人員代號]],團隊分組!$B$1:$C$52,2,FALSE)</f>
        <v>無效數據</v>
      </c>
      <c r="N2885" t="str">
        <f>IF(交易處理資料__3[[#This Row],[上班時間]]=0,"否","是")</f>
        <v>否</v>
      </c>
      <c r="O2885" t="s">
        <v>76</v>
      </c>
      <c r="P2885" s="38">
        <v>0</v>
      </c>
      <c r="Q2885" s="38">
        <v>0</v>
      </c>
      <c r="R2885" s="38">
        <v>0</v>
      </c>
    </row>
    <row r="2886" spans="1:18" hidden="1">
      <c r="A2886" t="s">
        <v>76</v>
      </c>
      <c r="B2886" t="s">
        <v>52</v>
      </c>
      <c r="C2886">
        <v>10.16666667</v>
      </c>
      <c r="D2886">
        <v>7.23</v>
      </c>
      <c r="E2886" s="29">
        <v>1.4061779619999999</v>
      </c>
      <c r="F2886">
        <v>7.7</v>
      </c>
      <c r="G2886">
        <v>0.42</v>
      </c>
      <c r="H2886">
        <v>8.1199999999999992</v>
      </c>
      <c r="I2886" s="29">
        <v>0.94830000000000003</v>
      </c>
      <c r="J2886" s="29">
        <v>1.2521</v>
      </c>
      <c r="K2886" s="9">
        <v>45364</v>
      </c>
      <c r="L2886">
        <f xml:space="preserve"> (交易處理資料__3[[#This Row],[售出工時]] * 60) / 5</f>
        <v>122.00000003999999</v>
      </c>
      <c r="M2886" t="str">
        <f>VLOOKUP(交易處理資料__3[[#This Row],[人員代號]],團隊分組!$B$1:$C$52,2,FALSE)</f>
        <v>查修團隊B</v>
      </c>
      <c r="N2886" t="str">
        <f>IF(交易處理資料__3[[#This Row],[上班時間]]=0,"否","是")</f>
        <v>是</v>
      </c>
      <c r="O2886" t="s">
        <v>76</v>
      </c>
      <c r="P2886" s="37">
        <v>1.4061779619999999</v>
      </c>
      <c r="Q2886" s="37">
        <v>1.2521</v>
      </c>
      <c r="R2886" s="37">
        <v>0.94830000000000003</v>
      </c>
    </row>
    <row r="2887" spans="1:18" hidden="1">
      <c r="A2887" s="10" t="s">
        <v>74</v>
      </c>
      <c r="B2887" t="s">
        <v>1</v>
      </c>
      <c r="C2887">
        <v>0</v>
      </c>
      <c r="D2887">
        <v>0</v>
      </c>
      <c r="E2887" s="29">
        <v>0</v>
      </c>
      <c r="F2887">
        <v>7.33</v>
      </c>
      <c r="G2887">
        <v>0.68</v>
      </c>
      <c r="H2887">
        <v>8.01</v>
      </c>
      <c r="I2887" s="29">
        <v>0.91510000000000002</v>
      </c>
      <c r="J2887" s="29">
        <v>0</v>
      </c>
      <c r="K2887" s="9">
        <v>45365</v>
      </c>
      <c r="L2887">
        <f xml:space="preserve"> (交易處理資料__3[[#This Row],[售出工時]] * 60) / 5</f>
        <v>0</v>
      </c>
      <c r="M2887" t="str">
        <f>VLOOKUP(交易處理資料__3[[#This Row],[人員代號]],團隊分組!$B$1:$C$52,2,FALSE)</f>
        <v>噴漆維修組</v>
      </c>
      <c r="N2887" t="str">
        <f>IF(交易處理資料__3[[#This Row],[上班時間]]=0,"否","是")</f>
        <v>是</v>
      </c>
      <c r="O2887" s="10" t="s">
        <v>74</v>
      </c>
      <c r="P2887" s="38">
        <v>0</v>
      </c>
      <c r="Q2887" s="38">
        <v>0</v>
      </c>
      <c r="R2887" s="38">
        <v>0.91510000000000002</v>
      </c>
    </row>
    <row r="2888" spans="1:18" hidden="1">
      <c r="A2888" s="10" t="s">
        <v>74</v>
      </c>
      <c r="B2888" t="s">
        <v>2</v>
      </c>
      <c r="C2888">
        <v>0</v>
      </c>
      <c r="D2888">
        <v>0</v>
      </c>
      <c r="E2888" s="29">
        <v>0</v>
      </c>
      <c r="F2888">
        <v>9.4499999999999993</v>
      </c>
      <c r="G2888">
        <v>0.09</v>
      </c>
      <c r="H2888">
        <v>9.5399999999999991</v>
      </c>
      <c r="I2888" s="29">
        <v>0.99060000000000004</v>
      </c>
      <c r="J2888" s="29">
        <v>0</v>
      </c>
      <c r="K2888" s="9">
        <v>45365</v>
      </c>
      <c r="L2888">
        <f xml:space="preserve"> (交易處理資料__3[[#This Row],[售出工時]] * 60) / 5</f>
        <v>0</v>
      </c>
      <c r="M2888" t="str">
        <f>VLOOKUP(交易處理資料__3[[#This Row],[人員代號]],團隊分組!$B$1:$C$52,2,FALSE)</f>
        <v>噴漆維修組</v>
      </c>
      <c r="N2888" t="str">
        <f>IF(交易處理資料__3[[#This Row],[上班時間]]=0,"否","是")</f>
        <v>是</v>
      </c>
      <c r="O2888" s="10" t="s">
        <v>74</v>
      </c>
      <c r="P2888" s="37">
        <v>0</v>
      </c>
      <c r="Q2888" s="37">
        <v>0</v>
      </c>
      <c r="R2888" s="37">
        <v>0.99060000000000004</v>
      </c>
    </row>
    <row r="2889" spans="1:18" hidden="1">
      <c r="A2889" s="10" t="s">
        <v>74</v>
      </c>
      <c r="B2889" t="s">
        <v>3</v>
      </c>
      <c r="C2889">
        <v>0</v>
      </c>
      <c r="D2889">
        <v>0</v>
      </c>
      <c r="E2889" s="29">
        <v>0</v>
      </c>
      <c r="F2889">
        <v>9.4499999999999993</v>
      </c>
      <c r="G2889">
        <v>0.08</v>
      </c>
      <c r="H2889">
        <v>9.5299999999999994</v>
      </c>
      <c r="I2889" s="29">
        <v>0.99159999999999993</v>
      </c>
      <c r="J2889" s="29">
        <v>0</v>
      </c>
      <c r="K2889" s="9">
        <v>45365</v>
      </c>
      <c r="L2889">
        <f xml:space="preserve"> (交易處理資料__3[[#This Row],[售出工時]] * 60) / 5</f>
        <v>0</v>
      </c>
      <c r="M2889" t="str">
        <f>VLOOKUP(交易處理資料__3[[#This Row],[人員代號]],團隊分組!$B$1:$C$52,2,FALSE)</f>
        <v>噴漆維修組</v>
      </c>
      <c r="N2889" t="str">
        <f>IF(交易處理資料__3[[#This Row],[上班時間]]=0,"否","是")</f>
        <v>是</v>
      </c>
      <c r="O2889" s="10" t="s">
        <v>74</v>
      </c>
      <c r="P2889" s="38">
        <v>0</v>
      </c>
      <c r="Q2889" s="38">
        <v>0</v>
      </c>
      <c r="R2889" s="38">
        <v>0.99159999999999993</v>
      </c>
    </row>
    <row r="2890" spans="1:18" hidden="1">
      <c r="A2890" s="10" t="s">
        <v>74</v>
      </c>
      <c r="B2890" t="s">
        <v>6</v>
      </c>
      <c r="C2890">
        <v>0</v>
      </c>
      <c r="D2890">
        <v>0</v>
      </c>
      <c r="E2890" s="29">
        <v>0</v>
      </c>
      <c r="F2890">
        <v>9.4499999999999993</v>
      </c>
      <c r="G2890">
        <v>0.08</v>
      </c>
      <c r="H2890">
        <v>9.5299999999999994</v>
      </c>
      <c r="I2890" s="29">
        <v>0.99159999999999993</v>
      </c>
      <c r="J2890" s="29">
        <v>0</v>
      </c>
      <c r="K2890" s="9">
        <v>45365</v>
      </c>
      <c r="L2890">
        <f xml:space="preserve"> (交易處理資料__3[[#This Row],[售出工時]] * 60) / 5</f>
        <v>0</v>
      </c>
      <c r="M2890" t="str">
        <f>VLOOKUP(交易處理資料__3[[#This Row],[人員代號]],團隊分組!$B$1:$C$52,2,FALSE)</f>
        <v>噴漆維修組</v>
      </c>
      <c r="N2890" t="str">
        <f>IF(交易處理資料__3[[#This Row],[上班時間]]=0,"否","是")</f>
        <v>是</v>
      </c>
      <c r="O2890" s="10" t="s">
        <v>74</v>
      </c>
      <c r="P2890" s="37">
        <v>0</v>
      </c>
      <c r="Q2890" s="37">
        <v>0</v>
      </c>
      <c r="R2890" s="37">
        <v>0.99159999999999993</v>
      </c>
    </row>
    <row r="2891" spans="1:18" hidden="1">
      <c r="A2891" s="10" t="s">
        <v>74</v>
      </c>
      <c r="B2891" t="s">
        <v>9</v>
      </c>
      <c r="C2891">
        <v>2.2200000000000002</v>
      </c>
      <c r="D2891">
        <v>4.54</v>
      </c>
      <c r="E2891" s="29">
        <v>0.48898678410000002</v>
      </c>
      <c r="F2891">
        <v>7.5</v>
      </c>
      <c r="G2891">
        <v>0.6</v>
      </c>
      <c r="H2891">
        <v>8.1</v>
      </c>
      <c r="I2891" s="29">
        <v>0.92590000000000006</v>
      </c>
      <c r="J2891" s="29">
        <v>0.27410000000000001</v>
      </c>
      <c r="K2891" s="9">
        <v>45365</v>
      </c>
      <c r="L2891">
        <f xml:space="preserve"> (交易處理資料__3[[#This Row],[售出工時]] * 60) / 5</f>
        <v>26.640000000000004</v>
      </c>
      <c r="M2891" t="str">
        <f>VLOOKUP(交易處理資料__3[[#This Row],[人員代號]],團隊分組!$B$1:$C$52,2,FALSE)</f>
        <v>噴漆維修組</v>
      </c>
      <c r="N2891" t="str">
        <f>IF(交易處理資料__3[[#This Row],[上班時間]]=0,"否","是")</f>
        <v>是</v>
      </c>
      <c r="O2891" s="10" t="s">
        <v>74</v>
      </c>
      <c r="P2891" s="38">
        <v>0.48898678410000002</v>
      </c>
      <c r="Q2891" s="38">
        <v>0.27410000000000001</v>
      </c>
      <c r="R2891" s="38">
        <v>0.92590000000000006</v>
      </c>
    </row>
    <row r="2892" spans="1:18" hidden="1">
      <c r="A2892" t="s">
        <v>75</v>
      </c>
      <c r="B2892" t="s">
        <v>11</v>
      </c>
      <c r="C2892">
        <v>1</v>
      </c>
      <c r="D2892">
        <v>0.57999999999999996</v>
      </c>
      <c r="E2892" s="29">
        <v>1.724137931</v>
      </c>
      <c r="F2892">
        <v>0.7</v>
      </c>
      <c r="G2892">
        <v>7.4</v>
      </c>
      <c r="H2892">
        <v>8.1</v>
      </c>
      <c r="I2892" s="29">
        <v>8.6400000000000005E-2</v>
      </c>
      <c r="J2892" s="29">
        <v>0.1235</v>
      </c>
      <c r="K2892" s="9">
        <v>45365</v>
      </c>
      <c r="L2892">
        <f xml:space="preserve"> (交易處理資料__3[[#This Row],[售出工時]] * 60) / 5</f>
        <v>12</v>
      </c>
      <c r="M2892" t="str">
        <f>VLOOKUP(交易處理資料__3[[#This Row],[人員代號]],團隊分組!$B$1:$C$52,2,FALSE)</f>
        <v>鈑金維修組</v>
      </c>
      <c r="N2892" t="str">
        <f>IF(交易處理資料__3[[#This Row],[上班時間]]=0,"否","是")</f>
        <v>是</v>
      </c>
      <c r="O2892" t="s">
        <v>75</v>
      </c>
      <c r="P2892" s="37">
        <v>1.724137931</v>
      </c>
      <c r="Q2892" s="37">
        <v>0.1235</v>
      </c>
      <c r="R2892" s="37">
        <v>8.6400000000000005E-2</v>
      </c>
    </row>
    <row r="2893" spans="1:18" hidden="1">
      <c r="A2893" t="s">
        <v>75</v>
      </c>
      <c r="B2893" t="s">
        <v>12</v>
      </c>
      <c r="C2893">
        <v>10.25</v>
      </c>
      <c r="D2893">
        <v>8.33</v>
      </c>
      <c r="E2893" s="29">
        <v>1.230492197</v>
      </c>
      <c r="F2893">
        <v>10.86</v>
      </c>
      <c r="G2893">
        <v>0.26</v>
      </c>
      <c r="H2893">
        <v>11.12</v>
      </c>
      <c r="I2893" s="29">
        <v>0.97659999999999991</v>
      </c>
      <c r="J2893" s="29">
        <v>0.92180000000000006</v>
      </c>
      <c r="K2893" s="9">
        <v>45365</v>
      </c>
      <c r="L2893">
        <f xml:space="preserve"> (交易處理資料__3[[#This Row],[售出工時]] * 60) / 5</f>
        <v>123</v>
      </c>
      <c r="M2893" t="str">
        <f>VLOOKUP(交易處理資料__3[[#This Row],[人員代號]],團隊分組!$B$1:$C$52,2,FALSE)</f>
        <v>鈑金維修組</v>
      </c>
      <c r="N2893" t="str">
        <f>IF(交易處理資料__3[[#This Row],[上班時間]]=0,"否","是")</f>
        <v>是</v>
      </c>
      <c r="O2893" t="s">
        <v>75</v>
      </c>
      <c r="P2893" s="38">
        <v>1.230492197</v>
      </c>
      <c r="Q2893" s="38">
        <v>0.92180000000000006</v>
      </c>
      <c r="R2893" s="38">
        <v>0.97659999999999991</v>
      </c>
    </row>
    <row r="2894" spans="1:18" hidden="1">
      <c r="A2894" t="s">
        <v>75</v>
      </c>
      <c r="B2894" t="s">
        <v>14</v>
      </c>
      <c r="C2894">
        <v>5.97</v>
      </c>
      <c r="D2894">
        <v>7.09</v>
      </c>
      <c r="E2894" s="29">
        <v>0.84203102959999998</v>
      </c>
      <c r="F2894">
        <v>5</v>
      </c>
      <c r="G2894">
        <v>3.09</v>
      </c>
      <c r="H2894">
        <v>8.09</v>
      </c>
      <c r="I2894" s="29">
        <v>0.61799999999999999</v>
      </c>
      <c r="J2894" s="29">
        <v>0.73790000000000011</v>
      </c>
      <c r="K2894" s="9">
        <v>45365</v>
      </c>
      <c r="L2894">
        <f xml:space="preserve"> (交易處理資料__3[[#This Row],[售出工時]] * 60) / 5</f>
        <v>71.64</v>
      </c>
      <c r="M2894" t="str">
        <f>VLOOKUP(交易處理資料__3[[#This Row],[人員代號]],團隊分組!$B$1:$C$52,2,FALSE)</f>
        <v>鈑金維修組</v>
      </c>
      <c r="N2894" t="str">
        <f>IF(交易處理資料__3[[#This Row],[上班時間]]=0,"否","是")</f>
        <v>是</v>
      </c>
      <c r="O2894" t="s">
        <v>75</v>
      </c>
      <c r="P2894" s="37">
        <v>0.84203102959999998</v>
      </c>
      <c r="Q2894" s="37">
        <v>0.73790000000000011</v>
      </c>
      <c r="R2894" s="37">
        <v>0.61799999999999999</v>
      </c>
    </row>
    <row r="2895" spans="1:18" hidden="1">
      <c r="A2895" t="s">
        <v>76</v>
      </c>
      <c r="B2895" t="s">
        <v>17</v>
      </c>
      <c r="C2895">
        <v>15.456666670000001</v>
      </c>
      <c r="D2895">
        <v>6.11</v>
      </c>
      <c r="E2895" s="29">
        <v>2.5297326789999999</v>
      </c>
      <c r="F2895">
        <v>7.37</v>
      </c>
      <c r="G2895">
        <v>0.79</v>
      </c>
      <c r="H2895">
        <v>8.16</v>
      </c>
      <c r="I2895" s="29">
        <v>0.90319999999999989</v>
      </c>
      <c r="J2895" s="29">
        <v>1.8941999999999999</v>
      </c>
      <c r="K2895" s="9">
        <v>45365</v>
      </c>
      <c r="L2895">
        <f xml:space="preserve"> (交易處理資料__3[[#This Row],[售出工時]] * 60) / 5</f>
        <v>185.48000003999999</v>
      </c>
      <c r="M2895" t="str">
        <f>VLOOKUP(交易處理資料__3[[#This Row],[人員代號]],團隊分組!$B$1:$C$52,2,FALSE)</f>
        <v>快速保養團隊A</v>
      </c>
      <c r="N2895" t="str">
        <f>IF(交易處理資料__3[[#This Row],[上班時間]]=0,"否","是")</f>
        <v>是</v>
      </c>
      <c r="O2895" t="s">
        <v>76</v>
      </c>
      <c r="P2895" s="38">
        <v>2.5297326789999999</v>
      </c>
      <c r="Q2895" s="38">
        <v>1.8941999999999999</v>
      </c>
      <c r="R2895" s="38">
        <v>0.90319999999999989</v>
      </c>
    </row>
    <row r="2896" spans="1:18" hidden="1">
      <c r="A2896" t="s">
        <v>76</v>
      </c>
      <c r="B2896" t="s">
        <v>18</v>
      </c>
      <c r="C2896">
        <v>2.5</v>
      </c>
      <c r="D2896">
        <v>6.73</v>
      </c>
      <c r="E2896" s="29">
        <v>0.37147102529999998</v>
      </c>
      <c r="F2896">
        <v>9.25</v>
      </c>
      <c r="G2896">
        <v>0.22</v>
      </c>
      <c r="H2896">
        <v>9.4700000000000006</v>
      </c>
      <c r="I2896" s="29">
        <v>0.97680000000000011</v>
      </c>
      <c r="J2896" s="29">
        <v>0.26400000000000001</v>
      </c>
      <c r="K2896" s="9">
        <v>45365</v>
      </c>
      <c r="L2896">
        <f xml:space="preserve"> (交易處理資料__3[[#This Row],[售出工時]] * 60) / 5</f>
        <v>30</v>
      </c>
      <c r="M2896" t="str">
        <f>VLOOKUP(交易處理資料__3[[#This Row],[人員代號]],團隊分組!$B$1:$C$52,2,FALSE)</f>
        <v>查修團隊B</v>
      </c>
      <c r="N2896" t="str">
        <f>IF(交易處理資料__3[[#This Row],[上班時間]]=0,"否","是")</f>
        <v>是</v>
      </c>
      <c r="O2896" t="s">
        <v>76</v>
      </c>
      <c r="P2896" s="37">
        <v>0.37147102529999998</v>
      </c>
      <c r="Q2896" s="37">
        <v>0.26400000000000001</v>
      </c>
      <c r="R2896" s="37">
        <v>0.97680000000000011</v>
      </c>
    </row>
    <row r="2897" spans="1:18" hidden="1">
      <c r="A2897" t="s">
        <v>76</v>
      </c>
      <c r="B2897" t="s">
        <v>20</v>
      </c>
      <c r="C2897">
        <v>0.83333333300000001</v>
      </c>
      <c r="D2897">
        <v>0.73</v>
      </c>
      <c r="E2897" s="29">
        <v>1.141552511</v>
      </c>
      <c r="F2897">
        <v>0</v>
      </c>
      <c r="G2897">
        <v>5.48</v>
      </c>
      <c r="H2897">
        <v>5.48</v>
      </c>
      <c r="I2897" s="29">
        <v>0</v>
      </c>
      <c r="J2897" s="29">
        <v>0.15210000000000001</v>
      </c>
      <c r="K2897" s="9">
        <v>45365</v>
      </c>
      <c r="L2897">
        <f xml:space="preserve"> (交易處理資料__3[[#This Row],[售出工時]] * 60) / 5</f>
        <v>9.9999999959999997</v>
      </c>
      <c r="M2897" t="str">
        <f>VLOOKUP(交易處理資料__3[[#This Row],[人員代號]],團隊分組!$B$1:$C$52,2,FALSE)</f>
        <v>查修團隊B</v>
      </c>
      <c r="N2897" t="str">
        <f>IF(交易處理資料__3[[#This Row],[上班時間]]=0,"否","是")</f>
        <v>是</v>
      </c>
      <c r="O2897" t="s">
        <v>76</v>
      </c>
      <c r="P2897" s="38">
        <v>1.141552511</v>
      </c>
      <c r="Q2897" s="38">
        <v>0.15210000000000001</v>
      </c>
      <c r="R2897" s="38">
        <v>0</v>
      </c>
    </row>
    <row r="2898" spans="1:18" hidden="1">
      <c r="A2898" t="s">
        <v>76</v>
      </c>
      <c r="B2898" t="s">
        <v>21</v>
      </c>
      <c r="C2898">
        <v>6.75</v>
      </c>
      <c r="D2898">
        <v>8.65</v>
      </c>
      <c r="E2898" s="29">
        <v>0.78034682079999995</v>
      </c>
      <c r="F2898">
        <v>5.84</v>
      </c>
      <c r="G2898">
        <v>3.38</v>
      </c>
      <c r="H2898">
        <v>9.2200000000000006</v>
      </c>
      <c r="I2898" s="29">
        <v>0.63340000000000007</v>
      </c>
      <c r="J2898" s="29">
        <v>0.73209999999999997</v>
      </c>
      <c r="K2898" s="9">
        <v>45365</v>
      </c>
      <c r="L2898">
        <f xml:space="preserve"> (交易處理資料__3[[#This Row],[售出工時]] * 60) / 5</f>
        <v>81</v>
      </c>
      <c r="M2898" t="str">
        <f>VLOOKUP(交易處理資料__3[[#This Row],[人員代號]],團隊分組!$B$1:$C$52,2,FALSE)</f>
        <v>查修團隊B</v>
      </c>
      <c r="N2898" t="str">
        <f>IF(交易處理資料__3[[#This Row],[上班時間]]=0,"否","是")</f>
        <v>是</v>
      </c>
      <c r="O2898" t="s">
        <v>76</v>
      </c>
      <c r="P2898" s="37">
        <v>0.78034682079999995</v>
      </c>
      <c r="Q2898" s="37">
        <v>0.73209999999999997</v>
      </c>
      <c r="R2898" s="37">
        <v>0.63340000000000007</v>
      </c>
    </row>
    <row r="2899" spans="1:18" hidden="1">
      <c r="A2899" t="s">
        <v>76</v>
      </c>
      <c r="B2899" t="s">
        <v>22</v>
      </c>
      <c r="C2899">
        <v>6</v>
      </c>
      <c r="D2899">
        <v>3.98</v>
      </c>
      <c r="E2899" s="29">
        <v>1.507537688</v>
      </c>
      <c r="F2899">
        <v>8.58</v>
      </c>
      <c r="G2899">
        <v>0.44</v>
      </c>
      <c r="H2899">
        <v>9.02</v>
      </c>
      <c r="I2899" s="29">
        <v>0.95120000000000005</v>
      </c>
      <c r="J2899" s="29">
        <v>0.66520000000000001</v>
      </c>
      <c r="K2899" s="9">
        <v>45365</v>
      </c>
      <c r="L2899">
        <f xml:space="preserve"> (交易處理資料__3[[#This Row],[售出工時]] * 60) / 5</f>
        <v>72</v>
      </c>
      <c r="M2899" t="str">
        <f>VLOOKUP(交易處理資料__3[[#This Row],[人員代號]],團隊分組!$B$1:$C$52,2,FALSE)</f>
        <v>快速保養團隊A</v>
      </c>
      <c r="N2899" t="str">
        <f>IF(交易處理資料__3[[#This Row],[上班時間]]=0,"否","是")</f>
        <v>是</v>
      </c>
      <c r="O2899" t="s">
        <v>76</v>
      </c>
      <c r="P2899" s="38">
        <v>1.507537688</v>
      </c>
      <c r="Q2899" s="38">
        <v>0.66520000000000001</v>
      </c>
      <c r="R2899" s="38">
        <v>0.95120000000000005</v>
      </c>
    </row>
    <row r="2900" spans="1:18" hidden="1">
      <c r="A2900" t="s">
        <v>76</v>
      </c>
      <c r="B2900" t="s">
        <v>23</v>
      </c>
      <c r="C2900">
        <v>12.6</v>
      </c>
      <c r="D2900">
        <v>6.11</v>
      </c>
      <c r="E2900" s="29">
        <v>2.0621931259999999</v>
      </c>
      <c r="F2900">
        <v>7.65</v>
      </c>
      <c r="G2900">
        <v>0.99</v>
      </c>
      <c r="H2900">
        <v>8.64</v>
      </c>
      <c r="I2900" s="29">
        <v>0.88540000000000008</v>
      </c>
      <c r="J2900" s="29">
        <v>1.4583000000000002</v>
      </c>
      <c r="K2900" s="9">
        <v>45365</v>
      </c>
      <c r="L2900">
        <f xml:space="preserve"> (交易處理資料__3[[#This Row],[售出工時]] * 60) / 5</f>
        <v>151.19999999999999</v>
      </c>
      <c r="M2900" t="str">
        <f>VLOOKUP(交易處理資料__3[[#This Row],[人員代號]],團隊分組!$B$1:$C$52,2,FALSE)</f>
        <v>快速保養團隊B</v>
      </c>
      <c r="N2900" t="str">
        <f>IF(交易處理資料__3[[#This Row],[上班時間]]=0,"否","是")</f>
        <v>是</v>
      </c>
      <c r="O2900" t="s">
        <v>76</v>
      </c>
      <c r="P2900" s="37">
        <v>2.0621931259999999</v>
      </c>
      <c r="Q2900" s="37">
        <v>1.4583000000000002</v>
      </c>
      <c r="R2900" s="37">
        <v>0.88540000000000008</v>
      </c>
    </row>
    <row r="2901" spans="1:18" hidden="1">
      <c r="A2901" t="s">
        <v>76</v>
      </c>
      <c r="B2901" t="s">
        <v>24</v>
      </c>
      <c r="C2901">
        <v>4.6333333330000004</v>
      </c>
      <c r="D2901">
        <v>4.75</v>
      </c>
      <c r="E2901" s="29">
        <v>0.97543859649999998</v>
      </c>
      <c r="F2901">
        <v>9.35</v>
      </c>
      <c r="G2901">
        <v>0.88</v>
      </c>
      <c r="H2901">
        <v>10.23</v>
      </c>
      <c r="I2901" s="29">
        <v>0.91400000000000003</v>
      </c>
      <c r="J2901" s="29">
        <v>0.45289999999999997</v>
      </c>
      <c r="K2901" s="9">
        <v>45365</v>
      </c>
      <c r="L2901">
        <f xml:space="preserve"> (交易處理資料__3[[#This Row],[售出工時]] * 60) / 5</f>
        <v>55.599999996000008</v>
      </c>
      <c r="M2901" t="str">
        <f>VLOOKUP(交易處理資料__3[[#This Row],[人員代號]],團隊分組!$B$1:$C$52,2,FALSE)</f>
        <v>快速保養團隊A</v>
      </c>
      <c r="N2901" t="str">
        <f>IF(交易處理資料__3[[#This Row],[上班時間]]=0,"否","是")</f>
        <v>是</v>
      </c>
      <c r="O2901" t="s">
        <v>76</v>
      </c>
      <c r="P2901" s="38">
        <v>0.97543859649999998</v>
      </c>
      <c r="Q2901" s="38">
        <v>0.45289999999999997</v>
      </c>
      <c r="R2901" s="38">
        <v>0.91400000000000003</v>
      </c>
    </row>
    <row r="2902" spans="1:18" hidden="1">
      <c r="A2902" t="s">
        <v>76</v>
      </c>
      <c r="B2902" t="s">
        <v>25</v>
      </c>
      <c r="C2902">
        <v>2.6666666669999999</v>
      </c>
      <c r="D2902">
        <v>3.87</v>
      </c>
      <c r="E2902" s="29">
        <v>0.68906115420000003</v>
      </c>
      <c r="F2902">
        <v>7.85</v>
      </c>
      <c r="G2902">
        <v>2.0099999999999998</v>
      </c>
      <c r="H2902">
        <v>9.86</v>
      </c>
      <c r="I2902" s="29">
        <v>0.79610000000000003</v>
      </c>
      <c r="J2902" s="29">
        <v>0.27050000000000002</v>
      </c>
      <c r="K2902" s="9">
        <v>45365</v>
      </c>
      <c r="L2902">
        <f xml:space="preserve"> (交易處理資料__3[[#This Row],[售出工時]] * 60) / 5</f>
        <v>32.000000004</v>
      </c>
      <c r="M2902" t="str">
        <f>VLOOKUP(交易處理資料__3[[#This Row],[人員代號]],團隊分組!$B$1:$C$52,2,FALSE)</f>
        <v>查修團隊A</v>
      </c>
      <c r="N2902" t="str">
        <f>IF(交易處理資料__3[[#This Row],[上班時間]]=0,"否","是")</f>
        <v>是</v>
      </c>
      <c r="O2902" t="s">
        <v>76</v>
      </c>
      <c r="P2902" s="37">
        <v>0.68906115420000003</v>
      </c>
      <c r="Q2902" s="37">
        <v>0.27050000000000002</v>
      </c>
      <c r="R2902" s="37">
        <v>0.79610000000000003</v>
      </c>
    </row>
    <row r="2903" spans="1:18" hidden="1">
      <c r="A2903" t="s">
        <v>76</v>
      </c>
      <c r="B2903" t="s">
        <v>26</v>
      </c>
      <c r="C2903">
        <v>0.5</v>
      </c>
      <c r="D2903">
        <v>0.01</v>
      </c>
      <c r="E2903" s="29">
        <v>50</v>
      </c>
      <c r="F2903">
        <v>0</v>
      </c>
      <c r="G2903">
        <v>4.43</v>
      </c>
      <c r="H2903">
        <v>4.43</v>
      </c>
      <c r="I2903" s="29">
        <v>0</v>
      </c>
      <c r="J2903" s="29">
        <v>0.11289999999999999</v>
      </c>
      <c r="K2903" s="9">
        <v>45365</v>
      </c>
      <c r="L2903">
        <f xml:space="preserve"> (交易處理資料__3[[#This Row],[售出工時]] * 60) / 5</f>
        <v>6</v>
      </c>
      <c r="M2903" t="str">
        <f>VLOOKUP(交易處理資料__3[[#This Row],[人員代號]],團隊分組!$B$1:$C$52,2,FALSE)</f>
        <v>查修團隊B</v>
      </c>
      <c r="N2903" t="str">
        <f>IF(交易處理資料__3[[#This Row],[上班時間]]=0,"否","是")</f>
        <v>是</v>
      </c>
      <c r="O2903" t="s">
        <v>76</v>
      </c>
      <c r="P2903" s="38">
        <v>50</v>
      </c>
      <c r="Q2903" s="38">
        <v>0.11289999999999999</v>
      </c>
      <c r="R2903" s="38">
        <v>0</v>
      </c>
    </row>
    <row r="2904" spans="1:18" hidden="1">
      <c r="A2904" t="s">
        <v>76</v>
      </c>
      <c r="B2904" t="s">
        <v>27</v>
      </c>
      <c r="C2904">
        <v>6.17</v>
      </c>
      <c r="D2904">
        <v>5.48</v>
      </c>
      <c r="E2904" s="29">
        <v>1.1259124090000001</v>
      </c>
      <c r="F2904">
        <v>8.5299999999999994</v>
      </c>
      <c r="G2904">
        <v>1.52</v>
      </c>
      <c r="H2904">
        <v>10.050000000000001</v>
      </c>
      <c r="I2904" s="29">
        <v>0.8488</v>
      </c>
      <c r="J2904" s="29">
        <v>0.6139</v>
      </c>
      <c r="K2904" s="9">
        <v>45365</v>
      </c>
      <c r="L2904">
        <f xml:space="preserve"> (交易處理資料__3[[#This Row],[售出工時]] * 60) / 5</f>
        <v>74.039999999999992</v>
      </c>
      <c r="M2904" t="str">
        <f>VLOOKUP(交易處理資料__3[[#This Row],[人員代號]],團隊分組!$B$1:$C$52,2,FALSE)</f>
        <v>快速保養團隊B</v>
      </c>
      <c r="N2904" t="str">
        <f>IF(交易處理資料__3[[#This Row],[上班時間]]=0,"否","是")</f>
        <v>是</v>
      </c>
      <c r="O2904" t="s">
        <v>76</v>
      </c>
      <c r="P2904" s="37">
        <v>1.1259124090000001</v>
      </c>
      <c r="Q2904" s="37">
        <v>0.6139</v>
      </c>
      <c r="R2904" s="37">
        <v>0.8488</v>
      </c>
    </row>
    <row r="2905" spans="1:18" hidden="1">
      <c r="A2905" t="s">
        <v>76</v>
      </c>
      <c r="B2905" t="s">
        <v>28</v>
      </c>
      <c r="C2905">
        <v>10.58333333</v>
      </c>
      <c r="D2905">
        <v>5.27</v>
      </c>
      <c r="E2905" s="29">
        <v>2.0082226439999999</v>
      </c>
      <c r="F2905">
        <v>6.98</v>
      </c>
      <c r="G2905">
        <v>1.07</v>
      </c>
      <c r="H2905">
        <v>8.0500000000000007</v>
      </c>
      <c r="I2905" s="29">
        <v>0.86709999999999998</v>
      </c>
      <c r="J2905" s="29">
        <v>1.3147</v>
      </c>
      <c r="K2905" s="9">
        <v>45365</v>
      </c>
      <c r="L2905">
        <f xml:space="preserve"> (交易處理資料__3[[#This Row],[售出工時]] * 60) / 5</f>
        <v>126.99999996000001</v>
      </c>
      <c r="M2905" t="str">
        <f>VLOOKUP(交易處理資料__3[[#This Row],[人員代號]],團隊分組!$B$1:$C$52,2,FALSE)</f>
        <v>快速保養團隊A</v>
      </c>
      <c r="N2905" t="str">
        <f>IF(交易處理資料__3[[#This Row],[上班時間]]=0,"否","是")</f>
        <v>是</v>
      </c>
      <c r="O2905" t="s">
        <v>76</v>
      </c>
      <c r="P2905" s="38">
        <v>2.0082226439999999</v>
      </c>
      <c r="Q2905" s="38">
        <v>1.3147</v>
      </c>
      <c r="R2905" s="38">
        <v>0.86709999999999998</v>
      </c>
    </row>
    <row r="2906" spans="1:18" hidden="1">
      <c r="A2906" t="s">
        <v>76</v>
      </c>
      <c r="B2906" t="s">
        <v>29</v>
      </c>
      <c r="C2906">
        <v>2</v>
      </c>
      <c r="D2906">
        <v>1.99</v>
      </c>
      <c r="E2906" s="29">
        <v>1.005025126</v>
      </c>
      <c r="F2906">
        <v>7.22</v>
      </c>
      <c r="G2906">
        <v>0.95</v>
      </c>
      <c r="H2906">
        <v>8.17</v>
      </c>
      <c r="I2906" s="29">
        <v>0.88370000000000004</v>
      </c>
      <c r="J2906" s="29">
        <v>0.24480000000000002</v>
      </c>
      <c r="K2906" s="9">
        <v>45365</v>
      </c>
      <c r="L2906">
        <f xml:space="preserve"> (交易處理資料__3[[#This Row],[售出工時]] * 60) / 5</f>
        <v>24</v>
      </c>
      <c r="M2906" t="str">
        <f>VLOOKUP(交易處理資料__3[[#This Row],[人員代號]],團隊分組!$B$1:$C$52,2,FALSE)</f>
        <v>查修團隊B</v>
      </c>
      <c r="N2906" t="str">
        <f>IF(交易處理資料__3[[#This Row],[上班時間]]=0,"否","是")</f>
        <v>是</v>
      </c>
      <c r="O2906" t="s">
        <v>76</v>
      </c>
      <c r="P2906" s="37">
        <v>1.005025126</v>
      </c>
      <c r="Q2906" s="37">
        <v>0.24480000000000002</v>
      </c>
      <c r="R2906" s="37">
        <v>0.88370000000000004</v>
      </c>
    </row>
    <row r="2907" spans="1:18" hidden="1">
      <c r="A2907" t="s">
        <v>76</v>
      </c>
      <c r="B2907" t="s">
        <v>30</v>
      </c>
      <c r="C2907">
        <v>17.68</v>
      </c>
      <c r="D2907">
        <v>9.23</v>
      </c>
      <c r="E2907" s="29">
        <v>1.9154929580000002</v>
      </c>
      <c r="F2907">
        <v>9.74</v>
      </c>
      <c r="G2907">
        <v>0.33</v>
      </c>
      <c r="H2907">
        <v>10.07</v>
      </c>
      <c r="I2907" s="29">
        <v>0.96719999999999995</v>
      </c>
      <c r="J2907" s="29">
        <v>1.7557</v>
      </c>
      <c r="K2907" s="9">
        <v>45365</v>
      </c>
      <c r="L2907">
        <f xml:space="preserve"> (交易處理資料__3[[#This Row],[售出工時]] * 60) / 5</f>
        <v>212.16</v>
      </c>
      <c r="M2907" t="str">
        <f>VLOOKUP(交易處理資料__3[[#This Row],[人員代號]],團隊分組!$B$1:$C$52,2,FALSE)</f>
        <v>快速保養團隊B</v>
      </c>
      <c r="N2907" t="str">
        <f>IF(交易處理資料__3[[#This Row],[上班時間]]=0,"否","是")</f>
        <v>是</v>
      </c>
      <c r="O2907" t="s">
        <v>76</v>
      </c>
      <c r="P2907" s="38">
        <v>1.9154929580000002</v>
      </c>
      <c r="Q2907" s="38">
        <v>1.7557</v>
      </c>
      <c r="R2907" s="38">
        <v>0.96719999999999995</v>
      </c>
    </row>
    <row r="2908" spans="1:18" hidden="1">
      <c r="A2908" t="s">
        <v>76</v>
      </c>
      <c r="B2908" t="s">
        <v>32</v>
      </c>
      <c r="C2908">
        <v>0</v>
      </c>
      <c r="D2908">
        <v>0</v>
      </c>
      <c r="E2908" s="29">
        <v>0</v>
      </c>
      <c r="F2908">
        <v>0</v>
      </c>
      <c r="G2908">
        <v>0</v>
      </c>
      <c r="H2908">
        <v>0</v>
      </c>
      <c r="I2908" s="29">
        <v>0</v>
      </c>
      <c r="J2908" s="29">
        <v>0</v>
      </c>
      <c r="K2908" s="9">
        <v>45365</v>
      </c>
      <c r="L2908">
        <f xml:space="preserve"> (交易處理資料__3[[#This Row],[售出工時]] * 60) / 5</f>
        <v>0</v>
      </c>
      <c r="M2908" t="str">
        <f>VLOOKUP(交易處理資料__3[[#This Row],[人員代號]],團隊分組!$B$1:$C$52,2,FALSE)</f>
        <v>快速保養團隊B</v>
      </c>
      <c r="N2908" t="str">
        <f>IF(交易處理資料__3[[#This Row],[上班時間]]=0,"否","是")</f>
        <v>否</v>
      </c>
      <c r="O2908" t="s">
        <v>76</v>
      </c>
      <c r="P2908" s="37">
        <v>0</v>
      </c>
      <c r="Q2908" s="37">
        <v>0</v>
      </c>
      <c r="R2908" s="37">
        <v>0</v>
      </c>
    </row>
    <row r="2909" spans="1:18" hidden="1">
      <c r="A2909" t="s">
        <v>76</v>
      </c>
      <c r="B2909" t="s">
        <v>34</v>
      </c>
      <c r="C2909">
        <v>11.16666667</v>
      </c>
      <c r="D2909">
        <v>7.07</v>
      </c>
      <c r="E2909" s="29">
        <v>1.5794436590000001</v>
      </c>
      <c r="F2909">
        <v>9.02</v>
      </c>
      <c r="G2909">
        <v>0.53</v>
      </c>
      <c r="H2909">
        <v>9.5500000000000007</v>
      </c>
      <c r="I2909" s="29">
        <v>0.94450000000000001</v>
      </c>
      <c r="J2909" s="29">
        <v>1.1693</v>
      </c>
      <c r="K2909" s="9">
        <v>45365</v>
      </c>
      <c r="L2909">
        <f xml:space="preserve"> (交易處理資料__3[[#This Row],[售出工時]] * 60) / 5</f>
        <v>134.00000003999997</v>
      </c>
      <c r="M2909" t="str">
        <f>VLOOKUP(交易處理資料__3[[#This Row],[人員代號]],團隊分組!$B$1:$C$52,2,FALSE)</f>
        <v>快速保養團隊A</v>
      </c>
      <c r="N2909" t="str">
        <f>IF(交易處理資料__3[[#This Row],[上班時間]]=0,"否","是")</f>
        <v>是</v>
      </c>
      <c r="O2909" t="s">
        <v>76</v>
      </c>
      <c r="P2909" s="38">
        <v>1.5794436590000001</v>
      </c>
      <c r="Q2909" s="38">
        <v>1.1693</v>
      </c>
      <c r="R2909" s="38">
        <v>0.94450000000000001</v>
      </c>
    </row>
    <row r="2910" spans="1:18" hidden="1">
      <c r="A2910" t="s">
        <v>76</v>
      </c>
      <c r="B2910" t="s">
        <v>35</v>
      </c>
      <c r="C2910">
        <v>2.75</v>
      </c>
      <c r="D2910">
        <v>3.8</v>
      </c>
      <c r="E2910" s="29">
        <v>0.72368421049999998</v>
      </c>
      <c r="F2910">
        <v>6.43</v>
      </c>
      <c r="G2910">
        <v>3.1</v>
      </c>
      <c r="H2910">
        <v>9.5299999999999994</v>
      </c>
      <c r="I2910" s="29">
        <v>0.67469999999999997</v>
      </c>
      <c r="J2910" s="29">
        <v>0.28859999999999997</v>
      </c>
      <c r="K2910" s="9">
        <v>45365</v>
      </c>
      <c r="L2910">
        <f xml:space="preserve"> (交易處理資料__3[[#This Row],[售出工時]] * 60) / 5</f>
        <v>33</v>
      </c>
      <c r="M2910" t="str">
        <f>VLOOKUP(交易處理資料__3[[#This Row],[人員代號]],團隊分組!$B$1:$C$52,2,FALSE)</f>
        <v>查修團隊B</v>
      </c>
      <c r="N2910" t="str">
        <f>IF(交易處理資料__3[[#This Row],[上班時間]]=0,"否","是")</f>
        <v>是</v>
      </c>
      <c r="O2910" t="s">
        <v>76</v>
      </c>
      <c r="P2910" s="37">
        <v>0.72368421049999998</v>
      </c>
      <c r="Q2910" s="37">
        <v>0.28859999999999997</v>
      </c>
      <c r="R2910" s="37">
        <v>0.67469999999999997</v>
      </c>
    </row>
    <row r="2911" spans="1:18" hidden="1">
      <c r="A2911" t="s">
        <v>76</v>
      </c>
      <c r="B2911" t="s">
        <v>36</v>
      </c>
      <c r="C2911">
        <v>0.16</v>
      </c>
      <c r="D2911">
        <v>1.1000000000000001</v>
      </c>
      <c r="E2911" s="29">
        <v>0.1454545455</v>
      </c>
      <c r="F2911">
        <v>6.23</v>
      </c>
      <c r="G2911">
        <v>2.14</v>
      </c>
      <c r="H2911">
        <v>8.3699999999999992</v>
      </c>
      <c r="I2911" s="29">
        <v>0.74430000000000007</v>
      </c>
      <c r="J2911" s="29">
        <v>1.9099999999999999E-2</v>
      </c>
      <c r="K2911" s="9">
        <v>45365</v>
      </c>
      <c r="L2911">
        <f xml:space="preserve"> (交易處理資料__3[[#This Row],[售出工時]] * 60) / 5</f>
        <v>1.92</v>
      </c>
      <c r="M2911" t="str">
        <f>VLOOKUP(交易處理資料__3[[#This Row],[人員代號]],團隊分組!$B$1:$C$52,2,FALSE)</f>
        <v>查修團隊B</v>
      </c>
      <c r="N2911" t="str">
        <f>IF(交易處理資料__3[[#This Row],[上班時間]]=0,"否","是")</f>
        <v>是</v>
      </c>
      <c r="O2911" t="s">
        <v>76</v>
      </c>
      <c r="P2911" s="38">
        <v>0.1454545455</v>
      </c>
      <c r="Q2911" s="38">
        <v>1.9099999999999999E-2</v>
      </c>
      <c r="R2911" s="38">
        <v>0.74430000000000007</v>
      </c>
    </row>
    <row r="2912" spans="1:18" hidden="1">
      <c r="A2912" t="s">
        <v>76</v>
      </c>
      <c r="B2912" t="s">
        <v>37</v>
      </c>
      <c r="C2912">
        <v>1.5</v>
      </c>
      <c r="D2912">
        <v>1.67</v>
      </c>
      <c r="E2912" s="29">
        <v>0.89820359280000006</v>
      </c>
      <c r="F2912">
        <v>4.82</v>
      </c>
      <c r="G2912">
        <v>3.1</v>
      </c>
      <c r="H2912">
        <v>7.92</v>
      </c>
      <c r="I2912" s="29">
        <v>0.60860000000000003</v>
      </c>
      <c r="J2912" s="29">
        <v>0.18940000000000001</v>
      </c>
      <c r="K2912" s="9">
        <v>45365</v>
      </c>
      <c r="L2912">
        <f xml:space="preserve"> (交易處理資料__3[[#This Row],[售出工時]] * 60) / 5</f>
        <v>18</v>
      </c>
      <c r="M2912" t="str">
        <f>VLOOKUP(交易處理資料__3[[#This Row],[人員代號]],團隊分組!$B$1:$C$52,2,FALSE)</f>
        <v>查修團隊A</v>
      </c>
      <c r="N2912" t="str">
        <f>IF(交易處理資料__3[[#This Row],[上班時間]]=0,"否","是")</f>
        <v>是</v>
      </c>
      <c r="O2912" t="s">
        <v>76</v>
      </c>
      <c r="P2912" s="37">
        <v>0.89820359280000006</v>
      </c>
      <c r="Q2912" s="37">
        <v>0.18940000000000001</v>
      </c>
      <c r="R2912" s="37">
        <v>0.60860000000000003</v>
      </c>
    </row>
    <row r="2913" spans="1:18" hidden="1">
      <c r="A2913" t="s">
        <v>76</v>
      </c>
      <c r="B2913" t="s">
        <v>38</v>
      </c>
      <c r="C2913">
        <v>16.329999999999998</v>
      </c>
      <c r="D2913">
        <v>5.91</v>
      </c>
      <c r="E2913" s="29">
        <v>2.7631133670000003</v>
      </c>
      <c r="F2913">
        <v>8.89</v>
      </c>
      <c r="G2913">
        <v>0.1</v>
      </c>
      <c r="H2913">
        <v>8.99</v>
      </c>
      <c r="I2913" s="29">
        <v>0.9889</v>
      </c>
      <c r="J2913" s="29">
        <v>1.8165</v>
      </c>
      <c r="K2913" s="9">
        <v>45365</v>
      </c>
      <c r="L2913">
        <f xml:space="preserve"> (交易處理資料__3[[#This Row],[售出工時]] * 60) / 5</f>
        <v>195.95999999999998</v>
      </c>
      <c r="M2913" t="str">
        <f>VLOOKUP(交易處理資料__3[[#This Row],[人員代號]],團隊分組!$B$1:$C$52,2,FALSE)</f>
        <v>快速保養團隊A</v>
      </c>
      <c r="N2913" t="str">
        <f>IF(交易處理資料__3[[#This Row],[上班時間]]=0,"否","是")</f>
        <v>是</v>
      </c>
      <c r="O2913" t="s">
        <v>76</v>
      </c>
      <c r="P2913" s="38">
        <v>2.7631133670000003</v>
      </c>
      <c r="Q2913" s="38">
        <v>1.8165</v>
      </c>
      <c r="R2913" s="38">
        <v>0.9889</v>
      </c>
    </row>
    <row r="2914" spans="1:18" hidden="1">
      <c r="A2914" t="s">
        <v>76</v>
      </c>
      <c r="B2914" t="s">
        <v>39</v>
      </c>
      <c r="C2914">
        <v>0.83333333300000001</v>
      </c>
      <c r="D2914">
        <v>0.55000000000000004</v>
      </c>
      <c r="E2914" s="29">
        <v>1.5151515150000001</v>
      </c>
      <c r="F2914">
        <v>4.83</v>
      </c>
      <c r="G2914">
        <v>5.0999999999999996</v>
      </c>
      <c r="H2914">
        <v>9.93</v>
      </c>
      <c r="I2914" s="29">
        <v>0.4864</v>
      </c>
      <c r="J2914" s="29">
        <v>8.3900000000000002E-2</v>
      </c>
      <c r="K2914" s="9">
        <v>45365</v>
      </c>
      <c r="L2914">
        <f xml:space="preserve"> (交易處理資料__3[[#This Row],[售出工時]] * 60) / 5</f>
        <v>9.9999999959999997</v>
      </c>
      <c r="M2914" t="str">
        <f>VLOOKUP(交易處理資料__3[[#This Row],[人員代號]],團隊分組!$B$1:$C$52,2,FALSE)</f>
        <v>查修團隊A</v>
      </c>
      <c r="N2914" t="str">
        <f>IF(交易處理資料__3[[#This Row],[上班時間]]=0,"否","是")</f>
        <v>是</v>
      </c>
      <c r="O2914" t="s">
        <v>76</v>
      </c>
      <c r="P2914" s="37">
        <v>1.5151515150000001</v>
      </c>
      <c r="Q2914" s="37">
        <v>8.3900000000000002E-2</v>
      </c>
      <c r="R2914" s="37">
        <v>0.4864</v>
      </c>
    </row>
    <row r="2915" spans="1:18" hidden="1">
      <c r="A2915" t="s">
        <v>76</v>
      </c>
      <c r="B2915" t="s">
        <v>40</v>
      </c>
      <c r="C2915">
        <v>0</v>
      </c>
      <c r="D2915">
        <v>0</v>
      </c>
      <c r="E2915" s="29">
        <v>0</v>
      </c>
      <c r="F2915">
        <v>8.59</v>
      </c>
      <c r="G2915">
        <v>1.22</v>
      </c>
      <c r="H2915">
        <v>9.81</v>
      </c>
      <c r="I2915" s="29">
        <v>0.87560000000000004</v>
      </c>
      <c r="J2915" s="29">
        <v>0</v>
      </c>
      <c r="K2915" s="9">
        <v>45365</v>
      </c>
      <c r="L2915">
        <f xml:space="preserve"> (交易處理資料__3[[#This Row],[售出工時]] * 60) / 5</f>
        <v>0</v>
      </c>
      <c r="M2915" t="str">
        <f>VLOOKUP(交易處理資料__3[[#This Row],[人員代號]],團隊分組!$B$1:$C$52,2,FALSE)</f>
        <v>查修團隊A</v>
      </c>
      <c r="N2915" t="str">
        <f>IF(交易處理資料__3[[#This Row],[上班時間]]=0,"否","是")</f>
        <v>是</v>
      </c>
      <c r="O2915" t="s">
        <v>76</v>
      </c>
      <c r="P2915" s="38">
        <v>0</v>
      </c>
      <c r="Q2915" s="38">
        <v>0</v>
      </c>
      <c r="R2915" s="38">
        <v>0.87560000000000004</v>
      </c>
    </row>
    <row r="2916" spans="1:18" hidden="1">
      <c r="A2916" t="s">
        <v>76</v>
      </c>
      <c r="B2916" t="s">
        <v>42</v>
      </c>
      <c r="C2916">
        <v>5.8333333329999997</v>
      </c>
      <c r="D2916">
        <v>4.82</v>
      </c>
      <c r="E2916" s="29">
        <v>1.2102351310000001</v>
      </c>
      <c r="F2916">
        <v>6.02</v>
      </c>
      <c r="G2916">
        <v>1.95</v>
      </c>
      <c r="H2916">
        <v>7.97</v>
      </c>
      <c r="I2916" s="29">
        <v>0.75529999999999997</v>
      </c>
      <c r="J2916" s="29">
        <v>0.7319</v>
      </c>
      <c r="K2916" s="9">
        <v>45365</v>
      </c>
      <c r="L2916">
        <f xml:space="preserve"> (交易處理資料__3[[#This Row],[售出工時]] * 60) / 5</f>
        <v>69.999999996</v>
      </c>
      <c r="M2916" t="str">
        <f>VLOOKUP(交易處理資料__3[[#This Row],[人員代號]],團隊分組!$B$1:$C$52,2,FALSE)</f>
        <v>快速保養團隊A</v>
      </c>
      <c r="N2916" t="str">
        <f>IF(交易處理資料__3[[#This Row],[上班時間]]=0,"否","是")</f>
        <v>是</v>
      </c>
      <c r="O2916" t="s">
        <v>76</v>
      </c>
      <c r="P2916" s="37">
        <v>1.2102351310000001</v>
      </c>
      <c r="Q2916" s="37">
        <v>0.7319</v>
      </c>
      <c r="R2916" s="37">
        <v>0.75529999999999997</v>
      </c>
    </row>
    <row r="2917" spans="1:18" hidden="1">
      <c r="A2917" t="s">
        <v>76</v>
      </c>
      <c r="B2917" t="s">
        <v>43</v>
      </c>
      <c r="C2917">
        <v>1.67</v>
      </c>
      <c r="D2917">
        <v>4.03</v>
      </c>
      <c r="E2917" s="29">
        <v>0.41439205960000003</v>
      </c>
      <c r="F2917">
        <v>6.26</v>
      </c>
      <c r="G2917">
        <v>1.84</v>
      </c>
      <c r="H2917">
        <v>8.1</v>
      </c>
      <c r="I2917" s="29">
        <v>0.77280000000000004</v>
      </c>
      <c r="J2917" s="29">
        <v>0.20620000000000002</v>
      </c>
      <c r="K2917" s="9">
        <v>45365</v>
      </c>
      <c r="L2917">
        <f xml:space="preserve"> (交易處理資料__3[[#This Row],[售出工時]] * 60) / 5</f>
        <v>20.04</v>
      </c>
      <c r="M2917" t="str">
        <f>VLOOKUP(交易處理資料__3[[#This Row],[人員代號]],團隊分組!$B$1:$C$52,2,FALSE)</f>
        <v>查修團隊B</v>
      </c>
      <c r="N2917" t="str">
        <f>IF(交易處理資料__3[[#This Row],[上班時間]]=0,"否","是")</f>
        <v>是</v>
      </c>
      <c r="O2917" t="s">
        <v>76</v>
      </c>
      <c r="P2917" s="38">
        <v>0.41439205960000003</v>
      </c>
      <c r="Q2917" s="38">
        <v>0.20620000000000002</v>
      </c>
      <c r="R2917" s="38">
        <v>0.77280000000000004</v>
      </c>
    </row>
    <row r="2918" spans="1:18" hidden="1">
      <c r="A2918" t="s">
        <v>76</v>
      </c>
      <c r="B2918" t="s">
        <v>45</v>
      </c>
      <c r="C2918">
        <v>5.5833333329999997</v>
      </c>
      <c r="D2918">
        <v>3.3</v>
      </c>
      <c r="E2918" s="29">
        <v>1.6919191920000001</v>
      </c>
      <c r="F2918">
        <v>7.15</v>
      </c>
      <c r="G2918">
        <v>2.61</v>
      </c>
      <c r="H2918">
        <v>9.76</v>
      </c>
      <c r="I2918" s="29">
        <v>0.73260000000000003</v>
      </c>
      <c r="J2918" s="29">
        <v>0.57210000000000005</v>
      </c>
      <c r="K2918" s="9">
        <v>45365</v>
      </c>
      <c r="L2918">
        <f xml:space="preserve"> (交易處理資料__3[[#This Row],[售出工時]] * 60) / 5</f>
        <v>66.999999996</v>
      </c>
      <c r="M2918" t="str">
        <f>VLOOKUP(交易處理資料__3[[#This Row],[人員代號]],團隊分組!$B$1:$C$52,2,FALSE)</f>
        <v>快速保養團隊A</v>
      </c>
      <c r="N2918" t="str">
        <f>IF(交易處理資料__3[[#This Row],[上班時間]]=0,"否","是")</f>
        <v>是</v>
      </c>
      <c r="O2918" t="s">
        <v>76</v>
      </c>
      <c r="P2918" s="37">
        <v>1.6919191920000001</v>
      </c>
      <c r="Q2918" s="37">
        <v>0.57210000000000005</v>
      </c>
      <c r="R2918" s="37">
        <v>0.73260000000000003</v>
      </c>
    </row>
    <row r="2919" spans="1:18" hidden="1">
      <c r="A2919" t="s">
        <v>76</v>
      </c>
      <c r="B2919" t="s">
        <v>47</v>
      </c>
      <c r="C2919">
        <v>1.71</v>
      </c>
      <c r="D2919">
        <v>2.25</v>
      </c>
      <c r="E2919" s="29">
        <v>0.76</v>
      </c>
      <c r="F2919">
        <v>6.27</v>
      </c>
      <c r="G2919">
        <v>1.83</v>
      </c>
      <c r="H2919">
        <v>8.1</v>
      </c>
      <c r="I2919" s="29">
        <v>0.77410000000000001</v>
      </c>
      <c r="J2919" s="29">
        <v>0.21109999999999998</v>
      </c>
      <c r="K2919" s="9">
        <v>45365</v>
      </c>
      <c r="L2919">
        <f xml:space="preserve"> (交易處理資料__3[[#This Row],[售出工時]] * 60) / 5</f>
        <v>20.52</v>
      </c>
      <c r="M2919" t="str">
        <f>VLOOKUP(交易處理資料__3[[#This Row],[人員代號]],團隊分組!$B$1:$C$52,2,FALSE)</f>
        <v>查修團隊B</v>
      </c>
      <c r="N2919" t="str">
        <f>IF(交易處理資料__3[[#This Row],[上班時間]]=0,"否","是")</f>
        <v>是</v>
      </c>
      <c r="O2919" t="s">
        <v>76</v>
      </c>
      <c r="P2919" s="38">
        <v>0.76</v>
      </c>
      <c r="Q2919" s="38">
        <v>0.21109999999999998</v>
      </c>
      <c r="R2919" s="38">
        <v>0.77410000000000001</v>
      </c>
    </row>
    <row r="2920" spans="1:18" hidden="1">
      <c r="A2920" t="s">
        <v>76</v>
      </c>
      <c r="B2920" t="s">
        <v>48</v>
      </c>
      <c r="C2920">
        <v>0</v>
      </c>
      <c r="D2920">
        <v>0</v>
      </c>
      <c r="E2920" s="29">
        <v>0</v>
      </c>
      <c r="F2920">
        <v>6.08</v>
      </c>
      <c r="G2920">
        <v>2.14</v>
      </c>
      <c r="H2920">
        <v>8.2200000000000006</v>
      </c>
      <c r="I2920" s="29">
        <v>0.73970000000000002</v>
      </c>
      <c r="J2920" s="29">
        <v>0</v>
      </c>
      <c r="K2920" s="9">
        <v>45365</v>
      </c>
      <c r="L2920">
        <f xml:space="preserve"> (交易處理資料__3[[#This Row],[售出工時]] * 60) / 5</f>
        <v>0</v>
      </c>
      <c r="M2920" t="str">
        <f>VLOOKUP(交易處理資料__3[[#This Row],[人員代號]],團隊分組!$B$1:$C$52,2,FALSE)</f>
        <v>查修團隊A</v>
      </c>
      <c r="N2920" t="str">
        <f>IF(交易處理資料__3[[#This Row],[上班時間]]=0,"否","是")</f>
        <v>是</v>
      </c>
      <c r="O2920" t="s">
        <v>76</v>
      </c>
      <c r="P2920" s="37">
        <v>0</v>
      </c>
      <c r="Q2920" s="37">
        <v>0</v>
      </c>
      <c r="R2920" s="37">
        <v>0.73970000000000002</v>
      </c>
    </row>
    <row r="2921" spans="1:18" hidden="1">
      <c r="A2921" t="s">
        <v>76</v>
      </c>
      <c r="B2921" t="s">
        <v>51</v>
      </c>
      <c r="C2921">
        <v>0</v>
      </c>
      <c r="D2921">
        <v>0</v>
      </c>
      <c r="E2921" s="29">
        <v>0</v>
      </c>
      <c r="F2921">
        <v>0</v>
      </c>
      <c r="G2921">
        <v>0</v>
      </c>
      <c r="H2921">
        <v>0</v>
      </c>
      <c r="I2921" s="29">
        <v>0</v>
      </c>
      <c r="J2921" s="29">
        <v>0</v>
      </c>
      <c r="K2921" s="9">
        <v>45365</v>
      </c>
      <c r="L2921">
        <f xml:space="preserve"> (交易處理資料__3[[#This Row],[售出工時]] * 60) / 5</f>
        <v>0</v>
      </c>
      <c r="M2921" t="str">
        <f>VLOOKUP(交易處理資料__3[[#This Row],[人員代號]],團隊分組!$B$1:$C$52,2,FALSE)</f>
        <v>無效數據</v>
      </c>
      <c r="N2921" t="str">
        <f>IF(交易處理資料__3[[#This Row],[上班時間]]=0,"否","是")</f>
        <v>否</v>
      </c>
      <c r="O2921" t="s">
        <v>76</v>
      </c>
      <c r="P2921" s="38">
        <v>0</v>
      </c>
      <c r="Q2921" s="38">
        <v>0</v>
      </c>
      <c r="R2921" s="38">
        <v>0</v>
      </c>
    </row>
    <row r="2922" spans="1:18" hidden="1">
      <c r="A2922" t="s">
        <v>76</v>
      </c>
      <c r="B2922" t="s">
        <v>52</v>
      </c>
      <c r="C2922">
        <v>1.3333333329999999</v>
      </c>
      <c r="D2922">
        <v>4.1500000000000004</v>
      </c>
      <c r="E2922" s="29">
        <v>0.32128514060000002</v>
      </c>
      <c r="F2922">
        <v>5.9</v>
      </c>
      <c r="G2922">
        <v>0.01</v>
      </c>
      <c r="H2922">
        <v>5.91</v>
      </c>
      <c r="I2922" s="29">
        <v>0.99829999999999997</v>
      </c>
      <c r="J2922" s="29">
        <v>0.22559999999999999</v>
      </c>
      <c r="K2922" s="9">
        <v>45365</v>
      </c>
      <c r="L2922">
        <f xml:space="preserve"> (交易處理資料__3[[#This Row],[售出工時]] * 60) / 5</f>
        <v>15.999999996</v>
      </c>
      <c r="M2922" t="str">
        <f>VLOOKUP(交易處理資料__3[[#This Row],[人員代號]],團隊分組!$B$1:$C$52,2,FALSE)</f>
        <v>查修團隊B</v>
      </c>
      <c r="N2922" t="str">
        <f>IF(交易處理資料__3[[#This Row],[上班時間]]=0,"否","是")</f>
        <v>是</v>
      </c>
      <c r="O2922" t="s">
        <v>76</v>
      </c>
      <c r="P2922" s="37">
        <v>0.32128514060000002</v>
      </c>
      <c r="Q2922" s="37">
        <v>0.22559999999999999</v>
      </c>
      <c r="R2922" s="37">
        <v>0.99829999999999997</v>
      </c>
    </row>
    <row r="2923" spans="1:18" hidden="1">
      <c r="A2923" s="10" t="s">
        <v>74</v>
      </c>
      <c r="B2923" t="s">
        <v>1</v>
      </c>
      <c r="C2923">
        <v>0</v>
      </c>
      <c r="D2923">
        <v>0</v>
      </c>
      <c r="E2923" s="29">
        <v>0</v>
      </c>
      <c r="F2923">
        <v>3.54</v>
      </c>
      <c r="G2923">
        <v>4.46</v>
      </c>
      <c r="H2923">
        <v>8</v>
      </c>
      <c r="I2923" s="29">
        <v>0.4425</v>
      </c>
      <c r="J2923" s="29">
        <v>0</v>
      </c>
      <c r="K2923" s="9">
        <v>45366</v>
      </c>
      <c r="L2923">
        <f xml:space="preserve"> (交易處理資料__3[[#This Row],[售出工時]] * 60) / 5</f>
        <v>0</v>
      </c>
      <c r="M2923" t="str">
        <f>VLOOKUP(交易處理資料__3[[#This Row],[人員代號]],團隊分組!$B$1:$C$52,2,FALSE)</f>
        <v>噴漆維修組</v>
      </c>
      <c r="N2923" t="str">
        <f>IF(交易處理資料__3[[#This Row],[上班時間]]=0,"否","是")</f>
        <v>是</v>
      </c>
      <c r="O2923" s="10" t="s">
        <v>74</v>
      </c>
      <c r="P2923" s="38">
        <v>0</v>
      </c>
      <c r="Q2923" s="38">
        <v>0</v>
      </c>
      <c r="R2923" s="38">
        <v>0.4425</v>
      </c>
    </row>
    <row r="2924" spans="1:18" hidden="1">
      <c r="A2924" s="10" t="s">
        <v>74</v>
      </c>
      <c r="B2924" t="s">
        <v>4</v>
      </c>
      <c r="C2924">
        <v>0</v>
      </c>
      <c r="D2924">
        <v>0</v>
      </c>
      <c r="E2924" s="29">
        <v>0</v>
      </c>
      <c r="F2924">
        <v>4.08</v>
      </c>
      <c r="G2924">
        <v>3.93</v>
      </c>
      <c r="H2924">
        <v>8.01</v>
      </c>
      <c r="I2924" s="29">
        <v>0.50939999999999996</v>
      </c>
      <c r="J2924" s="29">
        <v>0</v>
      </c>
      <c r="K2924" s="9">
        <v>45366</v>
      </c>
      <c r="L2924">
        <f xml:space="preserve"> (交易處理資料__3[[#This Row],[售出工時]] * 60) / 5</f>
        <v>0</v>
      </c>
      <c r="M2924" t="str">
        <f>VLOOKUP(交易處理資料__3[[#This Row],[人員代號]],團隊分組!$B$1:$C$52,2,FALSE)</f>
        <v>噴漆維修組</v>
      </c>
      <c r="N2924" t="str">
        <f>IF(交易處理資料__3[[#This Row],[上班時間]]=0,"否","是")</f>
        <v>是</v>
      </c>
      <c r="O2924" s="10" t="s">
        <v>74</v>
      </c>
      <c r="P2924" s="37">
        <v>0</v>
      </c>
      <c r="Q2924" s="37">
        <v>0</v>
      </c>
      <c r="R2924" s="37">
        <v>0.50939999999999996</v>
      </c>
    </row>
    <row r="2925" spans="1:18" hidden="1">
      <c r="A2925" s="10" t="s">
        <v>74</v>
      </c>
      <c r="B2925" t="s">
        <v>8</v>
      </c>
      <c r="C2925">
        <v>1.89</v>
      </c>
      <c r="D2925">
        <v>3.63</v>
      </c>
      <c r="E2925" s="29">
        <v>0.52066115699999993</v>
      </c>
      <c r="F2925">
        <v>4.0599999999999996</v>
      </c>
      <c r="G2925">
        <v>3.93</v>
      </c>
      <c r="H2925">
        <v>7.99</v>
      </c>
      <c r="I2925" s="29">
        <v>0.5081</v>
      </c>
      <c r="J2925" s="29">
        <v>0.23649999999999999</v>
      </c>
      <c r="K2925" s="9">
        <v>45366</v>
      </c>
      <c r="L2925">
        <f xml:space="preserve"> (交易處理資料__3[[#This Row],[售出工時]] * 60) / 5</f>
        <v>22.68</v>
      </c>
      <c r="M2925" t="str">
        <f>VLOOKUP(交易處理資料__3[[#This Row],[人員代號]],團隊分組!$B$1:$C$52,2,FALSE)</f>
        <v>噴漆維修組</v>
      </c>
      <c r="N2925" t="str">
        <f>IF(交易處理資料__3[[#This Row],[上班時間]]=0,"否","是")</f>
        <v>是</v>
      </c>
      <c r="O2925" s="10" t="s">
        <v>74</v>
      </c>
      <c r="P2925" s="38">
        <v>0.52066115699999993</v>
      </c>
      <c r="Q2925" s="38">
        <v>0.23649999999999999</v>
      </c>
      <c r="R2925" s="38">
        <v>0.5081</v>
      </c>
    </row>
    <row r="2926" spans="1:18" hidden="1">
      <c r="A2926" t="s">
        <v>75</v>
      </c>
      <c r="B2926" t="s">
        <v>11</v>
      </c>
      <c r="C2926">
        <v>4.8333333329999997</v>
      </c>
      <c r="D2926">
        <v>4.5999999999999996</v>
      </c>
      <c r="E2926" s="29">
        <v>1.0507246379999999</v>
      </c>
      <c r="F2926">
        <v>5.14</v>
      </c>
      <c r="G2926">
        <v>2.91</v>
      </c>
      <c r="H2926">
        <v>8.0500000000000007</v>
      </c>
      <c r="I2926" s="29">
        <v>0.63850000000000007</v>
      </c>
      <c r="J2926" s="29">
        <v>0.60040000000000004</v>
      </c>
      <c r="K2926" s="9">
        <v>45366</v>
      </c>
      <c r="L2926">
        <f xml:space="preserve"> (交易處理資料__3[[#This Row],[售出工時]] * 60) / 5</f>
        <v>57.999999996</v>
      </c>
      <c r="M2926" t="str">
        <f>VLOOKUP(交易處理資料__3[[#This Row],[人員代號]],團隊分組!$B$1:$C$52,2,FALSE)</f>
        <v>鈑金維修組</v>
      </c>
      <c r="N2926" t="str">
        <f>IF(交易處理資料__3[[#This Row],[上班時間]]=0,"否","是")</f>
        <v>是</v>
      </c>
      <c r="O2926" t="s">
        <v>75</v>
      </c>
      <c r="P2926" s="37">
        <v>1.0507246379999999</v>
      </c>
      <c r="Q2926" s="37">
        <v>0.60040000000000004</v>
      </c>
      <c r="R2926" s="37">
        <v>0.63850000000000007</v>
      </c>
    </row>
    <row r="2927" spans="1:18" hidden="1">
      <c r="A2927" t="s">
        <v>75</v>
      </c>
      <c r="B2927" t="s">
        <v>12</v>
      </c>
      <c r="C2927">
        <v>9</v>
      </c>
      <c r="D2927">
        <v>5.89</v>
      </c>
      <c r="E2927" s="29">
        <v>1.528013582</v>
      </c>
      <c r="F2927">
        <v>5.19</v>
      </c>
      <c r="G2927">
        <v>2.87</v>
      </c>
      <c r="H2927">
        <v>8.06</v>
      </c>
      <c r="I2927" s="29">
        <v>0.64390000000000003</v>
      </c>
      <c r="J2927" s="29">
        <v>1.1166</v>
      </c>
      <c r="K2927" s="9">
        <v>45366</v>
      </c>
      <c r="L2927">
        <f xml:space="preserve"> (交易處理資料__3[[#This Row],[售出工時]] * 60) / 5</f>
        <v>108</v>
      </c>
      <c r="M2927" t="str">
        <f>VLOOKUP(交易處理資料__3[[#This Row],[人員代號]],團隊分組!$B$1:$C$52,2,FALSE)</f>
        <v>鈑金維修組</v>
      </c>
      <c r="N2927" t="str">
        <f>IF(交易處理資料__3[[#This Row],[上班時間]]=0,"否","是")</f>
        <v>是</v>
      </c>
      <c r="O2927" t="s">
        <v>75</v>
      </c>
      <c r="P2927" s="38">
        <v>1.528013582</v>
      </c>
      <c r="Q2927" s="38">
        <v>1.1166</v>
      </c>
      <c r="R2927" s="38">
        <v>0.64390000000000003</v>
      </c>
    </row>
    <row r="2928" spans="1:18" hidden="1">
      <c r="A2928" t="s">
        <v>75</v>
      </c>
      <c r="B2928" t="s">
        <v>13</v>
      </c>
      <c r="C2928">
        <v>0</v>
      </c>
      <c r="D2928">
        <v>0</v>
      </c>
      <c r="E2928" s="29">
        <v>0</v>
      </c>
      <c r="F2928">
        <v>0</v>
      </c>
      <c r="G2928">
        <v>0</v>
      </c>
      <c r="H2928">
        <v>0</v>
      </c>
      <c r="I2928" s="29">
        <v>0</v>
      </c>
      <c r="J2928" s="29">
        <v>0</v>
      </c>
      <c r="K2928" s="9">
        <v>45366</v>
      </c>
      <c r="L2928">
        <f xml:space="preserve"> (交易處理資料__3[[#This Row],[售出工時]] * 60) / 5</f>
        <v>0</v>
      </c>
      <c r="M2928" t="str">
        <f>VLOOKUP(交易處理資料__3[[#This Row],[人員代號]],團隊分組!$B$1:$C$52,2,FALSE)</f>
        <v>鈑金維修組</v>
      </c>
      <c r="N2928" t="str">
        <f>IF(交易處理資料__3[[#This Row],[上班時間]]=0,"否","是")</f>
        <v>否</v>
      </c>
      <c r="O2928" t="s">
        <v>75</v>
      </c>
      <c r="P2928" s="37">
        <v>0</v>
      </c>
      <c r="Q2928" s="37">
        <v>0</v>
      </c>
      <c r="R2928" s="37">
        <v>0</v>
      </c>
    </row>
    <row r="2929" spans="1:18" hidden="1">
      <c r="A2929" t="s">
        <v>75</v>
      </c>
      <c r="B2929" t="s">
        <v>14</v>
      </c>
      <c r="C2929">
        <v>11.876666670000001</v>
      </c>
      <c r="D2929">
        <v>6.75</v>
      </c>
      <c r="E2929" s="29">
        <v>1.7595061730000001</v>
      </c>
      <c r="F2929">
        <v>5.4</v>
      </c>
      <c r="G2929">
        <v>2.65</v>
      </c>
      <c r="H2929">
        <v>8.0500000000000007</v>
      </c>
      <c r="I2929" s="29">
        <v>0.67079999999999995</v>
      </c>
      <c r="J2929" s="29">
        <v>1.4753999999999998</v>
      </c>
      <c r="K2929" s="9">
        <v>45366</v>
      </c>
      <c r="L2929">
        <f xml:space="preserve"> (交易處理資料__3[[#This Row],[售出工時]] * 60) / 5</f>
        <v>142.52000004000001</v>
      </c>
      <c r="M2929" t="str">
        <f>VLOOKUP(交易處理資料__3[[#This Row],[人員代號]],團隊分組!$B$1:$C$52,2,FALSE)</f>
        <v>鈑金維修組</v>
      </c>
      <c r="N2929" t="str">
        <f>IF(交易處理資料__3[[#This Row],[上班時間]]=0,"否","是")</f>
        <v>是</v>
      </c>
      <c r="O2929" t="s">
        <v>75</v>
      </c>
      <c r="P2929" s="38">
        <v>1.7595061730000001</v>
      </c>
      <c r="Q2929" s="38">
        <v>1.4753999999999998</v>
      </c>
      <c r="R2929" s="38">
        <v>0.67079999999999995</v>
      </c>
    </row>
    <row r="2930" spans="1:18" hidden="1">
      <c r="A2930" t="s">
        <v>75</v>
      </c>
      <c r="B2930" t="s">
        <v>15</v>
      </c>
      <c r="C2930">
        <v>2.46</v>
      </c>
      <c r="D2930">
        <v>0.86</v>
      </c>
      <c r="E2930" s="29">
        <v>2.8604651159999999</v>
      </c>
      <c r="F2930">
        <v>7.17</v>
      </c>
      <c r="G2930">
        <v>0.89</v>
      </c>
      <c r="H2930">
        <v>8.06</v>
      </c>
      <c r="I2930" s="29">
        <v>0.88959999999999995</v>
      </c>
      <c r="J2930" s="29">
        <v>0.30519999999999997</v>
      </c>
      <c r="K2930" s="9">
        <v>45366</v>
      </c>
      <c r="L2930">
        <f xml:space="preserve"> (交易處理資料__3[[#This Row],[售出工時]] * 60) / 5</f>
        <v>29.52</v>
      </c>
      <c r="M2930" t="str">
        <f>VLOOKUP(交易處理資料__3[[#This Row],[人員代號]],團隊分組!$B$1:$C$52,2,FALSE)</f>
        <v>鈑金維修組</v>
      </c>
      <c r="N2930" t="str">
        <f>IF(交易處理資料__3[[#This Row],[上班時間]]=0,"否","是")</f>
        <v>是</v>
      </c>
      <c r="O2930" t="s">
        <v>75</v>
      </c>
      <c r="P2930" s="37">
        <v>2.8604651159999999</v>
      </c>
      <c r="Q2930" s="37">
        <v>0.30519999999999997</v>
      </c>
      <c r="R2930" s="37">
        <v>0.88959999999999995</v>
      </c>
    </row>
    <row r="2931" spans="1:18" hidden="1">
      <c r="A2931" t="s">
        <v>76</v>
      </c>
      <c r="B2931" t="s">
        <v>18</v>
      </c>
      <c r="C2931">
        <v>5.2133333329999996</v>
      </c>
      <c r="D2931">
        <v>6.01</v>
      </c>
      <c r="E2931" s="29">
        <v>0.86744315029999997</v>
      </c>
      <c r="F2931">
        <v>7.12</v>
      </c>
      <c r="G2931">
        <v>0.87</v>
      </c>
      <c r="H2931">
        <v>7.99</v>
      </c>
      <c r="I2931" s="29">
        <v>0.8911</v>
      </c>
      <c r="J2931" s="29">
        <v>0.65249999999999997</v>
      </c>
      <c r="K2931" s="9">
        <v>45366</v>
      </c>
      <c r="L2931">
        <f xml:space="preserve"> (交易處理資料__3[[#This Row],[售出工時]] * 60) / 5</f>
        <v>62.559999996000002</v>
      </c>
      <c r="M2931" t="str">
        <f>VLOOKUP(交易處理資料__3[[#This Row],[人員代號]],團隊分組!$B$1:$C$52,2,FALSE)</f>
        <v>查修團隊B</v>
      </c>
      <c r="N2931" t="str">
        <f>IF(交易處理資料__3[[#This Row],[上班時間]]=0,"否","是")</f>
        <v>是</v>
      </c>
      <c r="O2931" t="s">
        <v>76</v>
      </c>
      <c r="P2931" s="38">
        <v>0.86744315029999997</v>
      </c>
      <c r="Q2931" s="38">
        <v>0.65249999999999997</v>
      </c>
      <c r="R2931" s="38">
        <v>0.8911</v>
      </c>
    </row>
    <row r="2932" spans="1:18" hidden="1">
      <c r="A2932" t="s">
        <v>76</v>
      </c>
      <c r="B2932" t="s">
        <v>19</v>
      </c>
      <c r="C2932">
        <v>0.46</v>
      </c>
      <c r="D2932">
        <v>1.55</v>
      </c>
      <c r="E2932" s="29">
        <v>0.29677419350000001</v>
      </c>
      <c r="F2932">
        <v>6.76</v>
      </c>
      <c r="G2932">
        <v>1.29</v>
      </c>
      <c r="H2932">
        <v>8.0500000000000007</v>
      </c>
      <c r="I2932" s="29">
        <v>0.83979999999999999</v>
      </c>
      <c r="J2932" s="29">
        <v>5.7099999999999998E-2</v>
      </c>
      <c r="K2932" s="9">
        <v>45366</v>
      </c>
      <c r="L2932">
        <f xml:space="preserve"> (交易處理資料__3[[#This Row],[售出工時]] * 60) / 5</f>
        <v>5.5200000000000005</v>
      </c>
      <c r="M2932" t="str">
        <f>VLOOKUP(交易處理資料__3[[#This Row],[人員代號]],團隊分組!$B$1:$C$52,2,FALSE)</f>
        <v>查修團隊A</v>
      </c>
      <c r="N2932" t="str">
        <f>IF(交易處理資料__3[[#This Row],[上班時間]]=0,"否","是")</f>
        <v>是</v>
      </c>
      <c r="O2932" t="s">
        <v>76</v>
      </c>
      <c r="P2932" s="37">
        <v>0.29677419350000001</v>
      </c>
      <c r="Q2932" s="37">
        <v>5.7099999999999998E-2</v>
      </c>
      <c r="R2932" s="37">
        <v>0.83979999999999999</v>
      </c>
    </row>
    <row r="2933" spans="1:18" hidden="1">
      <c r="A2933" t="s">
        <v>76</v>
      </c>
      <c r="B2933" t="s">
        <v>20</v>
      </c>
      <c r="C2933">
        <v>1.0833333329999999</v>
      </c>
      <c r="D2933">
        <v>4.57</v>
      </c>
      <c r="E2933" s="29">
        <v>0.23705324579999998</v>
      </c>
      <c r="F2933">
        <v>0</v>
      </c>
      <c r="G2933">
        <v>8.8000000000000007</v>
      </c>
      <c r="H2933">
        <v>8.8000000000000007</v>
      </c>
      <c r="I2933" s="29">
        <v>0</v>
      </c>
      <c r="J2933" s="29">
        <v>0.1231</v>
      </c>
      <c r="K2933" s="9">
        <v>45366</v>
      </c>
      <c r="L2933">
        <f xml:space="preserve"> (交易處理資料__3[[#This Row],[售出工時]] * 60) / 5</f>
        <v>12.999999996</v>
      </c>
      <c r="M2933" t="str">
        <f>VLOOKUP(交易處理資料__3[[#This Row],[人員代號]],團隊分組!$B$1:$C$52,2,FALSE)</f>
        <v>查修團隊B</v>
      </c>
      <c r="N2933" t="str">
        <f>IF(交易處理資料__3[[#This Row],[上班時間]]=0,"否","是")</f>
        <v>是</v>
      </c>
      <c r="O2933" t="s">
        <v>76</v>
      </c>
      <c r="P2933" s="38">
        <v>0.23705324579999998</v>
      </c>
      <c r="Q2933" s="38">
        <v>0.1231</v>
      </c>
      <c r="R2933" s="38">
        <v>0</v>
      </c>
    </row>
    <row r="2934" spans="1:18" hidden="1">
      <c r="A2934" t="s">
        <v>76</v>
      </c>
      <c r="B2934" t="s">
        <v>23</v>
      </c>
      <c r="C2934">
        <v>6.3766666670000003</v>
      </c>
      <c r="D2934">
        <v>6.5</v>
      </c>
      <c r="E2934" s="29">
        <v>0.981025641</v>
      </c>
      <c r="F2934">
        <v>5.95</v>
      </c>
      <c r="G2934">
        <v>2.16</v>
      </c>
      <c r="H2934">
        <v>8.11</v>
      </c>
      <c r="I2934" s="29">
        <v>0.73370000000000002</v>
      </c>
      <c r="J2934" s="29">
        <v>0.7863</v>
      </c>
      <c r="K2934" s="9">
        <v>45366</v>
      </c>
      <c r="L2934">
        <f xml:space="preserve"> (交易處理資料__3[[#This Row],[售出工時]] * 60) / 5</f>
        <v>76.520000004000011</v>
      </c>
      <c r="M2934" t="str">
        <f>VLOOKUP(交易處理資料__3[[#This Row],[人員代號]],團隊分組!$B$1:$C$52,2,FALSE)</f>
        <v>快速保養團隊B</v>
      </c>
      <c r="N2934" t="str">
        <f>IF(交易處理資料__3[[#This Row],[上班時間]]=0,"否","是")</f>
        <v>是</v>
      </c>
      <c r="O2934" t="s">
        <v>76</v>
      </c>
      <c r="P2934" s="37">
        <v>0.981025641</v>
      </c>
      <c r="Q2934" s="37">
        <v>0.7863</v>
      </c>
      <c r="R2934" s="37">
        <v>0.73370000000000002</v>
      </c>
    </row>
    <row r="2935" spans="1:18" hidden="1">
      <c r="A2935" t="s">
        <v>76</v>
      </c>
      <c r="B2935" t="s">
        <v>25</v>
      </c>
      <c r="C2935">
        <v>2.71</v>
      </c>
      <c r="D2935">
        <v>5.58</v>
      </c>
      <c r="E2935" s="29">
        <v>0.4856630824</v>
      </c>
      <c r="F2935">
        <v>5.93</v>
      </c>
      <c r="G2935">
        <v>2.12</v>
      </c>
      <c r="H2935">
        <v>8.0500000000000007</v>
      </c>
      <c r="I2935" s="29">
        <v>0.73659999999999992</v>
      </c>
      <c r="J2935" s="29">
        <v>0.33659999999999995</v>
      </c>
      <c r="K2935" s="9">
        <v>45366</v>
      </c>
      <c r="L2935">
        <f xml:space="preserve"> (交易處理資料__3[[#This Row],[售出工時]] * 60) / 5</f>
        <v>32.519999999999996</v>
      </c>
      <c r="M2935" t="str">
        <f>VLOOKUP(交易處理資料__3[[#This Row],[人員代號]],團隊分組!$B$1:$C$52,2,FALSE)</f>
        <v>查修團隊A</v>
      </c>
      <c r="N2935" t="str">
        <f>IF(交易處理資料__3[[#This Row],[上班時間]]=0,"否","是")</f>
        <v>是</v>
      </c>
      <c r="O2935" t="s">
        <v>76</v>
      </c>
      <c r="P2935" s="38">
        <v>0.4856630824</v>
      </c>
      <c r="Q2935" s="38">
        <v>0.33659999999999995</v>
      </c>
      <c r="R2935" s="38">
        <v>0.73659999999999992</v>
      </c>
    </row>
    <row r="2936" spans="1:18" hidden="1">
      <c r="A2936" t="s">
        <v>76</v>
      </c>
      <c r="B2936" t="s">
        <v>26</v>
      </c>
      <c r="C2936">
        <v>0</v>
      </c>
      <c r="D2936">
        <v>0</v>
      </c>
      <c r="E2936" s="29">
        <v>0</v>
      </c>
      <c r="F2936">
        <v>0</v>
      </c>
      <c r="G2936">
        <v>8.8000000000000007</v>
      </c>
      <c r="H2936">
        <v>8.8000000000000007</v>
      </c>
      <c r="I2936" s="29">
        <v>0</v>
      </c>
      <c r="J2936" s="29">
        <v>0</v>
      </c>
      <c r="K2936" s="9">
        <v>45366</v>
      </c>
      <c r="L2936">
        <f xml:space="preserve"> (交易處理資料__3[[#This Row],[售出工時]] * 60) / 5</f>
        <v>0</v>
      </c>
      <c r="M2936" t="str">
        <f>VLOOKUP(交易處理資料__3[[#This Row],[人員代號]],團隊分組!$B$1:$C$52,2,FALSE)</f>
        <v>查修團隊B</v>
      </c>
      <c r="N2936" t="str">
        <f>IF(交易處理資料__3[[#This Row],[上班時間]]=0,"否","是")</f>
        <v>是</v>
      </c>
      <c r="O2936" t="s">
        <v>76</v>
      </c>
      <c r="P2936" s="37">
        <v>0</v>
      </c>
      <c r="Q2936" s="37">
        <v>0</v>
      </c>
      <c r="R2936" s="37">
        <v>0</v>
      </c>
    </row>
    <row r="2937" spans="1:18" hidden="1">
      <c r="A2937" t="s">
        <v>76</v>
      </c>
      <c r="B2937" t="s">
        <v>27</v>
      </c>
      <c r="C2937">
        <v>7.903333333</v>
      </c>
      <c r="D2937">
        <v>4.95</v>
      </c>
      <c r="E2937" s="29">
        <v>1.5966329970000002</v>
      </c>
      <c r="F2937">
        <v>7.7</v>
      </c>
      <c r="G2937">
        <v>0.42</v>
      </c>
      <c r="H2937">
        <v>8.1199999999999992</v>
      </c>
      <c r="I2937" s="29">
        <v>0.94830000000000003</v>
      </c>
      <c r="J2937" s="29">
        <v>0.97329999999999994</v>
      </c>
      <c r="K2937" s="9">
        <v>45366</v>
      </c>
      <c r="L2937">
        <f xml:space="preserve"> (交易處理資料__3[[#This Row],[售出工時]] * 60) / 5</f>
        <v>94.839999995999989</v>
      </c>
      <c r="M2937" t="str">
        <f>VLOOKUP(交易處理資料__3[[#This Row],[人員代號]],團隊分組!$B$1:$C$52,2,FALSE)</f>
        <v>快速保養團隊B</v>
      </c>
      <c r="N2937" t="str">
        <f>IF(交易處理資料__3[[#This Row],[上班時間]]=0,"否","是")</f>
        <v>是</v>
      </c>
      <c r="O2937" t="s">
        <v>76</v>
      </c>
      <c r="P2937" s="38">
        <v>1.5966329970000002</v>
      </c>
      <c r="Q2937" s="38">
        <v>0.97329999999999994</v>
      </c>
      <c r="R2937" s="38">
        <v>0.94830000000000003</v>
      </c>
    </row>
    <row r="2938" spans="1:18" hidden="1">
      <c r="A2938" t="s">
        <v>76</v>
      </c>
      <c r="B2938" t="s">
        <v>29</v>
      </c>
      <c r="C2938">
        <v>8.6666666669999994</v>
      </c>
      <c r="D2938">
        <v>7.65</v>
      </c>
      <c r="E2938" s="29">
        <v>1.132897603</v>
      </c>
      <c r="F2938">
        <v>7.84</v>
      </c>
      <c r="G2938">
        <v>0.11</v>
      </c>
      <c r="H2938">
        <v>7.95</v>
      </c>
      <c r="I2938" s="29">
        <v>0.98620000000000008</v>
      </c>
      <c r="J2938" s="29">
        <v>1.0901000000000001</v>
      </c>
      <c r="K2938" s="9">
        <v>45366</v>
      </c>
      <c r="L2938">
        <f xml:space="preserve"> (交易處理資料__3[[#This Row],[售出工時]] * 60) / 5</f>
        <v>104.000000004</v>
      </c>
      <c r="M2938" t="str">
        <f>VLOOKUP(交易處理資料__3[[#This Row],[人員代號]],團隊分組!$B$1:$C$52,2,FALSE)</f>
        <v>查修團隊B</v>
      </c>
      <c r="N2938" t="str">
        <f>IF(交易處理資料__3[[#This Row],[上班時間]]=0,"否","是")</f>
        <v>是</v>
      </c>
      <c r="O2938" t="s">
        <v>76</v>
      </c>
      <c r="P2938" s="37">
        <v>1.132897603</v>
      </c>
      <c r="Q2938" s="37">
        <v>1.0901000000000001</v>
      </c>
      <c r="R2938" s="37">
        <v>0.98620000000000008</v>
      </c>
    </row>
    <row r="2939" spans="1:18" hidden="1">
      <c r="A2939" t="s">
        <v>76</v>
      </c>
      <c r="B2939" t="s">
        <v>30</v>
      </c>
      <c r="C2939">
        <v>18.09333333</v>
      </c>
      <c r="D2939">
        <v>7.44</v>
      </c>
      <c r="E2939" s="29">
        <v>2.4318996419999999</v>
      </c>
      <c r="F2939">
        <v>7.32</v>
      </c>
      <c r="G2939">
        <v>0.83</v>
      </c>
      <c r="H2939">
        <v>8.15</v>
      </c>
      <c r="I2939" s="29">
        <v>0.89819999999999989</v>
      </c>
      <c r="J2939" s="29">
        <v>2.2200000000000002</v>
      </c>
      <c r="K2939" s="9">
        <v>45366</v>
      </c>
      <c r="L2939">
        <f xml:space="preserve"> (交易處理資料__3[[#This Row],[售出工時]] * 60) / 5</f>
        <v>217.11999996</v>
      </c>
      <c r="M2939" t="str">
        <f>VLOOKUP(交易處理資料__3[[#This Row],[人員代號]],團隊分組!$B$1:$C$52,2,FALSE)</f>
        <v>快速保養團隊B</v>
      </c>
      <c r="N2939" t="str">
        <f>IF(交易處理資料__3[[#This Row],[上班時間]]=0,"否","是")</f>
        <v>是</v>
      </c>
      <c r="O2939" t="s">
        <v>76</v>
      </c>
      <c r="P2939" s="38">
        <v>2.4318996419999999</v>
      </c>
      <c r="Q2939" s="38">
        <v>2.2200000000000002</v>
      </c>
      <c r="R2939" s="38">
        <v>0.89819999999999989</v>
      </c>
    </row>
    <row r="2940" spans="1:18" hidden="1">
      <c r="A2940" t="s">
        <v>76</v>
      </c>
      <c r="B2940" t="s">
        <v>32</v>
      </c>
      <c r="C2940">
        <v>0</v>
      </c>
      <c r="D2940">
        <v>0</v>
      </c>
      <c r="E2940" s="29">
        <v>0</v>
      </c>
      <c r="F2940">
        <v>0</v>
      </c>
      <c r="G2940">
        <v>0</v>
      </c>
      <c r="H2940">
        <v>0</v>
      </c>
      <c r="I2940" s="29">
        <v>0</v>
      </c>
      <c r="J2940" s="29">
        <v>0</v>
      </c>
      <c r="K2940" s="9">
        <v>45366</v>
      </c>
      <c r="L2940">
        <f xml:space="preserve"> (交易處理資料__3[[#This Row],[售出工時]] * 60) / 5</f>
        <v>0</v>
      </c>
      <c r="M2940" t="str">
        <f>VLOOKUP(交易處理資料__3[[#This Row],[人員代號]],團隊分組!$B$1:$C$52,2,FALSE)</f>
        <v>快速保養團隊B</v>
      </c>
      <c r="N2940" t="str">
        <f>IF(交易處理資料__3[[#This Row],[上班時間]]=0,"否","是")</f>
        <v>否</v>
      </c>
      <c r="O2940" t="s">
        <v>76</v>
      </c>
      <c r="P2940" s="37">
        <v>0</v>
      </c>
      <c r="Q2940" s="37">
        <v>0</v>
      </c>
      <c r="R2940" s="37">
        <v>0</v>
      </c>
    </row>
    <row r="2941" spans="1:18" hidden="1">
      <c r="A2941" t="s">
        <v>76</v>
      </c>
      <c r="B2941" t="s">
        <v>33</v>
      </c>
      <c r="C2941">
        <v>11.206666670000001</v>
      </c>
      <c r="D2941">
        <v>6.88</v>
      </c>
      <c r="E2941" s="29">
        <v>1.6288759690000001</v>
      </c>
      <c r="F2941">
        <v>6.81</v>
      </c>
      <c r="G2941">
        <v>1.31</v>
      </c>
      <c r="H2941">
        <v>8.1199999999999992</v>
      </c>
      <c r="I2941" s="29">
        <v>0.8387</v>
      </c>
      <c r="J2941" s="29">
        <v>1.3800999999999999</v>
      </c>
      <c r="K2941" s="9">
        <v>45366</v>
      </c>
      <c r="L2941">
        <f xml:space="preserve"> (交易處理資料__3[[#This Row],[售出工時]] * 60) / 5</f>
        <v>134.48000003999999</v>
      </c>
      <c r="M2941" t="str">
        <f>VLOOKUP(交易處理資料__3[[#This Row],[人員代號]],團隊分組!$B$1:$C$52,2,FALSE)</f>
        <v>快速保養團隊B</v>
      </c>
      <c r="N2941" t="str">
        <f>IF(交易處理資料__3[[#This Row],[上班時間]]=0,"否","是")</f>
        <v>是</v>
      </c>
      <c r="O2941" t="s">
        <v>76</v>
      </c>
      <c r="P2941" s="38">
        <v>1.6288759690000001</v>
      </c>
      <c r="Q2941" s="38">
        <v>1.3800999999999999</v>
      </c>
      <c r="R2941" s="38">
        <v>0.8387</v>
      </c>
    </row>
    <row r="2942" spans="1:18" hidden="1">
      <c r="A2942" t="s">
        <v>76</v>
      </c>
      <c r="B2942" t="s">
        <v>35</v>
      </c>
      <c r="C2942">
        <v>4</v>
      </c>
      <c r="D2942">
        <v>4.9400000000000004</v>
      </c>
      <c r="E2942" s="29">
        <v>0.80971659919999994</v>
      </c>
      <c r="F2942">
        <v>4.46</v>
      </c>
      <c r="G2942">
        <v>4.66</v>
      </c>
      <c r="H2942">
        <v>9.1199999999999992</v>
      </c>
      <c r="I2942" s="29">
        <v>0.48899999999999999</v>
      </c>
      <c r="J2942" s="29">
        <v>0.43859999999999999</v>
      </c>
      <c r="K2942" s="9">
        <v>45366</v>
      </c>
      <c r="L2942">
        <f xml:space="preserve"> (交易處理資料__3[[#This Row],[售出工時]] * 60) / 5</f>
        <v>48</v>
      </c>
      <c r="M2942" t="str">
        <f>VLOOKUP(交易處理資料__3[[#This Row],[人員代號]],團隊分組!$B$1:$C$52,2,FALSE)</f>
        <v>查修團隊B</v>
      </c>
      <c r="N2942" t="str">
        <f>IF(交易處理資料__3[[#This Row],[上班時間]]=0,"否","是")</f>
        <v>是</v>
      </c>
      <c r="O2942" t="s">
        <v>76</v>
      </c>
      <c r="P2942" s="37">
        <v>0.80971659919999994</v>
      </c>
      <c r="Q2942" s="37">
        <v>0.43859999999999999</v>
      </c>
      <c r="R2942" s="37">
        <v>0.48899999999999999</v>
      </c>
    </row>
    <row r="2943" spans="1:18" hidden="1">
      <c r="A2943" t="s">
        <v>76</v>
      </c>
      <c r="B2943" t="s">
        <v>37</v>
      </c>
      <c r="C2943">
        <v>0</v>
      </c>
      <c r="D2943">
        <v>0</v>
      </c>
      <c r="E2943" s="29">
        <v>0</v>
      </c>
      <c r="F2943">
        <v>5.12</v>
      </c>
      <c r="G2943">
        <v>2.95</v>
      </c>
      <c r="H2943">
        <v>8.07</v>
      </c>
      <c r="I2943" s="29">
        <v>0.63439999999999996</v>
      </c>
      <c r="J2943" s="29">
        <v>0</v>
      </c>
      <c r="K2943" s="9">
        <v>45366</v>
      </c>
      <c r="L2943">
        <f xml:space="preserve"> (交易處理資料__3[[#This Row],[售出工時]] * 60) / 5</f>
        <v>0</v>
      </c>
      <c r="M2943" t="str">
        <f>VLOOKUP(交易處理資料__3[[#This Row],[人員代號]],團隊分組!$B$1:$C$52,2,FALSE)</f>
        <v>查修團隊A</v>
      </c>
      <c r="N2943" t="str">
        <f>IF(交易處理資料__3[[#This Row],[上班時間]]=0,"否","是")</f>
        <v>是</v>
      </c>
      <c r="O2943" t="s">
        <v>76</v>
      </c>
      <c r="P2943" s="38">
        <v>0</v>
      </c>
      <c r="Q2943" s="38">
        <v>0</v>
      </c>
      <c r="R2943" s="38">
        <v>0.63439999999999996</v>
      </c>
    </row>
    <row r="2944" spans="1:18" hidden="1">
      <c r="A2944" t="s">
        <v>76</v>
      </c>
      <c r="B2944" t="s">
        <v>41</v>
      </c>
      <c r="C2944">
        <v>18</v>
      </c>
      <c r="D2944">
        <v>7.32</v>
      </c>
      <c r="E2944" s="29">
        <v>2.4590163930000002</v>
      </c>
      <c r="F2944">
        <v>9.3699999999999992</v>
      </c>
      <c r="G2944">
        <v>0.26</v>
      </c>
      <c r="H2944">
        <v>9.6300000000000008</v>
      </c>
      <c r="I2944" s="29">
        <v>0.97299999999999998</v>
      </c>
      <c r="J2944" s="29">
        <v>1.8692</v>
      </c>
      <c r="K2944" s="9">
        <v>45366</v>
      </c>
      <c r="L2944">
        <f xml:space="preserve"> (交易處理資料__3[[#This Row],[售出工時]] * 60) / 5</f>
        <v>216</v>
      </c>
      <c r="M2944" t="str">
        <f>VLOOKUP(交易處理資料__3[[#This Row],[人員代號]],團隊分組!$B$1:$C$52,2,FALSE)</f>
        <v>快速保養團隊A</v>
      </c>
      <c r="N2944" t="str">
        <f>IF(交易處理資料__3[[#This Row],[上班時間]]=0,"否","是")</f>
        <v>是</v>
      </c>
      <c r="O2944" t="s">
        <v>76</v>
      </c>
      <c r="P2944" s="37">
        <v>2.4590163930000002</v>
      </c>
      <c r="Q2944" s="37">
        <v>1.8692</v>
      </c>
      <c r="R2944" s="37">
        <v>0.97299999999999998</v>
      </c>
    </row>
    <row r="2945" spans="1:18" hidden="1">
      <c r="A2945" t="s">
        <v>76</v>
      </c>
      <c r="B2945" t="s">
        <v>46</v>
      </c>
      <c r="C2945">
        <v>5</v>
      </c>
      <c r="D2945">
        <v>3.51</v>
      </c>
      <c r="E2945" s="29">
        <v>1.4245014249999999</v>
      </c>
      <c r="F2945">
        <v>4.34</v>
      </c>
      <c r="G2945">
        <v>3.66</v>
      </c>
      <c r="H2945">
        <v>8</v>
      </c>
      <c r="I2945" s="29">
        <v>0.54249999999999998</v>
      </c>
      <c r="J2945" s="29">
        <v>0.625</v>
      </c>
      <c r="K2945" s="9">
        <v>45366</v>
      </c>
      <c r="L2945">
        <f xml:space="preserve"> (交易處理資料__3[[#This Row],[售出工時]] * 60) / 5</f>
        <v>60</v>
      </c>
      <c r="M2945" t="str">
        <f>VLOOKUP(交易處理資料__3[[#This Row],[人員代號]],團隊分組!$B$1:$C$52,2,FALSE)</f>
        <v>查修團隊B</v>
      </c>
      <c r="N2945" t="str">
        <f>IF(交易處理資料__3[[#This Row],[上班時間]]=0,"否","是")</f>
        <v>是</v>
      </c>
      <c r="O2945" t="s">
        <v>76</v>
      </c>
      <c r="P2945" s="38">
        <v>1.4245014249999999</v>
      </c>
      <c r="Q2945" s="38">
        <v>0.625</v>
      </c>
      <c r="R2945" s="38">
        <v>0.54249999999999998</v>
      </c>
    </row>
    <row r="2946" spans="1:18" hidden="1">
      <c r="A2946" t="s">
        <v>76</v>
      </c>
      <c r="B2946" t="s">
        <v>47</v>
      </c>
      <c r="C2946">
        <v>4</v>
      </c>
      <c r="D2946">
        <v>2.85</v>
      </c>
      <c r="E2946" s="29">
        <v>1.4035087720000001</v>
      </c>
      <c r="F2946">
        <v>6.38</v>
      </c>
      <c r="G2946">
        <v>1.65</v>
      </c>
      <c r="H2946">
        <v>8.0299999999999994</v>
      </c>
      <c r="I2946" s="29">
        <v>0.79449999999999998</v>
      </c>
      <c r="J2946" s="29">
        <v>0.49810000000000004</v>
      </c>
      <c r="K2946" s="9">
        <v>45366</v>
      </c>
      <c r="L2946">
        <f xml:space="preserve"> (交易處理資料__3[[#This Row],[售出工時]] * 60) / 5</f>
        <v>48</v>
      </c>
      <c r="M2946" t="str">
        <f>VLOOKUP(交易處理資料__3[[#This Row],[人員代號]],團隊分組!$B$1:$C$52,2,FALSE)</f>
        <v>查修團隊B</v>
      </c>
      <c r="N2946" t="str">
        <f>IF(交易處理資料__3[[#This Row],[上班時間]]=0,"否","是")</f>
        <v>是</v>
      </c>
      <c r="O2946" t="s">
        <v>76</v>
      </c>
      <c r="P2946" s="37">
        <v>1.4035087720000001</v>
      </c>
      <c r="Q2946" s="37">
        <v>0.49810000000000004</v>
      </c>
      <c r="R2946" s="37">
        <v>0.79449999999999998</v>
      </c>
    </row>
    <row r="2947" spans="1:18" hidden="1">
      <c r="A2947" t="s">
        <v>76</v>
      </c>
      <c r="B2947" t="s">
        <v>48</v>
      </c>
      <c r="C2947">
        <v>0.85</v>
      </c>
      <c r="D2947">
        <v>1.6</v>
      </c>
      <c r="E2947" s="29">
        <v>0.53125</v>
      </c>
      <c r="F2947">
        <v>4.18</v>
      </c>
      <c r="G2947">
        <v>3.98</v>
      </c>
      <c r="H2947">
        <v>8.16</v>
      </c>
      <c r="I2947" s="29">
        <v>0.51229999999999998</v>
      </c>
      <c r="J2947" s="29">
        <v>0.1042</v>
      </c>
      <c r="K2947" s="9">
        <v>45366</v>
      </c>
      <c r="L2947">
        <f xml:space="preserve"> (交易處理資料__3[[#This Row],[售出工時]] * 60) / 5</f>
        <v>10.199999999999999</v>
      </c>
      <c r="M2947" t="str">
        <f>VLOOKUP(交易處理資料__3[[#This Row],[人員代號]],團隊分組!$B$1:$C$52,2,FALSE)</f>
        <v>查修團隊A</v>
      </c>
      <c r="N2947" t="str">
        <f>IF(交易處理資料__3[[#This Row],[上班時間]]=0,"否","是")</f>
        <v>是</v>
      </c>
      <c r="O2947" t="s">
        <v>76</v>
      </c>
      <c r="P2947" s="38">
        <v>0.53125</v>
      </c>
      <c r="Q2947" s="38">
        <v>0.1042</v>
      </c>
      <c r="R2947" s="38">
        <v>0.51229999999999998</v>
      </c>
    </row>
    <row r="2948" spans="1:18" hidden="1">
      <c r="A2948" t="s">
        <v>76</v>
      </c>
      <c r="B2948" t="s">
        <v>49</v>
      </c>
      <c r="C2948">
        <v>0</v>
      </c>
      <c r="D2948">
        <v>0</v>
      </c>
      <c r="E2948" s="29">
        <v>0</v>
      </c>
      <c r="F2948">
        <v>6.74</v>
      </c>
      <c r="G2948">
        <v>1.32</v>
      </c>
      <c r="H2948">
        <v>8.06</v>
      </c>
      <c r="I2948" s="29">
        <v>0.83620000000000005</v>
      </c>
      <c r="J2948" s="29">
        <v>0</v>
      </c>
      <c r="K2948" s="9">
        <v>45366</v>
      </c>
      <c r="L2948">
        <f xml:space="preserve"> (交易處理資料__3[[#This Row],[售出工時]] * 60) / 5</f>
        <v>0</v>
      </c>
      <c r="M2948" t="str">
        <f>VLOOKUP(交易處理資料__3[[#This Row],[人員代號]],團隊分組!$B$1:$C$52,2,FALSE)</f>
        <v>查修團隊A</v>
      </c>
      <c r="N2948" t="str">
        <f>IF(交易處理資料__3[[#This Row],[上班時間]]=0,"否","是")</f>
        <v>是</v>
      </c>
      <c r="O2948" t="s">
        <v>76</v>
      </c>
      <c r="P2948" s="37">
        <v>0</v>
      </c>
      <c r="Q2948" s="37">
        <v>0</v>
      </c>
      <c r="R2948" s="37">
        <v>0.83620000000000005</v>
      </c>
    </row>
    <row r="2949" spans="1:18" hidden="1">
      <c r="A2949" t="s">
        <v>76</v>
      </c>
      <c r="B2949" t="s">
        <v>50</v>
      </c>
      <c r="C2949">
        <v>13.096666669999999</v>
      </c>
      <c r="D2949">
        <v>9.36</v>
      </c>
      <c r="E2949" s="29">
        <v>1.3992165240000001</v>
      </c>
      <c r="F2949">
        <v>9.76</v>
      </c>
      <c r="G2949">
        <v>0.3</v>
      </c>
      <c r="H2949">
        <v>10.06</v>
      </c>
      <c r="I2949" s="29">
        <v>0.97019999999999995</v>
      </c>
      <c r="J2949" s="29">
        <v>1.3019000000000001</v>
      </c>
      <c r="K2949" s="9">
        <v>45366</v>
      </c>
      <c r="L2949">
        <f xml:space="preserve"> (交易處理資料__3[[#This Row],[售出工時]] * 60) / 5</f>
        <v>157.16000004</v>
      </c>
      <c r="M2949" t="str">
        <f>VLOOKUP(交易處理資料__3[[#This Row],[人員代號]],團隊分組!$B$1:$C$52,2,FALSE)</f>
        <v>快速保養團隊B</v>
      </c>
      <c r="N2949" t="str">
        <f>IF(交易處理資料__3[[#This Row],[上班時間]]=0,"否","是")</f>
        <v>是</v>
      </c>
      <c r="O2949" t="s">
        <v>76</v>
      </c>
      <c r="P2949" s="38">
        <v>1.3992165240000001</v>
      </c>
      <c r="Q2949" s="38">
        <v>1.3019000000000001</v>
      </c>
      <c r="R2949" s="38">
        <v>0.97019999999999995</v>
      </c>
    </row>
    <row r="2950" spans="1:18" hidden="1">
      <c r="A2950" t="s">
        <v>76</v>
      </c>
      <c r="B2950" t="s">
        <v>51</v>
      </c>
      <c r="C2950">
        <v>0</v>
      </c>
      <c r="D2950">
        <v>0</v>
      </c>
      <c r="E2950" s="29">
        <v>0</v>
      </c>
      <c r="F2950">
        <v>0</v>
      </c>
      <c r="G2950">
        <v>0</v>
      </c>
      <c r="H2950">
        <v>0</v>
      </c>
      <c r="I2950" s="29">
        <v>0</v>
      </c>
      <c r="J2950" s="29">
        <v>0</v>
      </c>
      <c r="K2950" s="9">
        <v>45366</v>
      </c>
      <c r="L2950">
        <f xml:space="preserve"> (交易處理資料__3[[#This Row],[售出工時]] * 60) / 5</f>
        <v>0</v>
      </c>
      <c r="M2950" t="str">
        <f>VLOOKUP(交易處理資料__3[[#This Row],[人員代號]],團隊分組!$B$1:$C$52,2,FALSE)</f>
        <v>無效數據</v>
      </c>
      <c r="N2950" t="str">
        <f>IF(交易處理資料__3[[#This Row],[上班時間]]=0,"否","是")</f>
        <v>否</v>
      </c>
      <c r="O2950" t="s">
        <v>76</v>
      </c>
      <c r="P2950" s="37">
        <v>0</v>
      </c>
      <c r="Q2950" s="37">
        <v>0</v>
      </c>
      <c r="R2950" s="37">
        <v>0</v>
      </c>
    </row>
    <row r="2951" spans="1:18" hidden="1">
      <c r="A2951" t="s">
        <v>76</v>
      </c>
      <c r="B2951" t="s">
        <v>52</v>
      </c>
      <c r="C2951">
        <v>0</v>
      </c>
      <c r="D2951">
        <v>0</v>
      </c>
      <c r="E2951" s="29">
        <v>0</v>
      </c>
      <c r="F2951">
        <v>6.34</v>
      </c>
      <c r="G2951">
        <v>1.6</v>
      </c>
      <c r="H2951">
        <v>7.94</v>
      </c>
      <c r="I2951" s="29">
        <v>0.79849999999999999</v>
      </c>
      <c r="J2951" s="29">
        <v>0</v>
      </c>
      <c r="K2951" s="9">
        <v>45366</v>
      </c>
      <c r="L2951">
        <f xml:space="preserve"> (交易處理資料__3[[#This Row],[售出工時]] * 60) / 5</f>
        <v>0</v>
      </c>
      <c r="M2951" t="str">
        <f>VLOOKUP(交易處理資料__3[[#This Row],[人員代號]],團隊分組!$B$1:$C$52,2,FALSE)</f>
        <v>查修團隊B</v>
      </c>
      <c r="N2951" t="str">
        <f>IF(交易處理資料__3[[#This Row],[上班時間]]=0,"否","是")</f>
        <v>是</v>
      </c>
      <c r="O2951" t="s">
        <v>76</v>
      </c>
      <c r="P2951" s="38">
        <v>0</v>
      </c>
      <c r="Q2951" s="38">
        <v>0</v>
      </c>
      <c r="R2951" s="38">
        <v>0.79849999999999999</v>
      </c>
    </row>
    <row r="2952" spans="1:18" hidden="1">
      <c r="A2952" t="s">
        <v>76</v>
      </c>
      <c r="B2952" t="s">
        <v>53</v>
      </c>
      <c r="C2952">
        <v>11.233333330000001</v>
      </c>
      <c r="D2952">
        <v>7.59</v>
      </c>
      <c r="E2952" s="29">
        <v>1.480017567</v>
      </c>
      <c r="F2952">
        <v>6.27</v>
      </c>
      <c r="G2952">
        <v>1.8</v>
      </c>
      <c r="H2952">
        <v>8.07</v>
      </c>
      <c r="I2952" s="29">
        <v>0.77700000000000002</v>
      </c>
      <c r="J2952" s="29">
        <v>1.3919999999999999</v>
      </c>
      <c r="K2952" s="9">
        <v>45366</v>
      </c>
      <c r="L2952">
        <f xml:space="preserve"> (交易處理資料__3[[#This Row],[售出工時]] * 60) / 5</f>
        <v>134.79999996000001</v>
      </c>
      <c r="M2952" t="str">
        <f>VLOOKUP(交易處理資料__3[[#This Row],[人員代號]],團隊分組!$B$1:$C$52,2,FALSE)</f>
        <v>查修團隊A</v>
      </c>
      <c r="N2952" t="str">
        <f>IF(交易處理資料__3[[#This Row],[上班時間]]=0,"否","是")</f>
        <v>是</v>
      </c>
      <c r="O2952" t="s">
        <v>76</v>
      </c>
      <c r="P2952" s="37">
        <v>1.480017567</v>
      </c>
      <c r="Q2952" s="37">
        <v>1.3919999999999999</v>
      </c>
      <c r="R2952" s="37">
        <v>0.77700000000000002</v>
      </c>
    </row>
    <row r="2953" spans="1:18" hidden="1">
      <c r="A2953" s="10" t="s">
        <v>74</v>
      </c>
      <c r="B2953" t="s">
        <v>1</v>
      </c>
      <c r="C2953">
        <v>0</v>
      </c>
      <c r="D2953">
        <v>0</v>
      </c>
      <c r="E2953" s="29">
        <v>0</v>
      </c>
      <c r="F2953">
        <v>6.38</v>
      </c>
      <c r="G2953">
        <v>1.61</v>
      </c>
      <c r="H2953">
        <v>7.99</v>
      </c>
      <c r="I2953" s="29">
        <v>0.79849999999999999</v>
      </c>
      <c r="J2953" s="29">
        <v>0</v>
      </c>
      <c r="K2953" s="9">
        <v>45367</v>
      </c>
      <c r="L2953">
        <f xml:space="preserve"> (交易處理資料__3[[#This Row],[售出工時]] * 60) / 5</f>
        <v>0</v>
      </c>
      <c r="M2953" t="str">
        <f>VLOOKUP(交易處理資料__3[[#This Row],[人員代號]],團隊分組!$B$1:$C$52,2,FALSE)</f>
        <v>噴漆維修組</v>
      </c>
      <c r="N2953" t="str">
        <f>IF(交易處理資料__3[[#This Row],[上班時間]]=0,"否","是")</f>
        <v>是</v>
      </c>
      <c r="O2953" s="10" t="s">
        <v>74</v>
      </c>
      <c r="P2953" s="38">
        <v>0</v>
      </c>
      <c r="Q2953" s="38">
        <v>0</v>
      </c>
      <c r="R2953" s="38">
        <v>0.79849999999999999</v>
      </c>
    </row>
    <row r="2954" spans="1:18" hidden="1">
      <c r="A2954" s="10" t="s">
        <v>74</v>
      </c>
      <c r="B2954" t="s">
        <v>2</v>
      </c>
      <c r="C2954">
        <v>0</v>
      </c>
      <c r="D2954">
        <v>0</v>
      </c>
      <c r="E2954" s="29">
        <v>0</v>
      </c>
      <c r="F2954">
        <v>0</v>
      </c>
      <c r="G2954">
        <v>0</v>
      </c>
      <c r="H2954">
        <v>0</v>
      </c>
      <c r="I2954" s="29">
        <v>0</v>
      </c>
      <c r="J2954" s="29">
        <v>0</v>
      </c>
      <c r="K2954" s="9">
        <v>45367</v>
      </c>
      <c r="L2954">
        <f xml:space="preserve"> (交易處理資料__3[[#This Row],[售出工時]] * 60) / 5</f>
        <v>0</v>
      </c>
      <c r="M2954" t="str">
        <f>VLOOKUP(交易處理資料__3[[#This Row],[人員代號]],團隊分組!$B$1:$C$52,2,FALSE)</f>
        <v>噴漆維修組</v>
      </c>
      <c r="N2954" t="str">
        <f>IF(交易處理資料__3[[#This Row],[上班時間]]=0,"否","是")</f>
        <v>否</v>
      </c>
      <c r="O2954" s="10" t="s">
        <v>74</v>
      </c>
      <c r="P2954" s="37">
        <v>0</v>
      </c>
      <c r="Q2954" s="37">
        <v>0</v>
      </c>
      <c r="R2954" s="37">
        <v>0</v>
      </c>
    </row>
    <row r="2955" spans="1:18" hidden="1">
      <c r="A2955" s="10" t="s">
        <v>74</v>
      </c>
      <c r="B2955" t="s">
        <v>3</v>
      </c>
      <c r="C2955">
        <v>0</v>
      </c>
      <c r="D2955">
        <v>0</v>
      </c>
      <c r="E2955" s="29">
        <v>0</v>
      </c>
      <c r="F2955">
        <v>0</v>
      </c>
      <c r="G2955">
        <v>0</v>
      </c>
      <c r="H2955">
        <v>0</v>
      </c>
      <c r="I2955" s="29">
        <v>0</v>
      </c>
      <c r="J2955" s="29">
        <v>0</v>
      </c>
      <c r="K2955" s="9">
        <v>45367</v>
      </c>
      <c r="L2955">
        <f xml:space="preserve"> (交易處理資料__3[[#This Row],[售出工時]] * 60) / 5</f>
        <v>0</v>
      </c>
      <c r="M2955" t="str">
        <f>VLOOKUP(交易處理資料__3[[#This Row],[人員代號]],團隊分組!$B$1:$C$52,2,FALSE)</f>
        <v>噴漆維修組</v>
      </c>
      <c r="N2955" t="str">
        <f>IF(交易處理資料__3[[#This Row],[上班時間]]=0,"否","是")</f>
        <v>否</v>
      </c>
      <c r="O2955" s="10" t="s">
        <v>74</v>
      </c>
      <c r="P2955" s="38">
        <v>0</v>
      </c>
      <c r="Q2955" s="38">
        <v>0</v>
      </c>
      <c r="R2955" s="38">
        <v>0</v>
      </c>
    </row>
    <row r="2956" spans="1:18" hidden="1">
      <c r="A2956" s="10" t="s">
        <v>74</v>
      </c>
      <c r="B2956" t="s">
        <v>4</v>
      </c>
      <c r="C2956">
        <v>0</v>
      </c>
      <c r="D2956">
        <v>0</v>
      </c>
      <c r="E2956" s="29">
        <v>0</v>
      </c>
      <c r="F2956">
        <v>0</v>
      </c>
      <c r="G2956">
        <v>0</v>
      </c>
      <c r="H2956">
        <v>0</v>
      </c>
      <c r="I2956" s="29">
        <v>0</v>
      </c>
      <c r="J2956" s="29">
        <v>0</v>
      </c>
      <c r="K2956" s="9">
        <v>45367</v>
      </c>
      <c r="L2956">
        <f xml:space="preserve"> (交易處理資料__3[[#This Row],[售出工時]] * 60) / 5</f>
        <v>0</v>
      </c>
      <c r="M2956" t="str">
        <f>VLOOKUP(交易處理資料__3[[#This Row],[人員代號]],團隊分組!$B$1:$C$52,2,FALSE)</f>
        <v>噴漆維修組</v>
      </c>
      <c r="N2956" t="str">
        <f>IF(交易處理資料__3[[#This Row],[上班時間]]=0,"否","是")</f>
        <v>否</v>
      </c>
      <c r="O2956" s="10" t="s">
        <v>74</v>
      </c>
      <c r="P2956" s="37">
        <v>0</v>
      </c>
      <c r="Q2956" s="37">
        <v>0</v>
      </c>
      <c r="R2956" s="37">
        <v>0</v>
      </c>
    </row>
    <row r="2957" spans="1:18" hidden="1">
      <c r="A2957" s="10" t="s">
        <v>74</v>
      </c>
      <c r="B2957" t="s">
        <v>6</v>
      </c>
      <c r="C2957">
        <v>0</v>
      </c>
      <c r="D2957">
        <v>0</v>
      </c>
      <c r="E2957" s="29">
        <v>0</v>
      </c>
      <c r="F2957">
        <v>0</v>
      </c>
      <c r="G2957">
        <v>0</v>
      </c>
      <c r="H2957">
        <v>0</v>
      </c>
      <c r="I2957" s="29">
        <v>0</v>
      </c>
      <c r="J2957" s="29">
        <v>0</v>
      </c>
      <c r="K2957" s="9">
        <v>45367</v>
      </c>
      <c r="L2957">
        <f xml:space="preserve"> (交易處理資料__3[[#This Row],[售出工時]] * 60) / 5</f>
        <v>0</v>
      </c>
      <c r="M2957" t="str">
        <f>VLOOKUP(交易處理資料__3[[#This Row],[人員代號]],團隊分組!$B$1:$C$52,2,FALSE)</f>
        <v>噴漆維修組</v>
      </c>
      <c r="N2957" t="str">
        <f>IF(交易處理資料__3[[#This Row],[上班時間]]=0,"否","是")</f>
        <v>否</v>
      </c>
      <c r="O2957" s="10" t="s">
        <v>74</v>
      </c>
      <c r="P2957" s="38">
        <v>0</v>
      </c>
      <c r="Q2957" s="38">
        <v>0</v>
      </c>
      <c r="R2957" s="38">
        <v>0</v>
      </c>
    </row>
    <row r="2958" spans="1:18">
      <c r="A2958" s="10" t="s">
        <v>74</v>
      </c>
      <c r="B2958" t="s">
        <v>7</v>
      </c>
      <c r="C2958">
        <v>0</v>
      </c>
      <c r="D2958">
        <v>0</v>
      </c>
      <c r="E2958" s="29">
        <v>0</v>
      </c>
      <c r="F2958">
        <v>0</v>
      </c>
      <c r="G2958">
        <v>0</v>
      </c>
      <c r="H2958">
        <v>0</v>
      </c>
      <c r="I2958" s="29">
        <v>0</v>
      </c>
      <c r="J2958" s="29">
        <v>0</v>
      </c>
      <c r="K2958" s="9">
        <v>45367</v>
      </c>
      <c r="L2958">
        <f xml:space="preserve"> (交易處理資料__3[[#This Row],[售出工時]] * 60) / 5</f>
        <v>0</v>
      </c>
      <c r="M2958" t="str">
        <f>VLOOKUP(交易處理資料__3[[#This Row],[人員代號]],團隊分組!$B$1:$C$52,2,FALSE)</f>
        <v>噴漆維修組</v>
      </c>
      <c r="N2958" t="str">
        <f>IF(交易處理資料__3[[#This Row],[上班時間]]=0,"否","是")</f>
        <v>否</v>
      </c>
      <c r="O2958" s="10" t="s">
        <v>74</v>
      </c>
      <c r="P2958" s="37">
        <v>0</v>
      </c>
      <c r="Q2958" s="37">
        <v>0</v>
      </c>
      <c r="R2958" s="37">
        <v>0</v>
      </c>
    </row>
    <row r="2959" spans="1:18" hidden="1">
      <c r="A2959" s="10" t="s">
        <v>74</v>
      </c>
      <c r="B2959" t="s">
        <v>8</v>
      </c>
      <c r="C2959">
        <v>0</v>
      </c>
      <c r="D2959">
        <v>0</v>
      </c>
      <c r="E2959" s="29">
        <v>0</v>
      </c>
      <c r="F2959">
        <v>0</v>
      </c>
      <c r="G2959">
        <v>0</v>
      </c>
      <c r="H2959">
        <v>0</v>
      </c>
      <c r="I2959" s="29">
        <v>0</v>
      </c>
      <c r="J2959" s="29">
        <v>0</v>
      </c>
      <c r="K2959" s="9">
        <v>45367</v>
      </c>
      <c r="L2959">
        <f xml:space="preserve"> (交易處理資料__3[[#This Row],[售出工時]] * 60) / 5</f>
        <v>0</v>
      </c>
      <c r="M2959" t="str">
        <f>VLOOKUP(交易處理資料__3[[#This Row],[人員代號]],團隊分組!$B$1:$C$52,2,FALSE)</f>
        <v>噴漆維修組</v>
      </c>
      <c r="N2959" t="str">
        <f>IF(交易處理資料__3[[#This Row],[上班時間]]=0,"否","是")</f>
        <v>否</v>
      </c>
      <c r="O2959" s="10" t="s">
        <v>74</v>
      </c>
      <c r="P2959" s="38">
        <v>0</v>
      </c>
      <c r="Q2959" s="38">
        <v>0</v>
      </c>
      <c r="R2959" s="38">
        <v>0</v>
      </c>
    </row>
    <row r="2960" spans="1:18" hidden="1">
      <c r="A2960" s="10" t="s">
        <v>74</v>
      </c>
      <c r="B2960" t="s">
        <v>9</v>
      </c>
      <c r="C2960">
        <v>0</v>
      </c>
      <c r="D2960">
        <v>0</v>
      </c>
      <c r="E2960" s="29">
        <v>0</v>
      </c>
      <c r="F2960">
        <v>6.38</v>
      </c>
      <c r="G2960">
        <v>1.63</v>
      </c>
      <c r="H2960">
        <v>8.01</v>
      </c>
      <c r="I2960" s="29">
        <v>0.7965000000000001</v>
      </c>
      <c r="J2960" s="29">
        <v>0</v>
      </c>
      <c r="K2960" s="9">
        <v>45367</v>
      </c>
      <c r="L2960">
        <f xml:space="preserve"> (交易處理資料__3[[#This Row],[售出工時]] * 60) / 5</f>
        <v>0</v>
      </c>
      <c r="M2960" t="str">
        <f>VLOOKUP(交易處理資料__3[[#This Row],[人員代號]],團隊分組!$B$1:$C$52,2,FALSE)</f>
        <v>噴漆維修組</v>
      </c>
      <c r="N2960" t="str">
        <f>IF(交易處理資料__3[[#This Row],[上班時間]]=0,"否","是")</f>
        <v>是</v>
      </c>
      <c r="O2960" s="10" t="s">
        <v>74</v>
      </c>
      <c r="P2960" s="37">
        <v>0</v>
      </c>
      <c r="Q2960" s="37">
        <v>0</v>
      </c>
      <c r="R2960" s="37">
        <v>0.7965000000000001</v>
      </c>
    </row>
    <row r="2961" spans="1:18" hidden="1">
      <c r="A2961" t="s">
        <v>75</v>
      </c>
      <c r="B2961" t="s">
        <v>11</v>
      </c>
      <c r="C2961">
        <v>0</v>
      </c>
      <c r="D2961">
        <v>0</v>
      </c>
      <c r="E2961" s="29">
        <v>0</v>
      </c>
      <c r="F2961">
        <v>0</v>
      </c>
      <c r="G2961">
        <v>0</v>
      </c>
      <c r="H2961">
        <v>0</v>
      </c>
      <c r="I2961" s="29">
        <v>0</v>
      </c>
      <c r="J2961" s="29">
        <v>0</v>
      </c>
      <c r="K2961" s="9">
        <v>45367</v>
      </c>
      <c r="L2961">
        <f xml:space="preserve"> (交易處理資料__3[[#This Row],[售出工時]] * 60) / 5</f>
        <v>0</v>
      </c>
      <c r="M2961" t="str">
        <f>VLOOKUP(交易處理資料__3[[#This Row],[人員代號]],團隊分組!$B$1:$C$52,2,FALSE)</f>
        <v>鈑金維修組</v>
      </c>
      <c r="N2961" t="str">
        <f>IF(交易處理資料__3[[#This Row],[上班時間]]=0,"否","是")</f>
        <v>否</v>
      </c>
      <c r="O2961" t="s">
        <v>75</v>
      </c>
      <c r="P2961" s="38">
        <v>0</v>
      </c>
      <c r="Q2961" s="38">
        <v>0</v>
      </c>
      <c r="R2961" s="38">
        <v>0</v>
      </c>
    </row>
    <row r="2962" spans="1:18" hidden="1">
      <c r="A2962" t="s">
        <v>75</v>
      </c>
      <c r="B2962" t="s">
        <v>12</v>
      </c>
      <c r="C2962">
        <v>3.75</v>
      </c>
      <c r="D2962">
        <v>3.15</v>
      </c>
      <c r="E2962" s="29">
        <v>1.19047619</v>
      </c>
      <c r="F2962">
        <v>5</v>
      </c>
      <c r="G2962">
        <v>3.08</v>
      </c>
      <c r="H2962">
        <v>8.08</v>
      </c>
      <c r="I2962" s="29">
        <v>0.61880000000000002</v>
      </c>
      <c r="J2962" s="29">
        <v>0.46409999999999996</v>
      </c>
      <c r="K2962" s="9">
        <v>45367</v>
      </c>
      <c r="L2962">
        <f xml:space="preserve"> (交易處理資料__3[[#This Row],[售出工時]] * 60) / 5</f>
        <v>45</v>
      </c>
      <c r="M2962" t="str">
        <f>VLOOKUP(交易處理資料__3[[#This Row],[人員代號]],團隊分組!$B$1:$C$52,2,FALSE)</f>
        <v>鈑金維修組</v>
      </c>
      <c r="N2962" t="str">
        <f>IF(交易處理資料__3[[#This Row],[上班時間]]=0,"否","是")</f>
        <v>是</v>
      </c>
      <c r="O2962" t="s">
        <v>75</v>
      </c>
      <c r="P2962" s="37">
        <v>1.19047619</v>
      </c>
      <c r="Q2962" s="37">
        <v>0.46409999999999996</v>
      </c>
      <c r="R2962" s="37">
        <v>0.61880000000000002</v>
      </c>
    </row>
    <row r="2963" spans="1:18" hidden="1">
      <c r="A2963" t="s">
        <v>75</v>
      </c>
      <c r="B2963" t="s">
        <v>13</v>
      </c>
      <c r="C2963">
        <v>0</v>
      </c>
      <c r="D2963">
        <v>0</v>
      </c>
      <c r="E2963" s="29">
        <v>0</v>
      </c>
      <c r="F2963">
        <v>0</v>
      </c>
      <c r="G2963">
        <v>0</v>
      </c>
      <c r="H2963">
        <v>0</v>
      </c>
      <c r="I2963" s="29">
        <v>0</v>
      </c>
      <c r="J2963" s="29">
        <v>0</v>
      </c>
      <c r="K2963" s="9">
        <v>45367</v>
      </c>
      <c r="L2963">
        <f xml:space="preserve"> (交易處理資料__3[[#This Row],[售出工時]] * 60) / 5</f>
        <v>0</v>
      </c>
      <c r="M2963" t="str">
        <f>VLOOKUP(交易處理資料__3[[#This Row],[人員代號]],團隊分組!$B$1:$C$52,2,FALSE)</f>
        <v>鈑金維修組</v>
      </c>
      <c r="N2963" t="str">
        <f>IF(交易處理資料__3[[#This Row],[上班時間]]=0,"否","是")</f>
        <v>否</v>
      </c>
      <c r="O2963" t="s">
        <v>75</v>
      </c>
      <c r="P2963" s="38">
        <v>0</v>
      </c>
      <c r="Q2963" s="38">
        <v>0</v>
      </c>
      <c r="R2963" s="38">
        <v>0</v>
      </c>
    </row>
    <row r="2964" spans="1:18" hidden="1">
      <c r="A2964" t="s">
        <v>75</v>
      </c>
      <c r="B2964" t="s">
        <v>14</v>
      </c>
      <c r="C2964">
        <v>0</v>
      </c>
      <c r="D2964">
        <v>0</v>
      </c>
      <c r="E2964" s="29">
        <v>0</v>
      </c>
      <c r="F2964">
        <v>0</v>
      </c>
      <c r="G2964">
        <v>0</v>
      </c>
      <c r="H2964">
        <v>0</v>
      </c>
      <c r="I2964" s="29">
        <v>0</v>
      </c>
      <c r="J2964" s="29">
        <v>0</v>
      </c>
      <c r="K2964" s="9">
        <v>45367</v>
      </c>
      <c r="L2964">
        <f xml:space="preserve"> (交易處理資料__3[[#This Row],[售出工時]] * 60) / 5</f>
        <v>0</v>
      </c>
      <c r="M2964" t="str">
        <f>VLOOKUP(交易處理資料__3[[#This Row],[人員代號]],團隊分組!$B$1:$C$52,2,FALSE)</f>
        <v>鈑金維修組</v>
      </c>
      <c r="N2964" t="str">
        <f>IF(交易處理資料__3[[#This Row],[上班時間]]=0,"否","是")</f>
        <v>否</v>
      </c>
      <c r="O2964" t="s">
        <v>75</v>
      </c>
      <c r="P2964" s="37">
        <v>0</v>
      </c>
      <c r="Q2964" s="37">
        <v>0</v>
      </c>
      <c r="R2964" s="37">
        <v>0</v>
      </c>
    </row>
    <row r="2965" spans="1:18" hidden="1">
      <c r="A2965" t="s">
        <v>75</v>
      </c>
      <c r="B2965" t="s">
        <v>15</v>
      </c>
      <c r="C2965">
        <v>0</v>
      </c>
      <c r="D2965">
        <v>0</v>
      </c>
      <c r="E2965" s="29">
        <v>0</v>
      </c>
      <c r="F2965">
        <v>6</v>
      </c>
      <c r="G2965">
        <v>2.0499999999999998</v>
      </c>
      <c r="H2965">
        <v>8.0500000000000007</v>
      </c>
      <c r="I2965" s="29">
        <v>0.74529999999999996</v>
      </c>
      <c r="J2965" s="29">
        <v>0</v>
      </c>
      <c r="K2965" s="9">
        <v>45367</v>
      </c>
      <c r="L2965">
        <f xml:space="preserve"> (交易處理資料__3[[#This Row],[售出工時]] * 60) / 5</f>
        <v>0</v>
      </c>
      <c r="M2965" t="str">
        <f>VLOOKUP(交易處理資料__3[[#This Row],[人員代號]],團隊分組!$B$1:$C$52,2,FALSE)</f>
        <v>鈑金維修組</v>
      </c>
      <c r="N2965" t="str">
        <f>IF(交易處理資料__3[[#This Row],[上班時間]]=0,"否","是")</f>
        <v>是</v>
      </c>
      <c r="O2965" t="s">
        <v>75</v>
      </c>
      <c r="P2965" s="38">
        <v>0</v>
      </c>
      <c r="Q2965" s="38">
        <v>0</v>
      </c>
      <c r="R2965" s="38">
        <v>0.74529999999999996</v>
      </c>
    </row>
    <row r="2966" spans="1:18" hidden="1">
      <c r="A2966" t="s">
        <v>76</v>
      </c>
      <c r="B2966" t="s">
        <v>19</v>
      </c>
      <c r="C2966">
        <v>0</v>
      </c>
      <c r="D2966">
        <v>0</v>
      </c>
      <c r="E2966" s="29">
        <v>0</v>
      </c>
      <c r="F2966">
        <v>0</v>
      </c>
      <c r="G2966">
        <v>0</v>
      </c>
      <c r="H2966">
        <v>0</v>
      </c>
      <c r="I2966" s="29">
        <v>0</v>
      </c>
      <c r="J2966" s="29">
        <v>0</v>
      </c>
      <c r="K2966" s="9">
        <v>45367</v>
      </c>
      <c r="L2966">
        <f xml:space="preserve"> (交易處理資料__3[[#This Row],[售出工時]] * 60) / 5</f>
        <v>0</v>
      </c>
      <c r="M2966" t="str">
        <f>VLOOKUP(交易處理資料__3[[#This Row],[人員代號]],團隊分組!$B$1:$C$52,2,FALSE)</f>
        <v>查修團隊A</v>
      </c>
      <c r="N2966" t="str">
        <f>IF(交易處理資料__3[[#This Row],[上班時間]]=0,"否","是")</f>
        <v>否</v>
      </c>
      <c r="O2966" t="s">
        <v>76</v>
      </c>
      <c r="P2966" s="37">
        <v>0</v>
      </c>
      <c r="Q2966" s="37">
        <v>0</v>
      </c>
      <c r="R2966" s="37">
        <v>0</v>
      </c>
    </row>
    <row r="2967" spans="1:18" hidden="1">
      <c r="A2967" t="s">
        <v>76</v>
      </c>
      <c r="B2967" t="s">
        <v>20</v>
      </c>
      <c r="C2967">
        <v>0</v>
      </c>
      <c r="D2967">
        <v>0</v>
      </c>
      <c r="E2967" s="29">
        <v>0</v>
      </c>
      <c r="F2967">
        <v>0</v>
      </c>
      <c r="G2967">
        <v>0</v>
      </c>
      <c r="H2967">
        <v>0</v>
      </c>
      <c r="I2967" s="29">
        <v>0</v>
      </c>
      <c r="J2967" s="29">
        <v>0</v>
      </c>
      <c r="K2967" s="9">
        <v>45367</v>
      </c>
      <c r="L2967">
        <f xml:space="preserve"> (交易處理資料__3[[#This Row],[售出工時]] * 60) / 5</f>
        <v>0</v>
      </c>
      <c r="M2967" t="str">
        <f>VLOOKUP(交易處理資料__3[[#This Row],[人員代號]],團隊分組!$B$1:$C$52,2,FALSE)</f>
        <v>查修團隊B</v>
      </c>
      <c r="N2967" t="str">
        <f>IF(交易處理資料__3[[#This Row],[上班時間]]=0,"否","是")</f>
        <v>否</v>
      </c>
      <c r="O2967" t="s">
        <v>76</v>
      </c>
      <c r="P2967" s="38">
        <v>0</v>
      </c>
      <c r="Q2967" s="38">
        <v>0</v>
      </c>
      <c r="R2967" s="38">
        <v>0</v>
      </c>
    </row>
    <row r="2968" spans="1:18" hidden="1">
      <c r="A2968" t="s">
        <v>76</v>
      </c>
      <c r="B2968" t="s">
        <v>21</v>
      </c>
      <c r="C2968">
        <v>7.266666667</v>
      </c>
      <c r="D2968">
        <v>6.32</v>
      </c>
      <c r="E2968" s="29">
        <v>1.14978903</v>
      </c>
      <c r="F2968">
        <v>3.65</v>
      </c>
      <c r="G2968">
        <v>4.41</v>
      </c>
      <c r="H2968">
        <v>8.06</v>
      </c>
      <c r="I2968" s="29">
        <v>0.45289999999999997</v>
      </c>
      <c r="J2968" s="29">
        <v>0.90159999999999996</v>
      </c>
      <c r="K2968" s="9">
        <v>45367</v>
      </c>
      <c r="L2968">
        <f xml:space="preserve"> (交易處理資料__3[[#This Row],[售出工時]] * 60) / 5</f>
        <v>87.200000004000003</v>
      </c>
      <c r="M2968" t="str">
        <f>VLOOKUP(交易處理資料__3[[#This Row],[人員代號]],團隊分組!$B$1:$C$52,2,FALSE)</f>
        <v>查修團隊B</v>
      </c>
      <c r="N2968" t="str">
        <f>IF(交易處理資料__3[[#This Row],[上班時間]]=0,"否","是")</f>
        <v>是</v>
      </c>
      <c r="O2968" t="s">
        <v>76</v>
      </c>
      <c r="P2968" s="37">
        <v>1.14978903</v>
      </c>
      <c r="Q2968" s="37">
        <v>0.90159999999999996</v>
      </c>
      <c r="R2968" s="37">
        <v>0.45289999999999997</v>
      </c>
    </row>
    <row r="2969" spans="1:18" hidden="1">
      <c r="A2969" t="s">
        <v>76</v>
      </c>
      <c r="B2969" t="s">
        <v>22</v>
      </c>
      <c r="C2969">
        <v>10.33333333</v>
      </c>
      <c r="D2969">
        <v>4.17</v>
      </c>
      <c r="E2969" s="29">
        <v>2.478017586</v>
      </c>
      <c r="F2969">
        <v>5.88</v>
      </c>
      <c r="G2969">
        <v>2.16</v>
      </c>
      <c r="H2969">
        <v>8.0399999999999991</v>
      </c>
      <c r="I2969" s="29">
        <v>0.73129999999999995</v>
      </c>
      <c r="J2969" s="29">
        <v>1.2852000000000001</v>
      </c>
      <c r="K2969" s="9">
        <v>45367</v>
      </c>
      <c r="L2969">
        <f xml:space="preserve"> (交易處理資料__3[[#This Row],[售出工時]] * 60) / 5</f>
        <v>123.99999996000001</v>
      </c>
      <c r="M2969" t="str">
        <f>VLOOKUP(交易處理資料__3[[#This Row],[人員代號]],團隊分組!$B$1:$C$52,2,FALSE)</f>
        <v>快速保養團隊A</v>
      </c>
      <c r="N2969" t="str">
        <f>IF(交易處理資料__3[[#This Row],[上班時間]]=0,"否","是")</f>
        <v>是</v>
      </c>
      <c r="O2969" t="s">
        <v>76</v>
      </c>
      <c r="P2969" s="38">
        <v>2.478017586</v>
      </c>
      <c r="Q2969" s="38">
        <v>1.2852000000000001</v>
      </c>
      <c r="R2969" s="38">
        <v>0.73129999999999995</v>
      </c>
    </row>
    <row r="2970" spans="1:18" hidden="1">
      <c r="A2970" t="s">
        <v>76</v>
      </c>
      <c r="B2970" t="s">
        <v>27</v>
      </c>
      <c r="C2970">
        <v>9.8366666669999994</v>
      </c>
      <c r="D2970">
        <v>7.01</v>
      </c>
      <c r="E2970" s="29">
        <v>1.403233476</v>
      </c>
      <c r="F2970">
        <v>4.96</v>
      </c>
      <c r="G2970">
        <v>3.11</v>
      </c>
      <c r="H2970">
        <v>8.07</v>
      </c>
      <c r="I2970" s="29">
        <v>0.61460000000000004</v>
      </c>
      <c r="J2970" s="29">
        <v>1.2189000000000001</v>
      </c>
      <c r="K2970" s="9">
        <v>45367</v>
      </c>
      <c r="L2970">
        <f xml:space="preserve"> (交易處理資料__3[[#This Row],[售出工時]] * 60) / 5</f>
        <v>118.04000000399999</v>
      </c>
      <c r="M2970" t="str">
        <f>VLOOKUP(交易處理資料__3[[#This Row],[人員代號]],團隊分組!$B$1:$C$52,2,FALSE)</f>
        <v>快速保養團隊B</v>
      </c>
      <c r="N2970" t="str">
        <f>IF(交易處理資料__3[[#This Row],[上班時間]]=0,"否","是")</f>
        <v>是</v>
      </c>
      <c r="O2970" t="s">
        <v>76</v>
      </c>
      <c r="P2970" s="37">
        <v>1.403233476</v>
      </c>
      <c r="Q2970" s="37">
        <v>1.2189000000000001</v>
      </c>
      <c r="R2970" s="37">
        <v>0.61460000000000004</v>
      </c>
    </row>
    <row r="2971" spans="1:18" hidden="1">
      <c r="A2971" t="s">
        <v>76</v>
      </c>
      <c r="B2971" t="s">
        <v>28</v>
      </c>
      <c r="C2971">
        <v>7.9566666670000004</v>
      </c>
      <c r="D2971">
        <v>6.81</v>
      </c>
      <c r="E2971" s="29">
        <v>1.168379834</v>
      </c>
      <c r="F2971">
        <v>4.24</v>
      </c>
      <c r="G2971">
        <v>3.81</v>
      </c>
      <c r="H2971">
        <v>8.0500000000000007</v>
      </c>
      <c r="I2971" s="29">
        <v>0.52670000000000006</v>
      </c>
      <c r="J2971" s="29">
        <v>0.98840000000000006</v>
      </c>
      <c r="K2971" s="9">
        <v>45367</v>
      </c>
      <c r="L2971">
        <f xml:space="preserve"> (交易處理資料__3[[#This Row],[售出工時]] * 60) / 5</f>
        <v>95.480000004000004</v>
      </c>
      <c r="M2971" t="str">
        <f>VLOOKUP(交易處理資料__3[[#This Row],[人員代號]],團隊分組!$B$1:$C$52,2,FALSE)</f>
        <v>快速保養團隊A</v>
      </c>
      <c r="N2971" t="str">
        <f>IF(交易處理資料__3[[#This Row],[上班時間]]=0,"否","是")</f>
        <v>是</v>
      </c>
      <c r="O2971" t="s">
        <v>76</v>
      </c>
      <c r="P2971" s="38">
        <v>1.168379834</v>
      </c>
      <c r="Q2971" s="38">
        <v>0.98840000000000006</v>
      </c>
      <c r="R2971" s="38">
        <v>0.52670000000000006</v>
      </c>
    </row>
    <row r="2972" spans="1:18" hidden="1">
      <c r="A2972" t="s">
        <v>76</v>
      </c>
      <c r="B2972" t="s">
        <v>30</v>
      </c>
      <c r="C2972">
        <v>9.4700000000000006</v>
      </c>
      <c r="D2972">
        <v>6.31</v>
      </c>
      <c r="E2972" s="29">
        <v>1.5007923930000002</v>
      </c>
      <c r="F2972">
        <v>4.91</v>
      </c>
      <c r="G2972">
        <v>3.15</v>
      </c>
      <c r="H2972">
        <v>8.06</v>
      </c>
      <c r="I2972" s="29">
        <v>0.60919999999999996</v>
      </c>
      <c r="J2972" s="29">
        <v>1.1749000000000001</v>
      </c>
      <c r="K2972" s="9">
        <v>45367</v>
      </c>
      <c r="L2972">
        <f xml:space="preserve"> (交易處理資料__3[[#This Row],[售出工時]] * 60) / 5</f>
        <v>113.64000000000001</v>
      </c>
      <c r="M2972" t="str">
        <f>VLOOKUP(交易處理資料__3[[#This Row],[人員代號]],團隊分組!$B$1:$C$52,2,FALSE)</f>
        <v>快速保養團隊B</v>
      </c>
      <c r="N2972" t="str">
        <f>IF(交易處理資料__3[[#This Row],[上班時間]]=0,"否","是")</f>
        <v>是</v>
      </c>
      <c r="O2972" t="s">
        <v>76</v>
      </c>
      <c r="P2972" s="37">
        <v>1.5007923930000002</v>
      </c>
      <c r="Q2972" s="37">
        <v>1.1749000000000001</v>
      </c>
      <c r="R2972" s="37">
        <v>0.60919999999999996</v>
      </c>
    </row>
    <row r="2973" spans="1:18" hidden="1">
      <c r="A2973" t="s">
        <v>76</v>
      </c>
      <c r="B2973" t="s">
        <v>32</v>
      </c>
      <c r="C2973">
        <v>0</v>
      </c>
      <c r="D2973">
        <v>0</v>
      </c>
      <c r="E2973" s="29">
        <v>0</v>
      </c>
      <c r="F2973">
        <v>0</v>
      </c>
      <c r="G2973">
        <v>0</v>
      </c>
      <c r="H2973">
        <v>0</v>
      </c>
      <c r="I2973" s="29">
        <v>0</v>
      </c>
      <c r="J2973" s="29">
        <v>0</v>
      </c>
      <c r="K2973" s="9">
        <v>45367</v>
      </c>
      <c r="L2973">
        <f xml:space="preserve"> (交易處理資料__3[[#This Row],[售出工時]] * 60) / 5</f>
        <v>0</v>
      </c>
      <c r="M2973" t="str">
        <f>VLOOKUP(交易處理資料__3[[#This Row],[人員代號]],團隊分組!$B$1:$C$52,2,FALSE)</f>
        <v>快速保養團隊B</v>
      </c>
      <c r="N2973" t="str">
        <f>IF(交易處理資料__3[[#This Row],[上班時間]]=0,"否","是")</f>
        <v>否</v>
      </c>
      <c r="O2973" t="s">
        <v>76</v>
      </c>
      <c r="P2973" s="38">
        <v>0</v>
      </c>
      <c r="Q2973" s="38">
        <v>0</v>
      </c>
      <c r="R2973" s="38">
        <v>0</v>
      </c>
    </row>
    <row r="2974" spans="1:18" hidden="1">
      <c r="A2974" t="s">
        <v>76</v>
      </c>
      <c r="B2974" t="s">
        <v>33</v>
      </c>
      <c r="C2974">
        <v>8.1233333329999997</v>
      </c>
      <c r="D2974">
        <v>5.67</v>
      </c>
      <c r="E2974" s="29">
        <v>1.4326866549999999</v>
      </c>
      <c r="F2974">
        <v>4.09</v>
      </c>
      <c r="G2974">
        <v>4</v>
      </c>
      <c r="H2974">
        <v>8.09</v>
      </c>
      <c r="I2974" s="29">
        <v>0.50560000000000005</v>
      </c>
      <c r="J2974" s="29">
        <v>1.0041</v>
      </c>
      <c r="K2974" s="9">
        <v>45367</v>
      </c>
      <c r="L2974">
        <f xml:space="preserve"> (交易處理資料__3[[#This Row],[售出工時]] * 60) / 5</f>
        <v>97.479999995999989</v>
      </c>
      <c r="M2974" t="str">
        <f>VLOOKUP(交易處理資料__3[[#This Row],[人員代號]],團隊分組!$B$1:$C$52,2,FALSE)</f>
        <v>快速保養團隊B</v>
      </c>
      <c r="N2974" t="str">
        <f>IF(交易處理資料__3[[#This Row],[上班時間]]=0,"否","是")</f>
        <v>是</v>
      </c>
      <c r="O2974" t="s">
        <v>76</v>
      </c>
      <c r="P2974" s="37">
        <v>1.4326866549999999</v>
      </c>
      <c r="Q2974" s="37">
        <v>1.0041</v>
      </c>
      <c r="R2974" s="37">
        <v>0.50560000000000005</v>
      </c>
    </row>
    <row r="2975" spans="1:18" hidden="1">
      <c r="A2975" t="s">
        <v>76</v>
      </c>
      <c r="B2975" t="s">
        <v>34</v>
      </c>
      <c r="C2975">
        <v>5.5833333329999997</v>
      </c>
      <c r="D2975">
        <v>5.33</v>
      </c>
      <c r="E2975" s="29">
        <v>1.0475297059999999</v>
      </c>
      <c r="F2975">
        <v>4.9000000000000004</v>
      </c>
      <c r="G2975">
        <v>3.16</v>
      </c>
      <c r="H2975">
        <v>8.06</v>
      </c>
      <c r="I2975" s="29">
        <v>0.6079</v>
      </c>
      <c r="J2975" s="29">
        <v>0.69269999999999998</v>
      </c>
      <c r="K2975" s="9">
        <v>45367</v>
      </c>
      <c r="L2975">
        <f xml:space="preserve"> (交易處理資料__3[[#This Row],[售出工時]] * 60) / 5</f>
        <v>66.999999996</v>
      </c>
      <c r="M2975" t="str">
        <f>VLOOKUP(交易處理資料__3[[#This Row],[人員代號]],團隊分組!$B$1:$C$52,2,FALSE)</f>
        <v>快速保養團隊A</v>
      </c>
      <c r="N2975" t="str">
        <f>IF(交易處理資料__3[[#This Row],[上班時間]]=0,"否","是")</f>
        <v>是</v>
      </c>
      <c r="O2975" t="s">
        <v>76</v>
      </c>
      <c r="P2975" s="38">
        <v>1.0475297059999999</v>
      </c>
      <c r="Q2975" s="38">
        <v>0.69269999999999998</v>
      </c>
      <c r="R2975" s="38">
        <v>0.6079</v>
      </c>
    </row>
    <row r="2976" spans="1:18" hidden="1">
      <c r="A2976" t="s">
        <v>76</v>
      </c>
      <c r="B2976" t="s">
        <v>36</v>
      </c>
      <c r="C2976">
        <v>3.49</v>
      </c>
      <c r="D2976">
        <v>5.35</v>
      </c>
      <c r="E2976" s="29">
        <v>0.65233644859999995</v>
      </c>
      <c r="F2976">
        <v>4.66</v>
      </c>
      <c r="G2976">
        <v>3.4</v>
      </c>
      <c r="H2976">
        <v>8.06</v>
      </c>
      <c r="I2976" s="29">
        <v>0.57820000000000005</v>
      </c>
      <c r="J2976" s="29">
        <v>0.433</v>
      </c>
      <c r="K2976" s="9">
        <v>45367</v>
      </c>
      <c r="L2976">
        <f xml:space="preserve"> (交易處理資料__3[[#This Row],[售出工時]] * 60) / 5</f>
        <v>41.88</v>
      </c>
      <c r="M2976" t="str">
        <f>VLOOKUP(交易處理資料__3[[#This Row],[人員代號]],團隊分組!$B$1:$C$52,2,FALSE)</f>
        <v>查修團隊B</v>
      </c>
      <c r="N2976" t="str">
        <f>IF(交易處理資料__3[[#This Row],[上班時間]]=0,"否","是")</f>
        <v>是</v>
      </c>
      <c r="O2976" t="s">
        <v>76</v>
      </c>
      <c r="P2976" s="37">
        <v>0.65233644859999995</v>
      </c>
      <c r="Q2976" s="37">
        <v>0.433</v>
      </c>
      <c r="R2976" s="37">
        <v>0.57820000000000005</v>
      </c>
    </row>
    <row r="2977" spans="1:18" hidden="1">
      <c r="A2977" t="s">
        <v>76</v>
      </c>
      <c r="B2977" t="s">
        <v>37</v>
      </c>
      <c r="C2977">
        <v>0</v>
      </c>
      <c r="D2977">
        <v>0</v>
      </c>
      <c r="E2977" s="29">
        <v>0</v>
      </c>
      <c r="F2977">
        <v>0</v>
      </c>
      <c r="G2977">
        <v>0</v>
      </c>
      <c r="H2977">
        <v>0</v>
      </c>
      <c r="I2977" s="29">
        <v>0</v>
      </c>
      <c r="J2977" s="29">
        <v>0</v>
      </c>
      <c r="K2977" s="9">
        <v>45367</v>
      </c>
      <c r="L2977">
        <f xml:space="preserve"> (交易處理資料__3[[#This Row],[售出工時]] * 60) / 5</f>
        <v>0</v>
      </c>
      <c r="M2977" t="str">
        <f>VLOOKUP(交易處理資料__3[[#This Row],[人員代號]],團隊分組!$B$1:$C$52,2,FALSE)</f>
        <v>查修團隊A</v>
      </c>
      <c r="N2977" t="str">
        <f>IF(交易處理資料__3[[#This Row],[上班時間]]=0,"否","是")</f>
        <v>否</v>
      </c>
      <c r="O2977" t="s">
        <v>76</v>
      </c>
      <c r="P2977" s="38">
        <v>0</v>
      </c>
      <c r="Q2977" s="38">
        <v>0</v>
      </c>
      <c r="R2977" s="38">
        <v>0</v>
      </c>
    </row>
    <row r="2978" spans="1:18" hidden="1">
      <c r="A2978" t="s">
        <v>76</v>
      </c>
      <c r="B2978" t="s">
        <v>39</v>
      </c>
      <c r="C2978">
        <v>7.0133333330000003</v>
      </c>
      <c r="D2978">
        <v>4.3</v>
      </c>
      <c r="E2978" s="29">
        <v>1.6310077519999999</v>
      </c>
      <c r="F2978">
        <v>4.3</v>
      </c>
      <c r="G2978">
        <v>3.76</v>
      </c>
      <c r="H2978">
        <v>8.06</v>
      </c>
      <c r="I2978" s="29">
        <v>0.53349999999999997</v>
      </c>
      <c r="J2978" s="29">
        <v>0.8701000000000001</v>
      </c>
      <c r="K2978" s="9">
        <v>45367</v>
      </c>
      <c r="L2978">
        <f xml:space="preserve"> (交易處理資料__3[[#This Row],[售出工時]] * 60) / 5</f>
        <v>84.159999995999996</v>
      </c>
      <c r="M2978" t="str">
        <f>VLOOKUP(交易處理資料__3[[#This Row],[人員代號]],團隊分組!$B$1:$C$52,2,FALSE)</f>
        <v>查修團隊A</v>
      </c>
      <c r="N2978" t="str">
        <f>IF(交易處理資料__3[[#This Row],[上班時間]]=0,"否","是")</f>
        <v>是</v>
      </c>
      <c r="O2978" t="s">
        <v>76</v>
      </c>
      <c r="P2978" s="37">
        <v>1.6310077519999999</v>
      </c>
      <c r="Q2978" s="37">
        <v>0.8701000000000001</v>
      </c>
      <c r="R2978" s="37">
        <v>0.53349999999999997</v>
      </c>
    </row>
    <row r="2979" spans="1:18" hidden="1">
      <c r="A2979" t="s">
        <v>76</v>
      </c>
      <c r="B2979" t="s">
        <v>40</v>
      </c>
      <c r="C2979">
        <v>0</v>
      </c>
      <c r="D2979">
        <v>0</v>
      </c>
      <c r="E2979" s="29">
        <v>0</v>
      </c>
      <c r="F2979">
        <v>0</v>
      </c>
      <c r="G2979">
        <v>0</v>
      </c>
      <c r="H2979">
        <v>0</v>
      </c>
      <c r="I2979" s="29">
        <v>0</v>
      </c>
      <c r="J2979" s="29">
        <v>0</v>
      </c>
      <c r="K2979" s="9">
        <v>45367</v>
      </c>
      <c r="L2979">
        <f xml:space="preserve"> (交易處理資料__3[[#This Row],[售出工時]] * 60) / 5</f>
        <v>0</v>
      </c>
      <c r="M2979" t="str">
        <f>VLOOKUP(交易處理資料__3[[#This Row],[人員代號]],團隊分組!$B$1:$C$52,2,FALSE)</f>
        <v>查修團隊A</v>
      </c>
      <c r="N2979" t="str">
        <f>IF(交易處理資料__3[[#This Row],[上班時間]]=0,"否","是")</f>
        <v>否</v>
      </c>
      <c r="O2979" t="s">
        <v>76</v>
      </c>
      <c r="P2979" s="38">
        <v>0</v>
      </c>
      <c r="Q2979" s="38">
        <v>0</v>
      </c>
      <c r="R2979" s="38">
        <v>0</v>
      </c>
    </row>
    <row r="2980" spans="1:18" hidden="1">
      <c r="A2980" t="s">
        <v>76</v>
      </c>
      <c r="B2980" t="s">
        <v>41</v>
      </c>
      <c r="C2980">
        <v>7.3333333329999997</v>
      </c>
      <c r="D2980">
        <v>5.6</v>
      </c>
      <c r="E2980" s="29">
        <v>1.30952381</v>
      </c>
      <c r="F2980">
        <v>5.83</v>
      </c>
      <c r="G2980">
        <v>2.2200000000000002</v>
      </c>
      <c r="H2980">
        <v>8.0500000000000007</v>
      </c>
      <c r="I2980" s="29">
        <v>0.72420000000000007</v>
      </c>
      <c r="J2980" s="29">
        <v>0.91099999999999992</v>
      </c>
      <c r="K2980" s="9">
        <v>45367</v>
      </c>
      <c r="L2980">
        <f xml:space="preserve"> (交易處理資料__3[[#This Row],[售出工時]] * 60) / 5</f>
        <v>87.999999996</v>
      </c>
      <c r="M2980" t="str">
        <f>VLOOKUP(交易處理資料__3[[#This Row],[人員代號]],團隊分組!$B$1:$C$52,2,FALSE)</f>
        <v>快速保養團隊A</v>
      </c>
      <c r="N2980" t="str">
        <f>IF(交易處理資料__3[[#This Row],[上班時間]]=0,"否","是")</f>
        <v>是</v>
      </c>
      <c r="O2980" t="s">
        <v>76</v>
      </c>
      <c r="P2980" s="37">
        <v>1.30952381</v>
      </c>
      <c r="Q2980" s="37">
        <v>0.91099999999999992</v>
      </c>
      <c r="R2980" s="37">
        <v>0.72420000000000007</v>
      </c>
    </row>
    <row r="2981" spans="1:18" hidden="1">
      <c r="A2981" t="s">
        <v>76</v>
      </c>
      <c r="B2981" t="s">
        <v>42</v>
      </c>
      <c r="C2981">
        <v>10.16666667</v>
      </c>
      <c r="D2981">
        <v>6.75</v>
      </c>
      <c r="E2981" s="29">
        <v>1.5061728400000001</v>
      </c>
      <c r="F2981">
        <v>4.91</v>
      </c>
      <c r="G2981">
        <v>3.15</v>
      </c>
      <c r="H2981">
        <v>8.06</v>
      </c>
      <c r="I2981" s="29">
        <v>0.60919999999999996</v>
      </c>
      <c r="J2981" s="29">
        <v>1.2614000000000001</v>
      </c>
      <c r="K2981" s="9">
        <v>45367</v>
      </c>
      <c r="L2981">
        <f xml:space="preserve"> (交易處理資料__3[[#This Row],[售出工時]] * 60) / 5</f>
        <v>122.00000003999999</v>
      </c>
      <c r="M2981" t="str">
        <f>VLOOKUP(交易處理資料__3[[#This Row],[人員代號]],團隊分組!$B$1:$C$52,2,FALSE)</f>
        <v>快速保養團隊A</v>
      </c>
      <c r="N2981" t="str">
        <f>IF(交易處理資料__3[[#This Row],[上班時間]]=0,"否","是")</f>
        <v>是</v>
      </c>
      <c r="O2981" t="s">
        <v>76</v>
      </c>
      <c r="P2981" s="38">
        <v>1.5061728400000001</v>
      </c>
      <c r="Q2981" s="38">
        <v>1.2614000000000001</v>
      </c>
      <c r="R2981" s="38">
        <v>0.60919999999999996</v>
      </c>
    </row>
    <row r="2982" spans="1:18" hidden="1">
      <c r="A2982" t="s">
        <v>76</v>
      </c>
      <c r="B2982" t="s">
        <v>45</v>
      </c>
      <c r="C2982">
        <v>10.31666667</v>
      </c>
      <c r="D2982">
        <v>5.29</v>
      </c>
      <c r="E2982" s="29">
        <v>1.9502205420000001</v>
      </c>
      <c r="F2982">
        <v>4.84</v>
      </c>
      <c r="G2982">
        <v>3.25</v>
      </c>
      <c r="H2982">
        <v>8.09</v>
      </c>
      <c r="I2982" s="29">
        <v>0.59829999999999994</v>
      </c>
      <c r="J2982" s="29">
        <v>1.2751999999999999</v>
      </c>
      <c r="K2982" s="9">
        <v>45367</v>
      </c>
      <c r="L2982">
        <f xml:space="preserve"> (交易處理資料__3[[#This Row],[售出工時]] * 60) / 5</f>
        <v>123.80000004000001</v>
      </c>
      <c r="M2982" t="str">
        <f>VLOOKUP(交易處理資料__3[[#This Row],[人員代號]],團隊分組!$B$1:$C$52,2,FALSE)</f>
        <v>快速保養團隊A</v>
      </c>
      <c r="N2982" t="str">
        <f>IF(交易處理資料__3[[#This Row],[上班時間]]=0,"否","是")</f>
        <v>是</v>
      </c>
      <c r="O2982" t="s">
        <v>76</v>
      </c>
      <c r="P2982" s="37">
        <v>1.9502205420000001</v>
      </c>
      <c r="Q2982" s="37">
        <v>1.2751999999999999</v>
      </c>
      <c r="R2982" s="37">
        <v>0.59829999999999994</v>
      </c>
    </row>
    <row r="2983" spans="1:18" hidden="1">
      <c r="A2983" t="s">
        <v>76</v>
      </c>
      <c r="B2983" t="s">
        <v>47</v>
      </c>
      <c r="C2983">
        <v>0</v>
      </c>
      <c r="D2983">
        <v>0</v>
      </c>
      <c r="E2983" s="29">
        <v>0</v>
      </c>
      <c r="F2983">
        <v>0</v>
      </c>
      <c r="G2983">
        <v>0</v>
      </c>
      <c r="H2983">
        <v>0</v>
      </c>
      <c r="I2983" s="29">
        <v>0</v>
      </c>
      <c r="J2983" s="29">
        <v>0</v>
      </c>
      <c r="K2983" s="9">
        <v>45367</v>
      </c>
      <c r="L2983">
        <f xml:space="preserve"> (交易處理資料__3[[#This Row],[售出工時]] * 60) / 5</f>
        <v>0</v>
      </c>
      <c r="M2983" t="str">
        <f>VLOOKUP(交易處理資料__3[[#This Row],[人員代號]],團隊分組!$B$1:$C$52,2,FALSE)</f>
        <v>查修團隊B</v>
      </c>
      <c r="N2983" t="str">
        <f>IF(交易處理資料__3[[#This Row],[上班時間]]=0,"否","是")</f>
        <v>否</v>
      </c>
      <c r="O2983" t="s">
        <v>76</v>
      </c>
      <c r="P2983" s="38">
        <v>0</v>
      </c>
      <c r="Q2983" s="38">
        <v>0</v>
      </c>
      <c r="R2983" s="38">
        <v>0</v>
      </c>
    </row>
    <row r="2984" spans="1:18" hidden="1">
      <c r="A2984" t="s">
        <v>76</v>
      </c>
      <c r="B2984" t="s">
        <v>48</v>
      </c>
      <c r="C2984">
        <v>5.5233333330000001</v>
      </c>
      <c r="D2984">
        <v>3.96</v>
      </c>
      <c r="E2984" s="29">
        <v>1.3947811450000001</v>
      </c>
      <c r="F2984">
        <v>5.0999999999999996</v>
      </c>
      <c r="G2984">
        <v>3</v>
      </c>
      <c r="H2984">
        <v>8.1</v>
      </c>
      <c r="I2984" s="29">
        <v>0.62960000000000005</v>
      </c>
      <c r="J2984" s="29">
        <v>0.68189999999999995</v>
      </c>
      <c r="K2984" s="9">
        <v>45367</v>
      </c>
      <c r="L2984">
        <f xml:space="preserve"> (交易處理資料__3[[#This Row],[售出工時]] * 60) / 5</f>
        <v>66.279999996000001</v>
      </c>
      <c r="M2984" t="str">
        <f>VLOOKUP(交易處理資料__3[[#This Row],[人員代號]],團隊分組!$B$1:$C$52,2,FALSE)</f>
        <v>查修團隊A</v>
      </c>
      <c r="N2984" t="str">
        <f>IF(交易處理資料__3[[#This Row],[上班時間]]=0,"否","是")</f>
        <v>是</v>
      </c>
      <c r="O2984" t="s">
        <v>76</v>
      </c>
      <c r="P2984" s="37">
        <v>1.3947811450000001</v>
      </c>
      <c r="Q2984" s="37">
        <v>0.68189999999999995</v>
      </c>
      <c r="R2984" s="37">
        <v>0.62960000000000005</v>
      </c>
    </row>
    <row r="2985" spans="1:18" hidden="1">
      <c r="A2985" t="s">
        <v>76</v>
      </c>
      <c r="B2985" t="s">
        <v>49</v>
      </c>
      <c r="C2985">
        <v>0</v>
      </c>
      <c r="D2985">
        <v>0</v>
      </c>
      <c r="E2985" s="29">
        <v>0</v>
      </c>
      <c r="F2985">
        <v>0</v>
      </c>
      <c r="G2985">
        <v>0</v>
      </c>
      <c r="H2985">
        <v>0</v>
      </c>
      <c r="I2985" s="29">
        <v>0</v>
      </c>
      <c r="J2985" s="29">
        <v>0</v>
      </c>
      <c r="K2985" s="9">
        <v>45367</v>
      </c>
      <c r="L2985">
        <f xml:space="preserve"> (交易處理資料__3[[#This Row],[售出工時]] * 60) / 5</f>
        <v>0</v>
      </c>
      <c r="M2985" t="str">
        <f>VLOOKUP(交易處理資料__3[[#This Row],[人員代號]],團隊分組!$B$1:$C$52,2,FALSE)</f>
        <v>查修團隊A</v>
      </c>
      <c r="N2985" t="str">
        <f>IF(交易處理資料__3[[#This Row],[上班時間]]=0,"否","是")</f>
        <v>否</v>
      </c>
      <c r="O2985" t="s">
        <v>76</v>
      </c>
      <c r="P2985" s="38">
        <v>0</v>
      </c>
      <c r="Q2985" s="38">
        <v>0</v>
      </c>
      <c r="R2985" s="38">
        <v>0</v>
      </c>
    </row>
    <row r="2986" spans="1:18" hidden="1">
      <c r="A2986" t="s">
        <v>76</v>
      </c>
      <c r="B2986" t="s">
        <v>51</v>
      </c>
      <c r="C2986">
        <v>0</v>
      </c>
      <c r="D2986">
        <v>0</v>
      </c>
      <c r="E2986" s="29">
        <v>0</v>
      </c>
      <c r="F2986">
        <v>0</v>
      </c>
      <c r="G2986">
        <v>0</v>
      </c>
      <c r="H2986">
        <v>0</v>
      </c>
      <c r="I2986" s="29">
        <v>0</v>
      </c>
      <c r="J2986" s="29">
        <v>0</v>
      </c>
      <c r="K2986" s="9">
        <v>45367</v>
      </c>
      <c r="L2986">
        <f xml:space="preserve"> (交易處理資料__3[[#This Row],[售出工時]] * 60) / 5</f>
        <v>0</v>
      </c>
      <c r="M2986" t="str">
        <f>VLOOKUP(交易處理資料__3[[#This Row],[人員代號]],團隊分組!$B$1:$C$52,2,FALSE)</f>
        <v>無效數據</v>
      </c>
      <c r="N2986" t="str">
        <f>IF(交易處理資料__3[[#This Row],[上班時間]]=0,"否","是")</f>
        <v>否</v>
      </c>
      <c r="O2986" t="s">
        <v>76</v>
      </c>
      <c r="P2986" s="37">
        <v>0</v>
      </c>
      <c r="Q2986" s="37">
        <v>0</v>
      </c>
      <c r="R2986" s="37">
        <v>0</v>
      </c>
    </row>
    <row r="2987" spans="1:18" hidden="1">
      <c r="A2987" t="s">
        <v>76</v>
      </c>
      <c r="B2987" t="s">
        <v>52</v>
      </c>
      <c r="C2987">
        <v>2.33</v>
      </c>
      <c r="D2987">
        <v>3.4</v>
      </c>
      <c r="E2987" s="29">
        <v>0.68529411760000003</v>
      </c>
      <c r="F2987">
        <v>3.4</v>
      </c>
      <c r="G2987">
        <v>4.67</v>
      </c>
      <c r="H2987">
        <v>8.07</v>
      </c>
      <c r="I2987" s="29">
        <v>0.42130000000000001</v>
      </c>
      <c r="J2987" s="29">
        <v>0.28870000000000001</v>
      </c>
      <c r="K2987" s="9">
        <v>45367</v>
      </c>
      <c r="L2987">
        <f xml:space="preserve"> (交易處理資料__3[[#This Row],[售出工時]] * 60) / 5</f>
        <v>27.96</v>
      </c>
      <c r="M2987" t="str">
        <f>VLOOKUP(交易處理資料__3[[#This Row],[人員代號]],團隊分組!$B$1:$C$52,2,FALSE)</f>
        <v>查修團隊B</v>
      </c>
      <c r="N2987" t="str">
        <f>IF(交易處理資料__3[[#This Row],[上班時間]]=0,"否","是")</f>
        <v>是</v>
      </c>
      <c r="O2987" t="s">
        <v>76</v>
      </c>
      <c r="P2987" s="38">
        <v>0.68529411760000003</v>
      </c>
      <c r="Q2987" s="38">
        <v>0.28870000000000001</v>
      </c>
      <c r="R2987" s="38">
        <v>0.42130000000000001</v>
      </c>
    </row>
    <row r="2988" spans="1:18" hidden="1">
      <c r="A2988" t="s">
        <v>76</v>
      </c>
      <c r="B2988" t="s">
        <v>53</v>
      </c>
      <c r="C2988">
        <v>0</v>
      </c>
      <c r="D2988">
        <v>0</v>
      </c>
      <c r="E2988" s="29">
        <v>0</v>
      </c>
      <c r="F2988">
        <v>0</v>
      </c>
      <c r="G2988">
        <v>0</v>
      </c>
      <c r="H2988">
        <v>0</v>
      </c>
      <c r="I2988" s="29">
        <v>0</v>
      </c>
      <c r="J2988" s="29">
        <v>0</v>
      </c>
      <c r="K2988" s="9">
        <v>45367</v>
      </c>
      <c r="L2988">
        <f xml:space="preserve"> (交易處理資料__3[[#This Row],[售出工時]] * 60) / 5</f>
        <v>0</v>
      </c>
      <c r="M2988" t="str">
        <f>VLOOKUP(交易處理資料__3[[#This Row],[人員代號]],團隊分組!$B$1:$C$52,2,FALSE)</f>
        <v>查修團隊A</v>
      </c>
      <c r="N2988" t="str">
        <f>IF(交易處理資料__3[[#This Row],[上班時間]]=0,"否","是")</f>
        <v>否</v>
      </c>
      <c r="O2988" t="s">
        <v>76</v>
      </c>
      <c r="P2988" s="37">
        <v>0</v>
      </c>
      <c r="Q2988" s="37">
        <v>0</v>
      </c>
      <c r="R2988" s="37">
        <v>0</v>
      </c>
    </row>
    <row r="2989" spans="1:18" hidden="1">
      <c r="A2989" s="10" t="s">
        <v>74</v>
      </c>
      <c r="B2989" t="s">
        <v>1</v>
      </c>
      <c r="C2989">
        <v>0</v>
      </c>
      <c r="D2989">
        <v>0</v>
      </c>
      <c r="E2989" s="29">
        <v>0</v>
      </c>
      <c r="F2989">
        <v>0</v>
      </c>
      <c r="G2989">
        <v>0</v>
      </c>
      <c r="H2989">
        <v>0</v>
      </c>
      <c r="I2989" s="29">
        <v>0</v>
      </c>
      <c r="J2989" s="29">
        <v>0</v>
      </c>
      <c r="K2989" s="9">
        <v>45368</v>
      </c>
      <c r="L2989">
        <f xml:space="preserve"> (交易處理資料__3[[#This Row],[售出工時]] * 60) / 5</f>
        <v>0</v>
      </c>
      <c r="M2989" t="str">
        <f>VLOOKUP(交易處理資料__3[[#This Row],[人員代號]],團隊分組!$B$1:$C$52,2,FALSE)</f>
        <v>噴漆維修組</v>
      </c>
      <c r="N2989" t="str">
        <f>IF(交易處理資料__3[[#This Row],[上班時間]]=0,"否","是")</f>
        <v>否</v>
      </c>
      <c r="O2989" s="10" t="s">
        <v>74</v>
      </c>
      <c r="P2989" s="38">
        <v>0</v>
      </c>
      <c r="Q2989" s="38">
        <v>0</v>
      </c>
      <c r="R2989" s="38">
        <v>0</v>
      </c>
    </row>
    <row r="2990" spans="1:18" hidden="1">
      <c r="A2990" s="10" t="s">
        <v>74</v>
      </c>
      <c r="B2990" t="s">
        <v>2</v>
      </c>
      <c r="C2990">
        <v>0</v>
      </c>
      <c r="D2990">
        <v>0</v>
      </c>
      <c r="E2990" s="29">
        <v>0</v>
      </c>
      <c r="F2990">
        <v>0</v>
      </c>
      <c r="G2990">
        <v>0</v>
      </c>
      <c r="H2990">
        <v>0</v>
      </c>
      <c r="I2990" s="29">
        <v>0</v>
      </c>
      <c r="J2990" s="29">
        <v>0</v>
      </c>
      <c r="K2990" s="9">
        <v>45368</v>
      </c>
      <c r="L2990">
        <f xml:space="preserve"> (交易處理資料__3[[#This Row],[售出工時]] * 60) / 5</f>
        <v>0</v>
      </c>
      <c r="M2990" t="str">
        <f>VLOOKUP(交易處理資料__3[[#This Row],[人員代號]],團隊分組!$B$1:$C$52,2,FALSE)</f>
        <v>噴漆維修組</v>
      </c>
      <c r="N2990" t="str">
        <f>IF(交易處理資料__3[[#This Row],[上班時間]]=0,"否","是")</f>
        <v>否</v>
      </c>
      <c r="O2990" s="10" t="s">
        <v>74</v>
      </c>
      <c r="P2990" s="37">
        <v>0</v>
      </c>
      <c r="Q2990" s="37">
        <v>0</v>
      </c>
      <c r="R2990" s="37">
        <v>0</v>
      </c>
    </row>
    <row r="2991" spans="1:18" hidden="1">
      <c r="A2991" s="10" t="s">
        <v>74</v>
      </c>
      <c r="B2991" t="s">
        <v>3</v>
      </c>
      <c r="C2991">
        <v>0</v>
      </c>
      <c r="D2991">
        <v>0</v>
      </c>
      <c r="E2991" s="29">
        <v>0</v>
      </c>
      <c r="F2991">
        <v>0</v>
      </c>
      <c r="G2991">
        <v>0</v>
      </c>
      <c r="H2991">
        <v>0</v>
      </c>
      <c r="I2991" s="29">
        <v>0</v>
      </c>
      <c r="J2991" s="29">
        <v>0</v>
      </c>
      <c r="K2991" s="9">
        <v>45368</v>
      </c>
      <c r="L2991">
        <f xml:space="preserve"> (交易處理資料__3[[#This Row],[售出工時]] * 60) / 5</f>
        <v>0</v>
      </c>
      <c r="M2991" t="str">
        <f>VLOOKUP(交易處理資料__3[[#This Row],[人員代號]],團隊分組!$B$1:$C$52,2,FALSE)</f>
        <v>噴漆維修組</v>
      </c>
      <c r="N2991" t="str">
        <f>IF(交易處理資料__3[[#This Row],[上班時間]]=0,"否","是")</f>
        <v>否</v>
      </c>
      <c r="O2991" s="10" t="s">
        <v>74</v>
      </c>
      <c r="P2991" s="38">
        <v>0</v>
      </c>
      <c r="Q2991" s="38">
        <v>0</v>
      </c>
      <c r="R2991" s="38">
        <v>0</v>
      </c>
    </row>
    <row r="2992" spans="1:18" hidden="1">
      <c r="A2992" s="10" t="s">
        <v>74</v>
      </c>
      <c r="B2992" t="s">
        <v>4</v>
      </c>
      <c r="C2992">
        <v>0</v>
      </c>
      <c r="D2992">
        <v>0</v>
      </c>
      <c r="E2992" s="29">
        <v>0</v>
      </c>
      <c r="F2992">
        <v>0</v>
      </c>
      <c r="G2992">
        <v>0</v>
      </c>
      <c r="H2992">
        <v>0</v>
      </c>
      <c r="I2992" s="29">
        <v>0</v>
      </c>
      <c r="J2992" s="29">
        <v>0</v>
      </c>
      <c r="K2992" s="9">
        <v>45368</v>
      </c>
      <c r="L2992">
        <f xml:space="preserve"> (交易處理資料__3[[#This Row],[售出工時]] * 60) / 5</f>
        <v>0</v>
      </c>
      <c r="M2992" t="str">
        <f>VLOOKUP(交易處理資料__3[[#This Row],[人員代號]],團隊分組!$B$1:$C$52,2,FALSE)</f>
        <v>噴漆維修組</v>
      </c>
      <c r="N2992" t="str">
        <f>IF(交易處理資料__3[[#This Row],[上班時間]]=0,"否","是")</f>
        <v>否</v>
      </c>
      <c r="O2992" s="10" t="s">
        <v>74</v>
      </c>
      <c r="P2992" s="37">
        <v>0</v>
      </c>
      <c r="Q2992" s="37">
        <v>0</v>
      </c>
      <c r="R2992" s="37">
        <v>0</v>
      </c>
    </row>
    <row r="2993" spans="1:18" hidden="1">
      <c r="A2993" s="10" t="s">
        <v>74</v>
      </c>
      <c r="B2993" t="s">
        <v>5</v>
      </c>
      <c r="C2993">
        <v>0</v>
      </c>
      <c r="D2993">
        <v>0</v>
      </c>
      <c r="E2993" s="29">
        <v>0</v>
      </c>
      <c r="F2993">
        <v>0</v>
      </c>
      <c r="G2993">
        <v>0</v>
      </c>
      <c r="H2993">
        <v>0</v>
      </c>
      <c r="I2993" s="29">
        <v>0</v>
      </c>
      <c r="J2993" s="29">
        <v>0</v>
      </c>
      <c r="K2993" s="9">
        <v>45368</v>
      </c>
      <c r="L2993">
        <f xml:space="preserve"> (交易處理資料__3[[#This Row],[售出工時]] * 60) / 5</f>
        <v>0</v>
      </c>
      <c r="M2993" t="str">
        <f>VLOOKUP(交易處理資料__3[[#This Row],[人員代號]],團隊分組!$B$1:$C$52,2,FALSE)</f>
        <v>噴漆維修組</v>
      </c>
      <c r="N2993" t="str">
        <f>IF(交易處理資料__3[[#This Row],[上班時間]]=0,"否","是")</f>
        <v>否</v>
      </c>
      <c r="O2993" s="10" t="s">
        <v>74</v>
      </c>
      <c r="P2993" s="38">
        <v>0</v>
      </c>
      <c r="Q2993" s="38">
        <v>0</v>
      </c>
      <c r="R2993" s="38">
        <v>0</v>
      </c>
    </row>
    <row r="2994" spans="1:18" hidden="1">
      <c r="A2994" s="10" t="s">
        <v>74</v>
      </c>
      <c r="B2994" t="s">
        <v>6</v>
      </c>
      <c r="C2994">
        <v>0</v>
      </c>
      <c r="D2994">
        <v>0</v>
      </c>
      <c r="E2994" s="29">
        <v>0</v>
      </c>
      <c r="F2994">
        <v>0</v>
      </c>
      <c r="G2994">
        <v>0</v>
      </c>
      <c r="H2994">
        <v>0</v>
      </c>
      <c r="I2994" s="29">
        <v>0</v>
      </c>
      <c r="J2994" s="29">
        <v>0</v>
      </c>
      <c r="K2994" s="9">
        <v>45368</v>
      </c>
      <c r="L2994">
        <f xml:space="preserve"> (交易處理資料__3[[#This Row],[售出工時]] * 60) / 5</f>
        <v>0</v>
      </c>
      <c r="M2994" t="str">
        <f>VLOOKUP(交易處理資料__3[[#This Row],[人員代號]],團隊分組!$B$1:$C$52,2,FALSE)</f>
        <v>噴漆維修組</v>
      </c>
      <c r="N2994" t="str">
        <f>IF(交易處理資料__3[[#This Row],[上班時間]]=0,"否","是")</f>
        <v>否</v>
      </c>
      <c r="O2994" s="10" t="s">
        <v>74</v>
      </c>
      <c r="P2994" s="37">
        <v>0</v>
      </c>
      <c r="Q2994" s="37">
        <v>0</v>
      </c>
      <c r="R2994" s="37">
        <v>0</v>
      </c>
    </row>
    <row r="2995" spans="1:18">
      <c r="A2995" s="10" t="s">
        <v>74</v>
      </c>
      <c r="B2995" t="s">
        <v>7</v>
      </c>
      <c r="C2995">
        <v>0</v>
      </c>
      <c r="D2995">
        <v>0</v>
      </c>
      <c r="E2995" s="29">
        <v>0</v>
      </c>
      <c r="F2995">
        <v>0</v>
      </c>
      <c r="G2995">
        <v>0</v>
      </c>
      <c r="H2995">
        <v>0</v>
      </c>
      <c r="I2995" s="29">
        <v>0</v>
      </c>
      <c r="J2995" s="29">
        <v>0</v>
      </c>
      <c r="K2995" s="9">
        <v>45368</v>
      </c>
      <c r="L2995">
        <f xml:space="preserve"> (交易處理資料__3[[#This Row],[售出工時]] * 60) / 5</f>
        <v>0</v>
      </c>
      <c r="M2995" t="str">
        <f>VLOOKUP(交易處理資料__3[[#This Row],[人員代號]],團隊分組!$B$1:$C$52,2,FALSE)</f>
        <v>噴漆維修組</v>
      </c>
      <c r="N2995" t="str">
        <f>IF(交易處理資料__3[[#This Row],[上班時間]]=0,"否","是")</f>
        <v>否</v>
      </c>
      <c r="O2995" s="10" t="s">
        <v>74</v>
      </c>
      <c r="P2995" s="38">
        <v>0</v>
      </c>
      <c r="Q2995" s="38">
        <v>0</v>
      </c>
      <c r="R2995" s="38">
        <v>0</v>
      </c>
    </row>
    <row r="2996" spans="1:18" hidden="1">
      <c r="A2996" s="10" t="s">
        <v>74</v>
      </c>
      <c r="B2996" t="s">
        <v>8</v>
      </c>
      <c r="C2996">
        <v>0</v>
      </c>
      <c r="D2996">
        <v>0</v>
      </c>
      <c r="E2996" s="29">
        <v>0</v>
      </c>
      <c r="F2996">
        <v>0</v>
      </c>
      <c r="G2996">
        <v>0</v>
      </c>
      <c r="H2996">
        <v>0</v>
      </c>
      <c r="I2996" s="29">
        <v>0</v>
      </c>
      <c r="J2996" s="29">
        <v>0</v>
      </c>
      <c r="K2996" s="9">
        <v>45368</v>
      </c>
      <c r="L2996">
        <f xml:space="preserve"> (交易處理資料__3[[#This Row],[售出工時]] * 60) / 5</f>
        <v>0</v>
      </c>
      <c r="M2996" t="str">
        <f>VLOOKUP(交易處理資料__3[[#This Row],[人員代號]],團隊分組!$B$1:$C$52,2,FALSE)</f>
        <v>噴漆維修組</v>
      </c>
      <c r="N2996" t="str">
        <f>IF(交易處理資料__3[[#This Row],[上班時間]]=0,"否","是")</f>
        <v>否</v>
      </c>
      <c r="O2996" s="10" t="s">
        <v>74</v>
      </c>
      <c r="P2996" s="37">
        <v>0</v>
      </c>
      <c r="Q2996" s="37">
        <v>0</v>
      </c>
      <c r="R2996" s="37">
        <v>0</v>
      </c>
    </row>
    <row r="2997" spans="1:18" hidden="1">
      <c r="A2997" s="10" t="s">
        <v>74</v>
      </c>
      <c r="B2997" t="s">
        <v>9</v>
      </c>
      <c r="C2997">
        <v>0</v>
      </c>
      <c r="D2997">
        <v>0</v>
      </c>
      <c r="E2997" s="29">
        <v>0</v>
      </c>
      <c r="F2997">
        <v>0</v>
      </c>
      <c r="G2997">
        <v>0</v>
      </c>
      <c r="H2997">
        <v>0</v>
      </c>
      <c r="I2997" s="29">
        <v>0</v>
      </c>
      <c r="J2997" s="29">
        <v>0</v>
      </c>
      <c r="K2997" s="9">
        <v>45368</v>
      </c>
      <c r="L2997">
        <f xml:space="preserve"> (交易處理資料__3[[#This Row],[售出工時]] * 60) / 5</f>
        <v>0</v>
      </c>
      <c r="M2997" t="str">
        <f>VLOOKUP(交易處理資料__3[[#This Row],[人員代號]],團隊分組!$B$1:$C$52,2,FALSE)</f>
        <v>噴漆維修組</v>
      </c>
      <c r="N2997" t="str">
        <f>IF(交易處理資料__3[[#This Row],[上班時間]]=0,"否","是")</f>
        <v>否</v>
      </c>
      <c r="O2997" s="10" t="s">
        <v>74</v>
      </c>
      <c r="P2997" s="38">
        <v>0</v>
      </c>
      <c r="Q2997" s="38">
        <v>0</v>
      </c>
      <c r="R2997" s="38">
        <v>0</v>
      </c>
    </row>
    <row r="2998" spans="1:18" hidden="1">
      <c r="A2998" t="s">
        <v>75</v>
      </c>
      <c r="B2998" t="s">
        <v>11</v>
      </c>
      <c r="C2998">
        <v>0</v>
      </c>
      <c r="D2998">
        <v>0</v>
      </c>
      <c r="E2998" s="29">
        <v>0</v>
      </c>
      <c r="F2998">
        <v>0</v>
      </c>
      <c r="G2998">
        <v>0</v>
      </c>
      <c r="H2998">
        <v>0</v>
      </c>
      <c r="I2998" s="29">
        <v>0</v>
      </c>
      <c r="J2998" s="29">
        <v>0</v>
      </c>
      <c r="K2998" s="9">
        <v>45368</v>
      </c>
      <c r="L2998">
        <f xml:space="preserve"> (交易處理資料__3[[#This Row],[售出工時]] * 60) / 5</f>
        <v>0</v>
      </c>
      <c r="M2998" t="str">
        <f>VLOOKUP(交易處理資料__3[[#This Row],[人員代號]],團隊分組!$B$1:$C$52,2,FALSE)</f>
        <v>鈑金維修組</v>
      </c>
      <c r="N2998" t="str">
        <f>IF(交易處理資料__3[[#This Row],[上班時間]]=0,"否","是")</f>
        <v>否</v>
      </c>
      <c r="O2998" t="s">
        <v>75</v>
      </c>
      <c r="P2998" s="37">
        <v>0</v>
      </c>
      <c r="Q2998" s="37">
        <v>0</v>
      </c>
      <c r="R2998" s="37">
        <v>0</v>
      </c>
    </row>
    <row r="2999" spans="1:18" hidden="1">
      <c r="A2999" t="s">
        <v>75</v>
      </c>
      <c r="B2999" t="s">
        <v>12</v>
      </c>
      <c r="C2999">
        <v>0</v>
      </c>
      <c r="D2999">
        <v>0</v>
      </c>
      <c r="E2999" s="29">
        <v>0</v>
      </c>
      <c r="F2999">
        <v>0</v>
      </c>
      <c r="G2999">
        <v>0</v>
      </c>
      <c r="H2999">
        <v>0</v>
      </c>
      <c r="I2999" s="29">
        <v>0</v>
      </c>
      <c r="J2999" s="29">
        <v>0</v>
      </c>
      <c r="K2999" s="9">
        <v>45368</v>
      </c>
      <c r="L2999">
        <f xml:space="preserve"> (交易處理資料__3[[#This Row],[售出工時]] * 60) / 5</f>
        <v>0</v>
      </c>
      <c r="M2999" t="str">
        <f>VLOOKUP(交易處理資料__3[[#This Row],[人員代號]],團隊分組!$B$1:$C$52,2,FALSE)</f>
        <v>鈑金維修組</v>
      </c>
      <c r="N2999" t="str">
        <f>IF(交易處理資料__3[[#This Row],[上班時間]]=0,"否","是")</f>
        <v>否</v>
      </c>
      <c r="O2999" t="s">
        <v>75</v>
      </c>
      <c r="P2999" s="38">
        <v>0</v>
      </c>
      <c r="Q2999" s="38">
        <v>0</v>
      </c>
      <c r="R2999" s="38">
        <v>0</v>
      </c>
    </row>
    <row r="3000" spans="1:18" hidden="1">
      <c r="A3000" t="s">
        <v>75</v>
      </c>
      <c r="B3000" t="s">
        <v>13</v>
      </c>
      <c r="C3000">
        <v>0</v>
      </c>
      <c r="D3000">
        <v>0</v>
      </c>
      <c r="E3000" s="29">
        <v>0</v>
      </c>
      <c r="F3000">
        <v>0</v>
      </c>
      <c r="G3000">
        <v>0</v>
      </c>
      <c r="H3000">
        <v>0</v>
      </c>
      <c r="I3000" s="29">
        <v>0</v>
      </c>
      <c r="J3000" s="29">
        <v>0</v>
      </c>
      <c r="K3000" s="9">
        <v>45368</v>
      </c>
      <c r="L3000">
        <f xml:space="preserve"> (交易處理資料__3[[#This Row],[售出工時]] * 60) / 5</f>
        <v>0</v>
      </c>
      <c r="M3000" t="str">
        <f>VLOOKUP(交易處理資料__3[[#This Row],[人員代號]],團隊分組!$B$1:$C$52,2,FALSE)</f>
        <v>鈑金維修組</v>
      </c>
      <c r="N3000" t="str">
        <f>IF(交易處理資料__3[[#This Row],[上班時間]]=0,"否","是")</f>
        <v>否</v>
      </c>
      <c r="O3000" t="s">
        <v>75</v>
      </c>
      <c r="P3000" s="37">
        <v>0</v>
      </c>
      <c r="Q3000" s="37">
        <v>0</v>
      </c>
      <c r="R3000" s="37">
        <v>0</v>
      </c>
    </row>
    <row r="3001" spans="1:18" hidden="1">
      <c r="A3001" t="s">
        <v>75</v>
      </c>
      <c r="B3001" t="s">
        <v>14</v>
      </c>
      <c r="C3001">
        <v>0</v>
      </c>
      <c r="D3001">
        <v>0</v>
      </c>
      <c r="E3001" s="29">
        <v>0</v>
      </c>
      <c r="F3001">
        <v>0</v>
      </c>
      <c r="G3001">
        <v>0</v>
      </c>
      <c r="H3001">
        <v>0</v>
      </c>
      <c r="I3001" s="29">
        <v>0</v>
      </c>
      <c r="J3001" s="29">
        <v>0</v>
      </c>
      <c r="K3001" s="9">
        <v>45368</v>
      </c>
      <c r="L3001">
        <f xml:space="preserve"> (交易處理資料__3[[#This Row],[售出工時]] * 60) / 5</f>
        <v>0</v>
      </c>
      <c r="M3001" t="str">
        <f>VLOOKUP(交易處理資料__3[[#This Row],[人員代號]],團隊分組!$B$1:$C$52,2,FALSE)</f>
        <v>鈑金維修組</v>
      </c>
      <c r="N3001" t="str">
        <f>IF(交易處理資料__3[[#This Row],[上班時間]]=0,"否","是")</f>
        <v>否</v>
      </c>
      <c r="O3001" t="s">
        <v>75</v>
      </c>
      <c r="P3001" s="38">
        <v>0</v>
      </c>
      <c r="Q3001" s="38">
        <v>0</v>
      </c>
      <c r="R3001" s="38">
        <v>0</v>
      </c>
    </row>
    <row r="3002" spans="1:18" hidden="1">
      <c r="A3002" t="s">
        <v>75</v>
      </c>
      <c r="B3002" t="s">
        <v>15</v>
      </c>
      <c r="C3002">
        <v>0</v>
      </c>
      <c r="D3002">
        <v>0</v>
      </c>
      <c r="E3002" s="29">
        <v>0</v>
      </c>
      <c r="F3002">
        <v>0</v>
      </c>
      <c r="G3002">
        <v>0</v>
      </c>
      <c r="H3002">
        <v>0</v>
      </c>
      <c r="I3002" s="29">
        <v>0</v>
      </c>
      <c r="J3002" s="29">
        <v>0</v>
      </c>
      <c r="K3002" s="9">
        <v>45368</v>
      </c>
      <c r="L3002">
        <f xml:space="preserve"> (交易處理資料__3[[#This Row],[售出工時]] * 60) / 5</f>
        <v>0</v>
      </c>
      <c r="M3002" t="str">
        <f>VLOOKUP(交易處理資料__3[[#This Row],[人員代號]],團隊分組!$B$1:$C$52,2,FALSE)</f>
        <v>鈑金維修組</v>
      </c>
      <c r="N3002" t="str">
        <f>IF(交易處理資料__3[[#This Row],[上班時間]]=0,"否","是")</f>
        <v>否</v>
      </c>
      <c r="O3002" t="s">
        <v>75</v>
      </c>
      <c r="P3002" s="37">
        <v>0</v>
      </c>
      <c r="Q3002" s="37">
        <v>0</v>
      </c>
      <c r="R3002" s="37">
        <v>0</v>
      </c>
    </row>
    <row r="3003" spans="1:18" hidden="1">
      <c r="A3003" t="s">
        <v>76</v>
      </c>
      <c r="B3003" t="s">
        <v>17</v>
      </c>
      <c r="C3003">
        <v>0</v>
      </c>
      <c r="D3003">
        <v>0</v>
      </c>
      <c r="E3003" s="29">
        <v>0</v>
      </c>
      <c r="F3003">
        <v>0</v>
      </c>
      <c r="G3003">
        <v>0</v>
      </c>
      <c r="H3003">
        <v>0</v>
      </c>
      <c r="I3003" s="29">
        <v>0</v>
      </c>
      <c r="J3003" s="29">
        <v>0</v>
      </c>
      <c r="K3003" s="9">
        <v>45368</v>
      </c>
      <c r="L3003">
        <f xml:space="preserve"> (交易處理資料__3[[#This Row],[售出工時]] * 60) / 5</f>
        <v>0</v>
      </c>
      <c r="M3003" t="str">
        <f>VLOOKUP(交易處理資料__3[[#This Row],[人員代號]],團隊分組!$B$1:$C$52,2,FALSE)</f>
        <v>快速保養團隊A</v>
      </c>
      <c r="N3003" t="str">
        <f>IF(交易處理資料__3[[#This Row],[上班時間]]=0,"否","是")</f>
        <v>否</v>
      </c>
      <c r="O3003" t="s">
        <v>76</v>
      </c>
      <c r="P3003" s="38">
        <v>0</v>
      </c>
      <c r="Q3003" s="38">
        <v>0</v>
      </c>
      <c r="R3003" s="38">
        <v>0</v>
      </c>
    </row>
    <row r="3004" spans="1:18" hidden="1">
      <c r="A3004" t="s">
        <v>76</v>
      </c>
      <c r="B3004" t="s">
        <v>18</v>
      </c>
      <c r="C3004">
        <v>0</v>
      </c>
      <c r="D3004">
        <v>0</v>
      </c>
      <c r="E3004" s="29">
        <v>0</v>
      </c>
      <c r="F3004">
        <v>0</v>
      </c>
      <c r="G3004">
        <v>0</v>
      </c>
      <c r="H3004">
        <v>0</v>
      </c>
      <c r="I3004" s="29">
        <v>0</v>
      </c>
      <c r="J3004" s="29">
        <v>0</v>
      </c>
      <c r="K3004" s="9">
        <v>45368</v>
      </c>
      <c r="L3004">
        <f xml:space="preserve"> (交易處理資料__3[[#This Row],[售出工時]] * 60) / 5</f>
        <v>0</v>
      </c>
      <c r="M3004" t="str">
        <f>VLOOKUP(交易處理資料__3[[#This Row],[人員代號]],團隊分組!$B$1:$C$52,2,FALSE)</f>
        <v>查修團隊B</v>
      </c>
      <c r="N3004" t="str">
        <f>IF(交易處理資料__3[[#This Row],[上班時間]]=0,"否","是")</f>
        <v>否</v>
      </c>
      <c r="O3004" t="s">
        <v>76</v>
      </c>
      <c r="P3004" s="37">
        <v>0</v>
      </c>
      <c r="Q3004" s="37">
        <v>0</v>
      </c>
      <c r="R3004" s="37">
        <v>0</v>
      </c>
    </row>
    <row r="3005" spans="1:18" hidden="1">
      <c r="A3005" t="s">
        <v>76</v>
      </c>
      <c r="B3005" t="s">
        <v>19</v>
      </c>
      <c r="C3005">
        <v>0</v>
      </c>
      <c r="D3005">
        <v>0</v>
      </c>
      <c r="E3005" s="29">
        <v>0</v>
      </c>
      <c r="F3005">
        <v>0</v>
      </c>
      <c r="G3005">
        <v>0</v>
      </c>
      <c r="H3005">
        <v>0</v>
      </c>
      <c r="I3005" s="29">
        <v>0</v>
      </c>
      <c r="J3005" s="29">
        <v>0</v>
      </c>
      <c r="K3005" s="9">
        <v>45368</v>
      </c>
      <c r="L3005">
        <f xml:space="preserve"> (交易處理資料__3[[#This Row],[售出工時]] * 60) / 5</f>
        <v>0</v>
      </c>
      <c r="M3005" t="str">
        <f>VLOOKUP(交易處理資料__3[[#This Row],[人員代號]],團隊分組!$B$1:$C$52,2,FALSE)</f>
        <v>查修團隊A</v>
      </c>
      <c r="N3005" t="str">
        <f>IF(交易處理資料__3[[#This Row],[上班時間]]=0,"否","是")</f>
        <v>否</v>
      </c>
      <c r="O3005" t="s">
        <v>76</v>
      </c>
      <c r="P3005" s="38">
        <v>0</v>
      </c>
      <c r="Q3005" s="38">
        <v>0</v>
      </c>
      <c r="R3005" s="38">
        <v>0</v>
      </c>
    </row>
    <row r="3006" spans="1:18" hidden="1">
      <c r="A3006" t="s">
        <v>76</v>
      </c>
      <c r="B3006" t="s">
        <v>20</v>
      </c>
      <c r="C3006">
        <v>0</v>
      </c>
      <c r="D3006">
        <v>0</v>
      </c>
      <c r="E3006" s="29">
        <v>0</v>
      </c>
      <c r="F3006">
        <v>0</v>
      </c>
      <c r="G3006">
        <v>0</v>
      </c>
      <c r="H3006">
        <v>0</v>
      </c>
      <c r="I3006" s="29">
        <v>0</v>
      </c>
      <c r="J3006" s="29">
        <v>0</v>
      </c>
      <c r="K3006" s="9">
        <v>45368</v>
      </c>
      <c r="L3006">
        <f xml:space="preserve"> (交易處理資料__3[[#This Row],[售出工時]] * 60) / 5</f>
        <v>0</v>
      </c>
      <c r="M3006" t="str">
        <f>VLOOKUP(交易處理資料__3[[#This Row],[人員代號]],團隊分組!$B$1:$C$52,2,FALSE)</f>
        <v>查修團隊B</v>
      </c>
      <c r="N3006" t="str">
        <f>IF(交易處理資料__3[[#This Row],[上班時間]]=0,"否","是")</f>
        <v>否</v>
      </c>
      <c r="O3006" t="s">
        <v>76</v>
      </c>
      <c r="P3006" s="37">
        <v>0</v>
      </c>
      <c r="Q3006" s="37">
        <v>0</v>
      </c>
      <c r="R3006" s="37">
        <v>0</v>
      </c>
    </row>
    <row r="3007" spans="1:18" hidden="1">
      <c r="A3007" t="s">
        <v>76</v>
      </c>
      <c r="B3007" t="s">
        <v>21</v>
      </c>
      <c r="C3007">
        <v>0</v>
      </c>
      <c r="D3007">
        <v>0</v>
      </c>
      <c r="E3007" s="29">
        <v>0</v>
      </c>
      <c r="F3007">
        <v>0</v>
      </c>
      <c r="G3007">
        <v>0</v>
      </c>
      <c r="H3007">
        <v>0</v>
      </c>
      <c r="I3007" s="29">
        <v>0</v>
      </c>
      <c r="J3007" s="29">
        <v>0</v>
      </c>
      <c r="K3007" s="9">
        <v>45368</v>
      </c>
      <c r="L3007">
        <f xml:space="preserve"> (交易處理資料__3[[#This Row],[售出工時]] * 60) / 5</f>
        <v>0</v>
      </c>
      <c r="M3007" t="str">
        <f>VLOOKUP(交易處理資料__3[[#This Row],[人員代號]],團隊分組!$B$1:$C$52,2,FALSE)</f>
        <v>查修團隊B</v>
      </c>
      <c r="N3007" t="str">
        <f>IF(交易處理資料__3[[#This Row],[上班時間]]=0,"否","是")</f>
        <v>否</v>
      </c>
      <c r="O3007" t="s">
        <v>76</v>
      </c>
      <c r="P3007" s="38">
        <v>0</v>
      </c>
      <c r="Q3007" s="38">
        <v>0</v>
      </c>
      <c r="R3007" s="38">
        <v>0</v>
      </c>
    </row>
    <row r="3008" spans="1:18" hidden="1">
      <c r="A3008" t="s">
        <v>76</v>
      </c>
      <c r="B3008" t="s">
        <v>22</v>
      </c>
      <c r="C3008">
        <v>0</v>
      </c>
      <c r="D3008">
        <v>0</v>
      </c>
      <c r="E3008" s="29">
        <v>0</v>
      </c>
      <c r="F3008">
        <v>0</v>
      </c>
      <c r="G3008">
        <v>0</v>
      </c>
      <c r="H3008">
        <v>0</v>
      </c>
      <c r="I3008" s="29">
        <v>0</v>
      </c>
      <c r="J3008" s="29">
        <v>0</v>
      </c>
      <c r="K3008" s="9">
        <v>45368</v>
      </c>
      <c r="L3008">
        <f xml:space="preserve"> (交易處理資料__3[[#This Row],[售出工時]] * 60) / 5</f>
        <v>0</v>
      </c>
      <c r="M3008" t="str">
        <f>VLOOKUP(交易處理資料__3[[#This Row],[人員代號]],團隊分組!$B$1:$C$52,2,FALSE)</f>
        <v>快速保養團隊A</v>
      </c>
      <c r="N3008" t="str">
        <f>IF(交易處理資料__3[[#This Row],[上班時間]]=0,"否","是")</f>
        <v>否</v>
      </c>
      <c r="O3008" t="s">
        <v>76</v>
      </c>
      <c r="P3008" s="37">
        <v>0</v>
      </c>
      <c r="Q3008" s="37">
        <v>0</v>
      </c>
      <c r="R3008" s="37">
        <v>0</v>
      </c>
    </row>
    <row r="3009" spans="1:18" hidden="1">
      <c r="A3009" t="s">
        <v>76</v>
      </c>
      <c r="B3009" t="s">
        <v>23</v>
      </c>
      <c r="C3009">
        <v>0</v>
      </c>
      <c r="D3009">
        <v>0</v>
      </c>
      <c r="E3009" s="29">
        <v>0</v>
      </c>
      <c r="F3009">
        <v>0</v>
      </c>
      <c r="G3009">
        <v>0</v>
      </c>
      <c r="H3009">
        <v>0</v>
      </c>
      <c r="I3009" s="29">
        <v>0</v>
      </c>
      <c r="J3009" s="29">
        <v>0</v>
      </c>
      <c r="K3009" s="9">
        <v>45368</v>
      </c>
      <c r="L3009">
        <f xml:space="preserve"> (交易處理資料__3[[#This Row],[售出工時]] * 60) / 5</f>
        <v>0</v>
      </c>
      <c r="M3009" t="str">
        <f>VLOOKUP(交易處理資料__3[[#This Row],[人員代號]],團隊分組!$B$1:$C$52,2,FALSE)</f>
        <v>快速保養團隊B</v>
      </c>
      <c r="N3009" t="str">
        <f>IF(交易處理資料__3[[#This Row],[上班時間]]=0,"否","是")</f>
        <v>否</v>
      </c>
      <c r="O3009" t="s">
        <v>76</v>
      </c>
      <c r="P3009" s="38">
        <v>0</v>
      </c>
      <c r="Q3009" s="38">
        <v>0</v>
      </c>
      <c r="R3009" s="38">
        <v>0</v>
      </c>
    </row>
    <row r="3010" spans="1:18" hidden="1">
      <c r="A3010" t="s">
        <v>76</v>
      </c>
      <c r="B3010" t="s">
        <v>24</v>
      </c>
      <c r="C3010">
        <v>0</v>
      </c>
      <c r="D3010">
        <v>0</v>
      </c>
      <c r="E3010" s="29">
        <v>0</v>
      </c>
      <c r="F3010">
        <v>0</v>
      </c>
      <c r="G3010">
        <v>0</v>
      </c>
      <c r="H3010">
        <v>0</v>
      </c>
      <c r="I3010" s="29">
        <v>0</v>
      </c>
      <c r="J3010" s="29">
        <v>0</v>
      </c>
      <c r="K3010" s="9">
        <v>45368</v>
      </c>
      <c r="L3010">
        <f xml:space="preserve"> (交易處理資料__3[[#This Row],[售出工時]] * 60) / 5</f>
        <v>0</v>
      </c>
      <c r="M3010" t="str">
        <f>VLOOKUP(交易處理資料__3[[#This Row],[人員代號]],團隊分組!$B$1:$C$52,2,FALSE)</f>
        <v>快速保養團隊A</v>
      </c>
      <c r="N3010" t="str">
        <f>IF(交易處理資料__3[[#This Row],[上班時間]]=0,"否","是")</f>
        <v>否</v>
      </c>
      <c r="O3010" t="s">
        <v>76</v>
      </c>
      <c r="P3010" s="37">
        <v>0</v>
      </c>
      <c r="Q3010" s="37">
        <v>0</v>
      </c>
      <c r="R3010" s="37">
        <v>0</v>
      </c>
    </row>
    <row r="3011" spans="1:18" hidden="1">
      <c r="A3011" t="s">
        <v>76</v>
      </c>
      <c r="B3011" t="s">
        <v>25</v>
      </c>
      <c r="C3011">
        <v>0</v>
      </c>
      <c r="D3011">
        <v>0</v>
      </c>
      <c r="E3011" s="29">
        <v>0</v>
      </c>
      <c r="F3011">
        <v>0</v>
      </c>
      <c r="G3011">
        <v>0</v>
      </c>
      <c r="H3011">
        <v>0</v>
      </c>
      <c r="I3011" s="29">
        <v>0</v>
      </c>
      <c r="J3011" s="29">
        <v>0</v>
      </c>
      <c r="K3011" s="9">
        <v>45368</v>
      </c>
      <c r="L3011">
        <f xml:space="preserve"> (交易處理資料__3[[#This Row],[售出工時]] * 60) / 5</f>
        <v>0</v>
      </c>
      <c r="M3011" t="str">
        <f>VLOOKUP(交易處理資料__3[[#This Row],[人員代號]],團隊分組!$B$1:$C$52,2,FALSE)</f>
        <v>查修團隊A</v>
      </c>
      <c r="N3011" t="str">
        <f>IF(交易處理資料__3[[#This Row],[上班時間]]=0,"否","是")</f>
        <v>否</v>
      </c>
      <c r="O3011" t="s">
        <v>76</v>
      </c>
      <c r="P3011" s="38">
        <v>0</v>
      </c>
      <c r="Q3011" s="38">
        <v>0</v>
      </c>
      <c r="R3011" s="38">
        <v>0</v>
      </c>
    </row>
    <row r="3012" spans="1:18" hidden="1">
      <c r="A3012" t="s">
        <v>76</v>
      </c>
      <c r="B3012" t="s">
        <v>26</v>
      </c>
      <c r="C3012">
        <v>0</v>
      </c>
      <c r="D3012">
        <v>0</v>
      </c>
      <c r="E3012" s="29">
        <v>0</v>
      </c>
      <c r="F3012">
        <v>0</v>
      </c>
      <c r="G3012">
        <v>0</v>
      </c>
      <c r="H3012">
        <v>0</v>
      </c>
      <c r="I3012" s="29">
        <v>0</v>
      </c>
      <c r="J3012" s="29">
        <v>0</v>
      </c>
      <c r="K3012" s="9">
        <v>45368</v>
      </c>
      <c r="L3012">
        <f xml:space="preserve"> (交易處理資料__3[[#This Row],[售出工時]] * 60) / 5</f>
        <v>0</v>
      </c>
      <c r="M3012" t="str">
        <f>VLOOKUP(交易處理資料__3[[#This Row],[人員代號]],團隊分組!$B$1:$C$52,2,FALSE)</f>
        <v>查修團隊B</v>
      </c>
      <c r="N3012" t="str">
        <f>IF(交易處理資料__3[[#This Row],[上班時間]]=0,"否","是")</f>
        <v>否</v>
      </c>
      <c r="O3012" t="s">
        <v>76</v>
      </c>
      <c r="P3012" s="37">
        <v>0</v>
      </c>
      <c r="Q3012" s="37">
        <v>0</v>
      </c>
      <c r="R3012" s="37">
        <v>0</v>
      </c>
    </row>
    <row r="3013" spans="1:18" hidden="1">
      <c r="A3013" t="s">
        <v>76</v>
      </c>
      <c r="B3013" t="s">
        <v>27</v>
      </c>
      <c r="C3013">
        <v>0</v>
      </c>
      <c r="D3013">
        <v>0</v>
      </c>
      <c r="E3013" s="29">
        <v>0</v>
      </c>
      <c r="F3013">
        <v>0</v>
      </c>
      <c r="G3013">
        <v>0</v>
      </c>
      <c r="H3013">
        <v>0</v>
      </c>
      <c r="I3013" s="29">
        <v>0</v>
      </c>
      <c r="J3013" s="29">
        <v>0</v>
      </c>
      <c r="K3013" s="9">
        <v>45368</v>
      </c>
      <c r="L3013">
        <f xml:space="preserve"> (交易處理資料__3[[#This Row],[售出工時]] * 60) / 5</f>
        <v>0</v>
      </c>
      <c r="M3013" t="str">
        <f>VLOOKUP(交易處理資料__3[[#This Row],[人員代號]],團隊分組!$B$1:$C$52,2,FALSE)</f>
        <v>快速保養團隊B</v>
      </c>
      <c r="N3013" t="str">
        <f>IF(交易處理資料__3[[#This Row],[上班時間]]=0,"否","是")</f>
        <v>否</v>
      </c>
      <c r="O3013" t="s">
        <v>76</v>
      </c>
      <c r="P3013" s="38">
        <v>0</v>
      </c>
      <c r="Q3013" s="38">
        <v>0</v>
      </c>
      <c r="R3013" s="38">
        <v>0</v>
      </c>
    </row>
    <row r="3014" spans="1:18" hidden="1">
      <c r="A3014" t="s">
        <v>76</v>
      </c>
      <c r="B3014" t="s">
        <v>28</v>
      </c>
      <c r="C3014">
        <v>0</v>
      </c>
      <c r="D3014">
        <v>0</v>
      </c>
      <c r="E3014" s="29">
        <v>0</v>
      </c>
      <c r="F3014">
        <v>0</v>
      </c>
      <c r="G3014">
        <v>0</v>
      </c>
      <c r="H3014">
        <v>0</v>
      </c>
      <c r="I3014" s="29">
        <v>0</v>
      </c>
      <c r="J3014" s="29">
        <v>0</v>
      </c>
      <c r="K3014" s="9">
        <v>45368</v>
      </c>
      <c r="L3014">
        <f xml:space="preserve"> (交易處理資料__3[[#This Row],[售出工時]] * 60) / 5</f>
        <v>0</v>
      </c>
      <c r="M3014" t="str">
        <f>VLOOKUP(交易處理資料__3[[#This Row],[人員代號]],團隊分組!$B$1:$C$52,2,FALSE)</f>
        <v>快速保養團隊A</v>
      </c>
      <c r="N3014" t="str">
        <f>IF(交易處理資料__3[[#This Row],[上班時間]]=0,"否","是")</f>
        <v>否</v>
      </c>
      <c r="O3014" t="s">
        <v>76</v>
      </c>
      <c r="P3014" s="37">
        <v>0</v>
      </c>
      <c r="Q3014" s="37">
        <v>0</v>
      </c>
      <c r="R3014" s="37">
        <v>0</v>
      </c>
    </row>
    <row r="3015" spans="1:18" hidden="1">
      <c r="A3015" t="s">
        <v>76</v>
      </c>
      <c r="B3015" t="s">
        <v>29</v>
      </c>
      <c r="C3015">
        <v>0</v>
      </c>
      <c r="D3015">
        <v>0</v>
      </c>
      <c r="E3015" s="29">
        <v>0</v>
      </c>
      <c r="F3015">
        <v>0</v>
      </c>
      <c r="G3015">
        <v>0</v>
      </c>
      <c r="H3015">
        <v>0</v>
      </c>
      <c r="I3015" s="29">
        <v>0</v>
      </c>
      <c r="J3015" s="29">
        <v>0</v>
      </c>
      <c r="K3015" s="9">
        <v>45368</v>
      </c>
      <c r="L3015">
        <f xml:space="preserve"> (交易處理資料__3[[#This Row],[售出工時]] * 60) / 5</f>
        <v>0</v>
      </c>
      <c r="M3015" t="str">
        <f>VLOOKUP(交易處理資料__3[[#This Row],[人員代號]],團隊分組!$B$1:$C$52,2,FALSE)</f>
        <v>查修團隊B</v>
      </c>
      <c r="N3015" t="str">
        <f>IF(交易處理資料__3[[#This Row],[上班時間]]=0,"否","是")</f>
        <v>否</v>
      </c>
      <c r="O3015" t="s">
        <v>76</v>
      </c>
      <c r="P3015" s="38">
        <v>0</v>
      </c>
      <c r="Q3015" s="38">
        <v>0</v>
      </c>
      <c r="R3015" s="38">
        <v>0</v>
      </c>
    </row>
    <row r="3016" spans="1:18" hidden="1">
      <c r="A3016" t="s">
        <v>76</v>
      </c>
      <c r="B3016" t="s">
        <v>30</v>
      </c>
      <c r="C3016">
        <v>0</v>
      </c>
      <c r="D3016">
        <v>0</v>
      </c>
      <c r="E3016" s="29">
        <v>0</v>
      </c>
      <c r="F3016">
        <v>0</v>
      </c>
      <c r="G3016">
        <v>0</v>
      </c>
      <c r="H3016">
        <v>0</v>
      </c>
      <c r="I3016" s="29">
        <v>0</v>
      </c>
      <c r="J3016" s="29">
        <v>0</v>
      </c>
      <c r="K3016" s="9">
        <v>45368</v>
      </c>
      <c r="L3016">
        <f xml:space="preserve"> (交易處理資料__3[[#This Row],[售出工時]] * 60) / 5</f>
        <v>0</v>
      </c>
      <c r="M3016" t="str">
        <f>VLOOKUP(交易處理資料__3[[#This Row],[人員代號]],團隊分組!$B$1:$C$52,2,FALSE)</f>
        <v>快速保養團隊B</v>
      </c>
      <c r="N3016" t="str">
        <f>IF(交易處理資料__3[[#This Row],[上班時間]]=0,"否","是")</f>
        <v>否</v>
      </c>
      <c r="O3016" t="s">
        <v>76</v>
      </c>
      <c r="P3016" s="37">
        <v>0</v>
      </c>
      <c r="Q3016" s="37">
        <v>0</v>
      </c>
      <c r="R3016" s="37">
        <v>0</v>
      </c>
    </row>
    <row r="3017" spans="1:18" hidden="1">
      <c r="A3017" t="s">
        <v>76</v>
      </c>
      <c r="B3017" t="s">
        <v>32</v>
      </c>
      <c r="C3017">
        <v>0</v>
      </c>
      <c r="D3017">
        <v>0</v>
      </c>
      <c r="E3017" s="29">
        <v>0</v>
      </c>
      <c r="F3017">
        <v>0</v>
      </c>
      <c r="G3017">
        <v>0</v>
      </c>
      <c r="H3017">
        <v>0</v>
      </c>
      <c r="I3017" s="29">
        <v>0</v>
      </c>
      <c r="J3017" s="29">
        <v>0</v>
      </c>
      <c r="K3017" s="9">
        <v>45368</v>
      </c>
      <c r="L3017">
        <f xml:space="preserve"> (交易處理資料__3[[#This Row],[售出工時]] * 60) / 5</f>
        <v>0</v>
      </c>
      <c r="M3017" t="str">
        <f>VLOOKUP(交易處理資料__3[[#This Row],[人員代號]],團隊分組!$B$1:$C$52,2,FALSE)</f>
        <v>快速保養團隊B</v>
      </c>
      <c r="N3017" t="str">
        <f>IF(交易處理資料__3[[#This Row],[上班時間]]=0,"否","是")</f>
        <v>否</v>
      </c>
      <c r="O3017" t="s">
        <v>76</v>
      </c>
      <c r="P3017" s="38">
        <v>0</v>
      </c>
      <c r="Q3017" s="38">
        <v>0</v>
      </c>
      <c r="R3017" s="38">
        <v>0</v>
      </c>
    </row>
    <row r="3018" spans="1:18" hidden="1">
      <c r="A3018" t="s">
        <v>76</v>
      </c>
      <c r="B3018" t="s">
        <v>33</v>
      </c>
      <c r="C3018">
        <v>0</v>
      </c>
      <c r="D3018">
        <v>0</v>
      </c>
      <c r="E3018" s="29">
        <v>0</v>
      </c>
      <c r="F3018">
        <v>0</v>
      </c>
      <c r="G3018">
        <v>0</v>
      </c>
      <c r="H3018">
        <v>0</v>
      </c>
      <c r="I3018" s="29">
        <v>0</v>
      </c>
      <c r="J3018" s="29">
        <v>0</v>
      </c>
      <c r="K3018" s="9">
        <v>45368</v>
      </c>
      <c r="L3018">
        <f xml:space="preserve"> (交易處理資料__3[[#This Row],[售出工時]] * 60) / 5</f>
        <v>0</v>
      </c>
      <c r="M3018" t="str">
        <f>VLOOKUP(交易處理資料__3[[#This Row],[人員代號]],團隊分組!$B$1:$C$52,2,FALSE)</f>
        <v>快速保養團隊B</v>
      </c>
      <c r="N3018" t="str">
        <f>IF(交易處理資料__3[[#This Row],[上班時間]]=0,"否","是")</f>
        <v>否</v>
      </c>
      <c r="O3018" t="s">
        <v>76</v>
      </c>
      <c r="P3018" s="37">
        <v>0</v>
      </c>
      <c r="Q3018" s="37">
        <v>0</v>
      </c>
      <c r="R3018" s="37">
        <v>0</v>
      </c>
    </row>
    <row r="3019" spans="1:18" hidden="1">
      <c r="A3019" t="s">
        <v>76</v>
      </c>
      <c r="B3019" t="s">
        <v>34</v>
      </c>
      <c r="C3019">
        <v>0</v>
      </c>
      <c r="D3019">
        <v>0</v>
      </c>
      <c r="E3019" s="29">
        <v>0</v>
      </c>
      <c r="F3019">
        <v>0</v>
      </c>
      <c r="G3019">
        <v>0</v>
      </c>
      <c r="H3019">
        <v>0</v>
      </c>
      <c r="I3019" s="29">
        <v>0</v>
      </c>
      <c r="J3019" s="29">
        <v>0</v>
      </c>
      <c r="K3019" s="9">
        <v>45368</v>
      </c>
      <c r="L3019">
        <f xml:space="preserve"> (交易處理資料__3[[#This Row],[售出工時]] * 60) / 5</f>
        <v>0</v>
      </c>
      <c r="M3019" t="str">
        <f>VLOOKUP(交易處理資料__3[[#This Row],[人員代號]],團隊分組!$B$1:$C$52,2,FALSE)</f>
        <v>快速保養團隊A</v>
      </c>
      <c r="N3019" t="str">
        <f>IF(交易處理資料__3[[#This Row],[上班時間]]=0,"否","是")</f>
        <v>否</v>
      </c>
      <c r="O3019" t="s">
        <v>76</v>
      </c>
      <c r="P3019" s="38">
        <v>0</v>
      </c>
      <c r="Q3019" s="38">
        <v>0</v>
      </c>
      <c r="R3019" s="38">
        <v>0</v>
      </c>
    </row>
    <row r="3020" spans="1:18" hidden="1">
      <c r="A3020" t="s">
        <v>76</v>
      </c>
      <c r="B3020" t="s">
        <v>35</v>
      </c>
      <c r="C3020">
        <v>0</v>
      </c>
      <c r="D3020">
        <v>0</v>
      </c>
      <c r="E3020" s="29">
        <v>0</v>
      </c>
      <c r="F3020">
        <v>0</v>
      </c>
      <c r="G3020">
        <v>0</v>
      </c>
      <c r="H3020">
        <v>0</v>
      </c>
      <c r="I3020" s="29">
        <v>0</v>
      </c>
      <c r="J3020" s="29">
        <v>0</v>
      </c>
      <c r="K3020" s="9">
        <v>45368</v>
      </c>
      <c r="L3020">
        <f xml:space="preserve"> (交易處理資料__3[[#This Row],[售出工時]] * 60) / 5</f>
        <v>0</v>
      </c>
      <c r="M3020" t="str">
        <f>VLOOKUP(交易處理資料__3[[#This Row],[人員代號]],團隊分組!$B$1:$C$52,2,FALSE)</f>
        <v>查修團隊B</v>
      </c>
      <c r="N3020" t="str">
        <f>IF(交易處理資料__3[[#This Row],[上班時間]]=0,"否","是")</f>
        <v>否</v>
      </c>
      <c r="O3020" t="s">
        <v>76</v>
      </c>
      <c r="P3020" s="37">
        <v>0</v>
      </c>
      <c r="Q3020" s="37">
        <v>0</v>
      </c>
      <c r="R3020" s="37">
        <v>0</v>
      </c>
    </row>
    <row r="3021" spans="1:18" hidden="1">
      <c r="A3021" t="s">
        <v>76</v>
      </c>
      <c r="B3021" t="s">
        <v>36</v>
      </c>
      <c r="C3021">
        <v>0</v>
      </c>
      <c r="D3021">
        <v>0</v>
      </c>
      <c r="E3021" s="29">
        <v>0</v>
      </c>
      <c r="F3021">
        <v>0</v>
      </c>
      <c r="G3021">
        <v>0</v>
      </c>
      <c r="H3021">
        <v>0</v>
      </c>
      <c r="I3021" s="29">
        <v>0</v>
      </c>
      <c r="J3021" s="29">
        <v>0</v>
      </c>
      <c r="K3021" s="9">
        <v>45368</v>
      </c>
      <c r="L3021">
        <f xml:space="preserve"> (交易處理資料__3[[#This Row],[售出工時]] * 60) / 5</f>
        <v>0</v>
      </c>
      <c r="M3021" t="str">
        <f>VLOOKUP(交易處理資料__3[[#This Row],[人員代號]],團隊分組!$B$1:$C$52,2,FALSE)</f>
        <v>查修團隊B</v>
      </c>
      <c r="N3021" t="str">
        <f>IF(交易處理資料__3[[#This Row],[上班時間]]=0,"否","是")</f>
        <v>否</v>
      </c>
      <c r="O3021" t="s">
        <v>76</v>
      </c>
      <c r="P3021" s="38">
        <v>0</v>
      </c>
      <c r="Q3021" s="38">
        <v>0</v>
      </c>
      <c r="R3021" s="38">
        <v>0</v>
      </c>
    </row>
    <row r="3022" spans="1:18" hidden="1">
      <c r="A3022" t="s">
        <v>76</v>
      </c>
      <c r="B3022" t="s">
        <v>37</v>
      </c>
      <c r="C3022">
        <v>0</v>
      </c>
      <c r="D3022">
        <v>0</v>
      </c>
      <c r="E3022" s="29">
        <v>0</v>
      </c>
      <c r="F3022">
        <v>0</v>
      </c>
      <c r="G3022">
        <v>0</v>
      </c>
      <c r="H3022">
        <v>0</v>
      </c>
      <c r="I3022" s="29">
        <v>0</v>
      </c>
      <c r="J3022" s="29">
        <v>0</v>
      </c>
      <c r="K3022" s="9">
        <v>45368</v>
      </c>
      <c r="L3022">
        <f xml:space="preserve"> (交易處理資料__3[[#This Row],[售出工時]] * 60) / 5</f>
        <v>0</v>
      </c>
      <c r="M3022" t="str">
        <f>VLOOKUP(交易處理資料__3[[#This Row],[人員代號]],團隊分組!$B$1:$C$52,2,FALSE)</f>
        <v>查修團隊A</v>
      </c>
      <c r="N3022" t="str">
        <f>IF(交易處理資料__3[[#This Row],[上班時間]]=0,"否","是")</f>
        <v>否</v>
      </c>
      <c r="O3022" t="s">
        <v>76</v>
      </c>
      <c r="P3022" s="37">
        <v>0</v>
      </c>
      <c r="Q3022" s="37">
        <v>0</v>
      </c>
      <c r="R3022" s="37">
        <v>0</v>
      </c>
    </row>
    <row r="3023" spans="1:18" hidden="1">
      <c r="A3023" t="s">
        <v>76</v>
      </c>
      <c r="B3023" t="s">
        <v>38</v>
      </c>
      <c r="C3023">
        <v>0</v>
      </c>
      <c r="D3023">
        <v>0</v>
      </c>
      <c r="E3023" s="29">
        <v>0</v>
      </c>
      <c r="F3023">
        <v>0</v>
      </c>
      <c r="G3023">
        <v>0</v>
      </c>
      <c r="H3023">
        <v>0</v>
      </c>
      <c r="I3023" s="29">
        <v>0</v>
      </c>
      <c r="J3023" s="29">
        <v>0</v>
      </c>
      <c r="K3023" s="9">
        <v>45368</v>
      </c>
      <c r="L3023">
        <f xml:space="preserve"> (交易處理資料__3[[#This Row],[售出工時]] * 60) / 5</f>
        <v>0</v>
      </c>
      <c r="M3023" t="str">
        <f>VLOOKUP(交易處理資料__3[[#This Row],[人員代號]],團隊分組!$B$1:$C$52,2,FALSE)</f>
        <v>快速保養團隊A</v>
      </c>
      <c r="N3023" t="str">
        <f>IF(交易處理資料__3[[#This Row],[上班時間]]=0,"否","是")</f>
        <v>否</v>
      </c>
      <c r="O3023" t="s">
        <v>76</v>
      </c>
      <c r="P3023" s="38">
        <v>0</v>
      </c>
      <c r="Q3023" s="38">
        <v>0</v>
      </c>
      <c r="R3023" s="38">
        <v>0</v>
      </c>
    </row>
    <row r="3024" spans="1:18" hidden="1">
      <c r="A3024" t="s">
        <v>76</v>
      </c>
      <c r="B3024" t="s">
        <v>39</v>
      </c>
      <c r="C3024">
        <v>0</v>
      </c>
      <c r="D3024">
        <v>0</v>
      </c>
      <c r="E3024" s="29">
        <v>0</v>
      </c>
      <c r="F3024">
        <v>0</v>
      </c>
      <c r="G3024">
        <v>0</v>
      </c>
      <c r="H3024">
        <v>0</v>
      </c>
      <c r="I3024" s="29">
        <v>0</v>
      </c>
      <c r="J3024" s="29">
        <v>0</v>
      </c>
      <c r="K3024" s="9">
        <v>45368</v>
      </c>
      <c r="L3024">
        <f xml:space="preserve"> (交易處理資料__3[[#This Row],[售出工時]] * 60) / 5</f>
        <v>0</v>
      </c>
      <c r="M3024" t="str">
        <f>VLOOKUP(交易處理資料__3[[#This Row],[人員代號]],團隊分組!$B$1:$C$52,2,FALSE)</f>
        <v>查修團隊A</v>
      </c>
      <c r="N3024" t="str">
        <f>IF(交易處理資料__3[[#This Row],[上班時間]]=0,"否","是")</f>
        <v>否</v>
      </c>
      <c r="O3024" t="s">
        <v>76</v>
      </c>
      <c r="P3024" s="37">
        <v>0</v>
      </c>
      <c r="Q3024" s="37">
        <v>0</v>
      </c>
      <c r="R3024" s="37">
        <v>0</v>
      </c>
    </row>
    <row r="3025" spans="1:18" hidden="1">
      <c r="A3025" t="s">
        <v>76</v>
      </c>
      <c r="B3025" t="s">
        <v>40</v>
      </c>
      <c r="C3025">
        <v>0</v>
      </c>
      <c r="D3025">
        <v>0</v>
      </c>
      <c r="E3025" s="29">
        <v>0</v>
      </c>
      <c r="F3025">
        <v>0</v>
      </c>
      <c r="G3025">
        <v>0</v>
      </c>
      <c r="H3025">
        <v>0</v>
      </c>
      <c r="I3025" s="29">
        <v>0</v>
      </c>
      <c r="J3025" s="29">
        <v>0</v>
      </c>
      <c r="K3025" s="9">
        <v>45368</v>
      </c>
      <c r="L3025">
        <f xml:space="preserve"> (交易處理資料__3[[#This Row],[售出工時]] * 60) / 5</f>
        <v>0</v>
      </c>
      <c r="M3025" t="str">
        <f>VLOOKUP(交易處理資料__3[[#This Row],[人員代號]],團隊分組!$B$1:$C$52,2,FALSE)</f>
        <v>查修團隊A</v>
      </c>
      <c r="N3025" t="str">
        <f>IF(交易處理資料__3[[#This Row],[上班時間]]=0,"否","是")</f>
        <v>否</v>
      </c>
      <c r="O3025" t="s">
        <v>76</v>
      </c>
      <c r="P3025" s="38">
        <v>0</v>
      </c>
      <c r="Q3025" s="38">
        <v>0</v>
      </c>
      <c r="R3025" s="38">
        <v>0</v>
      </c>
    </row>
    <row r="3026" spans="1:18" hidden="1">
      <c r="A3026" t="s">
        <v>76</v>
      </c>
      <c r="B3026" t="s">
        <v>41</v>
      </c>
      <c r="C3026">
        <v>0</v>
      </c>
      <c r="D3026">
        <v>0</v>
      </c>
      <c r="E3026" s="29">
        <v>0</v>
      </c>
      <c r="F3026">
        <v>0</v>
      </c>
      <c r="G3026">
        <v>0</v>
      </c>
      <c r="H3026">
        <v>0</v>
      </c>
      <c r="I3026" s="29">
        <v>0</v>
      </c>
      <c r="J3026" s="29">
        <v>0</v>
      </c>
      <c r="K3026" s="9">
        <v>45368</v>
      </c>
      <c r="L3026">
        <f xml:space="preserve"> (交易處理資料__3[[#This Row],[售出工時]] * 60) / 5</f>
        <v>0</v>
      </c>
      <c r="M3026" t="str">
        <f>VLOOKUP(交易處理資料__3[[#This Row],[人員代號]],團隊分組!$B$1:$C$52,2,FALSE)</f>
        <v>快速保養團隊A</v>
      </c>
      <c r="N3026" t="str">
        <f>IF(交易處理資料__3[[#This Row],[上班時間]]=0,"否","是")</f>
        <v>否</v>
      </c>
      <c r="O3026" t="s">
        <v>76</v>
      </c>
      <c r="P3026" s="37">
        <v>0</v>
      </c>
      <c r="Q3026" s="37">
        <v>0</v>
      </c>
      <c r="R3026" s="37">
        <v>0</v>
      </c>
    </row>
    <row r="3027" spans="1:18" hidden="1">
      <c r="A3027" t="s">
        <v>76</v>
      </c>
      <c r="B3027" t="s">
        <v>42</v>
      </c>
      <c r="C3027">
        <v>0</v>
      </c>
      <c r="D3027">
        <v>0</v>
      </c>
      <c r="E3027" s="29">
        <v>0</v>
      </c>
      <c r="F3027">
        <v>0</v>
      </c>
      <c r="G3027">
        <v>0</v>
      </c>
      <c r="H3027">
        <v>0</v>
      </c>
      <c r="I3027" s="29">
        <v>0</v>
      </c>
      <c r="J3027" s="29">
        <v>0</v>
      </c>
      <c r="K3027" s="9">
        <v>45368</v>
      </c>
      <c r="L3027">
        <f xml:space="preserve"> (交易處理資料__3[[#This Row],[售出工時]] * 60) / 5</f>
        <v>0</v>
      </c>
      <c r="M3027" t="str">
        <f>VLOOKUP(交易處理資料__3[[#This Row],[人員代號]],團隊分組!$B$1:$C$52,2,FALSE)</f>
        <v>快速保養團隊A</v>
      </c>
      <c r="N3027" t="str">
        <f>IF(交易處理資料__3[[#This Row],[上班時間]]=0,"否","是")</f>
        <v>否</v>
      </c>
      <c r="O3027" t="s">
        <v>76</v>
      </c>
      <c r="P3027" s="38">
        <v>0</v>
      </c>
      <c r="Q3027" s="38">
        <v>0</v>
      </c>
      <c r="R3027" s="38">
        <v>0</v>
      </c>
    </row>
    <row r="3028" spans="1:18" hidden="1">
      <c r="A3028" t="s">
        <v>76</v>
      </c>
      <c r="B3028" t="s">
        <v>43</v>
      </c>
      <c r="C3028">
        <v>0</v>
      </c>
      <c r="D3028">
        <v>0</v>
      </c>
      <c r="E3028" s="29">
        <v>0</v>
      </c>
      <c r="F3028">
        <v>0</v>
      </c>
      <c r="G3028">
        <v>0</v>
      </c>
      <c r="H3028">
        <v>0</v>
      </c>
      <c r="I3028" s="29">
        <v>0</v>
      </c>
      <c r="J3028" s="29">
        <v>0</v>
      </c>
      <c r="K3028" s="9">
        <v>45368</v>
      </c>
      <c r="L3028">
        <f xml:space="preserve"> (交易處理資料__3[[#This Row],[售出工時]] * 60) / 5</f>
        <v>0</v>
      </c>
      <c r="M3028" t="str">
        <f>VLOOKUP(交易處理資料__3[[#This Row],[人員代號]],團隊分組!$B$1:$C$52,2,FALSE)</f>
        <v>查修團隊B</v>
      </c>
      <c r="N3028" t="str">
        <f>IF(交易處理資料__3[[#This Row],[上班時間]]=0,"否","是")</f>
        <v>否</v>
      </c>
      <c r="O3028" t="s">
        <v>76</v>
      </c>
      <c r="P3028" s="37">
        <v>0</v>
      </c>
      <c r="Q3028" s="37">
        <v>0</v>
      </c>
      <c r="R3028" s="37">
        <v>0</v>
      </c>
    </row>
    <row r="3029" spans="1:18" hidden="1">
      <c r="A3029" t="s">
        <v>76</v>
      </c>
      <c r="B3029" t="s">
        <v>44</v>
      </c>
      <c r="C3029">
        <v>0</v>
      </c>
      <c r="D3029">
        <v>0</v>
      </c>
      <c r="E3029" s="29">
        <v>0</v>
      </c>
      <c r="F3029">
        <v>0</v>
      </c>
      <c r="G3029">
        <v>0</v>
      </c>
      <c r="H3029">
        <v>0</v>
      </c>
      <c r="I3029" s="29">
        <v>0</v>
      </c>
      <c r="J3029" s="29">
        <v>0</v>
      </c>
      <c r="K3029" s="9">
        <v>45368</v>
      </c>
      <c r="L3029">
        <f xml:space="preserve"> (交易處理資料__3[[#This Row],[售出工時]] * 60) / 5</f>
        <v>0</v>
      </c>
      <c r="M3029" t="str">
        <f>VLOOKUP(交易處理資料__3[[#This Row],[人員代號]],團隊分組!$B$1:$C$52,2,FALSE)</f>
        <v>快速保養團隊B</v>
      </c>
      <c r="N3029" t="str">
        <f>IF(交易處理資料__3[[#This Row],[上班時間]]=0,"否","是")</f>
        <v>否</v>
      </c>
      <c r="O3029" t="s">
        <v>76</v>
      </c>
      <c r="P3029" s="38">
        <v>0</v>
      </c>
      <c r="Q3029" s="38">
        <v>0</v>
      </c>
      <c r="R3029" s="38">
        <v>0</v>
      </c>
    </row>
    <row r="3030" spans="1:18" hidden="1">
      <c r="A3030" t="s">
        <v>76</v>
      </c>
      <c r="B3030" t="s">
        <v>45</v>
      </c>
      <c r="C3030">
        <v>0</v>
      </c>
      <c r="D3030">
        <v>0</v>
      </c>
      <c r="E3030" s="29">
        <v>0</v>
      </c>
      <c r="F3030">
        <v>0</v>
      </c>
      <c r="G3030">
        <v>0</v>
      </c>
      <c r="H3030">
        <v>0</v>
      </c>
      <c r="I3030" s="29">
        <v>0</v>
      </c>
      <c r="J3030" s="29">
        <v>0</v>
      </c>
      <c r="K3030" s="9">
        <v>45368</v>
      </c>
      <c r="L3030">
        <f xml:space="preserve"> (交易處理資料__3[[#This Row],[售出工時]] * 60) / 5</f>
        <v>0</v>
      </c>
      <c r="M3030" t="str">
        <f>VLOOKUP(交易處理資料__3[[#This Row],[人員代號]],團隊分組!$B$1:$C$52,2,FALSE)</f>
        <v>快速保養團隊A</v>
      </c>
      <c r="N3030" t="str">
        <f>IF(交易處理資料__3[[#This Row],[上班時間]]=0,"否","是")</f>
        <v>否</v>
      </c>
      <c r="O3030" t="s">
        <v>76</v>
      </c>
      <c r="P3030" s="37">
        <v>0</v>
      </c>
      <c r="Q3030" s="37">
        <v>0</v>
      </c>
      <c r="R3030" s="37">
        <v>0</v>
      </c>
    </row>
    <row r="3031" spans="1:18" hidden="1">
      <c r="A3031" t="s">
        <v>76</v>
      </c>
      <c r="B3031" t="s">
        <v>46</v>
      </c>
      <c r="C3031">
        <v>0</v>
      </c>
      <c r="D3031">
        <v>0</v>
      </c>
      <c r="E3031" s="29">
        <v>0</v>
      </c>
      <c r="F3031">
        <v>0</v>
      </c>
      <c r="G3031">
        <v>0</v>
      </c>
      <c r="H3031">
        <v>0</v>
      </c>
      <c r="I3031" s="29">
        <v>0</v>
      </c>
      <c r="J3031" s="29">
        <v>0</v>
      </c>
      <c r="K3031" s="9">
        <v>45368</v>
      </c>
      <c r="L3031">
        <f xml:space="preserve"> (交易處理資料__3[[#This Row],[售出工時]] * 60) / 5</f>
        <v>0</v>
      </c>
      <c r="M3031" t="str">
        <f>VLOOKUP(交易處理資料__3[[#This Row],[人員代號]],團隊分組!$B$1:$C$52,2,FALSE)</f>
        <v>查修團隊B</v>
      </c>
      <c r="N3031" t="str">
        <f>IF(交易處理資料__3[[#This Row],[上班時間]]=0,"否","是")</f>
        <v>否</v>
      </c>
      <c r="O3031" t="s">
        <v>76</v>
      </c>
      <c r="P3031" s="38">
        <v>0</v>
      </c>
      <c r="Q3031" s="38">
        <v>0</v>
      </c>
      <c r="R3031" s="38">
        <v>0</v>
      </c>
    </row>
    <row r="3032" spans="1:18" hidden="1">
      <c r="A3032" t="s">
        <v>76</v>
      </c>
      <c r="B3032" t="s">
        <v>47</v>
      </c>
      <c r="C3032">
        <v>0</v>
      </c>
      <c r="D3032">
        <v>0</v>
      </c>
      <c r="E3032" s="29">
        <v>0</v>
      </c>
      <c r="F3032">
        <v>0</v>
      </c>
      <c r="G3032">
        <v>0</v>
      </c>
      <c r="H3032">
        <v>0</v>
      </c>
      <c r="I3032" s="29">
        <v>0</v>
      </c>
      <c r="J3032" s="29">
        <v>0</v>
      </c>
      <c r="K3032" s="9">
        <v>45368</v>
      </c>
      <c r="L3032">
        <f xml:space="preserve"> (交易處理資料__3[[#This Row],[售出工時]] * 60) / 5</f>
        <v>0</v>
      </c>
      <c r="M3032" t="str">
        <f>VLOOKUP(交易處理資料__3[[#This Row],[人員代號]],團隊分組!$B$1:$C$52,2,FALSE)</f>
        <v>查修團隊B</v>
      </c>
      <c r="N3032" t="str">
        <f>IF(交易處理資料__3[[#This Row],[上班時間]]=0,"否","是")</f>
        <v>否</v>
      </c>
      <c r="O3032" t="s">
        <v>76</v>
      </c>
      <c r="P3032" s="37">
        <v>0</v>
      </c>
      <c r="Q3032" s="37">
        <v>0</v>
      </c>
      <c r="R3032" s="37">
        <v>0</v>
      </c>
    </row>
    <row r="3033" spans="1:18" hidden="1">
      <c r="A3033" t="s">
        <v>76</v>
      </c>
      <c r="B3033" t="s">
        <v>48</v>
      </c>
      <c r="C3033">
        <v>0</v>
      </c>
      <c r="D3033">
        <v>0</v>
      </c>
      <c r="E3033" s="29">
        <v>0</v>
      </c>
      <c r="F3033">
        <v>0</v>
      </c>
      <c r="G3033">
        <v>0</v>
      </c>
      <c r="H3033">
        <v>0</v>
      </c>
      <c r="I3033" s="29">
        <v>0</v>
      </c>
      <c r="J3033" s="29">
        <v>0</v>
      </c>
      <c r="K3033" s="9">
        <v>45368</v>
      </c>
      <c r="L3033">
        <f xml:space="preserve"> (交易處理資料__3[[#This Row],[售出工時]] * 60) / 5</f>
        <v>0</v>
      </c>
      <c r="M3033" t="str">
        <f>VLOOKUP(交易處理資料__3[[#This Row],[人員代號]],團隊分組!$B$1:$C$52,2,FALSE)</f>
        <v>查修團隊A</v>
      </c>
      <c r="N3033" t="str">
        <f>IF(交易處理資料__3[[#This Row],[上班時間]]=0,"否","是")</f>
        <v>否</v>
      </c>
      <c r="O3033" t="s">
        <v>76</v>
      </c>
      <c r="P3033" s="38">
        <v>0</v>
      </c>
      <c r="Q3033" s="38">
        <v>0</v>
      </c>
      <c r="R3033" s="38">
        <v>0</v>
      </c>
    </row>
    <row r="3034" spans="1:18" hidden="1">
      <c r="A3034" t="s">
        <v>76</v>
      </c>
      <c r="B3034" t="s">
        <v>49</v>
      </c>
      <c r="C3034">
        <v>0</v>
      </c>
      <c r="D3034">
        <v>0</v>
      </c>
      <c r="E3034" s="29">
        <v>0</v>
      </c>
      <c r="F3034">
        <v>0</v>
      </c>
      <c r="G3034">
        <v>0</v>
      </c>
      <c r="H3034">
        <v>0</v>
      </c>
      <c r="I3034" s="29">
        <v>0</v>
      </c>
      <c r="J3034" s="29">
        <v>0</v>
      </c>
      <c r="K3034" s="9">
        <v>45368</v>
      </c>
      <c r="L3034">
        <f xml:space="preserve"> (交易處理資料__3[[#This Row],[售出工時]] * 60) / 5</f>
        <v>0</v>
      </c>
      <c r="M3034" t="str">
        <f>VLOOKUP(交易處理資料__3[[#This Row],[人員代號]],團隊分組!$B$1:$C$52,2,FALSE)</f>
        <v>查修團隊A</v>
      </c>
      <c r="N3034" t="str">
        <f>IF(交易處理資料__3[[#This Row],[上班時間]]=0,"否","是")</f>
        <v>否</v>
      </c>
      <c r="O3034" t="s">
        <v>76</v>
      </c>
      <c r="P3034" s="37">
        <v>0</v>
      </c>
      <c r="Q3034" s="37">
        <v>0</v>
      </c>
      <c r="R3034" s="37">
        <v>0</v>
      </c>
    </row>
    <row r="3035" spans="1:18" hidden="1">
      <c r="A3035" t="s">
        <v>76</v>
      </c>
      <c r="B3035" t="s">
        <v>50</v>
      </c>
      <c r="C3035">
        <v>0</v>
      </c>
      <c r="D3035">
        <v>0</v>
      </c>
      <c r="E3035" s="29">
        <v>0</v>
      </c>
      <c r="F3035">
        <v>0</v>
      </c>
      <c r="G3035">
        <v>0</v>
      </c>
      <c r="H3035">
        <v>0</v>
      </c>
      <c r="I3035" s="29">
        <v>0</v>
      </c>
      <c r="J3035" s="29">
        <v>0</v>
      </c>
      <c r="K3035" s="9">
        <v>45368</v>
      </c>
      <c r="L3035">
        <f xml:space="preserve"> (交易處理資料__3[[#This Row],[售出工時]] * 60) / 5</f>
        <v>0</v>
      </c>
      <c r="M3035" t="str">
        <f>VLOOKUP(交易處理資料__3[[#This Row],[人員代號]],團隊分組!$B$1:$C$52,2,FALSE)</f>
        <v>快速保養團隊B</v>
      </c>
      <c r="N3035" t="str">
        <f>IF(交易處理資料__3[[#This Row],[上班時間]]=0,"否","是")</f>
        <v>否</v>
      </c>
      <c r="O3035" t="s">
        <v>76</v>
      </c>
      <c r="P3035" s="38">
        <v>0</v>
      </c>
      <c r="Q3035" s="38">
        <v>0</v>
      </c>
      <c r="R3035" s="38">
        <v>0</v>
      </c>
    </row>
    <row r="3036" spans="1:18" hidden="1">
      <c r="A3036" t="s">
        <v>76</v>
      </c>
      <c r="B3036" t="s">
        <v>51</v>
      </c>
      <c r="C3036">
        <v>0</v>
      </c>
      <c r="D3036">
        <v>0</v>
      </c>
      <c r="E3036" s="29">
        <v>0</v>
      </c>
      <c r="F3036">
        <v>0</v>
      </c>
      <c r="G3036">
        <v>0</v>
      </c>
      <c r="H3036">
        <v>0</v>
      </c>
      <c r="I3036" s="29">
        <v>0</v>
      </c>
      <c r="J3036" s="29">
        <v>0</v>
      </c>
      <c r="K3036" s="9">
        <v>45368</v>
      </c>
      <c r="L3036">
        <f xml:space="preserve"> (交易處理資料__3[[#This Row],[售出工時]] * 60) / 5</f>
        <v>0</v>
      </c>
      <c r="M3036" t="str">
        <f>VLOOKUP(交易處理資料__3[[#This Row],[人員代號]],團隊分組!$B$1:$C$52,2,FALSE)</f>
        <v>無效數據</v>
      </c>
      <c r="N3036" t="str">
        <f>IF(交易處理資料__3[[#This Row],[上班時間]]=0,"否","是")</f>
        <v>否</v>
      </c>
      <c r="O3036" t="s">
        <v>76</v>
      </c>
      <c r="P3036" s="37">
        <v>0</v>
      </c>
      <c r="Q3036" s="37">
        <v>0</v>
      </c>
      <c r="R3036" s="37">
        <v>0</v>
      </c>
    </row>
    <row r="3037" spans="1:18" hidden="1">
      <c r="A3037" t="s">
        <v>76</v>
      </c>
      <c r="B3037" t="s">
        <v>52</v>
      </c>
      <c r="C3037">
        <v>0</v>
      </c>
      <c r="D3037">
        <v>0</v>
      </c>
      <c r="E3037" s="29">
        <v>0</v>
      </c>
      <c r="F3037">
        <v>0</v>
      </c>
      <c r="G3037">
        <v>0</v>
      </c>
      <c r="H3037">
        <v>0</v>
      </c>
      <c r="I3037" s="29">
        <v>0</v>
      </c>
      <c r="J3037" s="29">
        <v>0</v>
      </c>
      <c r="K3037" s="9">
        <v>45368</v>
      </c>
      <c r="L3037">
        <f xml:space="preserve"> (交易處理資料__3[[#This Row],[售出工時]] * 60) / 5</f>
        <v>0</v>
      </c>
      <c r="M3037" t="str">
        <f>VLOOKUP(交易處理資料__3[[#This Row],[人員代號]],團隊分組!$B$1:$C$52,2,FALSE)</f>
        <v>查修團隊B</v>
      </c>
      <c r="N3037" t="str">
        <f>IF(交易處理資料__3[[#This Row],[上班時間]]=0,"否","是")</f>
        <v>否</v>
      </c>
      <c r="O3037" t="s">
        <v>76</v>
      </c>
      <c r="P3037" s="38">
        <v>0</v>
      </c>
      <c r="Q3037" s="38">
        <v>0</v>
      </c>
      <c r="R3037" s="38">
        <v>0</v>
      </c>
    </row>
    <row r="3038" spans="1:18" hidden="1">
      <c r="A3038" t="s">
        <v>76</v>
      </c>
      <c r="B3038" t="s">
        <v>53</v>
      </c>
      <c r="C3038">
        <v>0</v>
      </c>
      <c r="D3038">
        <v>0</v>
      </c>
      <c r="E3038" s="29">
        <v>0</v>
      </c>
      <c r="F3038">
        <v>0</v>
      </c>
      <c r="G3038">
        <v>0</v>
      </c>
      <c r="H3038">
        <v>0</v>
      </c>
      <c r="I3038" s="29">
        <v>0</v>
      </c>
      <c r="J3038" s="29">
        <v>0</v>
      </c>
      <c r="K3038" s="9">
        <v>45368</v>
      </c>
      <c r="L3038">
        <f xml:space="preserve"> (交易處理資料__3[[#This Row],[售出工時]] * 60) / 5</f>
        <v>0</v>
      </c>
      <c r="M3038" t="str">
        <f>VLOOKUP(交易處理資料__3[[#This Row],[人員代號]],團隊分組!$B$1:$C$52,2,FALSE)</f>
        <v>查修團隊A</v>
      </c>
      <c r="N3038" t="str">
        <f>IF(交易處理資料__3[[#This Row],[上班時間]]=0,"否","是")</f>
        <v>否</v>
      </c>
      <c r="O3038" t="s">
        <v>76</v>
      </c>
      <c r="P3038" s="37">
        <v>0</v>
      </c>
      <c r="Q3038" s="37">
        <v>0</v>
      </c>
      <c r="R3038" s="37">
        <v>0</v>
      </c>
    </row>
    <row r="3039" spans="1:18" hidden="1">
      <c r="A3039" s="10" t="s">
        <v>74</v>
      </c>
      <c r="B3039" t="s">
        <v>1</v>
      </c>
      <c r="C3039">
        <v>0</v>
      </c>
      <c r="D3039">
        <v>0</v>
      </c>
      <c r="E3039" s="29">
        <v>0</v>
      </c>
      <c r="F3039">
        <v>4.8099999999999996</v>
      </c>
      <c r="G3039">
        <v>3.21</v>
      </c>
      <c r="H3039">
        <v>8.02</v>
      </c>
      <c r="I3039" s="29">
        <v>0.5998</v>
      </c>
      <c r="J3039" s="29">
        <v>0</v>
      </c>
      <c r="K3039" s="9">
        <v>45369</v>
      </c>
      <c r="L3039">
        <f xml:space="preserve"> (交易處理資料__3[[#This Row],[售出工時]] * 60) / 5</f>
        <v>0</v>
      </c>
      <c r="M3039" t="str">
        <f>VLOOKUP(交易處理資料__3[[#This Row],[人員代號]],團隊分組!$B$1:$C$52,2,FALSE)</f>
        <v>噴漆維修組</v>
      </c>
      <c r="N3039" t="str">
        <f>IF(交易處理資料__3[[#This Row],[上班時間]]=0,"否","是")</f>
        <v>是</v>
      </c>
      <c r="O3039" s="10" t="s">
        <v>74</v>
      </c>
      <c r="P3039" s="38">
        <v>0</v>
      </c>
      <c r="Q3039" s="38">
        <v>0</v>
      </c>
      <c r="R3039" s="38">
        <v>0.5998</v>
      </c>
    </row>
    <row r="3040" spans="1:18" hidden="1">
      <c r="A3040" s="10" t="s">
        <v>74</v>
      </c>
      <c r="B3040" t="s">
        <v>2</v>
      </c>
      <c r="C3040">
        <v>0</v>
      </c>
      <c r="D3040">
        <v>0</v>
      </c>
      <c r="E3040" s="29">
        <v>0</v>
      </c>
      <c r="F3040">
        <v>3.9</v>
      </c>
      <c r="G3040">
        <v>4.03</v>
      </c>
      <c r="H3040">
        <v>7.93</v>
      </c>
      <c r="I3040" s="29">
        <v>0.49180000000000001</v>
      </c>
      <c r="J3040" s="29">
        <v>0</v>
      </c>
      <c r="K3040" s="9">
        <v>45369</v>
      </c>
      <c r="L3040">
        <f xml:space="preserve"> (交易處理資料__3[[#This Row],[售出工時]] * 60) / 5</f>
        <v>0</v>
      </c>
      <c r="M3040" t="str">
        <f>VLOOKUP(交易處理資料__3[[#This Row],[人員代號]],團隊分組!$B$1:$C$52,2,FALSE)</f>
        <v>噴漆維修組</v>
      </c>
      <c r="N3040" t="str">
        <f>IF(交易處理資料__3[[#This Row],[上班時間]]=0,"否","是")</f>
        <v>是</v>
      </c>
      <c r="O3040" s="10" t="s">
        <v>74</v>
      </c>
      <c r="P3040" s="37">
        <v>0</v>
      </c>
      <c r="Q3040" s="37">
        <v>0</v>
      </c>
      <c r="R3040" s="37">
        <v>0.49180000000000001</v>
      </c>
    </row>
    <row r="3041" spans="1:18" hidden="1">
      <c r="A3041" s="10" t="s">
        <v>74</v>
      </c>
      <c r="B3041" t="s">
        <v>3</v>
      </c>
      <c r="C3041">
        <v>0</v>
      </c>
      <c r="D3041">
        <v>0</v>
      </c>
      <c r="E3041" s="29">
        <v>0</v>
      </c>
      <c r="F3041">
        <v>3.9</v>
      </c>
      <c r="G3041">
        <v>4.03</v>
      </c>
      <c r="H3041">
        <v>7.93</v>
      </c>
      <c r="I3041" s="29">
        <v>0.49180000000000001</v>
      </c>
      <c r="J3041" s="29">
        <v>0</v>
      </c>
      <c r="K3041" s="9">
        <v>45369</v>
      </c>
      <c r="L3041">
        <f xml:space="preserve"> (交易處理資料__3[[#This Row],[售出工時]] * 60) / 5</f>
        <v>0</v>
      </c>
      <c r="M3041" t="str">
        <f>VLOOKUP(交易處理資料__3[[#This Row],[人員代號]],團隊分組!$B$1:$C$52,2,FALSE)</f>
        <v>噴漆維修組</v>
      </c>
      <c r="N3041" t="str">
        <f>IF(交易處理資料__3[[#This Row],[上班時間]]=0,"否","是")</f>
        <v>是</v>
      </c>
      <c r="O3041" s="10" t="s">
        <v>74</v>
      </c>
      <c r="P3041" s="38">
        <v>0</v>
      </c>
      <c r="Q3041" s="38">
        <v>0</v>
      </c>
      <c r="R3041" s="38">
        <v>0.49180000000000001</v>
      </c>
    </row>
    <row r="3042" spans="1:18" hidden="1">
      <c r="A3042" s="10" t="s">
        <v>74</v>
      </c>
      <c r="B3042" t="s">
        <v>4</v>
      </c>
      <c r="C3042">
        <v>0</v>
      </c>
      <c r="D3042">
        <v>0</v>
      </c>
      <c r="E3042" s="29">
        <v>0</v>
      </c>
      <c r="F3042">
        <v>1.23</v>
      </c>
      <c r="G3042">
        <v>6.79</v>
      </c>
      <c r="H3042">
        <v>8.02</v>
      </c>
      <c r="I3042" s="29">
        <v>0.15340000000000001</v>
      </c>
      <c r="J3042" s="29">
        <v>0</v>
      </c>
      <c r="K3042" s="9">
        <v>45369</v>
      </c>
      <c r="L3042">
        <f xml:space="preserve"> (交易處理資料__3[[#This Row],[售出工時]] * 60) / 5</f>
        <v>0</v>
      </c>
      <c r="M3042" t="str">
        <f>VLOOKUP(交易處理資料__3[[#This Row],[人員代號]],團隊分組!$B$1:$C$52,2,FALSE)</f>
        <v>噴漆維修組</v>
      </c>
      <c r="N3042" t="str">
        <f>IF(交易處理資料__3[[#This Row],[上班時間]]=0,"否","是")</f>
        <v>是</v>
      </c>
      <c r="O3042" s="10" t="s">
        <v>74</v>
      </c>
      <c r="P3042" s="37">
        <v>0</v>
      </c>
      <c r="Q3042" s="37">
        <v>0</v>
      </c>
      <c r="R3042" s="37">
        <v>0.15340000000000001</v>
      </c>
    </row>
    <row r="3043" spans="1:18" hidden="1">
      <c r="A3043" s="10" t="s">
        <v>74</v>
      </c>
      <c r="B3043" t="s">
        <v>5</v>
      </c>
      <c r="C3043">
        <v>0</v>
      </c>
      <c r="D3043">
        <v>0</v>
      </c>
      <c r="E3043" s="29">
        <v>0</v>
      </c>
      <c r="F3043">
        <v>1.92</v>
      </c>
      <c r="G3043">
        <v>6.01</v>
      </c>
      <c r="H3043">
        <v>7.93</v>
      </c>
      <c r="I3043" s="29">
        <v>0.24210000000000001</v>
      </c>
      <c r="J3043" s="29">
        <v>0</v>
      </c>
      <c r="K3043" s="9">
        <v>45369</v>
      </c>
      <c r="L3043">
        <f xml:space="preserve"> (交易處理資料__3[[#This Row],[售出工時]] * 60) / 5</f>
        <v>0</v>
      </c>
      <c r="M3043" t="str">
        <f>VLOOKUP(交易處理資料__3[[#This Row],[人員代號]],團隊分組!$B$1:$C$52,2,FALSE)</f>
        <v>噴漆維修組</v>
      </c>
      <c r="N3043" t="str">
        <f>IF(交易處理資料__3[[#This Row],[上班時間]]=0,"否","是")</f>
        <v>是</v>
      </c>
      <c r="O3043" s="10" t="s">
        <v>74</v>
      </c>
      <c r="P3043" s="38">
        <v>0</v>
      </c>
      <c r="Q3043" s="38">
        <v>0</v>
      </c>
      <c r="R3043" s="38">
        <v>0.24210000000000001</v>
      </c>
    </row>
    <row r="3044" spans="1:18" hidden="1">
      <c r="A3044" s="10" t="s">
        <v>74</v>
      </c>
      <c r="B3044" t="s">
        <v>6</v>
      </c>
      <c r="C3044">
        <v>0</v>
      </c>
      <c r="D3044">
        <v>0</v>
      </c>
      <c r="E3044" s="29">
        <v>0</v>
      </c>
      <c r="F3044">
        <v>3.9</v>
      </c>
      <c r="G3044">
        <v>4.03</v>
      </c>
      <c r="H3044">
        <v>7.93</v>
      </c>
      <c r="I3044" s="29">
        <v>0.49180000000000001</v>
      </c>
      <c r="J3044" s="29">
        <v>0</v>
      </c>
      <c r="K3044" s="9">
        <v>45369</v>
      </c>
      <c r="L3044">
        <f xml:space="preserve"> (交易處理資料__3[[#This Row],[售出工時]] * 60) / 5</f>
        <v>0</v>
      </c>
      <c r="M3044" t="str">
        <f>VLOOKUP(交易處理資料__3[[#This Row],[人員代號]],團隊分組!$B$1:$C$52,2,FALSE)</f>
        <v>噴漆維修組</v>
      </c>
      <c r="N3044" t="str">
        <f>IF(交易處理資料__3[[#This Row],[上班時間]]=0,"否","是")</f>
        <v>是</v>
      </c>
      <c r="O3044" s="10" t="s">
        <v>74</v>
      </c>
      <c r="P3044" s="37">
        <v>0</v>
      </c>
      <c r="Q3044" s="37">
        <v>0</v>
      </c>
      <c r="R3044" s="37">
        <v>0.49180000000000001</v>
      </c>
    </row>
    <row r="3045" spans="1:18">
      <c r="A3045" s="10" t="s">
        <v>74</v>
      </c>
      <c r="B3045" t="s">
        <v>7</v>
      </c>
      <c r="C3045">
        <v>0</v>
      </c>
      <c r="D3045">
        <v>0</v>
      </c>
      <c r="E3045" s="29">
        <v>0</v>
      </c>
      <c r="F3045">
        <v>1.92</v>
      </c>
      <c r="G3045">
        <v>6.01</v>
      </c>
      <c r="H3045">
        <v>7.93</v>
      </c>
      <c r="I3045" s="29">
        <v>0.24210000000000001</v>
      </c>
      <c r="J3045" s="29">
        <v>0</v>
      </c>
      <c r="K3045" s="9">
        <v>45369</v>
      </c>
      <c r="L3045">
        <f xml:space="preserve"> (交易處理資料__3[[#This Row],[售出工時]] * 60) / 5</f>
        <v>0</v>
      </c>
      <c r="M3045" t="str">
        <f>VLOOKUP(交易處理資料__3[[#This Row],[人員代號]],團隊分組!$B$1:$C$52,2,FALSE)</f>
        <v>噴漆維修組</v>
      </c>
      <c r="N3045" t="str">
        <f>IF(交易處理資料__3[[#This Row],[上班時間]]=0,"否","是")</f>
        <v>是</v>
      </c>
      <c r="O3045" s="10" t="s">
        <v>74</v>
      </c>
      <c r="P3045" s="38">
        <v>0</v>
      </c>
      <c r="Q3045" s="38">
        <v>0</v>
      </c>
      <c r="R3045" s="38">
        <v>0.24210000000000001</v>
      </c>
    </row>
    <row r="3046" spans="1:18" hidden="1">
      <c r="A3046" s="10" t="s">
        <v>74</v>
      </c>
      <c r="B3046" t="s">
        <v>8</v>
      </c>
      <c r="C3046">
        <v>3.3333333330000001</v>
      </c>
      <c r="D3046">
        <v>7.33</v>
      </c>
      <c r="E3046" s="29">
        <v>0.45475216009999997</v>
      </c>
      <c r="F3046">
        <v>1.23</v>
      </c>
      <c r="G3046">
        <v>6.79</v>
      </c>
      <c r="H3046">
        <v>8.02</v>
      </c>
      <c r="I3046" s="29">
        <v>0.15340000000000001</v>
      </c>
      <c r="J3046" s="29">
        <v>0.41560000000000002</v>
      </c>
      <c r="K3046" s="9">
        <v>45369</v>
      </c>
      <c r="L3046">
        <f xml:space="preserve"> (交易處理資料__3[[#This Row],[售出工時]] * 60) / 5</f>
        <v>39.999999996</v>
      </c>
      <c r="M3046" t="str">
        <f>VLOOKUP(交易處理資料__3[[#This Row],[人員代號]],團隊分組!$B$1:$C$52,2,FALSE)</f>
        <v>噴漆維修組</v>
      </c>
      <c r="N3046" t="str">
        <f>IF(交易處理資料__3[[#This Row],[上班時間]]=0,"否","是")</f>
        <v>是</v>
      </c>
      <c r="O3046" s="10" t="s">
        <v>74</v>
      </c>
      <c r="P3046" s="37">
        <v>0.45475216009999997</v>
      </c>
      <c r="Q3046" s="37">
        <v>0.41560000000000002</v>
      </c>
      <c r="R3046" s="37">
        <v>0.15340000000000001</v>
      </c>
    </row>
    <row r="3047" spans="1:18" hidden="1">
      <c r="A3047" s="10" t="s">
        <v>74</v>
      </c>
      <c r="B3047" t="s">
        <v>9</v>
      </c>
      <c r="C3047">
        <v>0</v>
      </c>
      <c r="D3047">
        <v>0</v>
      </c>
      <c r="E3047" s="29">
        <v>0</v>
      </c>
      <c r="F3047">
        <v>4.84</v>
      </c>
      <c r="G3047">
        <v>3.22</v>
      </c>
      <c r="H3047">
        <v>8.06</v>
      </c>
      <c r="I3047" s="29">
        <v>0.60049999999999992</v>
      </c>
      <c r="J3047" s="29">
        <v>0</v>
      </c>
      <c r="K3047" s="9">
        <v>45369</v>
      </c>
      <c r="L3047">
        <f xml:space="preserve"> (交易處理資料__3[[#This Row],[售出工時]] * 60) / 5</f>
        <v>0</v>
      </c>
      <c r="M3047" t="str">
        <f>VLOOKUP(交易處理資料__3[[#This Row],[人員代號]],團隊分組!$B$1:$C$52,2,FALSE)</f>
        <v>噴漆維修組</v>
      </c>
      <c r="N3047" t="str">
        <f>IF(交易處理資料__3[[#This Row],[上班時間]]=0,"否","是")</f>
        <v>是</v>
      </c>
      <c r="O3047" s="10" t="s">
        <v>74</v>
      </c>
      <c r="P3047" s="38">
        <v>0</v>
      </c>
      <c r="Q3047" s="38">
        <v>0</v>
      </c>
      <c r="R3047" s="38">
        <v>0.60049999999999992</v>
      </c>
    </row>
    <row r="3048" spans="1:18" hidden="1">
      <c r="A3048" t="s">
        <v>75</v>
      </c>
      <c r="B3048" t="s">
        <v>11</v>
      </c>
      <c r="C3048">
        <v>0</v>
      </c>
      <c r="D3048">
        <v>0</v>
      </c>
      <c r="E3048" s="29">
        <v>0</v>
      </c>
      <c r="F3048">
        <v>4.75</v>
      </c>
      <c r="G3048">
        <v>3.23</v>
      </c>
      <c r="H3048">
        <v>7.98</v>
      </c>
      <c r="I3048" s="29">
        <v>0.59520000000000006</v>
      </c>
      <c r="J3048" s="29">
        <v>0</v>
      </c>
      <c r="K3048" s="9">
        <v>45369</v>
      </c>
      <c r="L3048">
        <f xml:space="preserve"> (交易處理資料__3[[#This Row],[售出工時]] * 60) / 5</f>
        <v>0</v>
      </c>
      <c r="M3048" t="str">
        <f>VLOOKUP(交易處理資料__3[[#This Row],[人員代號]],團隊分組!$B$1:$C$52,2,FALSE)</f>
        <v>鈑金維修組</v>
      </c>
      <c r="N3048" t="str">
        <f>IF(交易處理資料__3[[#This Row],[上班時間]]=0,"否","是")</f>
        <v>是</v>
      </c>
      <c r="O3048" t="s">
        <v>75</v>
      </c>
      <c r="P3048" s="37">
        <v>0</v>
      </c>
      <c r="Q3048" s="37">
        <v>0</v>
      </c>
      <c r="R3048" s="37">
        <v>0.59520000000000006</v>
      </c>
    </row>
    <row r="3049" spans="1:18" hidden="1">
      <c r="A3049" t="s">
        <v>75</v>
      </c>
      <c r="B3049" t="s">
        <v>12</v>
      </c>
      <c r="C3049">
        <v>2.25</v>
      </c>
      <c r="D3049">
        <v>2.08</v>
      </c>
      <c r="E3049" s="29">
        <v>1.081730769</v>
      </c>
      <c r="F3049">
        <v>3.55</v>
      </c>
      <c r="G3049">
        <v>4.41</v>
      </c>
      <c r="H3049">
        <v>7.96</v>
      </c>
      <c r="I3049" s="29">
        <v>0.44600000000000001</v>
      </c>
      <c r="J3049" s="29">
        <v>0.28270000000000001</v>
      </c>
      <c r="K3049" s="9">
        <v>45369</v>
      </c>
      <c r="L3049">
        <f xml:space="preserve"> (交易處理資料__3[[#This Row],[售出工時]] * 60) / 5</f>
        <v>27</v>
      </c>
      <c r="M3049" t="str">
        <f>VLOOKUP(交易處理資料__3[[#This Row],[人員代號]],團隊分組!$B$1:$C$52,2,FALSE)</f>
        <v>鈑金維修組</v>
      </c>
      <c r="N3049" t="str">
        <f>IF(交易處理資料__3[[#This Row],[上班時間]]=0,"否","是")</f>
        <v>是</v>
      </c>
      <c r="O3049" t="s">
        <v>75</v>
      </c>
      <c r="P3049" s="38">
        <v>1.081730769</v>
      </c>
      <c r="Q3049" s="38">
        <v>0.28270000000000001</v>
      </c>
      <c r="R3049" s="38">
        <v>0.44600000000000001</v>
      </c>
    </row>
    <row r="3050" spans="1:18" hidden="1">
      <c r="A3050" t="s">
        <v>75</v>
      </c>
      <c r="B3050" t="s">
        <v>13</v>
      </c>
      <c r="C3050">
        <v>0</v>
      </c>
      <c r="D3050">
        <v>0</v>
      </c>
      <c r="E3050" s="29">
        <v>0</v>
      </c>
      <c r="F3050">
        <v>0</v>
      </c>
      <c r="G3050">
        <v>0</v>
      </c>
      <c r="H3050">
        <v>0</v>
      </c>
      <c r="I3050" s="29">
        <v>0</v>
      </c>
      <c r="J3050" s="29">
        <v>0</v>
      </c>
      <c r="K3050" s="9">
        <v>45369</v>
      </c>
      <c r="L3050">
        <f xml:space="preserve"> (交易處理資料__3[[#This Row],[售出工時]] * 60) / 5</f>
        <v>0</v>
      </c>
      <c r="M3050" t="str">
        <f>VLOOKUP(交易處理資料__3[[#This Row],[人員代號]],團隊分組!$B$1:$C$52,2,FALSE)</f>
        <v>鈑金維修組</v>
      </c>
      <c r="N3050" t="str">
        <f>IF(交易處理資料__3[[#This Row],[上班時間]]=0,"否","是")</f>
        <v>否</v>
      </c>
      <c r="O3050" t="s">
        <v>75</v>
      </c>
      <c r="P3050" s="37">
        <v>0</v>
      </c>
      <c r="Q3050" s="37">
        <v>0</v>
      </c>
      <c r="R3050" s="37">
        <v>0</v>
      </c>
    </row>
    <row r="3051" spans="1:18" hidden="1">
      <c r="A3051" t="s">
        <v>75</v>
      </c>
      <c r="B3051" t="s">
        <v>14</v>
      </c>
      <c r="C3051">
        <v>0</v>
      </c>
      <c r="D3051">
        <v>0</v>
      </c>
      <c r="E3051" s="29">
        <v>0</v>
      </c>
      <c r="F3051">
        <v>5.85</v>
      </c>
      <c r="G3051">
        <v>2.12</v>
      </c>
      <c r="H3051">
        <v>7.97</v>
      </c>
      <c r="I3051" s="29">
        <v>0.7340000000000001</v>
      </c>
      <c r="J3051" s="29">
        <v>0</v>
      </c>
      <c r="K3051" s="9">
        <v>45369</v>
      </c>
      <c r="L3051">
        <f xml:space="preserve"> (交易處理資料__3[[#This Row],[售出工時]] * 60) / 5</f>
        <v>0</v>
      </c>
      <c r="M3051" t="str">
        <f>VLOOKUP(交易處理資料__3[[#This Row],[人員代號]],團隊分組!$B$1:$C$52,2,FALSE)</f>
        <v>鈑金維修組</v>
      </c>
      <c r="N3051" t="str">
        <f>IF(交易處理資料__3[[#This Row],[上班時間]]=0,"否","是")</f>
        <v>是</v>
      </c>
      <c r="O3051" t="s">
        <v>75</v>
      </c>
      <c r="P3051" s="38">
        <v>0</v>
      </c>
      <c r="Q3051" s="38">
        <v>0</v>
      </c>
      <c r="R3051" s="38">
        <v>0.7340000000000001</v>
      </c>
    </row>
    <row r="3052" spans="1:18" hidden="1">
      <c r="A3052" t="s">
        <v>75</v>
      </c>
      <c r="B3052" t="s">
        <v>15</v>
      </c>
      <c r="C3052">
        <v>0</v>
      </c>
      <c r="D3052">
        <v>0</v>
      </c>
      <c r="E3052" s="29">
        <v>0</v>
      </c>
      <c r="F3052">
        <v>7.19</v>
      </c>
      <c r="G3052">
        <v>0.78</v>
      </c>
      <c r="H3052">
        <v>7.97</v>
      </c>
      <c r="I3052" s="29">
        <v>0.9020999999999999</v>
      </c>
      <c r="J3052" s="29">
        <v>0</v>
      </c>
      <c r="K3052" s="9">
        <v>45369</v>
      </c>
      <c r="L3052">
        <f xml:space="preserve"> (交易處理資料__3[[#This Row],[售出工時]] * 60) / 5</f>
        <v>0</v>
      </c>
      <c r="M3052" t="str">
        <f>VLOOKUP(交易處理資料__3[[#This Row],[人員代號]],團隊分組!$B$1:$C$52,2,FALSE)</f>
        <v>鈑金維修組</v>
      </c>
      <c r="N3052" t="str">
        <f>IF(交易處理資料__3[[#This Row],[上班時間]]=0,"否","是")</f>
        <v>是</v>
      </c>
      <c r="O3052" t="s">
        <v>75</v>
      </c>
      <c r="P3052" s="37">
        <v>0</v>
      </c>
      <c r="Q3052" s="37">
        <v>0</v>
      </c>
      <c r="R3052" s="37">
        <v>0.9020999999999999</v>
      </c>
    </row>
    <row r="3053" spans="1:18" hidden="1">
      <c r="A3053" t="s">
        <v>76</v>
      </c>
      <c r="B3053" t="s">
        <v>17</v>
      </c>
      <c r="C3053">
        <v>8</v>
      </c>
      <c r="D3053">
        <v>7.78</v>
      </c>
      <c r="E3053" s="29">
        <v>1.028277635</v>
      </c>
      <c r="F3053">
        <v>7.27</v>
      </c>
      <c r="G3053">
        <v>0.81</v>
      </c>
      <c r="H3053">
        <v>8.08</v>
      </c>
      <c r="I3053" s="29">
        <v>0.89980000000000004</v>
      </c>
      <c r="J3053" s="29">
        <v>0.99010000000000009</v>
      </c>
      <c r="K3053" s="9">
        <v>45369</v>
      </c>
      <c r="L3053">
        <f xml:space="preserve"> (交易處理資料__3[[#This Row],[售出工時]] * 60) / 5</f>
        <v>96</v>
      </c>
      <c r="M3053" t="str">
        <f>VLOOKUP(交易處理資料__3[[#This Row],[人員代號]],團隊分組!$B$1:$C$52,2,FALSE)</f>
        <v>快速保養團隊A</v>
      </c>
      <c r="N3053" t="str">
        <f>IF(交易處理資料__3[[#This Row],[上班時間]]=0,"否","是")</f>
        <v>是</v>
      </c>
      <c r="O3053" t="s">
        <v>76</v>
      </c>
      <c r="P3053" s="38">
        <v>1.028277635</v>
      </c>
      <c r="Q3053" s="38">
        <v>0.99010000000000009</v>
      </c>
      <c r="R3053" s="38">
        <v>0.89980000000000004</v>
      </c>
    </row>
    <row r="3054" spans="1:18" hidden="1">
      <c r="A3054" t="s">
        <v>76</v>
      </c>
      <c r="B3054" t="s">
        <v>18</v>
      </c>
      <c r="C3054">
        <v>0</v>
      </c>
      <c r="D3054">
        <v>0</v>
      </c>
      <c r="E3054" s="29">
        <v>0</v>
      </c>
      <c r="F3054">
        <v>7.85</v>
      </c>
      <c r="G3054">
        <v>0.34</v>
      </c>
      <c r="H3054">
        <v>8.19</v>
      </c>
      <c r="I3054" s="29">
        <v>0.95849999999999991</v>
      </c>
      <c r="J3054" s="29">
        <v>0</v>
      </c>
      <c r="K3054" s="9">
        <v>45369</v>
      </c>
      <c r="L3054">
        <f xml:space="preserve"> (交易處理資料__3[[#This Row],[售出工時]] * 60) / 5</f>
        <v>0</v>
      </c>
      <c r="M3054" t="str">
        <f>VLOOKUP(交易處理資料__3[[#This Row],[人員代號]],團隊分組!$B$1:$C$52,2,FALSE)</f>
        <v>查修團隊B</v>
      </c>
      <c r="N3054" t="str">
        <f>IF(交易處理資料__3[[#This Row],[上班時間]]=0,"否","是")</f>
        <v>是</v>
      </c>
      <c r="O3054" t="s">
        <v>76</v>
      </c>
      <c r="P3054" s="37">
        <v>0</v>
      </c>
      <c r="Q3054" s="37">
        <v>0</v>
      </c>
      <c r="R3054" s="37">
        <v>0.95849999999999991</v>
      </c>
    </row>
    <row r="3055" spans="1:18" hidden="1">
      <c r="A3055" t="s">
        <v>76</v>
      </c>
      <c r="B3055" t="s">
        <v>19</v>
      </c>
      <c r="C3055">
        <v>0</v>
      </c>
      <c r="D3055">
        <v>0</v>
      </c>
      <c r="E3055" s="29">
        <v>0</v>
      </c>
      <c r="F3055">
        <v>0</v>
      </c>
      <c r="G3055">
        <v>0</v>
      </c>
      <c r="H3055">
        <v>0</v>
      </c>
      <c r="I3055" s="29">
        <v>0</v>
      </c>
      <c r="J3055" s="29">
        <v>0</v>
      </c>
      <c r="K3055" s="9">
        <v>45369</v>
      </c>
      <c r="L3055">
        <f xml:space="preserve"> (交易處理資料__3[[#This Row],[售出工時]] * 60) / 5</f>
        <v>0</v>
      </c>
      <c r="M3055" t="str">
        <f>VLOOKUP(交易處理資料__3[[#This Row],[人員代號]],團隊分組!$B$1:$C$52,2,FALSE)</f>
        <v>查修團隊A</v>
      </c>
      <c r="N3055" t="str">
        <f>IF(交易處理資料__3[[#This Row],[上班時間]]=0,"否","是")</f>
        <v>否</v>
      </c>
      <c r="O3055" t="s">
        <v>76</v>
      </c>
      <c r="P3055" s="38">
        <v>0</v>
      </c>
      <c r="Q3055" s="38">
        <v>0</v>
      </c>
      <c r="R3055" s="38">
        <v>0</v>
      </c>
    </row>
    <row r="3056" spans="1:18" hidden="1">
      <c r="A3056" t="s">
        <v>76</v>
      </c>
      <c r="B3056" t="s">
        <v>20</v>
      </c>
      <c r="C3056">
        <v>0</v>
      </c>
      <c r="D3056">
        <v>0</v>
      </c>
      <c r="E3056" s="29">
        <v>0</v>
      </c>
      <c r="F3056">
        <v>4.53</v>
      </c>
      <c r="G3056">
        <v>4.71</v>
      </c>
      <c r="H3056">
        <v>9.24</v>
      </c>
      <c r="I3056" s="29">
        <v>0.49030000000000001</v>
      </c>
      <c r="J3056" s="29">
        <v>0</v>
      </c>
      <c r="K3056" s="9">
        <v>45369</v>
      </c>
      <c r="L3056">
        <f xml:space="preserve"> (交易處理資料__3[[#This Row],[售出工時]] * 60) / 5</f>
        <v>0</v>
      </c>
      <c r="M3056" t="str">
        <f>VLOOKUP(交易處理資料__3[[#This Row],[人員代號]],團隊分組!$B$1:$C$52,2,FALSE)</f>
        <v>查修團隊B</v>
      </c>
      <c r="N3056" t="str">
        <f>IF(交易處理資料__3[[#This Row],[上班時間]]=0,"否","是")</f>
        <v>是</v>
      </c>
      <c r="O3056" t="s">
        <v>76</v>
      </c>
      <c r="P3056" s="37">
        <v>0</v>
      </c>
      <c r="Q3056" s="37">
        <v>0</v>
      </c>
      <c r="R3056" s="37">
        <v>0.49030000000000001</v>
      </c>
    </row>
    <row r="3057" spans="1:18" hidden="1">
      <c r="A3057" t="s">
        <v>76</v>
      </c>
      <c r="B3057" t="s">
        <v>21</v>
      </c>
      <c r="C3057">
        <v>0</v>
      </c>
      <c r="D3057">
        <v>0</v>
      </c>
      <c r="E3057" s="29">
        <v>0</v>
      </c>
      <c r="F3057">
        <v>3.91</v>
      </c>
      <c r="G3057">
        <v>4.16</v>
      </c>
      <c r="H3057">
        <v>8.07</v>
      </c>
      <c r="I3057" s="29">
        <v>0.48450000000000004</v>
      </c>
      <c r="J3057" s="29">
        <v>0</v>
      </c>
      <c r="K3057" s="9">
        <v>45369</v>
      </c>
      <c r="L3057">
        <f xml:space="preserve"> (交易處理資料__3[[#This Row],[售出工時]] * 60) / 5</f>
        <v>0</v>
      </c>
      <c r="M3057" t="str">
        <f>VLOOKUP(交易處理資料__3[[#This Row],[人員代號]],團隊分組!$B$1:$C$52,2,FALSE)</f>
        <v>查修團隊B</v>
      </c>
      <c r="N3057" t="str">
        <f>IF(交易處理資料__3[[#This Row],[上班時間]]=0,"否","是")</f>
        <v>是</v>
      </c>
      <c r="O3057" t="s">
        <v>76</v>
      </c>
      <c r="P3057" s="38">
        <v>0</v>
      </c>
      <c r="Q3057" s="38">
        <v>0</v>
      </c>
      <c r="R3057" s="38">
        <v>0.48450000000000004</v>
      </c>
    </row>
    <row r="3058" spans="1:18" hidden="1">
      <c r="A3058" t="s">
        <v>76</v>
      </c>
      <c r="B3058" t="s">
        <v>22</v>
      </c>
      <c r="C3058">
        <v>5.1266666670000003</v>
      </c>
      <c r="D3058">
        <v>3.62</v>
      </c>
      <c r="E3058" s="29">
        <v>1.416206262</v>
      </c>
      <c r="F3058">
        <v>7.8</v>
      </c>
      <c r="G3058">
        <v>0.75</v>
      </c>
      <c r="H3058">
        <v>8.5500000000000007</v>
      </c>
      <c r="I3058" s="29">
        <v>0.9123</v>
      </c>
      <c r="J3058" s="29">
        <v>0.59960000000000002</v>
      </c>
      <c r="K3058" s="9">
        <v>45369</v>
      </c>
      <c r="L3058">
        <f xml:space="preserve"> (交易處理資料__3[[#This Row],[售出工時]] * 60) / 5</f>
        <v>61.520000004000011</v>
      </c>
      <c r="M3058" t="str">
        <f>VLOOKUP(交易處理資料__3[[#This Row],[人員代號]],團隊分組!$B$1:$C$52,2,FALSE)</f>
        <v>快速保養團隊A</v>
      </c>
      <c r="N3058" t="str">
        <f>IF(交易處理資料__3[[#This Row],[上班時間]]=0,"否","是")</f>
        <v>是</v>
      </c>
      <c r="O3058" t="s">
        <v>76</v>
      </c>
      <c r="P3058" s="37">
        <v>1.416206262</v>
      </c>
      <c r="Q3058" s="37">
        <v>0.59960000000000002</v>
      </c>
      <c r="R3058" s="37">
        <v>0.9123</v>
      </c>
    </row>
    <row r="3059" spans="1:18" hidden="1">
      <c r="A3059" t="s">
        <v>76</v>
      </c>
      <c r="B3059" t="s">
        <v>23</v>
      </c>
      <c r="C3059">
        <v>6.88</v>
      </c>
      <c r="D3059">
        <v>3.71</v>
      </c>
      <c r="E3059" s="29">
        <v>1.8544474389999999</v>
      </c>
      <c r="F3059">
        <v>9.16</v>
      </c>
      <c r="G3059">
        <v>0.5</v>
      </c>
      <c r="H3059">
        <v>9.66</v>
      </c>
      <c r="I3059" s="29">
        <v>0.94819999999999993</v>
      </c>
      <c r="J3059" s="29">
        <v>0.71219999999999994</v>
      </c>
      <c r="K3059" s="9">
        <v>45369</v>
      </c>
      <c r="L3059">
        <f xml:space="preserve"> (交易處理資料__3[[#This Row],[售出工時]] * 60) / 5</f>
        <v>82.56</v>
      </c>
      <c r="M3059" t="str">
        <f>VLOOKUP(交易處理資料__3[[#This Row],[人員代號]],團隊分組!$B$1:$C$52,2,FALSE)</f>
        <v>快速保養團隊B</v>
      </c>
      <c r="N3059" t="str">
        <f>IF(交易處理資料__3[[#This Row],[上班時間]]=0,"否","是")</f>
        <v>是</v>
      </c>
      <c r="O3059" t="s">
        <v>76</v>
      </c>
      <c r="P3059" s="38">
        <v>1.8544474389999999</v>
      </c>
      <c r="Q3059" s="38">
        <v>0.71219999999999994</v>
      </c>
      <c r="R3059" s="38">
        <v>0.94819999999999993</v>
      </c>
    </row>
    <row r="3060" spans="1:18" hidden="1">
      <c r="A3060" t="s">
        <v>76</v>
      </c>
      <c r="B3060" t="s">
        <v>24</v>
      </c>
      <c r="C3060">
        <v>11.58333333</v>
      </c>
      <c r="D3060">
        <v>6.4</v>
      </c>
      <c r="E3060" s="29">
        <v>1.8098958329999999</v>
      </c>
      <c r="F3060">
        <v>9.01</v>
      </c>
      <c r="G3060">
        <v>1.1599999999999999</v>
      </c>
      <c r="H3060">
        <v>10.17</v>
      </c>
      <c r="I3060" s="29">
        <v>0.88590000000000002</v>
      </c>
      <c r="J3060" s="29">
        <v>1.139</v>
      </c>
      <c r="K3060" s="9">
        <v>45369</v>
      </c>
      <c r="L3060">
        <f xml:space="preserve"> (交易處理資料__3[[#This Row],[售出工時]] * 60) / 5</f>
        <v>138.99999996000003</v>
      </c>
      <c r="M3060" t="str">
        <f>VLOOKUP(交易處理資料__3[[#This Row],[人員代號]],團隊分組!$B$1:$C$52,2,FALSE)</f>
        <v>快速保養團隊A</v>
      </c>
      <c r="N3060" t="str">
        <f>IF(交易處理資料__3[[#This Row],[上班時間]]=0,"否","是")</f>
        <v>是</v>
      </c>
      <c r="O3060" t="s">
        <v>76</v>
      </c>
      <c r="P3060" s="37">
        <v>1.8098958329999999</v>
      </c>
      <c r="Q3060" s="37">
        <v>1.139</v>
      </c>
      <c r="R3060" s="37">
        <v>0.88590000000000002</v>
      </c>
    </row>
    <row r="3061" spans="1:18" hidden="1">
      <c r="A3061" t="s">
        <v>76</v>
      </c>
      <c r="B3061" t="s">
        <v>25</v>
      </c>
      <c r="C3061">
        <v>0.6</v>
      </c>
      <c r="D3061">
        <v>1.27</v>
      </c>
      <c r="E3061" s="29">
        <v>0.47244094489999999</v>
      </c>
      <c r="F3061">
        <v>6.17</v>
      </c>
      <c r="G3061">
        <v>1.69</v>
      </c>
      <c r="H3061">
        <v>7.86</v>
      </c>
      <c r="I3061" s="29">
        <v>0.78500000000000003</v>
      </c>
      <c r="J3061" s="29">
        <v>7.6299999999999993E-2</v>
      </c>
      <c r="K3061" s="9">
        <v>45369</v>
      </c>
      <c r="L3061">
        <f xml:space="preserve"> (交易處理資料__3[[#This Row],[售出工時]] * 60) / 5</f>
        <v>7.2</v>
      </c>
      <c r="M3061" t="str">
        <f>VLOOKUP(交易處理資料__3[[#This Row],[人員代號]],團隊分組!$B$1:$C$52,2,FALSE)</f>
        <v>查修團隊A</v>
      </c>
      <c r="N3061" t="str">
        <f>IF(交易處理資料__3[[#This Row],[上班時間]]=0,"否","是")</f>
        <v>是</v>
      </c>
      <c r="O3061" t="s">
        <v>76</v>
      </c>
      <c r="P3061" s="38">
        <v>0.47244094489999999</v>
      </c>
      <c r="Q3061" s="38">
        <v>7.6299999999999993E-2</v>
      </c>
      <c r="R3061" s="38">
        <v>0.78500000000000003</v>
      </c>
    </row>
    <row r="3062" spans="1:18" hidden="1">
      <c r="A3062" t="s">
        <v>76</v>
      </c>
      <c r="B3062" t="s">
        <v>26</v>
      </c>
      <c r="C3062">
        <v>1</v>
      </c>
      <c r="D3062">
        <v>1.08</v>
      </c>
      <c r="E3062" s="29">
        <v>0.9259259259</v>
      </c>
      <c r="F3062">
        <v>3.83</v>
      </c>
      <c r="G3062">
        <v>5.42</v>
      </c>
      <c r="H3062">
        <v>9.25</v>
      </c>
      <c r="I3062" s="29">
        <v>0.41409999999999997</v>
      </c>
      <c r="J3062" s="29">
        <v>0.1081</v>
      </c>
      <c r="K3062" s="9">
        <v>45369</v>
      </c>
      <c r="L3062">
        <f xml:space="preserve"> (交易處理資料__3[[#This Row],[售出工時]] * 60) / 5</f>
        <v>12</v>
      </c>
      <c r="M3062" t="str">
        <f>VLOOKUP(交易處理資料__3[[#This Row],[人員代號]],團隊分組!$B$1:$C$52,2,FALSE)</f>
        <v>查修團隊B</v>
      </c>
      <c r="N3062" t="str">
        <f>IF(交易處理資料__3[[#This Row],[上班時間]]=0,"否","是")</f>
        <v>是</v>
      </c>
      <c r="O3062" t="s">
        <v>76</v>
      </c>
      <c r="P3062" s="37">
        <v>0.9259259259</v>
      </c>
      <c r="Q3062" s="37">
        <v>0.1081</v>
      </c>
      <c r="R3062" s="37">
        <v>0.41409999999999997</v>
      </c>
    </row>
    <row r="3063" spans="1:18" hidden="1">
      <c r="A3063" t="s">
        <v>76</v>
      </c>
      <c r="B3063" t="s">
        <v>27</v>
      </c>
      <c r="C3063">
        <v>0</v>
      </c>
      <c r="D3063">
        <v>0</v>
      </c>
      <c r="E3063" s="29">
        <v>0</v>
      </c>
      <c r="F3063">
        <v>7.24</v>
      </c>
      <c r="G3063">
        <v>0.82</v>
      </c>
      <c r="H3063">
        <v>8.06</v>
      </c>
      <c r="I3063" s="29">
        <v>0.89829999999999999</v>
      </c>
      <c r="J3063" s="29">
        <v>0</v>
      </c>
      <c r="K3063" s="9">
        <v>45369</v>
      </c>
      <c r="L3063">
        <f xml:space="preserve"> (交易處理資料__3[[#This Row],[售出工時]] * 60) / 5</f>
        <v>0</v>
      </c>
      <c r="M3063" t="str">
        <f>VLOOKUP(交易處理資料__3[[#This Row],[人員代號]],團隊分組!$B$1:$C$52,2,FALSE)</f>
        <v>快速保養團隊B</v>
      </c>
      <c r="N3063" t="str">
        <f>IF(交易處理資料__3[[#This Row],[上班時間]]=0,"否","是")</f>
        <v>是</v>
      </c>
      <c r="O3063" t="s">
        <v>76</v>
      </c>
      <c r="P3063" s="38">
        <v>0</v>
      </c>
      <c r="Q3063" s="38">
        <v>0</v>
      </c>
      <c r="R3063" s="38">
        <v>0.89829999999999999</v>
      </c>
    </row>
    <row r="3064" spans="1:18" hidden="1">
      <c r="A3064" t="s">
        <v>76</v>
      </c>
      <c r="B3064" t="s">
        <v>28</v>
      </c>
      <c r="C3064">
        <v>10.14</v>
      </c>
      <c r="D3064">
        <v>6.91</v>
      </c>
      <c r="E3064" s="29">
        <v>1.4674384950000001</v>
      </c>
      <c r="F3064">
        <v>7.33</v>
      </c>
      <c r="G3064">
        <v>0.68</v>
      </c>
      <c r="H3064">
        <v>8.01</v>
      </c>
      <c r="I3064" s="29">
        <v>0.91510000000000002</v>
      </c>
      <c r="J3064" s="29">
        <v>1.2659</v>
      </c>
      <c r="K3064" s="9">
        <v>45369</v>
      </c>
      <c r="L3064">
        <f xml:space="preserve"> (交易處理資料__3[[#This Row],[售出工時]] * 60) / 5</f>
        <v>121.68000000000002</v>
      </c>
      <c r="M3064" t="str">
        <f>VLOOKUP(交易處理資料__3[[#This Row],[人員代號]],團隊分組!$B$1:$C$52,2,FALSE)</f>
        <v>快速保養團隊A</v>
      </c>
      <c r="N3064" t="str">
        <f>IF(交易處理資料__3[[#This Row],[上班時間]]=0,"否","是")</f>
        <v>是</v>
      </c>
      <c r="O3064" t="s">
        <v>76</v>
      </c>
      <c r="P3064" s="37">
        <v>1.4674384950000001</v>
      </c>
      <c r="Q3064" s="37">
        <v>1.2659</v>
      </c>
      <c r="R3064" s="37">
        <v>0.91510000000000002</v>
      </c>
    </row>
    <row r="3065" spans="1:18" hidden="1">
      <c r="A3065" t="s">
        <v>76</v>
      </c>
      <c r="B3065" t="s">
        <v>29</v>
      </c>
      <c r="C3065">
        <v>0</v>
      </c>
      <c r="D3065">
        <v>0</v>
      </c>
      <c r="E3065" s="29">
        <v>0</v>
      </c>
      <c r="F3065">
        <v>7.69</v>
      </c>
      <c r="G3065">
        <v>0.46</v>
      </c>
      <c r="H3065">
        <v>8.15</v>
      </c>
      <c r="I3065" s="29">
        <v>0.94359999999999999</v>
      </c>
      <c r="J3065" s="29">
        <v>0</v>
      </c>
      <c r="K3065" s="9">
        <v>45369</v>
      </c>
      <c r="L3065">
        <f xml:space="preserve"> (交易處理資料__3[[#This Row],[售出工時]] * 60) / 5</f>
        <v>0</v>
      </c>
      <c r="M3065" t="str">
        <f>VLOOKUP(交易處理資料__3[[#This Row],[人員代號]],團隊分組!$B$1:$C$52,2,FALSE)</f>
        <v>查修團隊B</v>
      </c>
      <c r="N3065" t="str">
        <f>IF(交易處理資料__3[[#This Row],[上班時間]]=0,"否","是")</f>
        <v>是</v>
      </c>
      <c r="O3065" t="s">
        <v>76</v>
      </c>
      <c r="P3065" s="38">
        <v>0</v>
      </c>
      <c r="Q3065" s="38">
        <v>0</v>
      </c>
      <c r="R3065" s="38">
        <v>0.94359999999999999</v>
      </c>
    </row>
    <row r="3066" spans="1:18" hidden="1">
      <c r="A3066" t="s">
        <v>76</v>
      </c>
      <c r="B3066" t="s">
        <v>30</v>
      </c>
      <c r="C3066">
        <v>9.25</v>
      </c>
      <c r="D3066">
        <v>5.53</v>
      </c>
      <c r="E3066" s="29">
        <v>1.6726943940000001</v>
      </c>
      <c r="F3066">
        <v>7.31</v>
      </c>
      <c r="G3066">
        <v>0.74</v>
      </c>
      <c r="H3066">
        <v>8.0500000000000007</v>
      </c>
      <c r="I3066" s="29">
        <v>0.90810000000000002</v>
      </c>
      <c r="J3066" s="29">
        <v>1.1491</v>
      </c>
      <c r="K3066" s="9">
        <v>45369</v>
      </c>
      <c r="L3066">
        <f xml:space="preserve"> (交易處理資料__3[[#This Row],[售出工時]] * 60) / 5</f>
        <v>111</v>
      </c>
      <c r="M3066" t="str">
        <f>VLOOKUP(交易處理資料__3[[#This Row],[人員代號]],團隊分組!$B$1:$C$52,2,FALSE)</f>
        <v>快速保養團隊B</v>
      </c>
      <c r="N3066" t="str">
        <f>IF(交易處理資料__3[[#This Row],[上班時間]]=0,"否","是")</f>
        <v>是</v>
      </c>
      <c r="O3066" t="s">
        <v>76</v>
      </c>
      <c r="P3066" s="37">
        <v>1.6726943940000001</v>
      </c>
      <c r="Q3066" s="37">
        <v>1.1491</v>
      </c>
      <c r="R3066" s="37">
        <v>0.90810000000000002</v>
      </c>
    </row>
    <row r="3067" spans="1:18" hidden="1">
      <c r="A3067" t="s">
        <v>76</v>
      </c>
      <c r="B3067" t="s">
        <v>32</v>
      </c>
      <c r="C3067">
        <v>0</v>
      </c>
      <c r="D3067">
        <v>0</v>
      </c>
      <c r="E3067" s="29">
        <v>0</v>
      </c>
      <c r="F3067">
        <v>0</v>
      </c>
      <c r="G3067">
        <v>0</v>
      </c>
      <c r="H3067">
        <v>0</v>
      </c>
      <c r="I3067" s="29">
        <v>0</v>
      </c>
      <c r="J3067" s="29">
        <v>0</v>
      </c>
      <c r="K3067" s="9">
        <v>45369</v>
      </c>
      <c r="L3067">
        <f xml:space="preserve"> (交易處理資料__3[[#This Row],[售出工時]] * 60) / 5</f>
        <v>0</v>
      </c>
      <c r="M3067" t="str">
        <f>VLOOKUP(交易處理資料__3[[#This Row],[人員代號]],團隊分組!$B$1:$C$52,2,FALSE)</f>
        <v>快速保養團隊B</v>
      </c>
      <c r="N3067" t="str">
        <f>IF(交易處理資料__3[[#This Row],[上班時間]]=0,"否","是")</f>
        <v>否</v>
      </c>
      <c r="O3067" t="s">
        <v>76</v>
      </c>
      <c r="P3067" s="38">
        <v>0</v>
      </c>
      <c r="Q3067" s="38">
        <v>0</v>
      </c>
      <c r="R3067" s="38">
        <v>0</v>
      </c>
    </row>
    <row r="3068" spans="1:18" hidden="1">
      <c r="A3068" t="s">
        <v>76</v>
      </c>
      <c r="B3068" t="s">
        <v>34</v>
      </c>
      <c r="C3068">
        <v>1.8333333329999999</v>
      </c>
      <c r="D3068">
        <v>1.4</v>
      </c>
      <c r="E3068" s="29">
        <v>1.30952381</v>
      </c>
      <c r="F3068">
        <v>7.87</v>
      </c>
      <c r="G3068">
        <v>1.39</v>
      </c>
      <c r="H3068">
        <v>9.26</v>
      </c>
      <c r="I3068" s="29">
        <v>0.84989999999999999</v>
      </c>
      <c r="J3068" s="29">
        <v>0.19800000000000001</v>
      </c>
      <c r="K3068" s="9">
        <v>45369</v>
      </c>
      <c r="L3068">
        <f xml:space="preserve"> (交易處理資料__3[[#This Row],[售出工時]] * 60) / 5</f>
        <v>21.999999996</v>
      </c>
      <c r="M3068" t="str">
        <f>VLOOKUP(交易處理資料__3[[#This Row],[人員代號]],團隊分組!$B$1:$C$52,2,FALSE)</f>
        <v>快速保養團隊A</v>
      </c>
      <c r="N3068" t="str">
        <f>IF(交易處理資料__3[[#This Row],[上班時間]]=0,"否","是")</f>
        <v>是</v>
      </c>
      <c r="O3068" t="s">
        <v>76</v>
      </c>
      <c r="P3068" s="37">
        <v>1.30952381</v>
      </c>
      <c r="Q3068" s="37">
        <v>0.19800000000000001</v>
      </c>
      <c r="R3068" s="37">
        <v>0.84989999999999999</v>
      </c>
    </row>
    <row r="3069" spans="1:18" hidden="1">
      <c r="A3069" t="s">
        <v>76</v>
      </c>
      <c r="B3069" t="s">
        <v>35</v>
      </c>
      <c r="C3069">
        <v>1.48</v>
      </c>
      <c r="D3069">
        <v>1.74</v>
      </c>
      <c r="E3069" s="29">
        <v>0.85057471259999995</v>
      </c>
      <c r="F3069">
        <v>7.31</v>
      </c>
      <c r="G3069">
        <v>2.2599999999999998</v>
      </c>
      <c r="H3069">
        <v>9.57</v>
      </c>
      <c r="I3069" s="29">
        <v>0.76379999999999992</v>
      </c>
      <c r="J3069" s="29">
        <v>0.15460000000000002</v>
      </c>
      <c r="K3069" s="9">
        <v>45369</v>
      </c>
      <c r="L3069">
        <f xml:space="preserve"> (交易處理資料__3[[#This Row],[售出工時]] * 60) / 5</f>
        <v>17.759999999999998</v>
      </c>
      <c r="M3069" t="str">
        <f>VLOOKUP(交易處理資料__3[[#This Row],[人員代號]],團隊分組!$B$1:$C$52,2,FALSE)</f>
        <v>查修團隊B</v>
      </c>
      <c r="N3069" t="str">
        <f>IF(交易處理資料__3[[#This Row],[上班時間]]=0,"否","是")</f>
        <v>是</v>
      </c>
      <c r="O3069" t="s">
        <v>76</v>
      </c>
      <c r="P3069" s="38">
        <v>0.85057471259999995</v>
      </c>
      <c r="Q3069" s="38">
        <v>0.15460000000000002</v>
      </c>
      <c r="R3069" s="38">
        <v>0.76379999999999992</v>
      </c>
    </row>
    <row r="3070" spans="1:18" hidden="1">
      <c r="A3070" t="s">
        <v>76</v>
      </c>
      <c r="B3070" t="s">
        <v>36</v>
      </c>
      <c r="C3070">
        <v>0</v>
      </c>
      <c r="D3070">
        <v>0</v>
      </c>
      <c r="E3070" s="29">
        <v>0</v>
      </c>
      <c r="F3070">
        <v>9.2799999999999994</v>
      </c>
      <c r="G3070">
        <v>0.34</v>
      </c>
      <c r="H3070">
        <v>9.6199999999999992</v>
      </c>
      <c r="I3070" s="29">
        <v>0.9647</v>
      </c>
      <c r="J3070" s="29">
        <v>0</v>
      </c>
      <c r="K3070" s="9">
        <v>45369</v>
      </c>
      <c r="L3070">
        <f xml:space="preserve"> (交易處理資料__3[[#This Row],[售出工時]] * 60) / 5</f>
        <v>0</v>
      </c>
      <c r="M3070" t="str">
        <f>VLOOKUP(交易處理資料__3[[#This Row],[人員代號]],團隊分組!$B$1:$C$52,2,FALSE)</f>
        <v>查修團隊B</v>
      </c>
      <c r="N3070" t="str">
        <f>IF(交易處理資料__3[[#This Row],[上班時間]]=0,"否","是")</f>
        <v>是</v>
      </c>
      <c r="O3070" t="s">
        <v>76</v>
      </c>
      <c r="P3070" s="37">
        <v>0</v>
      </c>
      <c r="Q3070" s="37">
        <v>0</v>
      </c>
      <c r="R3070" s="37">
        <v>0.9647</v>
      </c>
    </row>
    <row r="3071" spans="1:18" hidden="1">
      <c r="A3071" t="s">
        <v>76</v>
      </c>
      <c r="B3071" t="s">
        <v>37</v>
      </c>
      <c r="C3071">
        <v>1.03</v>
      </c>
      <c r="D3071">
        <v>2.3199999999999998</v>
      </c>
      <c r="E3071" s="29">
        <v>0.44396551719999999</v>
      </c>
      <c r="F3071">
        <v>6.06</v>
      </c>
      <c r="G3071">
        <v>3.55</v>
      </c>
      <c r="H3071">
        <v>9.61</v>
      </c>
      <c r="I3071" s="29">
        <v>0.63060000000000005</v>
      </c>
      <c r="J3071" s="29">
        <v>0.1072</v>
      </c>
      <c r="K3071" s="9">
        <v>45369</v>
      </c>
      <c r="L3071">
        <f xml:space="preserve"> (交易處理資料__3[[#This Row],[售出工時]] * 60) / 5</f>
        <v>12.360000000000001</v>
      </c>
      <c r="M3071" t="str">
        <f>VLOOKUP(交易處理資料__3[[#This Row],[人員代號]],團隊分組!$B$1:$C$52,2,FALSE)</f>
        <v>查修團隊A</v>
      </c>
      <c r="N3071" t="str">
        <f>IF(交易處理資料__3[[#This Row],[上班時間]]=0,"否","是")</f>
        <v>是</v>
      </c>
      <c r="O3071" t="s">
        <v>76</v>
      </c>
      <c r="P3071" s="38">
        <v>0.44396551719999999</v>
      </c>
      <c r="Q3071" s="38">
        <v>0.1072</v>
      </c>
      <c r="R3071" s="38">
        <v>0.63060000000000005</v>
      </c>
    </row>
    <row r="3072" spans="1:18" hidden="1">
      <c r="A3072" t="s">
        <v>76</v>
      </c>
      <c r="B3072" t="s">
        <v>38</v>
      </c>
      <c r="C3072">
        <v>12.95333333</v>
      </c>
      <c r="D3072">
        <v>8.0500000000000007</v>
      </c>
      <c r="E3072" s="29">
        <v>1.609109731</v>
      </c>
      <c r="F3072">
        <v>8.6999999999999993</v>
      </c>
      <c r="G3072">
        <v>0.82</v>
      </c>
      <c r="H3072">
        <v>9.52</v>
      </c>
      <c r="I3072" s="29">
        <v>0.91390000000000005</v>
      </c>
      <c r="J3072" s="29">
        <v>1.3606</v>
      </c>
      <c r="K3072" s="9">
        <v>45369</v>
      </c>
      <c r="L3072">
        <f xml:space="preserve"> (交易處理資料__3[[#This Row],[售出工時]] * 60) / 5</f>
        <v>155.43999995999999</v>
      </c>
      <c r="M3072" t="str">
        <f>VLOOKUP(交易處理資料__3[[#This Row],[人員代號]],團隊分組!$B$1:$C$52,2,FALSE)</f>
        <v>快速保養團隊A</v>
      </c>
      <c r="N3072" t="str">
        <f>IF(交易處理資料__3[[#This Row],[上班時間]]=0,"否","是")</f>
        <v>是</v>
      </c>
      <c r="O3072" t="s">
        <v>76</v>
      </c>
      <c r="P3072" s="37">
        <v>1.609109731</v>
      </c>
      <c r="Q3072" s="37">
        <v>1.3606</v>
      </c>
      <c r="R3072" s="37">
        <v>0.91390000000000005</v>
      </c>
    </row>
    <row r="3073" spans="1:18" hidden="1">
      <c r="A3073" t="s">
        <v>76</v>
      </c>
      <c r="B3073" t="s">
        <v>39</v>
      </c>
      <c r="C3073">
        <v>0.74</v>
      </c>
      <c r="D3073">
        <v>1.75</v>
      </c>
      <c r="E3073" s="29">
        <v>0.42285714290000004</v>
      </c>
      <c r="F3073">
        <v>5.42</v>
      </c>
      <c r="G3073">
        <v>2.4500000000000002</v>
      </c>
      <c r="H3073">
        <v>7.87</v>
      </c>
      <c r="I3073" s="29">
        <v>0.68870000000000009</v>
      </c>
      <c r="J3073" s="29">
        <v>9.4E-2</v>
      </c>
      <c r="K3073" s="9">
        <v>45369</v>
      </c>
      <c r="L3073">
        <f xml:space="preserve"> (交易處理資料__3[[#This Row],[售出工時]] * 60) / 5</f>
        <v>8.879999999999999</v>
      </c>
      <c r="M3073" t="str">
        <f>VLOOKUP(交易處理資料__3[[#This Row],[人員代號]],團隊分組!$B$1:$C$52,2,FALSE)</f>
        <v>查修團隊A</v>
      </c>
      <c r="N3073" t="str">
        <f>IF(交易處理資料__3[[#This Row],[上班時間]]=0,"否","是")</f>
        <v>是</v>
      </c>
      <c r="O3073" t="s">
        <v>76</v>
      </c>
      <c r="P3073" s="38">
        <v>0.42285714290000004</v>
      </c>
      <c r="Q3073" s="38">
        <v>9.4E-2</v>
      </c>
      <c r="R3073" s="38">
        <v>0.68870000000000009</v>
      </c>
    </row>
    <row r="3074" spans="1:18" hidden="1">
      <c r="A3074" t="s">
        <v>76</v>
      </c>
      <c r="B3074" t="s">
        <v>40</v>
      </c>
      <c r="C3074">
        <v>0.23</v>
      </c>
      <c r="D3074">
        <v>1.92</v>
      </c>
      <c r="E3074" s="29">
        <v>0.11979166669999999</v>
      </c>
      <c r="F3074">
        <v>7.07</v>
      </c>
      <c r="G3074">
        <v>0.92</v>
      </c>
      <c r="H3074">
        <v>7.99</v>
      </c>
      <c r="I3074" s="29">
        <v>0.88489999999999991</v>
      </c>
      <c r="J3074" s="29">
        <v>2.8799999999999999E-2</v>
      </c>
      <c r="K3074" s="9">
        <v>45369</v>
      </c>
      <c r="L3074">
        <f xml:space="preserve"> (交易處理資料__3[[#This Row],[售出工時]] * 60) / 5</f>
        <v>2.7600000000000002</v>
      </c>
      <c r="M3074" t="str">
        <f>VLOOKUP(交易處理資料__3[[#This Row],[人員代號]],團隊分組!$B$1:$C$52,2,FALSE)</f>
        <v>查修團隊A</v>
      </c>
      <c r="N3074" t="str">
        <f>IF(交易處理資料__3[[#This Row],[上班時間]]=0,"否","是")</f>
        <v>是</v>
      </c>
      <c r="O3074" t="s">
        <v>76</v>
      </c>
      <c r="P3074" s="37">
        <v>0.11979166669999999</v>
      </c>
      <c r="Q3074" s="37">
        <v>2.8799999999999999E-2</v>
      </c>
      <c r="R3074" s="37">
        <v>0.88489999999999991</v>
      </c>
    </row>
    <row r="3075" spans="1:18" hidden="1">
      <c r="A3075" t="s">
        <v>76</v>
      </c>
      <c r="B3075" t="s">
        <v>41</v>
      </c>
      <c r="C3075">
        <v>15.41666667</v>
      </c>
      <c r="D3075">
        <v>8.0299999999999994</v>
      </c>
      <c r="E3075" s="29">
        <v>1.9198837689999999</v>
      </c>
      <c r="F3075">
        <v>8.3699999999999992</v>
      </c>
      <c r="G3075">
        <v>1.1599999999999999</v>
      </c>
      <c r="H3075">
        <v>9.5299999999999994</v>
      </c>
      <c r="I3075" s="29">
        <v>0.87829999999999997</v>
      </c>
      <c r="J3075" s="29">
        <v>1.6177000000000001</v>
      </c>
      <c r="K3075" s="9">
        <v>45369</v>
      </c>
      <c r="L3075">
        <f xml:space="preserve"> (交易處理資料__3[[#This Row],[售出工時]] * 60) / 5</f>
        <v>185.00000003999997</v>
      </c>
      <c r="M3075" t="str">
        <f>VLOOKUP(交易處理資料__3[[#This Row],[人員代號]],團隊分組!$B$1:$C$52,2,FALSE)</f>
        <v>快速保養團隊A</v>
      </c>
      <c r="N3075" t="str">
        <f>IF(交易處理資料__3[[#This Row],[上班時間]]=0,"否","是")</f>
        <v>是</v>
      </c>
      <c r="O3075" t="s">
        <v>76</v>
      </c>
      <c r="P3075" s="38">
        <v>1.9198837689999999</v>
      </c>
      <c r="Q3075" s="38">
        <v>1.6177000000000001</v>
      </c>
      <c r="R3075" s="38">
        <v>0.87829999999999997</v>
      </c>
    </row>
    <row r="3076" spans="1:18" hidden="1">
      <c r="A3076" t="s">
        <v>76</v>
      </c>
      <c r="B3076" t="s">
        <v>42</v>
      </c>
      <c r="C3076">
        <v>3.1666666669999999</v>
      </c>
      <c r="D3076">
        <v>2.42</v>
      </c>
      <c r="E3076" s="29">
        <v>1.3085399449999999</v>
      </c>
      <c r="F3076">
        <v>5.39</v>
      </c>
      <c r="G3076">
        <v>2.5099999999999998</v>
      </c>
      <c r="H3076">
        <v>7.9</v>
      </c>
      <c r="I3076" s="29">
        <v>0.68230000000000002</v>
      </c>
      <c r="J3076" s="29">
        <v>0.40079999999999999</v>
      </c>
      <c r="K3076" s="9">
        <v>45369</v>
      </c>
      <c r="L3076">
        <f xml:space="preserve"> (交易處理資料__3[[#This Row],[售出工時]] * 60) / 5</f>
        <v>38.000000004</v>
      </c>
      <c r="M3076" t="str">
        <f>VLOOKUP(交易處理資料__3[[#This Row],[人員代號]],團隊分組!$B$1:$C$52,2,FALSE)</f>
        <v>快速保養團隊A</v>
      </c>
      <c r="N3076" t="str">
        <f>IF(交易處理資料__3[[#This Row],[上班時間]]=0,"否","是")</f>
        <v>是</v>
      </c>
      <c r="O3076" t="s">
        <v>76</v>
      </c>
      <c r="P3076" s="37">
        <v>1.3085399449999999</v>
      </c>
      <c r="Q3076" s="37">
        <v>0.40079999999999999</v>
      </c>
      <c r="R3076" s="37">
        <v>0.68230000000000002</v>
      </c>
    </row>
    <row r="3077" spans="1:18" hidden="1">
      <c r="A3077" t="s">
        <v>76</v>
      </c>
      <c r="B3077" t="s">
        <v>44</v>
      </c>
      <c r="C3077">
        <v>3.28</v>
      </c>
      <c r="D3077">
        <v>3.4</v>
      </c>
      <c r="E3077" s="29">
        <v>0.96470588239999999</v>
      </c>
      <c r="F3077">
        <v>7.9</v>
      </c>
      <c r="G3077">
        <v>0.15</v>
      </c>
      <c r="H3077">
        <v>8.0500000000000007</v>
      </c>
      <c r="I3077" s="29">
        <v>0.98140000000000005</v>
      </c>
      <c r="J3077" s="29">
        <v>0.40749999999999997</v>
      </c>
      <c r="K3077" s="9">
        <v>45369</v>
      </c>
      <c r="L3077">
        <f xml:space="preserve"> (交易處理資料__3[[#This Row],[售出工時]] * 60) / 5</f>
        <v>39.36</v>
      </c>
      <c r="M3077" t="str">
        <f>VLOOKUP(交易處理資料__3[[#This Row],[人員代號]],團隊分組!$B$1:$C$52,2,FALSE)</f>
        <v>快速保養團隊B</v>
      </c>
      <c r="N3077" t="str">
        <f>IF(交易處理資料__3[[#This Row],[上班時間]]=0,"否","是")</f>
        <v>是</v>
      </c>
      <c r="O3077" t="s">
        <v>76</v>
      </c>
      <c r="P3077" s="38">
        <v>0.96470588239999999</v>
      </c>
      <c r="Q3077" s="38">
        <v>0.40749999999999997</v>
      </c>
      <c r="R3077" s="38">
        <v>0.98140000000000005</v>
      </c>
    </row>
    <row r="3078" spans="1:18" hidden="1">
      <c r="A3078" t="s">
        <v>76</v>
      </c>
      <c r="B3078" t="s">
        <v>45</v>
      </c>
      <c r="C3078">
        <v>11.5</v>
      </c>
      <c r="D3078">
        <v>7.72</v>
      </c>
      <c r="E3078" s="29">
        <v>1.4896373059999999</v>
      </c>
      <c r="F3078">
        <v>7.04</v>
      </c>
      <c r="G3078">
        <v>1.26</v>
      </c>
      <c r="H3078">
        <v>8.3000000000000007</v>
      </c>
      <c r="I3078" s="29">
        <v>0.84819999999999995</v>
      </c>
      <c r="J3078" s="29">
        <v>1.3855000000000002</v>
      </c>
      <c r="K3078" s="9">
        <v>45369</v>
      </c>
      <c r="L3078">
        <f xml:space="preserve"> (交易處理資料__3[[#This Row],[售出工時]] * 60) / 5</f>
        <v>138</v>
      </c>
      <c r="M3078" t="str">
        <f>VLOOKUP(交易處理資料__3[[#This Row],[人員代號]],團隊分組!$B$1:$C$52,2,FALSE)</f>
        <v>快速保養團隊A</v>
      </c>
      <c r="N3078" t="str">
        <f>IF(交易處理資料__3[[#This Row],[上班時間]]=0,"否","是")</f>
        <v>是</v>
      </c>
      <c r="O3078" t="s">
        <v>76</v>
      </c>
      <c r="P3078" s="37">
        <v>1.4896373059999999</v>
      </c>
      <c r="Q3078" s="37">
        <v>1.3855000000000002</v>
      </c>
      <c r="R3078" s="37">
        <v>0.84819999999999995</v>
      </c>
    </row>
    <row r="3079" spans="1:18" hidden="1">
      <c r="A3079" t="s">
        <v>76</v>
      </c>
      <c r="B3079" t="s">
        <v>46</v>
      </c>
      <c r="C3079">
        <v>0</v>
      </c>
      <c r="D3079">
        <v>0</v>
      </c>
      <c r="E3079" s="29">
        <v>0</v>
      </c>
      <c r="F3079">
        <v>7.55</v>
      </c>
      <c r="G3079">
        <v>0.65</v>
      </c>
      <c r="H3079">
        <v>8.1999999999999993</v>
      </c>
      <c r="I3079" s="29">
        <v>0.92069999999999996</v>
      </c>
      <c r="J3079" s="29">
        <v>0</v>
      </c>
      <c r="K3079" s="9">
        <v>45369</v>
      </c>
      <c r="L3079">
        <f xml:space="preserve"> (交易處理資料__3[[#This Row],[售出工時]] * 60) / 5</f>
        <v>0</v>
      </c>
      <c r="M3079" t="str">
        <f>VLOOKUP(交易處理資料__3[[#This Row],[人員代號]],團隊分組!$B$1:$C$52,2,FALSE)</f>
        <v>查修團隊B</v>
      </c>
      <c r="N3079" t="str">
        <f>IF(交易處理資料__3[[#This Row],[上班時間]]=0,"否","是")</f>
        <v>是</v>
      </c>
      <c r="O3079" t="s">
        <v>76</v>
      </c>
      <c r="P3079" s="38">
        <v>0</v>
      </c>
      <c r="Q3079" s="38">
        <v>0</v>
      </c>
      <c r="R3079" s="38">
        <v>0.92069999999999996</v>
      </c>
    </row>
    <row r="3080" spans="1:18" hidden="1">
      <c r="A3080" t="s">
        <v>76</v>
      </c>
      <c r="B3080" t="s">
        <v>47</v>
      </c>
      <c r="C3080">
        <v>6.6666666670000003</v>
      </c>
      <c r="D3080">
        <v>8.09</v>
      </c>
      <c r="E3080" s="29">
        <v>0.82406262880000003</v>
      </c>
      <c r="F3080">
        <v>6.23</v>
      </c>
      <c r="G3080">
        <v>1.88</v>
      </c>
      <c r="H3080">
        <v>8.11</v>
      </c>
      <c r="I3080" s="29">
        <v>0.76819999999999988</v>
      </c>
      <c r="J3080" s="29">
        <v>0.82200000000000006</v>
      </c>
      <c r="K3080" s="9">
        <v>45369</v>
      </c>
      <c r="L3080">
        <f xml:space="preserve"> (交易處理資料__3[[#This Row],[售出工時]] * 60) / 5</f>
        <v>80.000000004</v>
      </c>
      <c r="M3080" t="str">
        <f>VLOOKUP(交易處理資料__3[[#This Row],[人員代號]],團隊分組!$B$1:$C$52,2,FALSE)</f>
        <v>查修團隊B</v>
      </c>
      <c r="N3080" t="str">
        <f>IF(交易處理資料__3[[#This Row],[上班時間]]=0,"否","是")</f>
        <v>是</v>
      </c>
      <c r="O3080" t="s">
        <v>76</v>
      </c>
      <c r="P3080" s="37">
        <v>0.82406262880000003</v>
      </c>
      <c r="Q3080" s="37">
        <v>0.82200000000000006</v>
      </c>
      <c r="R3080" s="37">
        <v>0.76819999999999988</v>
      </c>
    </row>
    <row r="3081" spans="1:18" hidden="1">
      <c r="A3081" t="s">
        <v>76</v>
      </c>
      <c r="B3081" t="s">
        <v>49</v>
      </c>
      <c r="C3081">
        <v>0</v>
      </c>
      <c r="D3081">
        <v>0</v>
      </c>
      <c r="E3081" s="29">
        <v>0</v>
      </c>
      <c r="F3081">
        <v>7.05</v>
      </c>
      <c r="G3081">
        <v>0.81</v>
      </c>
      <c r="H3081">
        <v>7.86</v>
      </c>
      <c r="I3081" s="29">
        <v>0.89690000000000003</v>
      </c>
      <c r="J3081" s="29">
        <v>0</v>
      </c>
      <c r="K3081" s="9">
        <v>45369</v>
      </c>
      <c r="L3081">
        <f xml:space="preserve"> (交易處理資料__3[[#This Row],[售出工時]] * 60) / 5</f>
        <v>0</v>
      </c>
      <c r="M3081" t="str">
        <f>VLOOKUP(交易處理資料__3[[#This Row],[人員代號]],團隊分組!$B$1:$C$52,2,FALSE)</f>
        <v>查修團隊A</v>
      </c>
      <c r="N3081" t="str">
        <f>IF(交易處理資料__3[[#This Row],[上班時間]]=0,"否","是")</f>
        <v>是</v>
      </c>
      <c r="O3081" t="s">
        <v>76</v>
      </c>
      <c r="P3081" s="38">
        <v>0</v>
      </c>
      <c r="Q3081" s="38">
        <v>0</v>
      </c>
      <c r="R3081" s="38">
        <v>0.89690000000000003</v>
      </c>
    </row>
    <row r="3082" spans="1:18" hidden="1">
      <c r="A3082" t="s">
        <v>76</v>
      </c>
      <c r="B3082" t="s">
        <v>50</v>
      </c>
      <c r="C3082">
        <v>2.2999999999999998</v>
      </c>
      <c r="D3082">
        <v>3.4</v>
      </c>
      <c r="E3082" s="29">
        <v>0.67647058819999994</v>
      </c>
      <c r="F3082">
        <v>7.88</v>
      </c>
      <c r="G3082">
        <v>0.15</v>
      </c>
      <c r="H3082">
        <v>8.0299999999999994</v>
      </c>
      <c r="I3082" s="29">
        <v>0.98129999999999995</v>
      </c>
      <c r="J3082" s="29">
        <v>0.28639999999999999</v>
      </c>
      <c r="K3082" s="9">
        <v>45369</v>
      </c>
      <c r="L3082">
        <f xml:space="preserve"> (交易處理資料__3[[#This Row],[售出工時]] * 60) / 5</f>
        <v>27.6</v>
      </c>
      <c r="M3082" t="str">
        <f>VLOOKUP(交易處理資料__3[[#This Row],[人員代號]],團隊分組!$B$1:$C$52,2,FALSE)</f>
        <v>快速保養團隊B</v>
      </c>
      <c r="N3082" t="str">
        <f>IF(交易處理資料__3[[#This Row],[上班時間]]=0,"否","是")</f>
        <v>是</v>
      </c>
      <c r="O3082" t="s">
        <v>76</v>
      </c>
      <c r="P3082" s="37">
        <v>0.67647058819999994</v>
      </c>
      <c r="Q3082" s="37">
        <v>0.28639999999999999</v>
      </c>
      <c r="R3082" s="37">
        <v>0.98129999999999995</v>
      </c>
    </row>
    <row r="3083" spans="1:18" hidden="1">
      <c r="A3083" t="s">
        <v>76</v>
      </c>
      <c r="B3083" t="s">
        <v>51</v>
      </c>
      <c r="C3083">
        <v>0</v>
      </c>
      <c r="D3083">
        <v>0</v>
      </c>
      <c r="E3083" s="29">
        <v>0</v>
      </c>
      <c r="F3083">
        <v>0</v>
      </c>
      <c r="G3083">
        <v>0</v>
      </c>
      <c r="H3083">
        <v>0</v>
      </c>
      <c r="I3083" s="29">
        <v>0</v>
      </c>
      <c r="J3083" s="29">
        <v>0</v>
      </c>
      <c r="K3083" s="9">
        <v>45369</v>
      </c>
      <c r="L3083">
        <f xml:space="preserve"> (交易處理資料__3[[#This Row],[售出工時]] * 60) / 5</f>
        <v>0</v>
      </c>
      <c r="M3083" t="str">
        <f>VLOOKUP(交易處理資料__3[[#This Row],[人員代號]],團隊分組!$B$1:$C$52,2,FALSE)</f>
        <v>無效數據</v>
      </c>
      <c r="N3083" t="str">
        <f>IF(交易處理資料__3[[#This Row],[上班時間]]=0,"否","是")</f>
        <v>否</v>
      </c>
      <c r="O3083" t="s">
        <v>76</v>
      </c>
      <c r="P3083" s="38">
        <v>0</v>
      </c>
      <c r="Q3083" s="38">
        <v>0</v>
      </c>
      <c r="R3083" s="38">
        <v>0</v>
      </c>
    </row>
    <row r="3084" spans="1:18" hidden="1">
      <c r="A3084" t="s">
        <v>76</v>
      </c>
      <c r="B3084" t="s">
        <v>52</v>
      </c>
      <c r="C3084">
        <v>1</v>
      </c>
      <c r="D3084">
        <v>0.19</v>
      </c>
      <c r="E3084" s="29">
        <v>5.2631578950000009</v>
      </c>
      <c r="F3084">
        <v>7.66</v>
      </c>
      <c r="G3084">
        <v>0.45</v>
      </c>
      <c r="H3084">
        <v>8.11</v>
      </c>
      <c r="I3084" s="29">
        <v>0.94450000000000001</v>
      </c>
      <c r="J3084" s="29">
        <v>0.12330000000000001</v>
      </c>
      <c r="K3084" s="9">
        <v>45369</v>
      </c>
      <c r="L3084">
        <f xml:space="preserve"> (交易處理資料__3[[#This Row],[售出工時]] * 60) / 5</f>
        <v>12</v>
      </c>
      <c r="M3084" t="str">
        <f>VLOOKUP(交易處理資料__3[[#This Row],[人員代號]],團隊分組!$B$1:$C$52,2,FALSE)</f>
        <v>查修團隊B</v>
      </c>
      <c r="N3084" t="str">
        <f>IF(交易處理資料__3[[#This Row],[上班時間]]=0,"否","是")</f>
        <v>是</v>
      </c>
      <c r="O3084" t="s">
        <v>76</v>
      </c>
      <c r="P3084" s="37">
        <v>5.2631578950000009</v>
      </c>
      <c r="Q3084" s="37">
        <v>0.12330000000000001</v>
      </c>
      <c r="R3084" s="37">
        <v>0.94450000000000001</v>
      </c>
    </row>
    <row r="3085" spans="1:18" hidden="1">
      <c r="A3085" s="10" t="s">
        <v>74</v>
      </c>
      <c r="B3085" t="s">
        <v>6</v>
      </c>
      <c r="C3085">
        <v>2.2200000000000002</v>
      </c>
      <c r="D3085">
        <v>10.34</v>
      </c>
      <c r="E3085" s="29">
        <v>0.21470019340000002</v>
      </c>
      <c r="F3085">
        <v>10.46</v>
      </c>
      <c r="G3085">
        <v>0.09</v>
      </c>
      <c r="H3085">
        <v>10.55</v>
      </c>
      <c r="I3085" s="29">
        <v>0.99150000000000005</v>
      </c>
      <c r="J3085" s="29">
        <v>0.2104</v>
      </c>
      <c r="K3085" s="9">
        <v>45370</v>
      </c>
      <c r="L3085">
        <f xml:space="preserve"> (交易處理資料__3[[#This Row],[售出工時]] * 60) / 5</f>
        <v>26.640000000000004</v>
      </c>
      <c r="M3085" t="str">
        <f>VLOOKUP(交易處理資料__3[[#This Row],[人員代號]],團隊分組!$B$1:$C$52,2,FALSE)</f>
        <v>噴漆維修組</v>
      </c>
      <c r="N3085" t="str">
        <f>IF(交易處理資料__3[[#This Row],[上班時間]]=0,"否","是")</f>
        <v>是</v>
      </c>
      <c r="O3085" s="10" t="s">
        <v>74</v>
      </c>
      <c r="P3085" s="38">
        <v>0.21470019340000002</v>
      </c>
      <c r="Q3085" s="38">
        <v>0.2104</v>
      </c>
      <c r="R3085" s="38">
        <v>0.99150000000000005</v>
      </c>
    </row>
    <row r="3086" spans="1:18" hidden="1">
      <c r="A3086" s="10" t="s">
        <v>74</v>
      </c>
      <c r="B3086" t="s">
        <v>8</v>
      </c>
      <c r="C3086">
        <v>3.3</v>
      </c>
      <c r="D3086">
        <v>5.88</v>
      </c>
      <c r="E3086" s="29">
        <v>0.56122448980000006</v>
      </c>
      <c r="F3086">
        <v>7.48</v>
      </c>
      <c r="G3086">
        <v>0.57999999999999996</v>
      </c>
      <c r="H3086">
        <v>8.06</v>
      </c>
      <c r="I3086" s="29">
        <v>0.92799999999999994</v>
      </c>
      <c r="J3086" s="29">
        <v>0.40939999999999999</v>
      </c>
      <c r="K3086" s="9">
        <v>45370</v>
      </c>
      <c r="L3086">
        <f xml:space="preserve"> (交易處理資料__3[[#This Row],[售出工時]] * 60) / 5</f>
        <v>39.6</v>
      </c>
      <c r="M3086" t="str">
        <f>VLOOKUP(交易處理資料__3[[#This Row],[人員代號]],團隊分組!$B$1:$C$52,2,FALSE)</f>
        <v>噴漆維修組</v>
      </c>
      <c r="N3086" t="str">
        <f>IF(交易處理資料__3[[#This Row],[上班時間]]=0,"否","是")</f>
        <v>是</v>
      </c>
      <c r="O3086" s="10" t="s">
        <v>74</v>
      </c>
      <c r="P3086" s="37">
        <v>0.56122448980000006</v>
      </c>
      <c r="Q3086" s="37">
        <v>0.40939999999999999</v>
      </c>
      <c r="R3086" s="37">
        <v>0.92799999999999994</v>
      </c>
    </row>
    <row r="3087" spans="1:18" hidden="1">
      <c r="A3087" t="s">
        <v>75</v>
      </c>
      <c r="B3087" t="s">
        <v>11</v>
      </c>
      <c r="C3087">
        <v>4.4366666669999999</v>
      </c>
      <c r="D3087">
        <v>3.37</v>
      </c>
      <c r="E3087" s="29">
        <v>1.3165182989999999</v>
      </c>
      <c r="F3087">
        <v>1.68</v>
      </c>
      <c r="G3087">
        <v>6.37</v>
      </c>
      <c r="H3087">
        <v>8.0500000000000007</v>
      </c>
      <c r="I3087" s="29">
        <v>0.2087</v>
      </c>
      <c r="J3087" s="29">
        <v>0.55110000000000003</v>
      </c>
      <c r="K3087" s="9">
        <v>45370</v>
      </c>
      <c r="L3087">
        <f xml:space="preserve"> (交易處理資料__3[[#This Row],[售出工時]] * 60) / 5</f>
        <v>53.240000004000002</v>
      </c>
      <c r="M3087" t="str">
        <f>VLOOKUP(交易處理資料__3[[#This Row],[人員代號]],團隊分組!$B$1:$C$52,2,FALSE)</f>
        <v>鈑金維修組</v>
      </c>
      <c r="N3087" t="str">
        <f>IF(交易處理資料__3[[#This Row],[上班時間]]=0,"否","是")</f>
        <v>是</v>
      </c>
      <c r="O3087" t="s">
        <v>75</v>
      </c>
      <c r="P3087" s="38">
        <v>1.3165182989999999</v>
      </c>
      <c r="Q3087" s="38">
        <v>0.55110000000000003</v>
      </c>
      <c r="R3087" s="38">
        <v>0.2087</v>
      </c>
    </row>
    <row r="3088" spans="1:18" hidden="1">
      <c r="A3088" t="s">
        <v>75</v>
      </c>
      <c r="B3088" t="s">
        <v>14</v>
      </c>
      <c r="C3088">
        <v>7.3366666670000003</v>
      </c>
      <c r="D3088">
        <v>6.01</v>
      </c>
      <c r="E3088" s="29">
        <v>1.2207432059999999</v>
      </c>
      <c r="F3088">
        <v>6.18</v>
      </c>
      <c r="G3088">
        <v>1.89</v>
      </c>
      <c r="H3088">
        <v>8.07</v>
      </c>
      <c r="I3088" s="29">
        <v>0.76580000000000004</v>
      </c>
      <c r="J3088" s="29">
        <v>0.90910000000000002</v>
      </c>
      <c r="K3088" s="9">
        <v>45370</v>
      </c>
      <c r="L3088">
        <f xml:space="preserve"> (交易處理資料__3[[#This Row],[售出工時]] * 60) / 5</f>
        <v>88.040000004000007</v>
      </c>
      <c r="M3088" t="str">
        <f>VLOOKUP(交易處理資料__3[[#This Row],[人員代號]],團隊分組!$B$1:$C$52,2,FALSE)</f>
        <v>鈑金維修組</v>
      </c>
      <c r="N3088" t="str">
        <f>IF(交易處理資料__3[[#This Row],[上班時間]]=0,"否","是")</f>
        <v>是</v>
      </c>
      <c r="O3088" t="s">
        <v>75</v>
      </c>
      <c r="P3088" s="37">
        <v>1.2207432059999999</v>
      </c>
      <c r="Q3088" s="37">
        <v>0.90910000000000002</v>
      </c>
      <c r="R3088" s="37">
        <v>0.76580000000000004</v>
      </c>
    </row>
    <row r="3089" spans="1:18" hidden="1">
      <c r="A3089" t="s">
        <v>76</v>
      </c>
      <c r="B3089" t="s">
        <v>17</v>
      </c>
      <c r="C3089">
        <v>13.31</v>
      </c>
      <c r="D3089">
        <v>5.31</v>
      </c>
      <c r="E3089" s="29">
        <v>2.5065913370000001</v>
      </c>
      <c r="F3089">
        <v>8.18</v>
      </c>
      <c r="G3089">
        <v>0.14000000000000001</v>
      </c>
      <c r="H3089">
        <v>8.32</v>
      </c>
      <c r="I3089" s="29">
        <v>0.98319999999999996</v>
      </c>
      <c r="J3089" s="29">
        <v>1.5997999999999999</v>
      </c>
      <c r="K3089" s="9">
        <v>45370</v>
      </c>
      <c r="L3089">
        <f xml:space="preserve"> (交易處理資料__3[[#This Row],[售出工時]] * 60) / 5</f>
        <v>159.72</v>
      </c>
      <c r="M3089" t="str">
        <f>VLOOKUP(交易處理資料__3[[#This Row],[人員代號]],團隊分組!$B$1:$C$52,2,FALSE)</f>
        <v>快速保養團隊A</v>
      </c>
      <c r="N3089" t="str">
        <f>IF(交易處理資料__3[[#This Row],[上班時間]]=0,"否","是")</f>
        <v>是</v>
      </c>
      <c r="O3089" t="s">
        <v>76</v>
      </c>
      <c r="P3089" s="38">
        <v>2.5065913370000001</v>
      </c>
      <c r="Q3089" s="38">
        <v>1.5997999999999999</v>
      </c>
      <c r="R3089" s="38">
        <v>0.98319999999999996</v>
      </c>
    </row>
    <row r="3090" spans="1:18" hidden="1">
      <c r="A3090" t="s">
        <v>76</v>
      </c>
      <c r="B3090" t="s">
        <v>18</v>
      </c>
      <c r="C3090">
        <v>0</v>
      </c>
      <c r="D3090">
        <v>0</v>
      </c>
      <c r="E3090" s="29">
        <v>0</v>
      </c>
      <c r="F3090">
        <v>7.82</v>
      </c>
      <c r="G3090">
        <v>0.32</v>
      </c>
      <c r="H3090">
        <v>8.14</v>
      </c>
      <c r="I3090" s="29">
        <v>0.96069999999999989</v>
      </c>
      <c r="J3090" s="29">
        <v>0</v>
      </c>
      <c r="K3090" s="9">
        <v>45370</v>
      </c>
      <c r="L3090">
        <f xml:space="preserve"> (交易處理資料__3[[#This Row],[售出工時]] * 60) / 5</f>
        <v>0</v>
      </c>
      <c r="M3090" t="str">
        <f>VLOOKUP(交易處理資料__3[[#This Row],[人員代號]],團隊分組!$B$1:$C$52,2,FALSE)</f>
        <v>查修團隊B</v>
      </c>
      <c r="N3090" t="str">
        <f>IF(交易處理資料__3[[#This Row],[上班時間]]=0,"否","是")</f>
        <v>是</v>
      </c>
      <c r="O3090" t="s">
        <v>76</v>
      </c>
      <c r="P3090" s="37">
        <v>0</v>
      </c>
      <c r="Q3090" s="37">
        <v>0</v>
      </c>
      <c r="R3090" s="37">
        <v>0.96069999999999989</v>
      </c>
    </row>
    <row r="3091" spans="1:18" hidden="1">
      <c r="A3091" t="s">
        <v>76</v>
      </c>
      <c r="B3091" t="s">
        <v>20</v>
      </c>
      <c r="C3091">
        <v>0.33333333300000001</v>
      </c>
      <c r="D3091">
        <v>0.97</v>
      </c>
      <c r="E3091" s="29">
        <v>0.34364261169999999</v>
      </c>
      <c r="F3091">
        <v>0</v>
      </c>
      <c r="G3091">
        <v>4.47</v>
      </c>
      <c r="H3091">
        <v>4.47</v>
      </c>
      <c r="I3091" s="29">
        <v>0</v>
      </c>
      <c r="J3091" s="29">
        <v>7.46E-2</v>
      </c>
      <c r="K3091" s="9">
        <v>45370</v>
      </c>
      <c r="L3091">
        <f xml:space="preserve"> (交易處理資料__3[[#This Row],[售出工時]] * 60) / 5</f>
        <v>3.9999999960000006</v>
      </c>
      <c r="M3091" t="str">
        <f>VLOOKUP(交易處理資料__3[[#This Row],[人員代號]],團隊分組!$B$1:$C$52,2,FALSE)</f>
        <v>查修團隊B</v>
      </c>
      <c r="N3091" t="str">
        <f>IF(交易處理資料__3[[#This Row],[上班時間]]=0,"否","是")</f>
        <v>是</v>
      </c>
      <c r="O3091" t="s">
        <v>76</v>
      </c>
      <c r="P3091" s="38">
        <v>0.34364261169999999</v>
      </c>
      <c r="Q3091" s="38">
        <v>7.46E-2</v>
      </c>
      <c r="R3091" s="38">
        <v>0</v>
      </c>
    </row>
    <row r="3092" spans="1:18" hidden="1">
      <c r="A3092" t="s">
        <v>76</v>
      </c>
      <c r="B3092" t="s">
        <v>21</v>
      </c>
      <c r="C3092">
        <v>2.48</v>
      </c>
      <c r="D3092">
        <v>1.46</v>
      </c>
      <c r="E3092" s="29">
        <v>1.6986301370000001</v>
      </c>
      <c r="F3092">
        <v>7.01</v>
      </c>
      <c r="G3092">
        <v>1.48</v>
      </c>
      <c r="H3092">
        <v>8.49</v>
      </c>
      <c r="I3092" s="29">
        <v>0.82569999999999988</v>
      </c>
      <c r="J3092" s="29">
        <v>0.29210000000000003</v>
      </c>
      <c r="K3092" s="9">
        <v>45370</v>
      </c>
      <c r="L3092">
        <f xml:space="preserve"> (交易處理資料__3[[#This Row],[售出工時]] * 60) / 5</f>
        <v>29.76</v>
      </c>
      <c r="M3092" t="str">
        <f>VLOOKUP(交易處理資料__3[[#This Row],[人員代號]],團隊分組!$B$1:$C$52,2,FALSE)</f>
        <v>查修團隊B</v>
      </c>
      <c r="N3092" t="str">
        <f>IF(交易處理資料__3[[#This Row],[上班時間]]=0,"否","是")</f>
        <v>是</v>
      </c>
      <c r="O3092" t="s">
        <v>76</v>
      </c>
      <c r="P3092" s="37">
        <v>1.6986301370000001</v>
      </c>
      <c r="Q3092" s="37">
        <v>0.29210000000000003</v>
      </c>
      <c r="R3092" s="37">
        <v>0.82569999999999988</v>
      </c>
    </row>
    <row r="3093" spans="1:18" hidden="1">
      <c r="A3093" t="s">
        <v>76</v>
      </c>
      <c r="B3093" t="s">
        <v>24</v>
      </c>
      <c r="C3093">
        <v>12.10333333</v>
      </c>
      <c r="D3093">
        <v>6.26</v>
      </c>
      <c r="E3093" s="29">
        <v>1.9334398300000002</v>
      </c>
      <c r="F3093">
        <v>9.1199999999999992</v>
      </c>
      <c r="G3093">
        <v>0.44</v>
      </c>
      <c r="H3093">
        <v>9.56</v>
      </c>
      <c r="I3093" s="29">
        <v>0.95400000000000007</v>
      </c>
      <c r="J3093" s="29">
        <v>1.266</v>
      </c>
      <c r="K3093" s="9">
        <v>45370</v>
      </c>
      <c r="L3093">
        <f xml:space="preserve"> (交易處理資料__3[[#This Row],[售出工時]] * 60) / 5</f>
        <v>145.23999996000001</v>
      </c>
      <c r="M3093" t="str">
        <f>VLOOKUP(交易處理資料__3[[#This Row],[人員代號]],團隊分組!$B$1:$C$52,2,FALSE)</f>
        <v>快速保養團隊A</v>
      </c>
      <c r="N3093" t="str">
        <f>IF(交易處理資料__3[[#This Row],[上班時間]]=0,"否","是")</f>
        <v>是</v>
      </c>
      <c r="O3093" t="s">
        <v>76</v>
      </c>
      <c r="P3093" s="38">
        <v>1.9334398300000002</v>
      </c>
      <c r="Q3093" s="38">
        <v>1.266</v>
      </c>
      <c r="R3093" s="38">
        <v>0.95400000000000007</v>
      </c>
    </row>
    <row r="3094" spans="1:18" hidden="1">
      <c r="A3094" t="s">
        <v>76</v>
      </c>
      <c r="B3094" t="s">
        <v>25</v>
      </c>
      <c r="C3094">
        <v>3.47</v>
      </c>
      <c r="D3094">
        <v>4.25</v>
      </c>
      <c r="E3094" s="29">
        <v>0.81647058819999996</v>
      </c>
      <c r="F3094">
        <v>7.4</v>
      </c>
      <c r="G3094">
        <v>0.8</v>
      </c>
      <c r="H3094">
        <v>8.1999999999999993</v>
      </c>
      <c r="I3094" s="29">
        <v>0.90239999999999998</v>
      </c>
      <c r="J3094" s="29">
        <v>0.42320000000000002</v>
      </c>
      <c r="K3094" s="9">
        <v>45370</v>
      </c>
      <c r="L3094">
        <f xml:space="preserve"> (交易處理資料__3[[#This Row],[售出工時]] * 60) / 5</f>
        <v>41.64</v>
      </c>
      <c r="M3094" t="str">
        <f>VLOOKUP(交易處理資料__3[[#This Row],[人員代號]],團隊分組!$B$1:$C$52,2,FALSE)</f>
        <v>查修團隊A</v>
      </c>
      <c r="N3094" t="str">
        <f>IF(交易處理資料__3[[#This Row],[上班時間]]=0,"否","是")</f>
        <v>是</v>
      </c>
      <c r="O3094" t="s">
        <v>76</v>
      </c>
      <c r="P3094" s="37">
        <v>0.81647058819999996</v>
      </c>
      <c r="Q3094" s="37">
        <v>0.42320000000000002</v>
      </c>
      <c r="R3094" s="37">
        <v>0.90239999999999998</v>
      </c>
    </row>
    <row r="3095" spans="1:18" hidden="1">
      <c r="A3095" t="s">
        <v>76</v>
      </c>
      <c r="B3095" t="s">
        <v>26</v>
      </c>
      <c r="C3095">
        <v>1.88</v>
      </c>
      <c r="D3095">
        <v>1.76</v>
      </c>
      <c r="E3095" s="29">
        <v>1.068181818</v>
      </c>
      <c r="F3095">
        <v>3.85</v>
      </c>
      <c r="G3095">
        <v>6.15</v>
      </c>
      <c r="H3095">
        <v>10</v>
      </c>
      <c r="I3095" s="29">
        <v>0.38500000000000001</v>
      </c>
      <c r="J3095" s="29">
        <v>0.188</v>
      </c>
      <c r="K3095" s="9">
        <v>45370</v>
      </c>
      <c r="L3095">
        <f xml:space="preserve"> (交易處理資料__3[[#This Row],[售出工時]] * 60) / 5</f>
        <v>22.56</v>
      </c>
      <c r="M3095" t="str">
        <f>VLOOKUP(交易處理資料__3[[#This Row],[人員代號]],團隊分組!$B$1:$C$52,2,FALSE)</f>
        <v>查修團隊B</v>
      </c>
      <c r="N3095" t="str">
        <f>IF(交易處理資料__3[[#This Row],[上班時間]]=0,"否","是")</f>
        <v>是</v>
      </c>
      <c r="O3095" t="s">
        <v>76</v>
      </c>
      <c r="P3095" s="38">
        <v>1.068181818</v>
      </c>
      <c r="Q3095" s="38">
        <v>0.188</v>
      </c>
      <c r="R3095" s="38">
        <v>0.38500000000000001</v>
      </c>
    </row>
    <row r="3096" spans="1:18" hidden="1">
      <c r="A3096" t="s">
        <v>76</v>
      </c>
      <c r="B3096" t="s">
        <v>27</v>
      </c>
      <c r="C3096">
        <v>11.01</v>
      </c>
      <c r="D3096">
        <v>10.48</v>
      </c>
      <c r="E3096" s="29">
        <v>1.0505725189999999</v>
      </c>
      <c r="F3096">
        <v>9.16</v>
      </c>
      <c r="G3096">
        <v>1.89</v>
      </c>
      <c r="H3096">
        <v>11.05</v>
      </c>
      <c r="I3096" s="29">
        <v>0.82900000000000007</v>
      </c>
      <c r="J3096" s="29">
        <v>0.99639999999999995</v>
      </c>
      <c r="K3096" s="9">
        <v>45370</v>
      </c>
      <c r="L3096">
        <f xml:space="preserve"> (交易處理資料__3[[#This Row],[售出工時]] * 60) / 5</f>
        <v>132.12</v>
      </c>
      <c r="M3096" t="str">
        <f>VLOOKUP(交易處理資料__3[[#This Row],[人員代號]],團隊分組!$B$1:$C$52,2,FALSE)</f>
        <v>快速保養團隊B</v>
      </c>
      <c r="N3096" t="str">
        <f>IF(交易處理資料__3[[#This Row],[上班時間]]=0,"否","是")</f>
        <v>是</v>
      </c>
      <c r="O3096" t="s">
        <v>76</v>
      </c>
      <c r="P3096" s="37">
        <v>1.0505725189999999</v>
      </c>
      <c r="Q3096" s="37">
        <v>0.99639999999999995</v>
      </c>
      <c r="R3096" s="37">
        <v>0.82900000000000007</v>
      </c>
    </row>
    <row r="3097" spans="1:18" hidden="1">
      <c r="A3097" t="s">
        <v>76</v>
      </c>
      <c r="B3097" t="s">
        <v>28</v>
      </c>
      <c r="C3097">
        <v>12.08333333</v>
      </c>
      <c r="D3097">
        <v>7.49</v>
      </c>
      <c r="E3097" s="29">
        <v>1.613262127</v>
      </c>
      <c r="F3097">
        <v>8.92</v>
      </c>
      <c r="G3097">
        <v>0.88</v>
      </c>
      <c r="H3097">
        <v>9.8000000000000007</v>
      </c>
      <c r="I3097" s="29">
        <v>0.91020000000000001</v>
      </c>
      <c r="J3097" s="29">
        <v>1.2329999999999999</v>
      </c>
      <c r="K3097" s="9">
        <v>45370</v>
      </c>
      <c r="L3097">
        <f xml:space="preserve"> (交易處理資料__3[[#This Row],[售出工時]] * 60) / 5</f>
        <v>144.99999996000003</v>
      </c>
      <c r="M3097" t="str">
        <f>VLOOKUP(交易處理資料__3[[#This Row],[人員代號]],團隊分組!$B$1:$C$52,2,FALSE)</f>
        <v>快速保養團隊A</v>
      </c>
      <c r="N3097" t="str">
        <f>IF(交易處理資料__3[[#This Row],[上班時間]]=0,"否","是")</f>
        <v>是</v>
      </c>
      <c r="O3097" t="s">
        <v>76</v>
      </c>
      <c r="P3097" s="38">
        <v>1.613262127</v>
      </c>
      <c r="Q3097" s="38">
        <v>1.2329999999999999</v>
      </c>
      <c r="R3097" s="38">
        <v>0.91020000000000001</v>
      </c>
    </row>
    <row r="3098" spans="1:18" hidden="1">
      <c r="A3098" t="s">
        <v>76</v>
      </c>
      <c r="B3098" t="s">
        <v>29</v>
      </c>
      <c r="C3098">
        <v>1.1666666670000001</v>
      </c>
      <c r="D3098">
        <v>1.35</v>
      </c>
      <c r="E3098" s="29">
        <v>0.86419753089999995</v>
      </c>
      <c r="F3098">
        <v>9.4700000000000006</v>
      </c>
      <c r="G3098">
        <v>0.56999999999999995</v>
      </c>
      <c r="H3098">
        <v>10.039999999999999</v>
      </c>
      <c r="I3098" s="29">
        <v>0.94319999999999993</v>
      </c>
      <c r="J3098" s="29">
        <v>0.1162</v>
      </c>
      <c r="K3098" s="9">
        <v>45370</v>
      </c>
      <c r="L3098">
        <f xml:space="preserve"> (交易處理資料__3[[#This Row],[售出工時]] * 60) / 5</f>
        <v>14.000000004</v>
      </c>
      <c r="M3098" t="str">
        <f>VLOOKUP(交易處理資料__3[[#This Row],[人員代號]],團隊分組!$B$1:$C$52,2,FALSE)</f>
        <v>查修團隊B</v>
      </c>
      <c r="N3098" t="str">
        <f>IF(交易處理資料__3[[#This Row],[上班時間]]=0,"否","是")</f>
        <v>是</v>
      </c>
      <c r="O3098" t="s">
        <v>76</v>
      </c>
      <c r="P3098" s="37">
        <v>0.86419753089999995</v>
      </c>
      <c r="Q3098" s="37">
        <v>0.1162</v>
      </c>
      <c r="R3098" s="37">
        <v>0.94319999999999993</v>
      </c>
    </row>
    <row r="3099" spans="1:18" hidden="1">
      <c r="A3099" t="s">
        <v>76</v>
      </c>
      <c r="B3099" t="s">
        <v>30</v>
      </c>
      <c r="C3099">
        <v>12.653333330000001</v>
      </c>
      <c r="D3099">
        <v>6.74</v>
      </c>
      <c r="E3099" s="29">
        <v>1.877349159</v>
      </c>
      <c r="F3099">
        <v>9.5399999999999991</v>
      </c>
      <c r="G3099">
        <v>1.51</v>
      </c>
      <c r="H3099">
        <v>11.05</v>
      </c>
      <c r="I3099" s="29">
        <v>0.86329999999999996</v>
      </c>
      <c r="J3099" s="29">
        <v>1.1451</v>
      </c>
      <c r="K3099" s="9">
        <v>45370</v>
      </c>
      <c r="L3099">
        <f xml:space="preserve"> (交易處理資料__3[[#This Row],[售出工時]] * 60) / 5</f>
        <v>151.83999996</v>
      </c>
      <c r="M3099" t="str">
        <f>VLOOKUP(交易處理資料__3[[#This Row],[人員代號]],團隊分組!$B$1:$C$52,2,FALSE)</f>
        <v>快速保養團隊B</v>
      </c>
      <c r="N3099" t="str">
        <f>IF(交易處理資料__3[[#This Row],[上班時間]]=0,"否","是")</f>
        <v>是</v>
      </c>
      <c r="O3099" t="s">
        <v>76</v>
      </c>
      <c r="P3099" s="38">
        <v>1.877349159</v>
      </c>
      <c r="Q3099" s="38">
        <v>1.1451</v>
      </c>
      <c r="R3099" s="38">
        <v>0.86329999999999996</v>
      </c>
    </row>
    <row r="3100" spans="1:18" hidden="1">
      <c r="A3100" t="s">
        <v>76</v>
      </c>
      <c r="B3100" t="s">
        <v>32</v>
      </c>
      <c r="C3100">
        <v>0</v>
      </c>
      <c r="D3100">
        <v>0</v>
      </c>
      <c r="E3100" s="29">
        <v>0</v>
      </c>
      <c r="F3100">
        <v>0</v>
      </c>
      <c r="G3100">
        <v>0</v>
      </c>
      <c r="H3100">
        <v>0</v>
      </c>
      <c r="I3100" s="29">
        <v>0</v>
      </c>
      <c r="J3100" s="29">
        <v>0</v>
      </c>
      <c r="K3100" s="9">
        <v>45370</v>
      </c>
      <c r="L3100">
        <f xml:space="preserve"> (交易處理資料__3[[#This Row],[售出工時]] * 60) / 5</f>
        <v>0</v>
      </c>
      <c r="M3100" t="str">
        <f>VLOOKUP(交易處理資料__3[[#This Row],[人員代號]],團隊分組!$B$1:$C$52,2,FALSE)</f>
        <v>快速保養團隊B</v>
      </c>
      <c r="N3100" t="str">
        <f>IF(交易處理資料__3[[#This Row],[上班時間]]=0,"否","是")</f>
        <v>否</v>
      </c>
      <c r="O3100" t="s">
        <v>76</v>
      </c>
      <c r="P3100" s="37">
        <v>0</v>
      </c>
      <c r="Q3100" s="37">
        <v>0</v>
      </c>
      <c r="R3100" s="37">
        <v>0</v>
      </c>
    </row>
    <row r="3101" spans="1:18" hidden="1">
      <c r="A3101" t="s">
        <v>76</v>
      </c>
      <c r="B3101" t="s">
        <v>34</v>
      </c>
      <c r="C3101">
        <v>5.9166666670000003</v>
      </c>
      <c r="D3101">
        <v>4.12</v>
      </c>
      <c r="E3101" s="29">
        <v>1.4360841419999999</v>
      </c>
      <c r="F3101">
        <v>7.76</v>
      </c>
      <c r="G3101">
        <v>1.67</v>
      </c>
      <c r="H3101">
        <v>9.43</v>
      </c>
      <c r="I3101" s="29">
        <v>0.82290000000000008</v>
      </c>
      <c r="J3101" s="29">
        <v>0.62740000000000007</v>
      </c>
      <c r="K3101" s="9">
        <v>45370</v>
      </c>
      <c r="L3101">
        <f xml:space="preserve"> (交易處理資料__3[[#This Row],[售出工時]] * 60) / 5</f>
        <v>71.000000004</v>
      </c>
      <c r="M3101" t="str">
        <f>VLOOKUP(交易處理資料__3[[#This Row],[人員代號]],團隊分組!$B$1:$C$52,2,FALSE)</f>
        <v>快速保養團隊A</v>
      </c>
      <c r="N3101" t="str">
        <f>IF(交易處理資料__3[[#This Row],[上班時間]]=0,"否","是")</f>
        <v>是</v>
      </c>
      <c r="O3101" t="s">
        <v>76</v>
      </c>
      <c r="P3101" s="38">
        <v>1.4360841419999999</v>
      </c>
      <c r="Q3101" s="38">
        <v>0.62740000000000007</v>
      </c>
      <c r="R3101" s="38">
        <v>0.82290000000000008</v>
      </c>
    </row>
    <row r="3102" spans="1:18" hidden="1">
      <c r="A3102" t="s">
        <v>76</v>
      </c>
      <c r="B3102" t="s">
        <v>35</v>
      </c>
      <c r="C3102">
        <v>1.4466666669999999</v>
      </c>
      <c r="D3102">
        <v>2.95</v>
      </c>
      <c r="E3102" s="29">
        <v>0.49039548019999996</v>
      </c>
      <c r="F3102">
        <v>8.89</v>
      </c>
      <c r="G3102">
        <v>1.1100000000000001</v>
      </c>
      <c r="H3102">
        <v>10</v>
      </c>
      <c r="I3102" s="29">
        <v>0.88900000000000001</v>
      </c>
      <c r="J3102" s="29">
        <v>0.1447</v>
      </c>
      <c r="K3102" s="9">
        <v>45370</v>
      </c>
      <c r="L3102">
        <f xml:space="preserve"> (交易處理資料__3[[#This Row],[售出工時]] * 60) / 5</f>
        <v>17.360000004</v>
      </c>
      <c r="M3102" t="str">
        <f>VLOOKUP(交易處理資料__3[[#This Row],[人員代號]],團隊分組!$B$1:$C$52,2,FALSE)</f>
        <v>查修團隊B</v>
      </c>
      <c r="N3102" t="str">
        <f>IF(交易處理資料__3[[#This Row],[上班時間]]=0,"否","是")</f>
        <v>是</v>
      </c>
      <c r="O3102" t="s">
        <v>76</v>
      </c>
      <c r="P3102" s="37">
        <v>0.49039548019999996</v>
      </c>
      <c r="Q3102" s="37">
        <v>0.1447</v>
      </c>
      <c r="R3102" s="37">
        <v>0.88900000000000001</v>
      </c>
    </row>
    <row r="3103" spans="1:18" hidden="1">
      <c r="A3103" t="s">
        <v>76</v>
      </c>
      <c r="B3103" t="s">
        <v>36</v>
      </c>
      <c r="C3103">
        <v>5.16</v>
      </c>
      <c r="D3103">
        <v>7.05</v>
      </c>
      <c r="E3103" s="29">
        <v>0.73191489360000006</v>
      </c>
      <c r="F3103">
        <v>9.6300000000000008</v>
      </c>
      <c r="G3103">
        <v>0.43</v>
      </c>
      <c r="H3103">
        <v>10.06</v>
      </c>
      <c r="I3103" s="29">
        <v>0.95730000000000004</v>
      </c>
      <c r="J3103" s="29">
        <v>0.51290000000000002</v>
      </c>
      <c r="K3103" s="9">
        <v>45370</v>
      </c>
      <c r="L3103">
        <f xml:space="preserve"> (交易處理資料__3[[#This Row],[售出工時]] * 60) / 5</f>
        <v>61.92</v>
      </c>
      <c r="M3103" t="str">
        <f>VLOOKUP(交易處理資料__3[[#This Row],[人員代號]],團隊分組!$B$1:$C$52,2,FALSE)</f>
        <v>查修團隊B</v>
      </c>
      <c r="N3103" t="str">
        <f>IF(交易處理資料__3[[#This Row],[上班時間]]=0,"否","是")</f>
        <v>是</v>
      </c>
      <c r="O3103" t="s">
        <v>76</v>
      </c>
      <c r="P3103" s="38">
        <v>0.73191489360000006</v>
      </c>
      <c r="Q3103" s="38">
        <v>0.51290000000000002</v>
      </c>
      <c r="R3103" s="38">
        <v>0.95730000000000004</v>
      </c>
    </row>
    <row r="3104" spans="1:18" hidden="1">
      <c r="A3104" t="s">
        <v>76</v>
      </c>
      <c r="B3104" t="s">
        <v>38</v>
      </c>
      <c r="C3104">
        <v>14.05666667</v>
      </c>
      <c r="D3104">
        <v>9.66</v>
      </c>
      <c r="E3104" s="29">
        <v>1.455141477</v>
      </c>
      <c r="F3104">
        <v>11.12</v>
      </c>
      <c r="G3104">
        <v>0.88</v>
      </c>
      <c r="H3104">
        <v>12</v>
      </c>
      <c r="I3104" s="29">
        <v>0.92669999999999997</v>
      </c>
      <c r="J3104" s="29">
        <v>1.1714</v>
      </c>
      <c r="K3104" s="9">
        <v>45370</v>
      </c>
      <c r="L3104">
        <f xml:space="preserve"> (交易處理資料__3[[#This Row],[售出工時]] * 60) / 5</f>
        <v>168.68000004000001</v>
      </c>
      <c r="M3104" t="str">
        <f>VLOOKUP(交易處理資料__3[[#This Row],[人員代號]],團隊分組!$B$1:$C$52,2,FALSE)</f>
        <v>快速保養團隊A</v>
      </c>
      <c r="N3104" t="str">
        <f>IF(交易處理資料__3[[#This Row],[上班時間]]=0,"否","是")</f>
        <v>是</v>
      </c>
      <c r="O3104" t="s">
        <v>76</v>
      </c>
      <c r="P3104" s="37">
        <v>1.455141477</v>
      </c>
      <c r="Q3104" s="37">
        <v>1.1714</v>
      </c>
      <c r="R3104" s="37">
        <v>0.92669999999999997</v>
      </c>
    </row>
    <row r="3105" spans="1:18" hidden="1">
      <c r="A3105" t="s">
        <v>76</v>
      </c>
      <c r="B3105" t="s">
        <v>39</v>
      </c>
      <c r="C3105">
        <v>0.5</v>
      </c>
      <c r="D3105">
        <v>0.94</v>
      </c>
      <c r="E3105" s="29">
        <v>0.53191489359999999</v>
      </c>
      <c r="F3105">
        <v>6</v>
      </c>
      <c r="G3105">
        <v>2.41</v>
      </c>
      <c r="H3105">
        <v>8.41</v>
      </c>
      <c r="I3105" s="29">
        <v>0.71340000000000003</v>
      </c>
      <c r="J3105" s="29">
        <v>5.9500000000000004E-2</v>
      </c>
      <c r="K3105" s="9">
        <v>45370</v>
      </c>
      <c r="L3105">
        <f xml:space="preserve"> (交易處理資料__3[[#This Row],[售出工時]] * 60) / 5</f>
        <v>6</v>
      </c>
      <c r="M3105" t="str">
        <f>VLOOKUP(交易處理資料__3[[#This Row],[人員代號]],團隊分組!$B$1:$C$52,2,FALSE)</f>
        <v>查修團隊A</v>
      </c>
      <c r="N3105" t="str">
        <f>IF(交易處理資料__3[[#This Row],[上班時間]]=0,"否","是")</f>
        <v>是</v>
      </c>
      <c r="O3105" t="s">
        <v>76</v>
      </c>
      <c r="P3105" s="38">
        <v>0.53191489359999999</v>
      </c>
      <c r="Q3105" s="38">
        <v>5.9500000000000004E-2</v>
      </c>
      <c r="R3105" s="38">
        <v>0.71340000000000003</v>
      </c>
    </row>
    <row r="3106" spans="1:18" hidden="1">
      <c r="A3106" t="s">
        <v>76</v>
      </c>
      <c r="B3106" t="s">
        <v>40</v>
      </c>
      <c r="C3106">
        <v>0</v>
      </c>
      <c r="D3106">
        <v>0</v>
      </c>
      <c r="E3106" s="29">
        <v>0</v>
      </c>
      <c r="F3106">
        <v>7.97</v>
      </c>
      <c r="G3106">
        <v>0.53</v>
      </c>
      <c r="H3106">
        <v>8.5</v>
      </c>
      <c r="I3106" s="29">
        <v>0.9376000000000001</v>
      </c>
      <c r="J3106" s="29">
        <v>0</v>
      </c>
      <c r="K3106" s="9">
        <v>45370</v>
      </c>
      <c r="L3106">
        <f xml:space="preserve"> (交易處理資料__3[[#This Row],[售出工時]] * 60) / 5</f>
        <v>0</v>
      </c>
      <c r="M3106" t="str">
        <f>VLOOKUP(交易處理資料__3[[#This Row],[人員代號]],團隊分組!$B$1:$C$52,2,FALSE)</f>
        <v>查修團隊A</v>
      </c>
      <c r="N3106" t="str">
        <f>IF(交易處理資料__3[[#This Row],[上班時間]]=0,"否","是")</f>
        <v>是</v>
      </c>
      <c r="O3106" t="s">
        <v>76</v>
      </c>
      <c r="P3106" s="37">
        <v>0</v>
      </c>
      <c r="Q3106" s="37">
        <v>0</v>
      </c>
      <c r="R3106" s="37">
        <v>0.9376000000000001</v>
      </c>
    </row>
    <row r="3107" spans="1:18" hidden="1">
      <c r="A3107" t="s">
        <v>76</v>
      </c>
      <c r="B3107" t="s">
        <v>42</v>
      </c>
      <c r="C3107">
        <v>9.3133333329999992</v>
      </c>
      <c r="D3107">
        <v>7.7</v>
      </c>
      <c r="E3107" s="29">
        <v>1.2095238100000001</v>
      </c>
      <c r="F3107">
        <v>6.63</v>
      </c>
      <c r="G3107">
        <v>1.52</v>
      </c>
      <c r="H3107">
        <v>8.15</v>
      </c>
      <c r="I3107" s="29">
        <v>0.81349999999999989</v>
      </c>
      <c r="J3107" s="29">
        <v>1.1427</v>
      </c>
      <c r="K3107" s="9">
        <v>45370</v>
      </c>
      <c r="L3107">
        <f xml:space="preserve"> (交易處理資料__3[[#This Row],[售出工時]] * 60) / 5</f>
        <v>111.75999999599999</v>
      </c>
      <c r="M3107" t="str">
        <f>VLOOKUP(交易處理資料__3[[#This Row],[人員代號]],團隊分組!$B$1:$C$52,2,FALSE)</f>
        <v>快速保養團隊A</v>
      </c>
      <c r="N3107" t="str">
        <f>IF(交易處理資料__3[[#This Row],[上班時間]]=0,"否","是")</f>
        <v>是</v>
      </c>
      <c r="O3107" t="s">
        <v>76</v>
      </c>
      <c r="P3107" s="38">
        <v>1.2095238100000001</v>
      </c>
      <c r="Q3107" s="38">
        <v>1.1427</v>
      </c>
      <c r="R3107" s="38">
        <v>0.81349999999999989</v>
      </c>
    </row>
    <row r="3108" spans="1:18" hidden="1">
      <c r="A3108" t="s">
        <v>76</v>
      </c>
      <c r="B3108" t="s">
        <v>44</v>
      </c>
      <c r="C3108">
        <v>4.5199999999999996</v>
      </c>
      <c r="D3108">
        <v>5.59</v>
      </c>
      <c r="E3108" s="29">
        <v>0.80858676210000002</v>
      </c>
      <c r="F3108">
        <v>8.5</v>
      </c>
      <c r="G3108">
        <v>1.1200000000000001</v>
      </c>
      <c r="H3108">
        <v>9.6199999999999992</v>
      </c>
      <c r="I3108" s="29">
        <v>0.88359999999999994</v>
      </c>
      <c r="J3108" s="29">
        <v>0.46990000000000004</v>
      </c>
      <c r="K3108" s="9">
        <v>45370</v>
      </c>
      <c r="L3108">
        <f xml:space="preserve"> (交易處理資料__3[[#This Row],[售出工時]] * 60) / 5</f>
        <v>54.239999999999995</v>
      </c>
      <c r="M3108" t="str">
        <f>VLOOKUP(交易處理資料__3[[#This Row],[人員代號]],團隊分組!$B$1:$C$52,2,FALSE)</f>
        <v>快速保養團隊B</v>
      </c>
      <c r="N3108" t="str">
        <f>IF(交易處理資料__3[[#This Row],[上班時間]]=0,"否","是")</f>
        <v>是</v>
      </c>
      <c r="O3108" t="s">
        <v>76</v>
      </c>
      <c r="P3108" s="37">
        <v>0.80858676210000002</v>
      </c>
      <c r="Q3108" s="37">
        <v>0.46990000000000004</v>
      </c>
      <c r="R3108" s="37">
        <v>0.88359999999999994</v>
      </c>
    </row>
    <row r="3109" spans="1:18" hidden="1">
      <c r="A3109" t="s">
        <v>76</v>
      </c>
      <c r="B3109" t="s">
        <v>45</v>
      </c>
      <c r="C3109">
        <v>11.25</v>
      </c>
      <c r="D3109">
        <v>5.75</v>
      </c>
      <c r="E3109" s="29">
        <v>1.956521739</v>
      </c>
      <c r="F3109">
        <v>8.02</v>
      </c>
      <c r="G3109">
        <v>0.78</v>
      </c>
      <c r="H3109">
        <v>8.8000000000000007</v>
      </c>
      <c r="I3109" s="29">
        <v>0.91139999999999999</v>
      </c>
      <c r="J3109" s="29">
        <v>1.2784</v>
      </c>
      <c r="K3109" s="9">
        <v>45370</v>
      </c>
      <c r="L3109">
        <f xml:space="preserve"> (交易處理資料__3[[#This Row],[售出工時]] * 60) / 5</f>
        <v>135</v>
      </c>
      <c r="M3109" t="str">
        <f>VLOOKUP(交易處理資料__3[[#This Row],[人員代號]],團隊分組!$B$1:$C$52,2,FALSE)</f>
        <v>快速保養團隊A</v>
      </c>
      <c r="N3109" t="str">
        <f>IF(交易處理資料__3[[#This Row],[上班時間]]=0,"否","是")</f>
        <v>是</v>
      </c>
      <c r="O3109" t="s">
        <v>76</v>
      </c>
      <c r="P3109" s="38">
        <v>1.956521739</v>
      </c>
      <c r="Q3109" s="38">
        <v>1.2784</v>
      </c>
      <c r="R3109" s="38">
        <v>0.91139999999999999</v>
      </c>
    </row>
    <row r="3110" spans="1:18" hidden="1">
      <c r="A3110" t="s">
        <v>76</v>
      </c>
      <c r="B3110" t="s">
        <v>46</v>
      </c>
      <c r="C3110">
        <v>0.83333333300000001</v>
      </c>
      <c r="D3110">
        <v>2.6</v>
      </c>
      <c r="E3110" s="29">
        <v>0.32051282049999996</v>
      </c>
      <c r="F3110">
        <v>6.64</v>
      </c>
      <c r="G3110">
        <v>1.5</v>
      </c>
      <c r="H3110">
        <v>8.14</v>
      </c>
      <c r="I3110" s="29">
        <v>0.81569999999999998</v>
      </c>
      <c r="J3110" s="29">
        <v>0.1024</v>
      </c>
      <c r="K3110" s="9">
        <v>45370</v>
      </c>
      <c r="L3110">
        <f xml:space="preserve"> (交易處理資料__3[[#This Row],[售出工時]] * 60) / 5</f>
        <v>9.9999999959999997</v>
      </c>
      <c r="M3110" t="str">
        <f>VLOOKUP(交易處理資料__3[[#This Row],[人員代號]],團隊分組!$B$1:$C$52,2,FALSE)</f>
        <v>查修團隊B</v>
      </c>
      <c r="N3110" t="str">
        <f>IF(交易處理資料__3[[#This Row],[上班時間]]=0,"否","是")</f>
        <v>是</v>
      </c>
      <c r="O3110" t="s">
        <v>76</v>
      </c>
      <c r="P3110" s="37">
        <v>0.32051282049999996</v>
      </c>
      <c r="Q3110" s="37">
        <v>0.1024</v>
      </c>
      <c r="R3110" s="37">
        <v>0.81569999999999998</v>
      </c>
    </row>
    <row r="3111" spans="1:18" hidden="1">
      <c r="A3111" t="s">
        <v>76</v>
      </c>
      <c r="B3111" t="s">
        <v>47</v>
      </c>
      <c r="C3111">
        <v>2.8333333330000001</v>
      </c>
      <c r="D3111">
        <v>5.04</v>
      </c>
      <c r="E3111" s="29">
        <v>0.56216931219999999</v>
      </c>
      <c r="F3111">
        <v>6.6</v>
      </c>
      <c r="G3111">
        <v>2.5499999999999998</v>
      </c>
      <c r="H3111">
        <v>9.15</v>
      </c>
      <c r="I3111" s="29">
        <v>0.72129999999999994</v>
      </c>
      <c r="J3111" s="29">
        <v>0.30969999999999998</v>
      </c>
      <c r="K3111" s="9">
        <v>45370</v>
      </c>
      <c r="L3111">
        <f xml:space="preserve"> (交易處理資料__3[[#This Row],[售出工時]] * 60) / 5</f>
        <v>33.999999996</v>
      </c>
      <c r="M3111" t="str">
        <f>VLOOKUP(交易處理資料__3[[#This Row],[人員代號]],團隊分組!$B$1:$C$52,2,FALSE)</f>
        <v>查修團隊B</v>
      </c>
      <c r="N3111" t="str">
        <f>IF(交易處理資料__3[[#This Row],[上班時間]]=0,"否","是")</f>
        <v>是</v>
      </c>
      <c r="O3111" t="s">
        <v>76</v>
      </c>
      <c r="P3111" s="38">
        <v>0.56216931219999999</v>
      </c>
      <c r="Q3111" s="38">
        <v>0.30969999999999998</v>
      </c>
      <c r="R3111" s="38">
        <v>0.72129999999999994</v>
      </c>
    </row>
    <row r="3112" spans="1:18" hidden="1">
      <c r="A3112" t="s">
        <v>76</v>
      </c>
      <c r="B3112" t="s">
        <v>48</v>
      </c>
      <c r="C3112">
        <v>0</v>
      </c>
      <c r="D3112">
        <v>0</v>
      </c>
      <c r="E3112" s="29">
        <v>0</v>
      </c>
      <c r="F3112">
        <v>3.98</v>
      </c>
      <c r="G3112">
        <v>4.07</v>
      </c>
      <c r="H3112">
        <v>8.0500000000000007</v>
      </c>
      <c r="I3112" s="29">
        <v>0.49439999999999995</v>
      </c>
      <c r="J3112" s="29">
        <v>0</v>
      </c>
      <c r="K3112" s="9">
        <v>45370</v>
      </c>
      <c r="L3112">
        <f xml:space="preserve"> (交易處理資料__3[[#This Row],[售出工時]] * 60) / 5</f>
        <v>0</v>
      </c>
      <c r="M3112" t="str">
        <f>VLOOKUP(交易處理資料__3[[#This Row],[人員代號]],團隊分組!$B$1:$C$52,2,FALSE)</f>
        <v>查修團隊A</v>
      </c>
      <c r="N3112" t="str">
        <f>IF(交易處理資料__3[[#This Row],[上班時間]]=0,"否","是")</f>
        <v>是</v>
      </c>
      <c r="O3112" t="s">
        <v>76</v>
      </c>
      <c r="P3112" s="37">
        <v>0</v>
      </c>
      <c r="Q3112" s="37">
        <v>0</v>
      </c>
      <c r="R3112" s="37">
        <v>0.49439999999999995</v>
      </c>
    </row>
    <row r="3113" spans="1:18" hidden="1">
      <c r="A3113" t="s">
        <v>76</v>
      </c>
      <c r="B3113" t="s">
        <v>49</v>
      </c>
      <c r="C3113">
        <v>6.1</v>
      </c>
      <c r="D3113">
        <v>6.55</v>
      </c>
      <c r="E3113" s="29">
        <v>0.93129770989999994</v>
      </c>
      <c r="F3113">
        <v>8.4499999999999993</v>
      </c>
      <c r="G3113">
        <v>0.61</v>
      </c>
      <c r="H3113">
        <v>9.06</v>
      </c>
      <c r="I3113" s="29">
        <v>0.93269999999999997</v>
      </c>
      <c r="J3113" s="29">
        <v>0.67330000000000001</v>
      </c>
      <c r="K3113" s="9">
        <v>45370</v>
      </c>
      <c r="L3113">
        <f xml:space="preserve"> (交易處理資料__3[[#This Row],[售出工時]] * 60) / 5</f>
        <v>73.2</v>
      </c>
      <c r="M3113" t="str">
        <f>VLOOKUP(交易處理資料__3[[#This Row],[人員代號]],團隊分組!$B$1:$C$52,2,FALSE)</f>
        <v>查修團隊A</v>
      </c>
      <c r="N3113" t="str">
        <f>IF(交易處理資料__3[[#This Row],[上班時間]]=0,"否","是")</f>
        <v>是</v>
      </c>
      <c r="O3113" t="s">
        <v>76</v>
      </c>
      <c r="P3113" s="38">
        <v>0.93129770989999994</v>
      </c>
      <c r="Q3113" s="38">
        <v>0.67330000000000001</v>
      </c>
      <c r="R3113" s="38">
        <v>0.93269999999999997</v>
      </c>
    </row>
    <row r="3114" spans="1:18" hidden="1">
      <c r="A3114" t="s">
        <v>76</v>
      </c>
      <c r="B3114" t="s">
        <v>50</v>
      </c>
      <c r="C3114">
        <v>9.5666666669999998</v>
      </c>
      <c r="D3114">
        <v>5.23</v>
      </c>
      <c r="E3114" s="29">
        <v>1.8291905669999999</v>
      </c>
      <c r="F3114">
        <v>7.89</v>
      </c>
      <c r="G3114">
        <v>0.83</v>
      </c>
      <c r="H3114">
        <v>8.7200000000000006</v>
      </c>
      <c r="I3114" s="29">
        <v>0.90480000000000005</v>
      </c>
      <c r="J3114" s="29">
        <v>1.0971</v>
      </c>
      <c r="K3114" s="9">
        <v>45370</v>
      </c>
      <c r="L3114">
        <f xml:space="preserve"> (交易處理資料__3[[#This Row],[售出工時]] * 60) / 5</f>
        <v>114.800000004</v>
      </c>
      <c r="M3114" t="str">
        <f>VLOOKUP(交易處理資料__3[[#This Row],[人員代號]],團隊分組!$B$1:$C$52,2,FALSE)</f>
        <v>快速保養團隊B</v>
      </c>
      <c r="N3114" t="str">
        <f>IF(交易處理資料__3[[#This Row],[上班時間]]=0,"否","是")</f>
        <v>是</v>
      </c>
      <c r="O3114" t="s">
        <v>76</v>
      </c>
      <c r="P3114" s="37">
        <v>1.8291905669999999</v>
      </c>
      <c r="Q3114" s="37">
        <v>1.0971</v>
      </c>
      <c r="R3114" s="37">
        <v>0.90480000000000005</v>
      </c>
    </row>
    <row r="3115" spans="1:18" hidden="1">
      <c r="A3115" t="s">
        <v>76</v>
      </c>
      <c r="B3115" t="s">
        <v>51</v>
      </c>
      <c r="C3115">
        <v>0</v>
      </c>
      <c r="D3115">
        <v>0</v>
      </c>
      <c r="E3115" s="29">
        <v>0</v>
      </c>
      <c r="F3115">
        <v>0</v>
      </c>
      <c r="G3115">
        <v>0</v>
      </c>
      <c r="H3115">
        <v>0</v>
      </c>
      <c r="I3115" s="29">
        <v>0</v>
      </c>
      <c r="J3115" s="29">
        <v>0</v>
      </c>
      <c r="K3115" s="9">
        <v>45370</v>
      </c>
      <c r="L3115">
        <f xml:space="preserve"> (交易處理資料__3[[#This Row],[售出工時]] * 60) / 5</f>
        <v>0</v>
      </c>
      <c r="M3115" t="str">
        <f>VLOOKUP(交易處理資料__3[[#This Row],[人員代號]],團隊分組!$B$1:$C$52,2,FALSE)</f>
        <v>無效數據</v>
      </c>
      <c r="N3115" t="str">
        <f>IF(交易處理資料__3[[#This Row],[上班時間]]=0,"否","是")</f>
        <v>否</v>
      </c>
      <c r="O3115" t="s">
        <v>76</v>
      </c>
      <c r="P3115" s="38">
        <v>0</v>
      </c>
      <c r="Q3115" s="38">
        <v>0</v>
      </c>
      <c r="R3115" s="38">
        <v>0</v>
      </c>
    </row>
    <row r="3116" spans="1:18" hidden="1">
      <c r="A3116" t="s">
        <v>76</v>
      </c>
      <c r="B3116" t="s">
        <v>52</v>
      </c>
      <c r="C3116">
        <v>4.6666666670000003</v>
      </c>
      <c r="D3116">
        <v>7.87</v>
      </c>
      <c r="E3116" s="29">
        <v>0.5929690809</v>
      </c>
      <c r="F3116">
        <v>7.19</v>
      </c>
      <c r="G3116">
        <v>0.82</v>
      </c>
      <c r="H3116">
        <v>8.01</v>
      </c>
      <c r="I3116" s="29">
        <v>0.89760000000000006</v>
      </c>
      <c r="J3116" s="29">
        <v>0.58260000000000001</v>
      </c>
      <c r="K3116" s="9">
        <v>45370</v>
      </c>
      <c r="L3116">
        <f xml:space="preserve"> (交易處理資料__3[[#This Row],[售出工時]] * 60) / 5</f>
        <v>56.000000004</v>
      </c>
      <c r="M3116" t="str">
        <f>VLOOKUP(交易處理資料__3[[#This Row],[人員代號]],團隊分組!$B$1:$C$52,2,FALSE)</f>
        <v>查修團隊B</v>
      </c>
      <c r="N3116" t="str">
        <f>IF(交易處理資料__3[[#This Row],[上班時間]]=0,"否","是")</f>
        <v>是</v>
      </c>
      <c r="O3116" t="s">
        <v>76</v>
      </c>
      <c r="P3116" s="37">
        <v>0.5929690809</v>
      </c>
      <c r="Q3116" s="37">
        <v>0.58260000000000001</v>
      </c>
      <c r="R3116" s="37">
        <v>0.89760000000000006</v>
      </c>
    </row>
    <row r="3117" spans="1:18" hidden="1">
      <c r="A3117" s="10" t="s">
        <v>74</v>
      </c>
      <c r="B3117" t="s">
        <v>1</v>
      </c>
      <c r="C3117">
        <v>0</v>
      </c>
      <c r="D3117">
        <v>0</v>
      </c>
      <c r="E3117" s="29">
        <v>0</v>
      </c>
      <c r="F3117">
        <v>7.5</v>
      </c>
      <c r="G3117">
        <v>0.47</v>
      </c>
      <c r="H3117">
        <v>7.97</v>
      </c>
      <c r="I3117" s="29">
        <v>0.94099999999999995</v>
      </c>
      <c r="J3117" s="29">
        <v>0</v>
      </c>
      <c r="K3117" s="9">
        <v>45371</v>
      </c>
      <c r="L3117">
        <f xml:space="preserve"> (交易處理資料__3[[#This Row],[售出工時]] * 60) / 5</f>
        <v>0</v>
      </c>
      <c r="M3117" t="str">
        <f>VLOOKUP(交易處理資料__3[[#This Row],[人員代號]],團隊分組!$B$1:$C$52,2,FALSE)</f>
        <v>噴漆維修組</v>
      </c>
      <c r="N3117" t="str">
        <f>IF(交易處理資料__3[[#This Row],[上班時間]]=0,"否","是")</f>
        <v>是</v>
      </c>
      <c r="O3117" s="10" t="s">
        <v>74</v>
      </c>
      <c r="P3117" s="38">
        <v>0</v>
      </c>
      <c r="Q3117" s="38">
        <v>0</v>
      </c>
      <c r="R3117" s="38">
        <v>0.94099999999999995</v>
      </c>
    </row>
    <row r="3118" spans="1:18" hidden="1">
      <c r="A3118" s="10" t="s">
        <v>74</v>
      </c>
      <c r="B3118" t="s">
        <v>2</v>
      </c>
      <c r="C3118">
        <v>0</v>
      </c>
      <c r="D3118">
        <v>0</v>
      </c>
      <c r="E3118" s="29">
        <v>0</v>
      </c>
      <c r="F3118">
        <v>7.99</v>
      </c>
      <c r="G3118">
        <v>0.08</v>
      </c>
      <c r="H3118">
        <v>8.07</v>
      </c>
      <c r="I3118" s="29">
        <v>0.99010000000000009</v>
      </c>
      <c r="J3118" s="29">
        <v>0</v>
      </c>
      <c r="K3118" s="9">
        <v>45371</v>
      </c>
      <c r="L3118">
        <f xml:space="preserve"> (交易處理資料__3[[#This Row],[售出工時]] * 60) / 5</f>
        <v>0</v>
      </c>
      <c r="M3118" t="str">
        <f>VLOOKUP(交易處理資料__3[[#This Row],[人員代號]],團隊分組!$B$1:$C$52,2,FALSE)</f>
        <v>噴漆維修組</v>
      </c>
      <c r="N3118" t="str">
        <f>IF(交易處理資料__3[[#This Row],[上班時間]]=0,"否","是")</f>
        <v>是</v>
      </c>
      <c r="O3118" s="10" t="s">
        <v>74</v>
      </c>
      <c r="P3118" s="37">
        <v>0</v>
      </c>
      <c r="Q3118" s="37">
        <v>0</v>
      </c>
      <c r="R3118" s="37">
        <v>0.99010000000000009</v>
      </c>
    </row>
    <row r="3119" spans="1:18" hidden="1">
      <c r="A3119" s="10" t="s">
        <v>74</v>
      </c>
      <c r="B3119" t="s">
        <v>3</v>
      </c>
      <c r="C3119">
        <v>1</v>
      </c>
      <c r="D3119">
        <v>0.08</v>
      </c>
      <c r="E3119" s="29">
        <v>12.5</v>
      </c>
      <c r="F3119">
        <v>7.99</v>
      </c>
      <c r="G3119">
        <v>0.08</v>
      </c>
      <c r="H3119">
        <v>8.07</v>
      </c>
      <c r="I3119" s="29">
        <v>0.99010000000000009</v>
      </c>
      <c r="J3119" s="29">
        <v>0.12390000000000001</v>
      </c>
      <c r="K3119" s="9">
        <v>45371</v>
      </c>
      <c r="L3119">
        <f xml:space="preserve"> (交易處理資料__3[[#This Row],[售出工時]] * 60) / 5</f>
        <v>12</v>
      </c>
      <c r="M3119" t="str">
        <f>VLOOKUP(交易處理資料__3[[#This Row],[人員代號]],團隊分組!$B$1:$C$52,2,FALSE)</f>
        <v>噴漆維修組</v>
      </c>
      <c r="N3119" t="str">
        <f>IF(交易處理資料__3[[#This Row],[上班時間]]=0,"否","是")</f>
        <v>是</v>
      </c>
      <c r="O3119" s="10" t="s">
        <v>74</v>
      </c>
      <c r="P3119" s="38">
        <v>12.5</v>
      </c>
      <c r="Q3119" s="38">
        <v>0.12390000000000001</v>
      </c>
      <c r="R3119" s="38">
        <v>0.99010000000000009</v>
      </c>
    </row>
    <row r="3120" spans="1:18" hidden="1">
      <c r="A3120" s="10" t="s">
        <v>74</v>
      </c>
      <c r="B3120" t="s">
        <v>4</v>
      </c>
      <c r="C3120">
        <v>0.92</v>
      </c>
      <c r="D3120">
        <v>1.24</v>
      </c>
      <c r="E3120" s="29">
        <v>0.74193548390000008</v>
      </c>
      <c r="F3120">
        <v>7.53</v>
      </c>
      <c r="G3120">
        <v>0.48</v>
      </c>
      <c r="H3120">
        <v>8.01</v>
      </c>
      <c r="I3120" s="29">
        <v>0.94010000000000005</v>
      </c>
      <c r="J3120" s="29">
        <v>0.1149</v>
      </c>
      <c r="K3120" s="9">
        <v>45371</v>
      </c>
      <c r="L3120">
        <f xml:space="preserve"> (交易處理資料__3[[#This Row],[售出工時]] * 60) / 5</f>
        <v>11.040000000000001</v>
      </c>
      <c r="M3120" t="str">
        <f>VLOOKUP(交易處理資料__3[[#This Row],[人員代號]],團隊分組!$B$1:$C$52,2,FALSE)</f>
        <v>噴漆維修組</v>
      </c>
      <c r="N3120" t="str">
        <f>IF(交易處理資料__3[[#This Row],[上班時間]]=0,"否","是")</f>
        <v>是</v>
      </c>
      <c r="O3120" s="10" t="s">
        <v>74</v>
      </c>
      <c r="P3120" s="37">
        <v>0.74193548390000008</v>
      </c>
      <c r="Q3120" s="37">
        <v>0.1149</v>
      </c>
      <c r="R3120" s="37">
        <v>0.94010000000000005</v>
      </c>
    </row>
    <row r="3121" spans="1:18" hidden="1">
      <c r="A3121" s="10" t="s">
        <v>74</v>
      </c>
      <c r="B3121" t="s">
        <v>6</v>
      </c>
      <c r="C3121">
        <v>0</v>
      </c>
      <c r="D3121">
        <v>0</v>
      </c>
      <c r="E3121" s="29">
        <v>0</v>
      </c>
      <c r="F3121">
        <v>7.99</v>
      </c>
      <c r="G3121">
        <v>0.08</v>
      </c>
      <c r="H3121">
        <v>8.07</v>
      </c>
      <c r="I3121" s="29">
        <v>0.99010000000000009</v>
      </c>
      <c r="J3121" s="29">
        <v>0</v>
      </c>
      <c r="K3121" s="9">
        <v>45371</v>
      </c>
      <c r="L3121">
        <f xml:space="preserve"> (交易處理資料__3[[#This Row],[售出工時]] * 60) / 5</f>
        <v>0</v>
      </c>
      <c r="M3121" t="str">
        <f>VLOOKUP(交易處理資料__3[[#This Row],[人員代號]],團隊分組!$B$1:$C$52,2,FALSE)</f>
        <v>噴漆維修組</v>
      </c>
      <c r="N3121" t="str">
        <f>IF(交易處理資料__3[[#This Row],[上班時間]]=0,"否","是")</f>
        <v>是</v>
      </c>
      <c r="O3121" s="10" t="s">
        <v>74</v>
      </c>
      <c r="P3121" s="38">
        <v>0</v>
      </c>
      <c r="Q3121" s="38">
        <v>0</v>
      </c>
      <c r="R3121" s="38">
        <v>0.99010000000000009</v>
      </c>
    </row>
    <row r="3122" spans="1:18" hidden="1">
      <c r="A3122" s="10" t="s">
        <v>74</v>
      </c>
      <c r="B3122" t="s">
        <v>8</v>
      </c>
      <c r="C3122">
        <v>3.9933333329999998</v>
      </c>
      <c r="D3122">
        <v>5.29</v>
      </c>
      <c r="E3122" s="29">
        <v>0.75488342790000007</v>
      </c>
      <c r="F3122">
        <v>7.54</v>
      </c>
      <c r="G3122">
        <v>0.47</v>
      </c>
      <c r="H3122">
        <v>8.01</v>
      </c>
      <c r="I3122" s="29">
        <v>0.94129999999999991</v>
      </c>
      <c r="J3122" s="29">
        <v>0.4985</v>
      </c>
      <c r="K3122" s="9">
        <v>45371</v>
      </c>
      <c r="L3122">
        <f xml:space="preserve"> (交易處理資料__3[[#This Row],[售出工時]] * 60) / 5</f>
        <v>47.919999995999994</v>
      </c>
      <c r="M3122" t="str">
        <f>VLOOKUP(交易處理資料__3[[#This Row],[人員代號]],團隊分組!$B$1:$C$52,2,FALSE)</f>
        <v>噴漆維修組</v>
      </c>
      <c r="N3122" t="str">
        <f>IF(交易處理資料__3[[#This Row],[上班時間]]=0,"否","是")</f>
        <v>是</v>
      </c>
      <c r="O3122" s="10" t="s">
        <v>74</v>
      </c>
      <c r="P3122" s="37">
        <v>0.75488342790000007</v>
      </c>
      <c r="Q3122" s="37">
        <v>0.4985</v>
      </c>
      <c r="R3122" s="37">
        <v>0.94129999999999991</v>
      </c>
    </row>
    <row r="3123" spans="1:18" hidden="1">
      <c r="A3123" s="10" t="s">
        <v>74</v>
      </c>
      <c r="B3123" t="s">
        <v>9</v>
      </c>
      <c r="C3123">
        <v>3.75</v>
      </c>
      <c r="D3123">
        <v>7.42</v>
      </c>
      <c r="E3123" s="29">
        <v>0.50539083559999998</v>
      </c>
      <c r="F3123">
        <v>7.6</v>
      </c>
      <c r="G3123">
        <v>0.47</v>
      </c>
      <c r="H3123">
        <v>8.07</v>
      </c>
      <c r="I3123" s="29">
        <v>0.94180000000000008</v>
      </c>
      <c r="J3123" s="29">
        <v>0.4647</v>
      </c>
      <c r="K3123" s="9">
        <v>45371</v>
      </c>
      <c r="L3123">
        <f xml:space="preserve"> (交易處理資料__3[[#This Row],[售出工時]] * 60) / 5</f>
        <v>45</v>
      </c>
      <c r="M3123" t="str">
        <f>VLOOKUP(交易處理資料__3[[#This Row],[人員代號]],團隊分組!$B$1:$C$52,2,FALSE)</f>
        <v>噴漆維修組</v>
      </c>
      <c r="N3123" t="str">
        <f>IF(交易處理資料__3[[#This Row],[上班時間]]=0,"否","是")</f>
        <v>是</v>
      </c>
      <c r="O3123" s="10" t="s">
        <v>74</v>
      </c>
      <c r="P3123" s="38">
        <v>0.50539083559999998</v>
      </c>
      <c r="Q3123" s="38">
        <v>0.4647</v>
      </c>
      <c r="R3123" s="38">
        <v>0.94180000000000008</v>
      </c>
    </row>
    <row r="3124" spans="1:18" hidden="1">
      <c r="A3124" t="s">
        <v>75</v>
      </c>
      <c r="B3124" t="s">
        <v>11</v>
      </c>
      <c r="C3124">
        <v>9.25</v>
      </c>
      <c r="D3124">
        <v>4.5199999999999996</v>
      </c>
      <c r="E3124" s="29">
        <v>2.0464601769999997</v>
      </c>
      <c r="F3124">
        <v>4.55</v>
      </c>
      <c r="G3124">
        <v>3.49</v>
      </c>
      <c r="H3124">
        <v>8.0399999999999991</v>
      </c>
      <c r="I3124" s="29">
        <v>0.56590000000000007</v>
      </c>
      <c r="J3124" s="29">
        <v>1.1505000000000001</v>
      </c>
      <c r="K3124" s="9">
        <v>45371</v>
      </c>
      <c r="L3124">
        <f xml:space="preserve"> (交易處理資料__3[[#This Row],[售出工時]] * 60) / 5</f>
        <v>111</v>
      </c>
      <c r="M3124" t="str">
        <f>VLOOKUP(交易處理資料__3[[#This Row],[人員代號]],團隊分組!$B$1:$C$52,2,FALSE)</f>
        <v>鈑金維修組</v>
      </c>
      <c r="N3124" t="str">
        <f>IF(交易處理資料__3[[#This Row],[上班時間]]=0,"否","是")</f>
        <v>是</v>
      </c>
      <c r="O3124" t="s">
        <v>75</v>
      </c>
      <c r="P3124" s="37">
        <v>2.0464601769999997</v>
      </c>
      <c r="Q3124" s="37">
        <v>1.1505000000000001</v>
      </c>
      <c r="R3124" s="37">
        <v>0.56590000000000007</v>
      </c>
    </row>
    <row r="3125" spans="1:18" hidden="1">
      <c r="A3125" t="s">
        <v>75</v>
      </c>
      <c r="B3125" t="s">
        <v>14</v>
      </c>
      <c r="C3125">
        <v>1.153333333</v>
      </c>
      <c r="D3125">
        <v>4.75</v>
      </c>
      <c r="E3125" s="29">
        <v>0.2428070175</v>
      </c>
      <c r="F3125">
        <v>7.67</v>
      </c>
      <c r="G3125">
        <v>0.4</v>
      </c>
      <c r="H3125">
        <v>8.07</v>
      </c>
      <c r="I3125" s="29">
        <v>0.95040000000000002</v>
      </c>
      <c r="J3125" s="29">
        <v>0.1429</v>
      </c>
      <c r="K3125" s="9">
        <v>45371</v>
      </c>
      <c r="L3125">
        <f xml:space="preserve"> (交易處理資料__3[[#This Row],[售出工時]] * 60) / 5</f>
        <v>13.839999996</v>
      </c>
      <c r="M3125" t="str">
        <f>VLOOKUP(交易處理資料__3[[#This Row],[人員代號]],團隊分組!$B$1:$C$52,2,FALSE)</f>
        <v>鈑金維修組</v>
      </c>
      <c r="N3125" t="str">
        <f>IF(交易處理資料__3[[#This Row],[上班時間]]=0,"否","是")</f>
        <v>是</v>
      </c>
      <c r="O3125" t="s">
        <v>75</v>
      </c>
      <c r="P3125" s="38">
        <v>0.2428070175</v>
      </c>
      <c r="Q3125" s="38">
        <v>0.1429</v>
      </c>
      <c r="R3125" s="38">
        <v>0.95040000000000002</v>
      </c>
    </row>
    <row r="3126" spans="1:18" hidden="1">
      <c r="A3126" t="s">
        <v>76</v>
      </c>
      <c r="B3126" t="s">
        <v>17</v>
      </c>
      <c r="C3126">
        <v>10.58333333</v>
      </c>
      <c r="D3126">
        <v>4.8499999999999996</v>
      </c>
      <c r="E3126" s="29">
        <v>2.1821305839999998</v>
      </c>
      <c r="F3126">
        <v>7.49</v>
      </c>
      <c r="G3126">
        <v>0.49</v>
      </c>
      <c r="H3126">
        <v>7.98</v>
      </c>
      <c r="I3126" s="29">
        <v>0.93859999999999999</v>
      </c>
      <c r="J3126" s="29">
        <v>1.3262</v>
      </c>
      <c r="K3126" s="9">
        <v>45371</v>
      </c>
      <c r="L3126">
        <f xml:space="preserve"> (交易處理資料__3[[#This Row],[售出工時]] * 60) / 5</f>
        <v>126.99999996000001</v>
      </c>
      <c r="M3126" t="str">
        <f>VLOOKUP(交易處理資料__3[[#This Row],[人員代號]],團隊分組!$B$1:$C$52,2,FALSE)</f>
        <v>快速保養團隊A</v>
      </c>
      <c r="N3126" t="str">
        <f>IF(交易處理資料__3[[#This Row],[上班時間]]=0,"否","是")</f>
        <v>是</v>
      </c>
      <c r="O3126" t="s">
        <v>76</v>
      </c>
      <c r="P3126" s="37">
        <v>2.1821305839999998</v>
      </c>
      <c r="Q3126" s="37">
        <v>1.3262</v>
      </c>
      <c r="R3126" s="37">
        <v>0.93859999999999999</v>
      </c>
    </row>
    <row r="3127" spans="1:18" hidden="1">
      <c r="A3127" t="s">
        <v>76</v>
      </c>
      <c r="B3127" t="s">
        <v>19</v>
      </c>
      <c r="C3127">
        <v>0</v>
      </c>
      <c r="D3127">
        <v>0</v>
      </c>
      <c r="E3127" s="29">
        <v>0</v>
      </c>
      <c r="F3127">
        <v>0</v>
      </c>
      <c r="G3127">
        <v>0</v>
      </c>
      <c r="H3127">
        <v>0</v>
      </c>
      <c r="I3127" s="29">
        <v>0</v>
      </c>
      <c r="J3127" s="29">
        <v>0</v>
      </c>
      <c r="K3127" s="9">
        <v>45371</v>
      </c>
      <c r="L3127">
        <f xml:space="preserve"> (交易處理資料__3[[#This Row],[售出工時]] * 60) / 5</f>
        <v>0</v>
      </c>
      <c r="M3127" t="str">
        <f>VLOOKUP(交易處理資料__3[[#This Row],[人員代號]],團隊分組!$B$1:$C$52,2,FALSE)</f>
        <v>查修團隊A</v>
      </c>
      <c r="N3127" t="str">
        <f>IF(交易處理資料__3[[#This Row],[上班時間]]=0,"否","是")</f>
        <v>否</v>
      </c>
      <c r="O3127" t="s">
        <v>76</v>
      </c>
      <c r="P3127" s="38">
        <v>0</v>
      </c>
      <c r="Q3127" s="38">
        <v>0</v>
      </c>
      <c r="R3127" s="38">
        <v>0</v>
      </c>
    </row>
    <row r="3128" spans="1:18" hidden="1">
      <c r="A3128" t="s">
        <v>76</v>
      </c>
      <c r="B3128" t="s">
        <v>20</v>
      </c>
      <c r="C3128">
        <v>1</v>
      </c>
      <c r="D3128">
        <v>0.97</v>
      </c>
      <c r="E3128" s="29">
        <v>1.030927835</v>
      </c>
      <c r="F3128">
        <v>6.26</v>
      </c>
      <c r="G3128">
        <v>1.8</v>
      </c>
      <c r="H3128">
        <v>8.06</v>
      </c>
      <c r="I3128" s="29">
        <v>0.77670000000000006</v>
      </c>
      <c r="J3128" s="29">
        <v>0.1241</v>
      </c>
      <c r="K3128" s="9">
        <v>45371</v>
      </c>
      <c r="L3128">
        <f xml:space="preserve"> (交易處理資料__3[[#This Row],[售出工時]] * 60) / 5</f>
        <v>12</v>
      </c>
      <c r="M3128" t="str">
        <f>VLOOKUP(交易處理資料__3[[#This Row],[人員代號]],團隊分組!$B$1:$C$52,2,FALSE)</f>
        <v>查修團隊B</v>
      </c>
      <c r="N3128" t="str">
        <f>IF(交易處理資料__3[[#This Row],[上班時間]]=0,"否","是")</f>
        <v>是</v>
      </c>
      <c r="O3128" t="s">
        <v>76</v>
      </c>
      <c r="P3128" s="37">
        <v>1.030927835</v>
      </c>
      <c r="Q3128" s="37">
        <v>0.1241</v>
      </c>
      <c r="R3128" s="37">
        <v>0.77670000000000006</v>
      </c>
    </row>
    <row r="3129" spans="1:18" hidden="1">
      <c r="A3129" t="s">
        <v>76</v>
      </c>
      <c r="B3129" t="s">
        <v>21</v>
      </c>
      <c r="C3129">
        <v>2.1666666669999999</v>
      </c>
      <c r="D3129">
        <v>2.46</v>
      </c>
      <c r="E3129" s="29">
        <v>0.88075880760000003</v>
      </c>
      <c r="F3129">
        <v>7.54</v>
      </c>
      <c r="G3129">
        <v>0.53</v>
      </c>
      <c r="H3129">
        <v>8.07</v>
      </c>
      <c r="I3129" s="29">
        <v>0.93430000000000002</v>
      </c>
      <c r="J3129" s="29">
        <v>0.26850000000000002</v>
      </c>
      <c r="K3129" s="9">
        <v>45371</v>
      </c>
      <c r="L3129">
        <f xml:space="preserve"> (交易處理資料__3[[#This Row],[售出工時]] * 60) / 5</f>
        <v>26.000000003999997</v>
      </c>
      <c r="M3129" t="str">
        <f>VLOOKUP(交易處理資料__3[[#This Row],[人員代號]],團隊分組!$B$1:$C$52,2,FALSE)</f>
        <v>查修團隊B</v>
      </c>
      <c r="N3129" t="str">
        <f>IF(交易處理資料__3[[#This Row],[上班時間]]=0,"否","是")</f>
        <v>是</v>
      </c>
      <c r="O3129" t="s">
        <v>76</v>
      </c>
      <c r="P3129" s="38">
        <v>0.88075880760000003</v>
      </c>
      <c r="Q3129" s="38">
        <v>0.26850000000000002</v>
      </c>
      <c r="R3129" s="38">
        <v>0.93430000000000002</v>
      </c>
    </row>
    <row r="3130" spans="1:18" hidden="1">
      <c r="A3130" t="s">
        <v>76</v>
      </c>
      <c r="B3130" t="s">
        <v>23</v>
      </c>
      <c r="C3130">
        <v>4.1866666669999999</v>
      </c>
      <c r="D3130">
        <v>2.12</v>
      </c>
      <c r="E3130" s="29">
        <v>1.9748427670000002</v>
      </c>
      <c r="F3130">
        <v>9.68</v>
      </c>
      <c r="G3130">
        <v>0.5</v>
      </c>
      <c r="H3130">
        <v>10.18</v>
      </c>
      <c r="I3130" s="29">
        <v>0.95090000000000008</v>
      </c>
      <c r="J3130" s="29">
        <v>0.4113</v>
      </c>
      <c r="K3130" s="9">
        <v>45371</v>
      </c>
      <c r="L3130">
        <f xml:space="preserve"> (交易處理資料__3[[#This Row],[售出工時]] * 60) / 5</f>
        <v>50.240000004000002</v>
      </c>
      <c r="M3130" t="str">
        <f>VLOOKUP(交易處理資料__3[[#This Row],[人員代號]],團隊分組!$B$1:$C$52,2,FALSE)</f>
        <v>快速保養團隊B</v>
      </c>
      <c r="N3130" t="str">
        <f>IF(交易處理資料__3[[#This Row],[上班時間]]=0,"否","是")</f>
        <v>是</v>
      </c>
      <c r="O3130" t="s">
        <v>76</v>
      </c>
      <c r="P3130" s="37">
        <v>1.9748427670000002</v>
      </c>
      <c r="Q3130" s="37">
        <v>0.4113</v>
      </c>
      <c r="R3130" s="37">
        <v>0.95090000000000008</v>
      </c>
    </row>
    <row r="3131" spans="1:18" hidden="1">
      <c r="A3131" t="s">
        <v>76</v>
      </c>
      <c r="B3131" t="s">
        <v>25</v>
      </c>
      <c r="C3131">
        <v>5.09</v>
      </c>
      <c r="D3131">
        <v>5.66</v>
      </c>
      <c r="E3131" s="29">
        <v>0.89929328620000004</v>
      </c>
      <c r="F3131">
        <v>6.55</v>
      </c>
      <c r="G3131">
        <v>1.36</v>
      </c>
      <c r="H3131">
        <v>7.91</v>
      </c>
      <c r="I3131" s="29">
        <v>0.82810000000000006</v>
      </c>
      <c r="J3131" s="29">
        <v>0.64349999999999996</v>
      </c>
      <c r="K3131" s="9">
        <v>45371</v>
      </c>
      <c r="L3131">
        <f xml:space="preserve"> (交易處理資料__3[[#This Row],[售出工時]] * 60) / 5</f>
        <v>61.08</v>
      </c>
      <c r="M3131" t="str">
        <f>VLOOKUP(交易處理資料__3[[#This Row],[人員代號]],團隊分組!$B$1:$C$52,2,FALSE)</f>
        <v>查修團隊A</v>
      </c>
      <c r="N3131" t="str">
        <f>IF(交易處理資料__3[[#This Row],[上班時間]]=0,"否","是")</f>
        <v>是</v>
      </c>
      <c r="O3131" t="s">
        <v>76</v>
      </c>
      <c r="P3131" s="38">
        <v>0.89929328620000004</v>
      </c>
      <c r="Q3131" s="38">
        <v>0.64349999999999996</v>
      </c>
      <c r="R3131" s="38">
        <v>0.82810000000000006</v>
      </c>
    </row>
    <row r="3132" spans="1:18" hidden="1">
      <c r="A3132" t="s">
        <v>76</v>
      </c>
      <c r="B3132" t="s">
        <v>26</v>
      </c>
      <c r="C3132">
        <v>1</v>
      </c>
      <c r="D3132">
        <v>0.27</v>
      </c>
      <c r="E3132" s="29">
        <v>3.703703704</v>
      </c>
      <c r="F3132">
        <v>7.27</v>
      </c>
      <c r="G3132">
        <v>0.85</v>
      </c>
      <c r="H3132">
        <v>8.1199999999999992</v>
      </c>
      <c r="I3132" s="29">
        <v>0.89529999999999998</v>
      </c>
      <c r="J3132" s="29">
        <v>0.1232</v>
      </c>
      <c r="K3132" s="9">
        <v>45371</v>
      </c>
      <c r="L3132">
        <f xml:space="preserve"> (交易處理資料__3[[#This Row],[售出工時]] * 60) / 5</f>
        <v>12</v>
      </c>
      <c r="M3132" t="str">
        <f>VLOOKUP(交易處理資料__3[[#This Row],[人員代號]],團隊分組!$B$1:$C$52,2,FALSE)</f>
        <v>查修團隊B</v>
      </c>
      <c r="N3132" t="str">
        <f>IF(交易處理資料__3[[#This Row],[上班時間]]=0,"否","是")</f>
        <v>是</v>
      </c>
      <c r="O3132" t="s">
        <v>76</v>
      </c>
      <c r="P3132" s="37">
        <v>3.703703704</v>
      </c>
      <c r="Q3132" s="37">
        <v>0.1232</v>
      </c>
      <c r="R3132" s="37">
        <v>0.89529999999999998</v>
      </c>
    </row>
    <row r="3133" spans="1:18" hidden="1">
      <c r="A3133" t="s">
        <v>76</v>
      </c>
      <c r="B3133" t="s">
        <v>27</v>
      </c>
      <c r="C3133">
        <v>6.2966666670000002</v>
      </c>
      <c r="D3133">
        <v>7.62</v>
      </c>
      <c r="E3133" s="29">
        <v>0.82633420820000003</v>
      </c>
      <c r="F3133">
        <v>9.93</v>
      </c>
      <c r="G3133">
        <v>0.1</v>
      </c>
      <c r="H3133">
        <v>10.029999999999999</v>
      </c>
      <c r="I3133" s="29">
        <v>0.99</v>
      </c>
      <c r="J3133" s="29">
        <v>0.62780000000000002</v>
      </c>
      <c r="K3133" s="9">
        <v>45371</v>
      </c>
      <c r="L3133">
        <f xml:space="preserve"> (交易處理資料__3[[#This Row],[售出工時]] * 60) / 5</f>
        <v>75.560000004000003</v>
      </c>
      <c r="M3133" t="str">
        <f>VLOOKUP(交易處理資料__3[[#This Row],[人員代號]],團隊分組!$B$1:$C$52,2,FALSE)</f>
        <v>快速保養團隊B</v>
      </c>
      <c r="N3133" t="str">
        <f>IF(交易處理資料__3[[#This Row],[上班時間]]=0,"否","是")</f>
        <v>是</v>
      </c>
      <c r="O3133" t="s">
        <v>76</v>
      </c>
      <c r="P3133" s="38">
        <v>0.82633420820000003</v>
      </c>
      <c r="Q3133" s="38">
        <v>0.62780000000000002</v>
      </c>
      <c r="R3133" s="38">
        <v>0.99</v>
      </c>
    </row>
    <row r="3134" spans="1:18" hidden="1">
      <c r="A3134" t="s">
        <v>76</v>
      </c>
      <c r="B3134" t="s">
        <v>28</v>
      </c>
      <c r="C3134">
        <v>6.8033333330000003</v>
      </c>
      <c r="D3134">
        <v>7.13</v>
      </c>
      <c r="E3134" s="29">
        <v>0.9541841982</v>
      </c>
      <c r="F3134">
        <v>7.33</v>
      </c>
      <c r="G3134">
        <v>0.66</v>
      </c>
      <c r="H3134">
        <v>7.99</v>
      </c>
      <c r="I3134" s="29">
        <v>0.91739999999999999</v>
      </c>
      <c r="J3134" s="29">
        <v>0.85150000000000003</v>
      </c>
      <c r="K3134" s="9">
        <v>45371</v>
      </c>
      <c r="L3134">
        <f xml:space="preserve"> (交易處理資料__3[[#This Row],[售出工時]] * 60) / 5</f>
        <v>81.639999996</v>
      </c>
      <c r="M3134" t="str">
        <f>VLOOKUP(交易處理資料__3[[#This Row],[人員代號]],團隊分組!$B$1:$C$52,2,FALSE)</f>
        <v>快速保養團隊A</v>
      </c>
      <c r="N3134" t="str">
        <f>IF(交易處理資料__3[[#This Row],[上班時間]]=0,"否","是")</f>
        <v>是</v>
      </c>
      <c r="O3134" t="s">
        <v>76</v>
      </c>
      <c r="P3134" s="37">
        <v>0.9541841982</v>
      </c>
      <c r="Q3134" s="37">
        <v>0.85150000000000003</v>
      </c>
      <c r="R3134" s="37">
        <v>0.91739999999999999</v>
      </c>
    </row>
    <row r="3135" spans="1:18" hidden="1">
      <c r="A3135" t="s">
        <v>76</v>
      </c>
      <c r="B3135" t="s">
        <v>29</v>
      </c>
      <c r="C3135">
        <v>0</v>
      </c>
      <c r="D3135">
        <v>0</v>
      </c>
      <c r="E3135" s="29">
        <v>0</v>
      </c>
      <c r="F3135">
        <v>7.74</v>
      </c>
      <c r="G3135">
        <v>0.26</v>
      </c>
      <c r="H3135">
        <v>8</v>
      </c>
      <c r="I3135" s="29">
        <v>0.96750000000000003</v>
      </c>
      <c r="J3135" s="29">
        <v>0</v>
      </c>
      <c r="K3135" s="9">
        <v>45371</v>
      </c>
      <c r="L3135">
        <f xml:space="preserve"> (交易處理資料__3[[#This Row],[售出工時]] * 60) / 5</f>
        <v>0</v>
      </c>
      <c r="M3135" t="str">
        <f>VLOOKUP(交易處理資料__3[[#This Row],[人員代號]],團隊分組!$B$1:$C$52,2,FALSE)</f>
        <v>查修團隊B</v>
      </c>
      <c r="N3135" t="str">
        <f>IF(交易處理資料__3[[#This Row],[上班時間]]=0,"否","是")</f>
        <v>是</v>
      </c>
      <c r="O3135" t="s">
        <v>76</v>
      </c>
      <c r="P3135" s="38">
        <v>0</v>
      </c>
      <c r="Q3135" s="38">
        <v>0</v>
      </c>
      <c r="R3135" s="38">
        <v>0.96750000000000003</v>
      </c>
    </row>
    <row r="3136" spans="1:18" hidden="1">
      <c r="A3136" t="s">
        <v>76</v>
      </c>
      <c r="B3136" t="s">
        <v>32</v>
      </c>
      <c r="C3136">
        <v>1.5833333329999999</v>
      </c>
      <c r="D3136">
        <v>2.2200000000000002</v>
      </c>
      <c r="E3136" s="29">
        <v>0.71321321319999997</v>
      </c>
      <c r="F3136">
        <v>6.91</v>
      </c>
      <c r="G3136">
        <v>0.87</v>
      </c>
      <c r="H3136">
        <v>7.78</v>
      </c>
      <c r="I3136" s="29">
        <v>0.88819999999999988</v>
      </c>
      <c r="J3136" s="29">
        <v>0.20350000000000001</v>
      </c>
      <c r="K3136" s="9">
        <v>45371</v>
      </c>
      <c r="L3136">
        <f xml:space="preserve"> (交易處理資料__3[[#This Row],[售出工時]] * 60) / 5</f>
        <v>18.999999996</v>
      </c>
      <c r="M3136" t="str">
        <f>VLOOKUP(交易處理資料__3[[#This Row],[人員代號]],團隊分組!$B$1:$C$52,2,FALSE)</f>
        <v>快速保養團隊B</v>
      </c>
      <c r="N3136" t="str">
        <f>IF(交易處理資料__3[[#This Row],[上班時間]]=0,"否","是")</f>
        <v>是</v>
      </c>
      <c r="O3136" t="s">
        <v>76</v>
      </c>
      <c r="P3136" s="37">
        <v>0.71321321319999997</v>
      </c>
      <c r="Q3136" s="37">
        <v>0.20350000000000001</v>
      </c>
      <c r="R3136" s="37">
        <v>0.88819999999999988</v>
      </c>
    </row>
    <row r="3137" spans="1:18" hidden="1">
      <c r="A3137" t="s">
        <v>76</v>
      </c>
      <c r="B3137" t="s">
        <v>33</v>
      </c>
      <c r="C3137">
        <v>1.973333333</v>
      </c>
      <c r="D3137">
        <v>3.85</v>
      </c>
      <c r="E3137" s="29">
        <v>0.51255411260000006</v>
      </c>
      <c r="F3137">
        <v>9.17</v>
      </c>
      <c r="G3137">
        <v>0.87</v>
      </c>
      <c r="H3137">
        <v>10.039999999999999</v>
      </c>
      <c r="I3137" s="29">
        <v>0.9133</v>
      </c>
      <c r="J3137" s="29">
        <v>0.19649999999999998</v>
      </c>
      <c r="K3137" s="9">
        <v>45371</v>
      </c>
      <c r="L3137">
        <f xml:space="preserve"> (交易處理資料__3[[#This Row],[售出工時]] * 60) / 5</f>
        <v>23.679999995999999</v>
      </c>
      <c r="M3137" t="str">
        <f>VLOOKUP(交易處理資料__3[[#This Row],[人員代號]],團隊分組!$B$1:$C$52,2,FALSE)</f>
        <v>快速保養團隊B</v>
      </c>
      <c r="N3137" t="str">
        <f>IF(交易處理資料__3[[#This Row],[上班時間]]=0,"否","是")</f>
        <v>是</v>
      </c>
      <c r="O3137" t="s">
        <v>76</v>
      </c>
      <c r="P3137" s="38">
        <v>0.51255411260000006</v>
      </c>
      <c r="Q3137" s="38">
        <v>0.19649999999999998</v>
      </c>
      <c r="R3137" s="38">
        <v>0.9133</v>
      </c>
    </row>
    <row r="3138" spans="1:18" hidden="1">
      <c r="A3138" t="s">
        <v>76</v>
      </c>
      <c r="B3138" t="s">
        <v>34</v>
      </c>
      <c r="C3138">
        <v>7.6666666670000003</v>
      </c>
      <c r="D3138">
        <v>7.4</v>
      </c>
      <c r="E3138" s="29">
        <v>1.036036036</v>
      </c>
      <c r="F3138">
        <v>7.23</v>
      </c>
      <c r="G3138">
        <v>0.96</v>
      </c>
      <c r="H3138">
        <v>8.19</v>
      </c>
      <c r="I3138" s="29">
        <v>0.88280000000000003</v>
      </c>
      <c r="J3138" s="29">
        <v>0.93610000000000004</v>
      </c>
      <c r="K3138" s="9">
        <v>45371</v>
      </c>
      <c r="L3138">
        <f xml:space="preserve"> (交易處理資料__3[[#This Row],[售出工時]] * 60) / 5</f>
        <v>92.000000004</v>
      </c>
      <c r="M3138" t="str">
        <f>VLOOKUP(交易處理資料__3[[#This Row],[人員代號]],團隊分組!$B$1:$C$52,2,FALSE)</f>
        <v>快速保養團隊A</v>
      </c>
      <c r="N3138" t="str">
        <f>IF(交易處理資料__3[[#This Row],[上班時間]]=0,"否","是")</f>
        <v>是</v>
      </c>
      <c r="O3138" t="s">
        <v>76</v>
      </c>
      <c r="P3138" s="37">
        <v>1.036036036</v>
      </c>
      <c r="Q3138" s="37">
        <v>0.93610000000000004</v>
      </c>
      <c r="R3138" s="37">
        <v>0.88280000000000003</v>
      </c>
    </row>
    <row r="3139" spans="1:18" hidden="1">
      <c r="A3139" t="s">
        <v>76</v>
      </c>
      <c r="B3139" t="s">
        <v>35</v>
      </c>
      <c r="C3139">
        <v>2.99</v>
      </c>
      <c r="D3139">
        <v>3.17</v>
      </c>
      <c r="E3139" s="29">
        <v>0.94321766559999998</v>
      </c>
      <c r="F3139">
        <v>7</v>
      </c>
      <c r="G3139">
        <v>1.1100000000000001</v>
      </c>
      <c r="H3139">
        <v>8.11</v>
      </c>
      <c r="I3139" s="29">
        <v>0.86309999999999998</v>
      </c>
      <c r="J3139" s="29">
        <v>0.36869999999999997</v>
      </c>
      <c r="K3139" s="9">
        <v>45371</v>
      </c>
      <c r="L3139">
        <f xml:space="preserve"> (交易處理資料__3[[#This Row],[售出工時]] * 60) / 5</f>
        <v>35.880000000000003</v>
      </c>
      <c r="M3139" t="str">
        <f>VLOOKUP(交易處理資料__3[[#This Row],[人員代號]],團隊分組!$B$1:$C$52,2,FALSE)</f>
        <v>查修團隊B</v>
      </c>
      <c r="N3139" t="str">
        <f>IF(交易處理資料__3[[#This Row],[上班時間]]=0,"否","是")</f>
        <v>是</v>
      </c>
      <c r="O3139" t="s">
        <v>76</v>
      </c>
      <c r="P3139" s="38">
        <v>0.94321766559999998</v>
      </c>
      <c r="Q3139" s="38">
        <v>0.36869999999999997</v>
      </c>
      <c r="R3139" s="38">
        <v>0.86309999999999998</v>
      </c>
    </row>
    <row r="3140" spans="1:18" hidden="1">
      <c r="A3140" t="s">
        <v>76</v>
      </c>
      <c r="B3140" t="s">
        <v>36</v>
      </c>
      <c r="C3140">
        <v>0</v>
      </c>
      <c r="D3140">
        <v>0</v>
      </c>
      <c r="E3140" s="29">
        <v>0</v>
      </c>
      <c r="F3140">
        <v>9.1199999999999992</v>
      </c>
      <c r="G3140">
        <v>0.86</v>
      </c>
      <c r="H3140">
        <v>9.98</v>
      </c>
      <c r="I3140" s="29">
        <v>0.91379999999999995</v>
      </c>
      <c r="J3140" s="29">
        <v>0</v>
      </c>
      <c r="K3140" s="9">
        <v>45371</v>
      </c>
      <c r="L3140">
        <f xml:space="preserve"> (交易處理資料__3[[#This Row],[售出工時]] * 60) / 5</f>
        <v>0</v>
      </c>
      <c r="M3140" t="str">
        <f>VLOOKUP(交易處理資料__3[[#This Row],[人員代號]],團隊分組!$B$1:$C$52,2,FALSE)</f>
        <v>查修團隊B</v>
      </c>
      <c r="N3140" t="str">
        <f>IF(交易處理資料__3[[#This Row],[上班時間]]=0,"否","是")</f>
        <v>是</v>
      </c>
      <c r="O3140" t="s">
        <v>76</v>
      </c>
      <c r="P3140" s="37">
        <v>0</v>
      </c>
      <c r="Q3140" s="37">
        <v>0</v>
      </c>
      <c r="R3140" s="37">
        <v>0.91379999999999995</v>
      </c>
    </row>
    <row r="3141" spans="1:18" hidden="1">
      <c r="A3141" t="s">
        <v>76</v>
      </c>
      <c r="B3141" t="s">
        <v>38</v>
      </c>
      <c r="C3141">
        <v>10.16666667</v>
      </c>
      <c r="D3141">
        <v>5.62</v>
      </c>
      <c r="E3141" s="29">
        <v>1.809015421</v>
      </c>
      <c r="F3141">
        <v>9.14</v>
      </c>
      <c r="G3141">
        <v>1.03</v>
      </c>
      <c r="H3141">
        <v>10.17</v>
      </c>
      <c r="I3141" s="29">
        <v>0.89870000000000005</v>
      </c>
      <c r="J3141" s="29">
        <v>0.99970000000000003</v>
      </c>
      <c r="K3141" s="9">
        <v>45371</v>
      </c>
      <c r="L3141">
        <f xml:space="preserve"> (交易處理資料__3[[#This Row],[售出工時]] * 60) / 5</f>
        <v>122.00000003999999</v>
      </c>
      <c r="M3141" t="str">
        <f>VLOOKUP(交易處理資料__3[[#This Row],[人員代號]],團隊分組!$B$1:$C$52,2,FALSE)</f>
        <v>快速保養團隊A</v>
      </c>
      <c r="N3141" t="str">
        <f>IF(交易處理資料__3[[#This Row],[上班時間]]=0,"否","是")</f>
        <v>是</v>
      </c>
      <c r="O3141" t="s">
        <v>76</v>
      </c>
      <c r="P3141" s="38">
        <v>1.809015421</v>
      </c>
      <c r="Q3141" s="38">
        <v>0.99970000000000003</v>
      </c>
      <c r="R3141" s="38">
        <v>0.89870000000000005</v>
      </c>
    </row>
    <row r="3142" spans="1:18" hidden="1">
      <c r="A3142" t="s">
        <v>76</v>
      </c>
      <c r="B3142" t="s">
        <v>41</v>
      </c>
      <c r="C3142">
        <v>10</v>
      </c>
      <c r="D3142">
        <v>6.2</v>
      </c>
      <c r="E3142" s="29">
        <v>1.612903226</v>
      </c>
      <c r="F3142">
        <v>9.06</v>
      </c>
      <c r="G3142">
        <v>0.6</v>
      </c>
      <c r="H3142">
        <v>9.66</v>
      </c>
      <c r="I3142" s="29">
        <v>0.93790000000000007</v>
      </c>
      <c r="J3142" s="29">
        <v>1.0351999999999999</v>
      </c>
      <c r="K3142" s="9">
        <v>45371</v>
      </c>
      <c r="L3142">
        <f xml:space="preserve"> (交易處理資料__3[[#This Row],[售出工時]] * 60) / 5</f>
        <v>120</v>
      </c>
      <c r="M3142" t="str">
        <f>VLOOKUP(交易處理資料__3[[#This Row],[人員代號]],團隊分組!$B$1:$C$52,2,FALSE)</f>
        <v>快速保養團隊A</v>
      </c>
      <c r="N3142" t="str">
        <f>IF(交易處理資料__3[[#This Row],[上班時間]]=0,"否","是")</f>
        <v>是</v>
      </c>
      <c r="O3142" t="s">
        <v>76</v>
      </c>
      <c r="P3142" s="37">
        <v>1.612903226</v>
      </c>
      <c r="Q3142" s="37">
        <v>1.0351999999999999</v>
      </c>
      <c r="R3142" s="37">
        <v>0.93790000000000007</v>
      </c>
    </row>
    <row r="3143" spans="1:18" hidden="1">
      <c r="A3143" t="s">
        <v>76</v>
      </c>
      <c r="B3143" t="s">
        <v>42</v>
      </c>
      <c r="C3143">
        <v>11.16666667</v>
      </c>
      <c r="D3143">
        <v>6.86</v>
      </c>
      <c r="E3143" s="29">
        <v>1.6277939749999999</v>
      </c>
      <c r="F3143">
        <v>6.15</v>
      </c>
      <c r="G3143">
        <v>1.87</v>
      </c>
      <c r="H3143">
        <v>8.02</v>
      </c>
      <c r="I3143" s="29">
        <v>0.76680000000000004</v>
      </c>
      <c r="J3143" s="29">
        <v>1.3924000000000001</v>
      </c>
      <c r="K3143" s="9">
        <v>45371</v>
      </c>
      <c r="L3143">
        <f xml:space="preserve"> (交易處理資料__3[[#This Row],[售出工時]] * 60) / 5</f>
        <v>134.00000003999997</v>
      </c>
      <c r="M3143" t="str">
        <f>VLOOKUP(交易處理資料__3[[#This Row],[人員代號]],團隊分組!$B$1:$C$52,2,FALSE)</f>
        <v>快速保養團隊A</v>
      </c>
      <c r="N3143" t="str">
        <f>IF(交易處理資料__3[[#This Row],[上班時間]]=0,"否","是")</f>
        <v>是</v>
      </c>
      <c r="O3143" t="s">
        <v>76</v>
      </c>
      <c r="P3143" s="38">
        <v>1.6277939749999999</v>
      </c>
      <c r="Q3143" s="38">
        <v>1.3924000000000001</v>
      </c>
      <c r="R3143" s="38">
        <v>0.76680000000000004</v>
      </c>
    </row>
    <row r="3144" spans="1:18" hidden="1">
      <c r="A3144" t="s">
        <v>76</v>
      </c>
      <c r="B3144" t="s">
        <v>43</v>
      </c>
      <c r="C3144">
        <v>0.16666666699999999</v>
      </c>
      <c r="D3144">
        <v>0.24</v>
      </c>
      <c r="E3144" s="29">
        <v>0.69444444439999997</v>
      </c>
      <c r="F3144">
        <v>9.19</v>
      </c>
      <c r="G3144">
        <v>0.81</v>
      </c>
      <c r="H3144">
        <v>10</v>
      </c>
      <c r="I3144" s="29">
        <v>0.91900000000000004</v>
      </c>
      <c r="J3144" s="29">
        <v>1.67E-2</v>
      </c>
      <c r="K3144" s="9">
        <v>45371</v>
      </c>
      <c r="L3144">
        <f xml:space="preserve"> (交易處理資料__3[[#This Row],[售出工時]] * 60) / 5</f>
        <v>2.0000000039999999</v>
      </c>
      <c r="M3144" t="str">
        <f>VLOOKUP(交易處理資料__3[[#This Row],[人員代號]],團隊分組!$B$1:$C$52,2,FALSE)</f>
        <v>查修團隊B</v>
      </c>
      <c r="N3144" t="str">
        <f>IF(交易處理資料__3[[#This Row],[上班時間]]=0,"否","是")</f>
        <v>是</v>
      </c>
      <c r="O3144" t="s">
        <v>76</v>
      </c>
      <c r="P3144" s="37">
        <v>0.69444444439999997</v>
      </c>
      <c r="Q3144" s="37">
        <v>1.67E-2</v>
      </c>
      <c r="R3144" s="37">
        <v>0.91900000000000004</v>
      </c>
    </row>
    <row r="3145" spans="1:18" hidden="1">
      <c r="A3145" t="s">
        <v>76</v>
      </c>
      <c r="B3145" t="s">
        <v>44</v>
      </c>
      <c r="C3145">
        <v>3.79</v>
      </c>
      <c r="D3145">
        <v>1.59</v>
      </c>
      <c r="E3145" s="29">
        <v>2.3836477990000002</v>
      </c>
      <c r="F3145">
        <v>8.99</v>
      </c>
      <c r="G3145">
        <v>0.21</v>
      </c>
      <c r="H3145">
        <v>9.1999999999999993</v>
      </c>
      <c r="I3145" s="29">
        <v>0.97719999999999996</v>
      </c>
      <c r="J3145" s="29">
        <v>0.41200000000000003</v>
      </c>
      <c r="K3145" s="9">
        <v>45371</v>
      </c>
      <c r="L3145">
        <f xml:space="preserve"> (交易處理資料__3[[#This Row],[售出工時]] * 60) / 5</f>
        <v>45.480000000000004</v>
      </c>
      <c r="M3145" t="str">
        <f>VLOOKUP(交易處理資料__3[[#This Row],[人員代號]],團隊分組!$B$1:$C$52,2,FALSE)</f>
        <v>快速保養團隊B</v>
      </c>
      <c r="N3145" t="str">
        <f>IF(交易處理資料__3[[#This Row],[上班時間]]=0,"否","是")</f>
        <v>是</v>
      </c>
      <c r="O3145" t="s">
        <v>76</v>
      </c>
      <c r="P3145" s="38">
        <v>2.3836477990000002</v>
      </c>
      <c r="Q3145" s="38">
        <v>0.41200000000000003</v>
      </c>
      <c r="R3145" s="38">
        <v>0.97719999999999996</v>
      </c>
    </row>
    <row r="3146" spans="1:18" hidden="1">
      <c r="A3146" t="s">
        <v>76</v>
      </c>
      <c r="B3146" t="s">
        <v>45</v>
      </c>
      <c r="C3146">
        <v>16.583333329999999</v>
      </c>
      <c r="D3146">
        <v>7.34</v>
      </c>
      <c r="E3146" s="29">
        <v>2.2593097179999999</v>
      </c>
      <c r="F3146">
        <v>8.56</v>
      </c>
      <c r="G3146">
        <v>0.44</v>
      </c>
      <c r="H3146">
        <v>9</v>
      </c>
      <c r="I3146" s="29">
        <v>0.95109999999999995</v>
      </c>
      <c r="J3146" s="29">
        <v>1.8426</v>
      </c>
      <c r="K3146" s="9">
        <v>45371</v>
      </c>
      <c r="L3146">
        <f xml:space="preserve"> (交易處理資料__3[[#This Row],[售出工時]] * 60) / 5</f>
        <v>198.99999996</v>
      </c>
      <c r="M3146" t="str">
        <f>VLOOKUP(交易處理資料__3[[#This Row],[人員代號]],團隊分組!$B$1:$C$52,2,FALSE)</f>
        <v>快速保養團隊A</v>
      </c>
      <c r="N3146" t="str">
        <f>IF(交易處理資料__3[[#This Row],[上班時間]]=0,"否","是")</f>
        <v>是</v>
      </c>
      <c r="O3146" t="s">
        <v>76</v>
      </c>
      <c r="P3146" s="37">
        <v>2.2593097179999999</v>
      </c>
      <c r="Q3146" s="37">
        <v>1.8426</v>
      </c>
      <c r="R3146" s="37">
        <v>0.95109999999999995</v>
      </c>
    </row>
    <row r="3147" spans="1:18" hidden="1">
      <c r="A3147" t="s">
        <v>76</v>
      </c>
      <c r="B3147" t="s">
        <v>47</v>
      </c>
      <c r="C3147">
        <v>0.5</v>
      </c>
      <c r="D3147">
        <v>0.94</v>
      </c>
      <c r="E3147" s="29">
        <v>0.53191489359999999</v>
      </c>
      <c r="F3147">
        <v>6.35</v>
      </c>
      <c r="G3147">
        <v>1.64</v>
      </c>
      <c r="H3147">
        <v>7.99</v>
      </c>
      <c r="I3147" s="29">
        <v>0.79469999999999996</v>
      </c>
      <c r="J3147" s="29">
        <v>6.2600000000000003E-2</v>
      </c>
      <c r="K3147" s="9">
        <v>45371</v>
      </c>
      <c r="L3147">
        <f xml:space="preserve"> (交易處理資料__3[[#This Row],[售出工時]] * 60) / 5</f>
        <v>6</v>
      </c>
      <c r="M3147" t="str">
        <f>VLOOKUP(交易處理資料__3[[#This Row],[人員代號]],團隊分組!$B$1:$C$52,2,FALSE)</f>
        <v>查修團隊B</v>
      </c>
      <c r="N3147" t="str">
        <f>IF(交易處理資料__3[[#This Row],[上班時間]]=0,"否","是")</f>
        <v>是</v>
      </c>
      <c r="O3147" t="s">
        <v>76</v>
      </c>
      <c r="P3147" s="38">
        <v>0.53191489359999999</v>
      </c>
      <c r="Q3147" s="38">
        <v>6.2600000000000003E-2</v>
      </c>
      <c r="R3147" s="38">
        <v>0.79469999999999996</v>
      </c>
    </row>
    <row r="3148" spans="1:18" hidden="1">
      <c r="A3148" t="s">
        <v>76</v>
      </c>
      <c r="B3148" t="s">
        <v>48</v>
      </c>
      <c r="C3148">
        <v>1.0833333329999999</v>
      </c>
      <c r="D3148">
        <v>0.56999999999999995</v>
      </c>
      <c r="E3148" s="29">
        <v>1.9005847950000001</v>
      </c>
      <c r="F3148">
        <v>5.8</v>
      </c>
      <c r="G3148">
        <v>2.0699999999999998</v>
      </c>
      <c r="H3148">
        <v>7.87</v>
      </c>
      <c r="I3148" s="29">
        <v>0.73699999999999999</v>
      </c>
      <c r="J3148" s="29">
        <v>0.13769999999999999</v>
      </c>
      <c r="K3148" s="9">
        <v>45371</v>
      </c>
      <c r="L3148">
        <f xml:space="preserve"> (交易處理資料__3[[#This Row],[售出工時]] * 60) / 5</f>
        <v>12.999999996</v>
      </c>
      <c r="M3148" t="str">
        <f>VLOOKUP(交易處理資料__3[[#This Row],[人員代號]],團隊分組!$B$1:$C$52,2,FALSE)</f>
        <v>查修團隊A</v>
      </c>
      <c r="N3148" t="str">
        <f>IF(交易處理資料__3[[#This Row],[上班時間]]=0,"否","是")</f>
        <v>是</v>
      </c>
      <c r="O3148" t="s">
        <v>76</v>
      </c>
      <c r="P3148" s="37">
        <v>1.9005847950000001</v>
      </c>
      <c r="Q3148" s="37">
        <v>0.13769999999999999</v>
      </c>
      <c r="R3148" s="37">
        <v>0.73699999999999999</v>
      </c>
    </row>
    <row r="3149" spans="1:18" hidden="1">
      <c r="A3149" t="s">
        <v>76</v>
      </c>
      <c r="B3149" t="s">
        <v>49</v>
      </c>
      <c r="C3149">
        <v>1.5</v>
      </c>
      <c r="D3149">
        <v>3.38</v>
      </c>
      <c r="E3149" s="29">
        <v>0.44378698219999996</v>
      </c>
      <c r="F3149">
        <v>6.46</v>
      </c>
      <c r="G3149">
        <v>1.27</v>
      </c>
      <c r="H3149">
        <v>7.73</v>
      </c>
      <c r="I3149" s="29">
        <v>0.83569999999999989</v>
      </c>
      <c r="J3149" s="29">
        <v>0.19399999999999998</v>
      </c>
      <c r="K3149" s="9">
        <v>45371</v>
      </c>
      <c r="L3149">
        <f xml:space="preserve"> (交易處理資料__3[[#This Row],[售出工時]] * 60) / 5</f>
        <v>18</v>
      </c>
      <c r="M3149" t="str">
        <f>VLOOKUP(交易處理資料__3[[#This Row],[人員代號]],團隊分組!$B$1:$C$52,2,FALSE)</f>
        <v>查修團隊A</v>
      </c>
      <c r="N3149" t="str">
        <f>IF(交易處理資料__3[[#This Row],[上班時間]]=0,"否","是")</f>
        <v>是</v>
      </c>
      <c r="O3149" t="s">
        <v>76</v>
      </c>
      <c r="P3149" s="38">
        <v>0.44378698219999996</v>
      </c>
      <c r="Q3149" s="38">
        <v>0.19399999999999998</v>
      </c>
      <c r="R3149" s="38">
        <v>0.83569999999999989</v>
      </c>
    </row>
    <row r="3150" spans="1:18" hidden="1">
      <c r="A3150" t="s">
        <v>76</v>
      </c>
      <c r="B3150" t="s">
        <v>50</v>
      </c>
      <c r="C3150">
        <v>6.3733333329999997</v>
      </c>
      <c r="D3150">
        <v>3.21</v>
      </c>
      <c r="E3150" s="29">
        <v>1.9854620980000002</v>
      </c>
      <c r="F3150">
        <v>7.89</v>
      </c>
      <c r="G3150">
        <v>0.17</v>
      </c>
      <c r="H3150">
        <v>8.06</v>
      </c>
      <c r="I3150" s="29">
        <v>0.97889999999999999</v>
      </c>
      <c r="J3150" s="29">
        <v>0.79069999999999996</v>
      </c>
      <c r="K3150" s="9">
        <v>45371</v>
      </c>
      <c r="L3150">
        <f xml:space="preserve"> (交易處理資料__3[[#This Row],[售出工時]] * 60) / 5</f>
        <v>76.479999995999989</v>
      </c>
      <c r="M3150" t="str">
        <f>VLOOKUP(交易處理資料__3[[#This Row],[人員代號]],團隊分組!$B$1:$C$52,2,FALSE)</f>
        <v>快速保養團隊B</v>
      </c>
      <c r="N3150" t="str">
        <f>IF(交易處理資料__3[[#This Row],[上班時間]]=0,"否","是")</f>
        <v>是</v>
      </c>
      <c r="O3150" t="s">
        <v>76</v>
      </c>
      <c r="P3150" s="37">
        <v>1.9854620980000002</v>
      </c>
      <c r="Q3150" s="37">
        <v>0.79069999999999996</v>
      </c>
      <c r="R3150" s="37">
        <v>0.97889999999999999</v>
      </c>
    </row>
    <row r="3151" spans="1:18" hidden="1">
      <c r="A3151" t="s">
        <v>76</v>
      </c>
      <c r="B3151" t="s">
        <v>51</v>
      </c>
      <c r="C3151">
        <v>0</v>
      </c>
      <c r="D3151">
        <v>0</v>
      </c>
      <c r="E3151" s="29">
        <v>0</v>
      </c>
      <c r="F3151">
        <v>0</v>
      </c>
      <c r="G3151">
        <v>0</v>
      </c>
      <c r="H3151">
        <v>0</v>
      </c>
      <c r="I3151" s="29">
        <v>0</v>
      </c>
      <c r="J3151" s="29">
        <v>0</v>
      </c>
      <c r="K3151" s="9">
        <v>45371</v>
      </c>
      <c r="L3151">
        <f xml:space="preserve"> (交易處理資料__3[[#This Row],[售出工時]] * 60) / 5</f>
        <v>0</v>
      </c>
      <c r="M3151" t="str">
        <f>VLOOKUP(交易處理資料__3[[#This Row],[人員代號]],團隊分組!$B$1:$C$52,2,FALSE)</f>
        <v>無效數據</v>
      </c>
      <c r="N3151" t="str">
        <f>IF(交易處理資料__3[[#This Row],[上班時間]]=0,"否","是")</f>
        <v>否</v>
      </c>
      <c r="O3151" t="s">
        <v>76</v>
      </c>
      <c r="P3151" s="38">
        <v>0</v>
      </c>
      <c r="Q3151" s="38">
        <v>0</v>
      </c>
      <c r="R3151" s="38">
        <v>0</v>
      </c>
    </row>
    <row r="3152" spans="1:18" hidden="1">
      <c r="A3152" t="s">
        <v>76</v>
      </c>
      <c r="B3152" t="s">
        <v>53</v>
      </c>
      <c r="C3152">
        <v>3.1666666669999999</v>
      </c>
      <c r="D3152">
        <v>2.57</v>
      </c>
      <c r="E3152" s="29">
        <v>1.232166018</v>
      </c>
      <c r="F3152">
        <v>7.15</v>
      </c>
      <c r="G3152">
        <v>0.59</v>
      </c>
      <c r="H3152">
        <v>7.74</v>
      </c>
      <c r="I3152" s="29">
        <v>0.92379999999999995</v>
      </c>
      <c r="J3152" s="29">
        <v>0.40909999999999996</v>
      </c>
      <c r="K3152" s="9">
        <v>45371</v>
      </c>
      <c r="L3152">
        <f xml:space="preserve"> (交易處理資料__3[[#This Row],[售出工時]] * 60) / 5</f>
        <v>38.000000004</v>
      </c>
      <c r="M3152" t="str">
        <f>VLOOKUP(交易處理資料__3[[#This Row],[人員代號]],團隊分組!$B$1:$C$52,2,FALSE)</f>
        <v>查修團隊A</v>
      </c>
      <c r="N3152" t="str">
        <f>IF(交易處理資料__3[[#This Row],[上班時間]]=0,"否","是")</f>
        <v>是</v>
      </c>
      <c r="O3152" t="s">
        <v>76</v>
      </c>
      <c r="P3152" s="37">
        <v>1.232166018</v>
      </c>
      <c r="Q3152" s="37">
        <v>0.40909999999999996</v>
      </c>
      <c r="R3152" s="37">
        <v>0.92379999999999995</v>
      </c>
    </row>
    <row r="3153" spans="1:18" hidden="1">
      <c r="A3153" s="10" t="s">
        <v>74</v>
      </c>
      <c r="B3153" t="s">
        <v>1</v>
      </c>
      <c r="C3153">
        <v>4.3266666669999996</v>
      </c>
      <c r="D3153">
        <v>7.26</v>
      </c>
      <c r="E3153" s="29">
        <v>0.59595959600000004</v>
      </c>
      <c r="F3153">
        <v>7.19</v>
      </c>
      <c r="G3153">
        <v>0.83</v>
      </c>
      <c r="H3153">
        <v>8.02</v>
      </c>
      <c r="I3153" s="29">
        <v>0.89650000000000007</v>
      </c>
      <c r="J3153" s="29">
        <v>0.53949999999999998</v>
      </c>
      <c r="K3153" s="9">
        <v>45372</v>
      </c>
      <c r="L3153">
        <f xml:space="preserve"> (交易處理資料__3[[#This Row],[售出工時]] * 60) / 5</f>
        <v>51.920000003999995</v>
      </c>
      <c r="M3153" t="str">
        <f>VLOOKUP(交易處理資料__3[[#This Row],[人員代號]],團隊分組!$B$1:$C$52,2,FALSE)</f>
        <v>噴漆維修組</v>
      </c>
      <c r="N3153" t="str">
        <f>IF(交易處理資料__3[[#This Row],[上班時間]]=0,"否","是")</f>
        <v>是</v>
      </c>
      <c r="O3153" s="10" t="s">
        <v>74</v>
      </c>
      <c r="P3153" s="38">
        <v>0.59595959600000004</v>
      </c>
      <c r="Q3153" s="38">
        <v>0.53949999999999998</v>
      </c>
      <c r="R3153" s="38">
        <v>0.89650000000000007</v>
      </c>
    </row>
    <row r="3154" spans="1:18" hidden="1">
      <c r="A3154" s="10" t="s">
        <v>74</v>
      </c>
      <c r="B3154" t="s">
        <v>5</v>
      </c>
      <c r="C3154">
        <v>0</v>
      </c>
      <c r="D3154">
        <v>0</v>
      </c>
      <c r="E3154" s="29">
        <v>0</v>
      </c>
      <c r="F3154">
        <v>10.37</v>
      </c>
      <c r="G3154">
        <v>0.2</v>
      </c>
      <c r="H3154">
        <v>10.57</v>
      </c>
      <c r="I3154" s="29">
        <v>0.98109999999999997</v>
      </c>
      <c r="J3154" s="29">
        <v>0</v>
      </c>
      <c r="K3154" s="9">
        <v>45372</v>
      </c>
      <c r="L3154">
        <f xml:space="preserve"> (交易處理資料__3[[#This Row],[售出工時]] * 60) / 5</f>
        <v>0</v>
      </c>
      <c r="M3154" t="str">
        <f>VLOOKUP(交易處理資料__3[[#This Row],[人員代號]],團隊分組!$B$1:$C$52,2,FALSE)</f>
        <v>噴漆維修組</v>
      </c>
      <c r="N3154" t="str">
        <f>IF(交易處理資料__3[[#This Row],[上班時間]]=0,"否","是")</f>
        <v>是</v>
      </c>
      <c r="O3154" s="10" t="s">
        <v>74</v>
      </c>
      <c r="P3154" s="37">
        <v>0</v>
      </c>
      <c r="Q3154" s="37">
        <v>0</v>
      </c>
      <c r="R3154" s="37">
        <v>0.98109999999999997</v>
      </c>
    </row>
    <row r="3155" spans="1:18">
      <c r="A3155" s="10" t="s">
        <v>74</v>
      </c>
      <c r="B3155" t="s">
        <v>7</v>
      </c>
      <c r="C3155">
        <v>3.5833333330000001</v>
      </c>
      <c r="D3155">
        <v>2</v>
      </c>
      <c r="E3155" s="29">
        <v>1.7916666670000001</v>
      </c>
      <c r="F3155">
        <v>10.39</v>
      </c>
      <c r="G3155">
        <v>0.2</v>
      </c>
      <c r="H3155">
        <v>10.59</v>
      </c>
      <c r="I3155" s="29">
        <v>0.98109999999999997</v>
      </c>
      <c r="J3155" s="29">
        <v>0.33840000000000003</v>
      </c>
      <c r="K3155" s="9">
        <v>45372</v>
      </c>
      <c r="L3155">
        <f xml:space="preserve"> (交易處理資料__3[[#This Row],[售出工時]] * 60) / 5</f>
        <v>42.999999996</v>
      </c>
      <c r="M3155" t="str">
        <f>VLOOKUP(交易處理資料__3[[#This Row],[人員代號]],團隊分組!$B$1:$C$52,2,FALSE)</f>
        <v>噴漆維修組</v>
      </c>
      <c r="N3155" t="str">
        <f>IF(交易處理資料__3[[#This Row],[上班時間]]=0,"否","是")</f>
        <v>是</v>
      </c>
      <c r="O3155" s="10" t="s">
        <v>74</v>
      </c>
      <c r="P3155" s="38">
        <v>1.7916666670000001</v>
      </c>
      <c r="Q3155" s="38">
        <v>0.33840000000000003</v>
      </c>
      <c r="R3155" s="38">
        <v>0.98109999999999997</v>
      </c>
    </row>
    <row r="3156" spans="1:18" hidden="1">
      <c r="A3156" s="10" t="s">
        <v>74</v>
      </c>
      <c r="B3156" t="s">
        <v>8</v>
      </c>
      <c r="C3156">
        <v>0.2</v>
      </c>
      <c r="D3156">
        <v>0.53</v>
      </c>
      <c r="E3156" s="29">
        <v>0.37735849059999999</v>
      </c>
      <c r="F3156">
        <v>7.16</v>
      </c>
      <c r="G3156">
        <v>0.89</v>
      </c>
      <c r="H3156">
        <v>8.0500000000000007</v>
      </c>
      <c r="I3156" s="29">
        <v>0.88939999999999997</v>
      </c>
      <c r="J3156" s="29">
        <v>2.4799999999999999E-2</v>
      </c>
      <c r="K3156" s="9">
        <v>45372</v>
      </c>
      <c r="L3156">
        <f xml:space="preserve"> (交易處理資料__3[[#This Row],[售出工時]] * 60) / 5</f>
        <v>2.4</v>
      </c>
      <c r="M3156" t="str">
        <f>VLOOKUP(交易處理資料__3[[#This Row],[人員代號]],團隊分組!$B$1:$C$52,2,FALSE)</f>
        <v>噴漆維修組</v>
      </c>
      <c r="N3156" t="str">
        <f>IF(交易處理資料__3[[#This Row],[上班時間]]=0,"否","是")</f>
        <v>是</v>
      </c>
      <c r="O3156" s="10" t="s">
        <v>74</v>
      </c>
      <c r="P3156" s="37">
        <v>0.37735849059999999</v>
      </c>
      <c r="Q3156" s="37">
        <v>2.4799999999999999E-2</v>
      </c>
      <c r="R3156" s="37">
        <v>0.88939999999999997</v>
      </c>
    </row>
    <row r="3157" spans="1:18" hidden="1">
      <c r="A3157" s="10" t="s">
        <v>74</v>
      </c>
      <c r="B3157" t="s">
        <v>9</v>
      </c>
      <c r="C3157">
        <v>1.67</v>
      </c>
      <c r="D3157">
        <v>3.09</v>
      </c>
      <c r="E3157" s="29">
        <v>0.54045307440000001</v>
      </c>
      <c r="F3157">
        <v>10.84</v>
      </c>
      <c r="G3157">
        <v>0.38</v>
      </c>
      <c r="H3157">
        <v>11.22</v>
      </c>
      <c r="I3157" s="29">
        <v>0.96609999999999996</v>
      </c>
      <c r="J3157" s="29">
        <v>0.14880000000000002</v>
      </c>
      <c r="K3157" s="9">
        <v>45372</v>
      </c>
      <c r="L3157">
        <f xml:space="preserve"> (交易處理資料__3[[#This Row],[售出工時]] * 60) / 5</f>
        <v>20.04</v>
      </c>
      <c r="M3157" t="str">
        <f>VLOOKUP(交易處理資料__3[[#This Row],[人員代號]],團隊分組!$B$1:$C$52,2,FALSE)</f>
        <v>噴漆維修組</v>
      </c>
      <c r="N3157" t="str">
        <f>IF(交易處理資料__3[[#This Row],[上班時間]]=0,"否","是")</f>
        <v>是</v>
      </c>
      <c r="O3157" s="10" t="s">
        <v>74</v>
      </c>
      <c r="P3157" s="38">
        <v>0.54045307440000001</v>
      </c>
      <c r="Q3157" s="38">
        <v>0.14880000000000002</v>
      </c>
      <c r="R3157" s="38">
        <v>0.96609999999999996</v>
      </c>
    </row>
    <row r="3158" spans="1:18" hidden="1">
      <c r="A3158" t="s">
        <v>75</v>
      </c>
      <c r="B3158" t="s">
        <v>11</v>
      </c>
      <c r="C3158">
        <v>7.1666666670000003</v>
      </c>
      <c r="D3158">
        <v>4.53</v>
      </c>
      <c r="E3158" s="29">
        <v>1.5820456219999999</v>
      </c>
      <c r="F3158">
        <v>6.66</v>
      </c>
      <c r="G3158">
        <v>1.46</v>
      </c>
      <c r="H3158">
        <v>8.1199999999999992</v>
      </c>
      <c r="I3158" s="29">
        <v>0.82019999999999993</v>
      </c>
      <c r="J3158" s="29">
        <v>0.88260000000000005</v>
      </c>
      <c r="K3158" s="9">
        <v>45372</v>
      </c>
      <c r="L3158">
        <f xml:space="preserve"> (交易處理資料__3[[#This Row],[售出工時]] * 60) / 5</f>
        <v>86.000000004</v>
      </c>
      <c r="M3158" t="str">
        <f>VLOOKUP(交易處理資料__3[[#This Row],[人員代號]],團隊分組!$B$1:$C$52,2,FALSE)</f>
        <v>鈑金維修組</v>
      </c>
      <c r="N3158" t="str">
        <f>IF(交易處理資料__3[[#This Row],[上班時間]]=0,"否","是")</f>
        <v>是</v>
      </c>
      <c r="O3158" t="s">
        <v>75</v>
      </c>
      <c r="P3158" s="37">
        <v>1.5820456219999999</v>
      </c>
      <c r="Q3158" s="37">
        <v>0.88260000000000005</v>
      </c>
      <c r="R3158" s="37">
        <v>0.82019999999999993</v>
      </c>
    </row>
    <row r="3159" spans="1:18" hidden="1">
      <c r="A3159" t="s">
        <v>75</v>
      </c>
      <c r="B3159" t="s">
        <v>12</v>
      </c>
      <c r="C3159">
        <v>8</v>
      </c>
      <c r="D3159">
        <v>7.72</v>
      </c>
      <c r="E3159" s="29">
        <v>1.0362694299999999</v>
      </c>
      <c r="F3159">
        <v>4.55</v>
      </c>
      <c r="G3159">
        <v>3.55</v>
      </c>
      <c r="H3159">
        <v>8.1</v>
      </c>
      <c r="I3159" s="29">
        <v>0.56169999999999998</v>
      </c>
      <c r="J3159" s="29">
        <v>0.98769999999999991</v>
      </c>
      <c r="K3159" s="9">
        <v>45372</v>
      </c>
      <c r="L3159">
        <f xml:space="preserve"> (交易處理資料__3[[#This Row],[售出工時]] * 60) / 5</f>
        <v>96</v>
      </c>
      <c r="M3159" t="str">
        <f>VLOOKUP(交易處理資料__3[[#This Row],[人員代號]],團隊分組!$B$1:$C$52,2,FALSE)</f>
        <v>鈑金維修組</v>
      </c>
      <c r="N3159" t="str">
        <f>IF(交易處理資料__3[[#This Row],[上班時間]]=0,"否","是")</f>
        <v>是</v>
      </c>
      <c r="O3159" t="s">
        <v>75</v>
      </c>
      <c r="P3159" s="38">
        <v>1.0362694299999999</v>
      </c>
      <c r="Q3159" s="38">
        <v>0.98769999999999991</v>
      </c>
      <c r="R3159" s="38">
        <v>0.56169999999999998</v>
      </c>
    </row>
    <row r="3160" spans="1:18" hidden="1">
      <c r="A3160" t="s">
        <v>75</v>
      </c>
      <c r="B3160" t="s">
        <v>13</v>
      </c>
      <c r="C3160">
        <v>0.64</v>
      </c>
      <c r="D3160">
        <v>0.42</v>
      </c>
      <c r="E3160" s="29">
        <v>1.523809524</v>
      </c>
      <c r="F3160">
        <v>7.47</v>
      </c>
      <c r="G3160">
        <v>0.64</v>
      </c>
      <c r="H3160">
        <v>8.11</v>
      </c>
      <c r="I3160" s="29">
        <v>0.92110000000000003</v>
      </c>
      <c r="J3160" s="29">
        <v>7.8899999999999998E-2</v>
      </c>
      <c r="K3160" s="9">
        <v>45372</v>
      </c>
      <c r="L3160">
        <f xml:space="preserve"> (交易處理資料__3[[#This Row],[售出工時]] * 60) / 5</f>
        <v>7.68</v>
      </c>
      <c r="M3160" t="str">
        <f>VLOOKUP(交易處理資料__3[[#This Row],[人員代號]],團隊分組!$B$1:$C$52,2,FALSE)</f>
        <v>鈑金維修組</v>
      </c>
      <c r="N3160" t="str">
        <f>IF(交易處理資料__3[[#This Row],[上班時間]]=0,"否","是")</f>
        <v>是</v>
      </c>
      <c r="O3160" t="s">
        <v>75</v>
      </c>
      <c r="P3160" s="37">
        <v>1.523809524</v>
      </c>
      <c r="Q3160" s="37">
        <v>7.8899999999999998E-2</v>
      </c>
      <c r="R3160" s="37">
        <v>0.92110000000000003</v>
      </c>
    </row>
    <row r="3161" spans="1:18" hidden="1">
      <c r="A3161" t="s">
        <v>75</v>
      </c>
      <c r="B3161" t="s">
        <v>14</v>
      </c>
      <c r="C3161">
        <v>7.1</v>
      </c>
      <c r="D3161">
        <v>7.94</v>
      </c>
      <c r="E3161" s="29">
        <v>0.89420654909999997</v>
      </c>
      <c r="F3161">
        <v>7.48</v>
      </c>
      <c r="G3161">
        <v>0.63</v>
      </c>
      <c r="H3161">
        <v>8.11</v>
      </c>
      <c r="I3161" s="29">
        <v>0.92230000000000001</v>
      </c>
      <c r="J3161" s="29">
        <v>0.87549999999999994</v>
      </c>
      <c r="K3161" s="9">
        <v>45372</v>
      </c>
      <c r="L3161">
        <f xml:space="preserve"> (交易處理資料__3[[#This Row],[售出工時]] * 60) / 5</f>
        <v>85.2</v>
      </c>
      <c r="M3161" t="str">
        <f>VLOOKUP(交易處理資料__3[[#This Row],[人員代號]],團隊分組!$B$1:$C$52,2,FALSE)</f>
        <v>鈑金維修組</v>
      </c>
      <c r="N3161" t="str">
        <f>IF(交易處理資料__3[[#This Row],[上班時間]]=0,"否","是")</f>
        <v>是</v>
      </c>
      <c r="O3161" t="s">
        <v>75</v>
      </c>
      <c r="P3161" s="38">
        <v>0.89420654909999997</v>
      </c>
      <c r="Q3161" s="38">
        <v>0.87549999999999994</v>
      </c>
      <c r="R3161" s="38">
        <v>0.92230000000000001</v>
      </c>
    </row>
    <row r="3162" spans="1:18" hidden="1">
      <c r="A3162" t="s">
        <v>75</v>
      </c>
      <c r="B3162" t="s">
        <v>15</v>
      </c>
      <c r="C3162">
        <v>8.5333333329999999</v>
      </c>
      <c r="D3162">
        <v>4.59</v>
      </c>
      <c r="E3162" s="29">
        <v>1.8591140160000001</v>
      </c>
      <c r="F3162">
        <v>7.47</v>
      </c>
      <c r="G3162">
        <v>0.66</v>
      </c>
      <c r="H3162">
        <v>8.1300000000000008</v>
      </c>
      <c r="I3162" s="29">
        <v>0.91879999999999995</v>
      </c>
      <c r="J3162" s="29">
        <v>1.0495999999999999</v>
      </c>
      <c r="K3162" s="9">
        <v>45372</v>
      </c>
      <c r="L3162">
        <f xml:space="preserve"> (交易處理資料__3[[#This Row],[售出工時]] * 60) / 5</f>
        <v>102.39999999599999</v>
      </c>
      <c r="M3162" t="str">
        <f>VLOOKUP(交易處理資料__3[[#This Row],[人員代號]],團隊分組!$B$1:$C$52,2,FALSE)</f>
        <v>鈑金維修組</v>
      </c>
      <c r="N3162" t="str">
        <f>IF(交易處理資料__3[[#This Row],[上班時間]]=0,"否","是")</f>
        <v>是</v>
      </c>
      <c r="O3162" t="s">
        <v>75</v>
      </c>
      <c r="P3162" s="37">
        <v>1.8591140160000001</v>
      </c>
      <c r="Q3162" s="37">
        <v>1.0495999999999999</v>
      </c>
      <c r="R3162" s="37">
        <v>0.91879999999999995</v>
      </c>
    </row>
    <row r="3163" spans="1:18" hidden="1">
      <c r="A3163" t="s">
        <v>76</v>
      </c>
      <c r="B3163" t="s">
        <v>18</v>
      </c>
      <c r="C3163">
        <v>2.75</v>
      </c>
      <c r="D3163">
        <v>4.8</v>
      </c>
      <c r="E3163" s="29">
        <v>0.57291666669999997</v>
      </c>
      <c r="F3163">
        <v>9.4499999999999993</v>
      </c>
      <c r="G3163">
        <v>0.56999999999999995</v>
      </c>
      <c r="H3163">
        <v>10.02</v>
      </c>
      <c r="I3163" s="29">
        <v>0.94310000000000005</v>
      </c>
      <c r="J3163" s="29">
        <v>0.27449999999999997</v>
      </c>
      <c r="K3163" s="9">
        <v>45372</v>
      </c>
      <c r="L3163">
        <f xml:space="preserve"> (交易處理資料__3[[#This Row],[售出工時]] * 60) / 5</f>
        <v>33</v>
      </c>
      <c r="M3163" t="str">
        <f>VLOOKUP(交易處理資料__3[[#This Row],[人員代號]],團隊分組!$B$1:$C$52,2,FALSE)</f>
        <v>查修團隊B</v>
      </c>
      <c r="N3163" t="str">
        <f>IF(交易處理資料__3[[#This Row],[上班時間]]=0,"否","是")</f>
        <v>是</v>
      </c>
      <c r="O3163" t="s">
        <v>76</v>
      </c>
      <c r="P3163" s="38">
        <v>0.57291666669999997</v>
      </c>
      <c r="Q3163" s="38">
        <v>0.27449999999999997</v>
      </c>
      <c r="R3163" s="38">
        <v>0.94310000000000005</v>
      </c>
    </row>
    <row r="3164" spans="1:18" hidden="1">
      <c r="A3164" t="s">
        <v>76</v>
      </c>
      <c r="B3164" t="s">
        <v>19</v>
      </c>
      <c r="C3164">
        <v>0</v>
      </c>
      <c r="D3164">
        <v>0</v>
      </c>
      <c r="E3164" s="29">
        <v>0</v>
      </c>
      <c r="F3164">
        <v>0</v>
      </c>
      <c r="G3164">
        <v>0</v>
      </c>
      <c r="H3164">
        <v>0</v>
      </c>
      <c r="I3164" s="29">
        <v>0</v>
      </c>
      <c r="J3164" s="29">
        <v>0</v>
      </c>
      <c r="K3164" s="9">
        <v>45372</v>
      </c>
      <c r="L3164">
        <f xml:space="preserve"> (交易處理資料__3[[#This Row],[售出工時]] * 60) / 5</f>
        <v>0</v>
      </c>
      <c r="M3164" t="str">
        <f>VLOOKUP(交易處理資料__3[[#This Row],[人員代號]],團隊分組!$B$1:$C$52,2,FALSE)</f>
        <v>查修團隊A</v>
      </c>
      <c r="N3164" t="str">
        <f>IF(交易處理資料__3[[#This Row],[上班時間]]=0,"否","是")</f>
        <v>否</v>
      </c>
      <c r="O3164" t="s">
        <v>76</v>
      </c>
      <c r="P3164" s="37">
        <v>0</v>
      </c>
      <c r="Q3164" s="37">
        <v>0</v>
      </c>
      <c r="R3164" s="37">
        <v>0</v>
      </c>
    </row>
    <row r="3165" spans="1:18" hidden="1">
      <c r="A3165" t="s">
        <v>76</v>
      </c>
      <c r="B3165" t="s">
        <v>20</v>
      </c>
      <c r="C3165">
        <v>0.75</v>
      </c>
      <c r="D3165">
        <v>0.93</v>
      </c>
      <c r="E3165" s="29">
        <v>0.8064516129</v>
      </c>
      <c r="F3165">
        <v>6.67</v>
      </c>
      <c r="G3165">
        <v>2.85</v>
      </c>
      <c r="H3165">
        <v>9.52</v>
      </c>
      <c r="I3165" s="29">
        <v>0.7006</v>
      </c>
      <c r="J3165" s="29">
        <v>7.8799999999999995E-2</v>
      </c>
      <c r="K3165" s="9">
        <v>45372</v>
      </c>
      <c r="L3165">
        <f xml:space="preserve"> (交易處理資料__3[[#This Row],[售出工時]] * 60) / 5</f>
        <v>9</v>
      </c>
      <c r="M3165" t="str">
        <f>VLOOKUP(交易處理資料__3[[#This Row],[人員代號]],團隊分組!$B$1:$C$52,2,FALSE)</f>
        <v>查修團隊B</v>
      </c>
      <c r="N3165" t="str">
        <f>IF(交易處理資料__3[[#This Row],[上班時間]]=0,"否","是")</f>
        <v>是</v>
      </c>
      <c r="O3165" t="s">
        <v>76</v>
      </c>
      <c r="P3165" s="38">
        <v>0.8064516129</v>
      </c>
      <c r="Q3165" s="38">
        <v>7.8799999999999995E-2</v>
      </c>
      <c r="R3165" s="38">
        <v>0.7006</v>
      </c>
    </row>
    <row r="3166" spans="1:18" hidden="1">
      <c r="A3166" t="s">
        <v>76</v>
      </c>
      <c r="B3166" t="s">
        <v>21</v>
      </c>
      <c r="C3166">
        <v>1</v>
      </c>
      <c r="D3166">
        <v>0.77</v>
      </c>
      <c r="E3166" s="29">
        <v>1.298701299</v>
      </c>
      <c r="F3166">
        <v>7.13</v>
      </c>
      <c r="G3166">
        <v>1.82</v>
      </c>
      <c r="H3166">
        <v>8.9499999999999993</v>
      </c>
      <c r="I3166" s="29">
        <v>0.79659999999999997</v>
      </c>
      <c r="J3166" s="29">
        <v>0.11169999999999999</v>
      </c>
      <c r="K3166" s="9">
        <v>45372</v>
      </c>
      <c r="L3166">
        <f xml:space="preserve"> (交易處理資料__3[[#This Row],[售出工時]] * 60) / 5</f>
        <v>12</v>
      </c>
      <c r="M3166" t="str">
        <f>VLOOKUP(交易處理資料__3[[#This Row],[人員代號]],團隊分組!$B$1:$C$52,2,FALSE)</f>
        <v>查修團隊B</v>
      </c>
      <c r="N3166" t="str">
        <f>IF(交易處理資料__3[[#This Row],[上班時間]]=0,"否","是")</f>
        <v>是</v>
      </c>
      <c r="O3166" t="s">
        <v>76</v>
      </c>
      <c r="P3166" s="37">
        <v>1.298701299</v>
      </c>
      <c r="Q3166" s="37">
        <v>0.11169999999999999</v>
      </c>
      <c r="R3166" s="37">
        <v>0.79659999999999997</v>
      </c>
    </row>
    <row r="3167" spans="1:18" hidden="1">
      <c r="A3167" t="s">
        <v>76</v>
      </c>
      <c r="B3167" t="s">
        <v>22</v>
      </c>
      <c r="C3167">
        <v>17.25</v>
      </c>
      <c r="D3167">
        <v>9.1199999999999992</v>
      </c>
      <c r="E3167" s="29">
        <v>1.8914473680000001</v>
      </c>
      <c r="F3167">
        <v>10.220000000000001</v>
      </c>
      <c r="G3167">
        <v>0.3</v>
      </c>
      <c r="H3167">
        <v>10.52</v>
      </c>
      <c r="I3167" s="29">
        <v>0.97150000000000003</v>
      </c>
      <c r="J3167" s="29">
        <v>1.6396999999999999</v>
      </c>
      <c r="K3167" s="9">
        <v>45372</v>
      </c>
      <c r="L3167">
        <f xml:space="preserve"> (交易處理資料__3[[#This Row],[售出工時]] * 60) / 5</f>
        <v>207</v>
      </c>
      <c r="M3167" t="str">
        <f>VLOOKUP(交易處理資料__3[[#This Row],[人員代號]],團隊分組!$B$1:$C$52,2,FALSE)</f>
        <v>快速保養團隊A</v>
      </c>
      <c r="N3167" t="str">
        <f>IF(交易處理資料__3[[#This Row],[上班時間]]=0,"否","是")</f>
        <v>是</v>
      </c>
      <c r="O3167" t="s">
        <v>76</v>
      </c>
      <c r="P3167" s="38">
        <v>1.8914473680000001</v>
      </c>
      <c r="Q3167" s="38">
        <v>1.6396999999999999</v>
      </c>
      <c r="R3167" s="38">
        <v>0.97150000000000003</v>
      </c>
    </row>
    <row r="3168" spans="1:18" hidden="1">
      <c r="A3168" t="s">
        <v>76</v>
      </c>
      <c r="B3168" t="s">
        <v>24</v>
      </c>
      <c r="C3168">
        <v>8.6066666670000007</v>
      </c>
      <c r="D3168">
        <v>6.47</v>
      </c>
      <c r="E3168" s="29">
        <v>1.3302421430000002</v>
      </c>
      <c r="F3168">
        <v>7.52</v>
      </c>
      <c r="G3168">
        <v>0.76</v>
      </c>
      <c r="H3168">
        <v>8.2799999999999994</v>
      </c>
      <c r="I3168" s="29">
        <v>0.9081999999999999</v>
      </c>
      <c r="J3168" s="29">
        <v>1.0395000000000001</v>
      </c>
      <c r="K3168" s="9">
        <v>45372</v>
      </c>
      <c r="L3168">
        <f xml:space="preserve"> (交易處理資料__3[[#This Row],[售出工時]] * 60) / 5</f>
        <v>103.280000004</v>
      </c>
      <c r="M3168" t="str">
        <f>VLOOKUP(交易處理資料__3[[#This Row],[人員代號]],團隊分組!$B$1:$C$52,2,FALSE)</f>
        <v>快速保養團隊A</v>
      </c>
      <c r="N3168" t="str">
        <f>IF(交易處理資料__3[[#This Row],[上班時間]]=0,"否","是")</f>
        <v>是</v>
      </c>
      <c r="O3168" t="s">
        <v>76</v>
      </c>
      <c r="P3168" s="37">
        <v>1.3302421430000002</v>
      </c>
      <c r="Q3168" s="37">
        <v>1.0395000000000001</v>
      </c>
      <c r="R3168" s="37">
        <v>0.9081999999999999</v>
      </c>
    </row>
    <row r="3169" spans="1:18" hidden="1">
      <c r="A3169" t="s">
        <v>76</v>
      </c>
      <c r="B3169" t="s">
        <v>25</v>
      </c>
      <c r="C3169">
        <v>2.9166666669999999</v>
      </c>
      <c r="D3169">
        <v>4.34</v>
      </c>
      <c r="E3169" s="29">
        <v>0.67204301079999995</v>
      </c>
      <c r="F3169">
        <v>8.75</v>
      </c>
      <c r="G3169">
        <v>0.84</v>
      </c>
      <c r="H3169">
        <v>9.59</v>
      </c>
      <c r="I3169" s="29">
        <v>0.91239999999999999</v>
      </c>
      <c r="J3169" s="29">
        <v>0.30409999999999998</v>
      </c>
      <c r="K3169" s="9">
        <v>45372</v>
      </c>
      <c r="L3169">
        <f xml:space="preserve"> (交易處理資料__3[[#This Row],[售出工時]] * 60) / 5</f>
        <v>35.000000004</v>
      </c>
      <c r="M3169" t="str">
        <f>VLOOKUP(交易處理資料__3[[#This Row],[人員代號]],團隊分組!$B$1:$C$52,2,FALSE)</f>
        <v>查修團隊A</v>
      </c>
      <c r="N3169" t="str">
        <f>IF(交易處理資料__3[[#This Row],[上班時間]]=0,"否","是")</f>
        <v>是</v>
      </c>
      <c r="O3169" t="s">
        <v>76</v>
      </c>
      <c r="P3169" s="38">
        <v>0.67204301079999995</v>
      </c>
      <c r="Q3169" s="38">
        <v>0.30409999999999998</v>
      </c>
      <c r="R3169" s="38">
        <v>0.91239999999999999</v>
      </c>
    </row>
    <row r="3170" spans="1:18" hidden="1">
      <c r="A3170" t="s">
        <v>76</v>
      </c>
      <c r="B3170" t="s">
        <v>27</v>
      </c>
      <c r="C3170">
        <v>2.5833333330000001</v>
      </c>
      <c r="D3170">
        <v>1.1200000000000001</v>
      </c>
      <c r="E3170" s="29">
        <v>2.3065476190000003</v>
      </c>
      <c r="F3170">
        <v>9.42</v>
      </c>
      <c r="G3170">
        <v>0.12</v>
      </c>
      <c r="H3170">
        <v>9.5399999999999991</v>
      </c>
      <c r="I3170" s="29">
        <v>0.98739999999999994</v>
      </c>
      <c r="J3170" s="29">
        <v>0.27079999999999999</v>
      </c>
      <c r="K3170" s="9">
        <v>45372</v>
      </c>
      <c r="L3170">
        <f xml:space="preserve"> (交易處理資料__3[[#This Row],[售出工時]] * 60) / 5</f>
        <v>30.999999996000003</v>
      </c>
      <c r="M3170" t="str">
        <f>VLOOKUP(交易處理資料__3[[#This Row],[人員代號]],團隊分組!$B$1:$C$52,2,FALSE)</f>
        <v>快速保養團隊B</v>
      </c>
      <c r="N3170" t="str">
        <f>IF(交易處理資料__3[[#This Row],[上班時間]]=0,"否","是")</f>
        <v>是</v>
      </c>
      <c r="O3170" t="s">
        <v>76</v>
      </c>
      <c r="P3170" s="37">
        <v>2.3065476190000003</v>
      </c>
      <c r="Q3170" s="37">
        <v>0.27079999999999999</v>
      </c>
      <c r="R3170" s="37">
        <v>0.98739999999999994</v>
      </c>
    </row>
    <row r="3171" spans="1:18" hidden="1">
      <c r="A3171" t="s">
        <v>76</v>
      </c>
      <c r="B3171" t="s">
        <v>28</v>
      </c>
      <c r="C3171">
        <v>6.8333333329999997</v>
      </c>
      <c r="D3171">
        <v>8.23</v>
      </c>
      <c r="E3171" s="29">
        <v>0.83029566630000007</v>
      </c>
      <c r="F3171">
        <v>9.58</v>
      </c>
      <c r="G3171">
        <v>0.36</v>
      </c>
      <c r="H3171">
        <v>9.94</v>
      </c>
      <c r="I3171" s="29">
        <v>0.96379999999999999</v>
      </c>
      <c r="J3171" s="29">
        <v>0.6875</v>
      </c>
      <c r="K3171" s="9">
        <v>45372</v>
      </c>
      <c r="L3171">
        <f xml:space="preserve"> (交易處理資料__3[[#This Row],[售出工時]] * 60) / 5</f>
        <v>81.999999996</v>
      </c>
      <c r="M3171" t="str">
        <f>VLOOKUP(交易處理資料__3[[#This Row],[人員代號]],團隊分組!$B$1:$C$52,2,FALSE)</f>
        <v>快速保養團隊A</v>
      </c>
      <c r="N3171" t="str">
        <f>IF(交易處理資料__3[[#This Row],[上班時間]]=0,"否","是")</f>
        <v>是</v>
      </c>
      <c r="O3171" t="s">
        <v>76</v>
      </c>
      <c r="P3171" s="38">
        <v>0.83029566630000007</v>
      </c>
      <c r="Q3171" s="38">
        <v>0.6875</v>
      </c>
      <c r="R3171" s="38">
        <v>0.96379999999999999</v>
      </c>
    </row>
    <row r="3172" spans="1:18" hidden="1">
      <c r="A3172" t="s">
        <v>76</v>
      </c>
      <c r="B3172" t="s">
        <v>29</v>
      </c>
      <c r="C3172">
        <v>5.1666666670000003</v>
      </c>
      <c r="D3172">
        <v>6.27</v>
      </c>
      <c r="E3172" s="29">
        <v>0.8240297714</v>
      </c>
      <c r="F3172">
        <v>7.08</v>
      </c>
      <c r="G3172">
        <v>0.95</v>
      </c>
      <c r="H3172">
        <v>8.0299999999999994</v>
      </c>
      <c r="I3172" s="29">
        <v>0.88170000000000004</v>
      </c>
      <c r="J3172" s="29">
        <v>0.64340000000000008</v>
      </c>
      <c r="K3172" s="9">
        <v>45372</v>
      </c>
      <c r="L3172">
        <f xml:space="preserve"> (交易處理資料__3[[#This Row],[售出工時]] * 60) / 5</f>
        <v>62.000000004</v>
      </c>
      <c r="M3172" t="str">
        <f>VLOOKUP(交易處理資料__3[[#This Row],[人員代號]],團隊分組!$B$1:$C$52,2,FALSE)</f>
        <v>查修團隊B</v>
      </c>
      <c r="N3172" t="str">
        <f>IF(交易處理資料__3[[#This Row],[上班時間]]=0,"否","是")</f>
        <v>是</v>
      </c>
      <c r="O3172" t="s">
        <v>76</v>
      </c>
      <c r="P3172" s="37">
        <v>0.8240297714</v>
      </c>
      <c r="Q3172" s="37">
        <v>0.64340000000000008</v>
      </c>
      <c r="R3172" s="37">
        <v>0.88170000000000004</v>
      </c>
    </row>
    <row r="3173" spans="1:18" hidden="1">
      <c r="A3173" t="s">
        <v>76</v>
      </c>
      <c r="B3173" t="s">
        <v>32</v>
      </c>
      <c r="C3173">
        <v>9.1666666669999994</v>
      </c>
      <c r="D3173">
        <v>3.12</v>
      </c>
      <c r="E3173" s="29">
        <v>2.9380341879999996</v>
      </c>
      <c r="F3173">
        <v>7.17</v>
      </c>
      <c r="G3173">
        <v>0.87</v>
      </c>
      <c r="H3173">
        <v>8.0399999999999991</v>
      </c>
      <c r="I3173" s="29">
        <v>0.89180000000000004</v>
      </c>
      <c r="J3173" s="29">
        <v>1.1401000000000001</v>
      </c>
      <c r="K3173" s="9">
        <v>45372</v>
      </c>
      <c r="L3173">
        <f xml:space="preserve"> (交易處理資料__3[[#This Row],[售出工時]] * 60) / 5</f>
        <v>110.000000004</v>
      </c>
      <c r="M3173" t="str">
        <f>VLOOKUP(交易處理資料__3[[#This Row],[人員代號]],團隊分組!$B$1:$C$52,2,FALSE)</f>
        <v>快速保養團隊B</v>
      </c>
      <c r="N3173" t="str">
        <f>IF(交易處理資料__3[[#This Row],[上班時間]]=0,"否","是")</f>
        <v>是</v>
      </c>
      <c r="O3173" t="s">
        <v>76</v>
      </c>
      <c r="P3173" s="38">
        <v>2.9380341879999996</v>
      </c>
      <c r="Q3173" s="38">
        <v>1.1401000000000001</v>
      </c>
      <c r="R3173" s="38">
        <v>0.89180000000000004</v>
      </c>
    </row>
    <row r="3174" spans="1:18" hidden="1">
      <c r="A3174" t="s">
        <v>76</v>
      </c>
      <c r="B3174" t="s">
        <v>33</v>
      </c>
      <c r="C3174">
        <v>10.81666667</v>
      </c>
      <c r="D3174">
        <v>7.9</v>
      </c>
      <c r="E3174" s="29">
        <v>1.369198312</v>
      </c>
      <c r="F3174">
        <v>5.91</v>
      </c>
      <c r="G3174">
        <v>2.09</v>
      </c>
      <c r="H3174">
        <v>8</v>
      </c>
      <c r="I3174" s="29">
        <v>0.7387999999999999</v>
      </c>
      <c r="J3174" s="29">
        <v>1.3521000000000001</v>
      </c>
      <c r="K3174" s="9">
        <v>45372</v>
      </c>
      <c r="L3174">
        <f xml:space="preserve"> (交易處理資料__3[[#This Row],[售出工時]] * 60) / 5</f>
        <v>129.80000004000001</v>
      </c>
      <c r="M3174" t="str">
        <f>VLOOKUP(交易處理資料__3[[#This Row],[人員代號]],團隊分組!$B$1:$C$52,2,FALSE)</f>
        <v>快速保養團隊B</v>
      </c>
      <c r="N3174" t="str">
        <f>IF(交易處理資料__3[[#This Row],[上班時間]]=0,"否","是")</f>
        <v>是</v>
      </c>
      <c r="O3174" t="s">
        <v>76</v>
      </c>
      <c r="P3174" s="37">
        <v>1.369198312</v>
      </c>
      <c r="Q3174" s="37">
        <v>1.3521000000000001</v>
      </c>
      <c r="R3174" s="37">
        <v>0.7387999999999999</v>
      </c>
    </row>
    <row r="3175" spans="1:18" hidden="1">
      <c r="A3175" t="s">
        <v>76</v>
      </c>
      <c r="B3175" t="s">
        <v>34</v>
      </c>
      <c r="C3175">
        <v>7.9166666670000003</v>
      </c>
      <c r="D3175">
        <v>6.55</v>
      </c>
      <c r="E3175" s="29">
        <v>1.2086513990000001</v>
      </c>
      <c r="F3175">
        <v>9.5500000000000007</v>
      </c>
      <c r="G3175">
        <v>1.0900000000000001</v>
      </c>
      <c r="H3175">
        <v>10.64</v>
      </c>
      <c r="I3175" s="29">
        <v>0.89760000000000006</v>
      </c>
      <c r="J3175" s="29">
        <v>0.74400000000000011</v>
      </c>
      <c r="K3175" s="9">
        <v>45372</v>
      </c>
      <c r="L3175">
        <f xml:space="preserve"> (交易處理資料__3[[#This Row],[售出工時]] * 60) / 5</f>
        <v>95.000000004</v>
      </c>
      <c r="M3175" t="str">
        <f>VLOOKUP(交易處理資料__3[[#This Row],[人員代號]],團隊分組!$B$1:$C$52,2,FALSE)</f>
        <v>快速保養團隊A</v>
      </c>
      <c r="N3175" t="str">
        <f>IF(交易處理資料__3[[#This Row],[上班時間]]=0,"否","是")</f>
        <v>是</v>
      </c>
      <c r="O3175" t="s">
        <v>76</v>
      </c>
      <c r="P3175" s="38">
        <v>1.2086513990000001</v>
      </c>
      <c r="Q3175" s="38">
        <v>0.74400000000000011</v>
      </c>
      <c r="R3175" s="38">
        <v>0.89760000000000006</v>
      </c>
    </row>
    <row r="3176" spans="1:18" hidden="1">
      <c r="A3176" t="s">
        <v>76</v>
      </c>
      <c r="B3176" t="s">
        <v>35</v>
      </c>
      <c r="C3176">
        <v>1.6666666670000001</v>
      </c>
      <c r="D3176">
        <v>2.8</v>
      </c>
      <c r="E3176" s="29">
        <v>0.59523809520000004</v>
      </c>
      <c r="F3176">
        <v>6.67</v>
      </c>
      <c r="G3176">
        <v>2.84</v>
      </c>
      <c r="H3176">
        <v>9.51</v>
      </c>
      <c r="I3176" s="29">
        <v>0.70140000000000002</v>
      </c>
      <c r="J3176" s="29">
        <v>0.17530000000000001</v>
      </c>
      <c r="K3176" s="9">
        <v>45372</v>
      </c>
      <c r="L3176">
        <f xml:space="preserve"> (交易處理資料__3[[#This Row],[售出工時]] * 60) / 5</f>
        <v>20.000000004</v>
      </c>
      <c r="M3176" t="str">
        <f>VLOOKUP(交易處理資料__3[[#This Row],[人員代號]],團隊分組!$B$1:$C$52,2,FALSE)</f>
        <v>查修團隊B</v>
      </c>
      <c r="N3176" t="str">
        <f>IF(交易處理資料__3[[#This Row],[上班時間]]=0,"否","是")</f>
        <v>是</v>
      </c>
      <c r="O3176" t="s">
        <v>76</v>
      </c>
      <c r="P3176" s="37">
        <v>0.59523809520000004</v>
      </c>
      <c r="Q3176" s="37">
        <v>0.17530000000000001</v>
      </c>
      <c r="R3176" s="37">
        <v>0.70140000000000002</v>
      </c>
    </row>
    <row r="3177" spans="1:18" hidden="1">
      <c r="A3177" t="s">
        <v>76</v>
      </c>
      <c r="B3177" t="s">
        <v>36</v>
      </c>
      <c r="C3177">
        <v>3.24</v>
      </c>
      <c r="D3177">
        <v>6.02</v>
      </c>
      <c r="E3177" s="29">
        <v>0.53820598009999998</v>
      </c>
      <c r="F3177">
        <v>7.11</v>
      </c>
      <c r="G3177">
        <v>0.99</v>
      </c>
      <c r="H3177">
        <v>8.1</v>
      </c>
      <c r="I3177" s="29">
        <v>0.87780000000000002</v>
      </c>
      <c r="J3177" s="29">
        <v>0.4</v>
      </c>
      <c r="K3177" s="9">
        <v>45372</v>
      </c>
      <c r="L3177">
        <f xml:space="preserve"> (交易處理資料__3[[#This Row],[售出工時]] * 60) / 5</f>
        <v>38.880000000000003</v>
      </c>
      <c r="M3177" t="str">
        <f>VLOOKUP(交易處理資料__3[[#This Row],[人員代號]],團隊分組!$B$1:$C$52,2,FALSE)</f>
        <v>查修團隊B</v>
      </c>
      <c r="N3177" t="str">
        <f>IF(交易處理資料__3[[#This Row],[上班時間]]=0,"否","是")</f>
        <v>是</v>
      </c>
      <c r="O3177" t="s">
        <v>76</v>
      </c>
      <c r="P3177" s="38">
        <v>0.53820598009999998</v>
      </c>
      <c r="Q3177" s="38">
        <v>0.4</v>
      </c>
      <c r="R3177" s="38">
        <v>0.87780000000000002</v>
      </c>
    </row>
    <row r="3178" spans="1:18" hidden="1">
      <c r="A3178" t="s">
        <v>76</v>
      </c>
      <c r="B3178" t="s">
        <v>37</v>
      </c>
      <c r="C3178">
        <v>1.596666667</v>
      </c>
      <c r="D3178">
        <v>2.38</v>
      </c>
      <c r="E3178" s="29">
        <v>0.67086834730000011</v>
      </c>
      <c r="F3178">
        <v>7.16</v>
      </c>
      <c r="G3178">
        <v>0.78</v>
      </c>
      <c r="H3178">
        <v>7.94</v>
      </c>
      <c r="I3178" s="29">
        <v>0.90180000000000005</v>
      </c>
      <c r="J3178" s="29">
        <v>0.2011</v>
      </c>
      <c r="K3178" s="9">
        <v>45372</v>
      </c>
      <c r="L3178">
        <f xml:space="preserve"> (交易處理資料__3[[#This Row],[售出工時]] * 60) / 5</f>
        <v>19.160000004</v>
      </c>
      <c r="M3178" t="str">
        <f>VLOOKUP(交易處理資料__3[[#This Row],[人員代號]],團隊分組!$B$1:$C$52,2,FALSE)</f>
        <v>查修團隊A</v>
      </c>
      <c r="N3178" t="str">
        <f>IF(交易處理資料__3[[#This Row],[上班時間]]=0,"否","是")</f>
        <v>是</v>
      </c>
      <c r="O3178" t="s">
        <v>76</v>
      </c>
      <c r="P3178" s="37">
        <v>0.67086834730000011</v>
      </c>
      <c r="Q3178" s="37">
        <v>0.2011</v>
      </c>
      <c r="R3178" s="37">
        <v>0.90180000000000005</v>
      </c>
    </row>
    <row r="3179" spans="1:18" hidden="1">
      <c r="A3179" t="s">
        <v>76</v>
      </c>
      <c r="B3179" t="s">
        <v>39</v>
      </c>
      <c r="C3179">
        <v>3.4866666670000002</v>
      </c>
      <c r="D3179">
        <v>3.65</v>
      </c>
      <c r="E3179" s="29">
        <v>0.95525114160000002</v>
      </c>
      <c r="F3179">
        <v>7.15</v>
      </c>
      <c r="G3179">
        <v>0.77</v>
      </c>
      <c r="H3179">
        <v>7.92</v>
      </c>
      <c r="I3179" s="29">
        <v>0.90280000000000005</v>
      </c>
      <c r="J3179" s="29">
        <v>0.44020000000000004</v>
      </c>
      <c r="K3179" s="9">
        <v>45372</v>
      </c>
      <c r="L3179">
        <f xml:space="preserve"> (交易處理資料__3[[#This Row],[售出工時]] * 60) / 5</f>
        <v>41.840000004000004</v>
      </c>
      <c r="M3179" t="str">
        <f>VLOOKUP(交易處理資料__3[[#This Row],[人員代號]],團隊分組!$B$1:$C$52,2,FALSE)</f>
        <v>查修團隊A</v>
      </c>
      <c r="N3179" t="str">
        <f>IF(交易處理資料__3[[#This Row],[上班時間]]=0,"否","是")</f>
        <v>是</v>
      </c>
      <c r="O3179" t="s">
        <v>76</v>
      </c>
      <c r="P3179" s="38">
        <v>0.95525114160000002</v>
      </c>
      <c r="Q3179" s="38">
        <v>0.44020000000000004</v>
      </c>
      <c r="R3179" s="38">
        <v>0.90280000000000005</v>
      </c>
    </row>
    <row r="3180" spans="1:18" hidden="1">
      <c r="A3180" t="s">
        <v>76</v>
      </c>
      <c r="B3180" t="s">
        <v>40</v>
      </c>
      <c r="C3180">
        <v>2.75</v>
      </c>
      <c r="D3180">
        <v>3.97</v>
      </c>
      <c r="E3180" s="29">
        <v>0.69269521410000001</v>
      </c>
      <c r="F3180">
        <v>5.13</v>
      </c>
      <c r="G3180">
        <v>2.76</v>
      </c>
      <c r="H3180">
        <v>7.89</v>
      </c>
      <c r="I3180" s="29">
        <v>0.6502</v>
      </c>
      <c r="J3180" s="29">
        <v>0.34850000000000003</v>
      </c>
      <c r="K3180" s="9">
        <v>45372</v>
      </c>
      <c r="L3180">
        <f xml:space="preserve"> (交易處理資料__3[[#This Row],[售出工時]] * 60) / 5</f>
        <v>33</v>
      </c>
      <c r="M3180" t="str">
        <f>VLOOKUP(交易處理資料__3[[#This Row],[人員代號]],團隊分組!$B$1:$C$52,2,FALSE)</f>
        <v>查修團隊A</v>
      </c>
      <c r="N3180" t="str">
        <f>IF(交易處理資料__3[[#This Row],[上班時間]]=0,"否","是")</f>
        <v>是</v>
      </c>
      <c r="O3180" t="s">
        <v>76</v>
      </c>
      <c r="P3180" s="37">
        <v>0.69269521410000001</v>
      </c>
      <c r="Q3180" s="37">
        <v>0.34850000000000003</v>
      </c>
      <c r="R3180" s="37">
        <v>0.6502</v>
      </c>
    </row>
    <row r="3181" spans="1:18" hidden="1">
      <c r="A3181" t="s">
        <v>76</v>
      </c>
      <c r="B3181" t="s">
        <v>42</v>
      </c>
      <c r="C3181">
        <v>6.3333333329999997</v>
      </c>
      <c r="D3181">
        <v>4.96</v>
      </c>
      <c r="E3181" s="29">
        <v>1.27688172</v>
      </c>
      <c r="F3181">
        <v>7.28</v>
      </c>
      <c r="G3181">
        <v>1.87</v>
      </c>
      <c r="H3181">
        <v>9.15</v>
      </c>
      <c r="I3181" s="29">
        <v>0.79559999999999997</v>
      </c>
      <c r="J3181" s="29">
        <v>0.69220000000000004</v>
      </c>
      <c r="K3181" s="9">
        <v>45372</v>
      </c>
      <c r="L3181">
        <f xml:space="preserve"> (交易處理資料__3[[#This Row],[售出工時]] * 60) / 5</f>
        <v>75.999999996</v>
      </c>
      <c r="M3181" t="str">
        <f>VLOOKUP(交易處理資料__3[[#This Row],[人員代號]],團隊分組!$B$1:$C$52,2,FALSE)</f>
        <v>快速保養團隊A</v>
      </c>
      <c r="N3181" t="str">
        <f>IF(交易處理資料__3[[#This Row],[上班時間]]=0,"否","是")</f>
        <v>是</v>
      </c>
      <c r="O3181" t="s">
        <v>76</v>
      </c>
      <c r="P3181" s="38">
        <v>1.27688172</v>
      </c>
      <c r="Q3181" s="38">
        <v>0.69220000000000004</v>
      </c>
      <c r="R3181" s="38">
        <v>0.79559999999999997</v>
      </c>
    </row>
    <row r="3182" spans="1:18" hidden="1">
      <c r="A3182" t="s">
        <v>76</v>
      </c>
      <c r="B3182" t="s">
        <v>43</v>
      </c>
      <c r="C3182">
        <v>1.72</v>
      </c>
      <c r="D3182">
        <v>4.7300000000000004</v>
      </c>
      <c r="E3182" s="29">
        <v>0.36363636360000001</v>
      </c>
      <c r="F3182">
        <v>7.11</v>
      </c>
      <c r="G3182">
        <v>0.98</v>
      </c>
      <c r="H3182">
        <v>8.09</v>
      </c>
      <c r="I3182" s="29">
        <v>0.87890000000000001</v>
      </c>
      <c r="J3182" s="29">
        <v>0.21260000000000001</v>
      </c>
      <c r="K3182" s="9">
        <v>45372</v>
      </c>
      <c r="L3182">
        <f xml:space="preserve"> (交易處理資料__3[[#This Row],[售出工時]] * 60) / 5</f>
        <v>20.64</v>
      </c>
      <c r="M3182" t="str">
        <f>VLOOKUP(交易處理資料__3[[#This Row],[人員代號]],團隊分組!$B$1:$C$52,2,FALSE)</f>
        <v>查修團隊B</v>
      </c>
      <c r="N3182" t="str">
        <f>IF(交易處理資料__3[[#This Row],[上班時間]]=0,"否","是")</f>
        <v>是</v>
      </c>
      <c r="O3182" t="s">
        <v>76</v>
      </c>
      <c r="P3182" s="37">
        <v>0.36363636360000001</v>
      </c>
      <c r="Q3182" s="37">
        <v>0.21260000000000001</v>
      </c>
      <c r="R3182" s="37">
        <v>0.87890000000000001</v>
      </c>
    </row>
    <row r="3183" spans="1:18" hidden="1">
      <c r="A3183" t="s">
        <v>76</v>
      </c>
      <c r="B3183" t="s">
        <v>45</v>
      </c>
      <c r="C3183">
        <v>24</v>
      </c>
      <c r="D3183">
        <v>7.45</v>
      </c>
      <c r="E3183" s="29">
        <v>3.22147651</v>
      </c>
      <c r="F3183">
        <v>6.38</v>
      </c>
      <c r="G3183">
        <v>4.24</v>
      </c>
      <c r="H3183">
        <v>10.62</v>
      </c>
      <c r="I3183" s="29">
        <v>0.6008</v>
      </c>
      <c r="J3183" s="29">
        <v>2.2599</v>
      </c>
      <c r="K3183" s="9">
        <v>45372</v>
      </c>
      <c r="L3183">
        <f xml:space="preserve"> (交易處理資料__3[[#This Row],[售出工時]] * 60) / 5</f>
        <v>288</v>
      </c>
      <c r="M3183" t="str">
        <f>VLOOKUP(交易處理資料__3[[#This Row],[人員代號]],團隊分組!$B$1:$C$52,2,FALSE)</f>
        <v>快速保養團隊A</v>
      </c>
      <c r="N3183" t="str">
        <f>IF(交易處理資料__3[[#This Row],[上班時間]]=0,"否","是")</f>
        <v>是</v>
      </c>
      <c r="O3183" t="s">
        <v>76</v>
      </c>
      <c r="P3183" s="38">
        <v>3.22147651</v>
      </c>
      <c r="Q3183" s="38">
        <v>2.2599</v>
      </c>
      <c r="R3183" s="38">
        <v>0.6008</v>
      </c>
    </row>
    <row r="3184" spans="1:18" hidden="1">
      <c r="A3184" t="s">
        <v>76</v>
      </c>
      <c r="B3184" t="s">
        <v>46</v>
      </c>
      <c r="C3184">
        <v>3.75</v>
      </c>
      <c r="D3184">
        <v>4.22</v>
      </c>
      <c r="E3184" s="29">
        <v>0.88862559239999994</v>
      </c>
      <c r="F3184">
        <v>7.72</v>
      </c>
      <c r="G3184">
        <v>0.45</v>
      </c>
      <c r="H3184">
        <v>8.17</v>
      </c>
      <c r="I3184" s="29">
        <v>0.94489999999999996</v>
      </c>
      <c r="J3184" s="29">
        <v>0.45899999999999996</v>
      </c>
      <c r="K3184" s="9">
        <v>45372</v>
      </c>
      <c r="L3184">
        <f xml:space="preserve"> (交易處理資料__3[[#This Row],[售出工時]] * 60) / 5</f>
        <v>45</v>
      </c>
      <c r="M3184" t="str">
        <f>VLOOKUP(交易處理資料__3[[#This Row],[人員代號]],團隊分組!$B$1:$C$52,2,FALSE)</f>
        <v>查修團隊B</v>
      </c>
      <c r="N3184" t="str">
        <f>IF(交易處理資料__3[[#This Row],[上班時間]]=0,"否","是")</f>
        <v>是</v>
      </c>
      <c r="O3184" t="s">
        <v>76</v>
      </c>
      <c r="P3184" s="37">
        <v>0.88862559239999994</v>
      </c>
      <c r="Q3184" s="37">
        <v>0.45899999999999996</v>
      </c>
      <c r="R3184" s="37">
        <v>0.94489999999999996</v>
      </c>
    </row>
    <row r="3185" spans="1:18" hidden="1">
      <c r="A3185" t="s">
        <v>76</v>
      </c>
      <c r="B3185" t="s">
        <v>47</v>
      </c>
      <c r="C3185">
        <v>4.6666666670000003</v>
      </c>
      <c r="D3185">
        <v>7.41</v>
      </c>
      <c r="E3185" s="29">
        <v>0.62977957709999999</v>
      </c>
      <c r="F3185">
        <v>4.54</v>
      </c>
      <c r="G3185">
        <v>3.49</v>
      </c>
      <c r="H3185">
        <v>8.0299999999999994</v>
      </c>
      <c r="I3185" s="29">
        <v>0.56540000000000001</v>
      </c>
      <c r="J3185" s="29">
        <v>0.58119999999999994</v>
      </c>
      <c r="K3185" s="9">
        <v>45372</v>
      </c>
      <c r="L3185">
        <f xml:space="preserve"> (交易處理資料__3[[#This Row],[售出工時]] * 60) / 5</f>
        <v>56.000000004</v>
      </c>
      <c r="M3185" t="str">
        <f>VLOOKUP(交易處理資料__3[[#This Row],[人員代號]],團隊分組!$B$1:$C$52,2,FALSE)</f>
        <v>查修團隊B</v>
      </c>
      <c r="N3185" t="str">
        <f>IF(交易處理資料__3[[#This Row],[上班時間]]=0,"否","是")</f>
        <v>是</v>
      </c>
      <c r="O3185" t="s">
        <v>76</v>
      </c>
      <c r="P3185" s="38">
        <v>0.62977957709999999</v>
      </c>
      <c r="Q3185" s="38">
        <v>0.58119999999999994</v>
      </c>
      <c r="R3185" s="38">
        <v>0.56540000000000001</v>
      </c>
    </row>
    <row r="3186" spans="1:18" hidden="1">
      <c r="A3186" t="s">
        <v>76</v>
      </c>
      <c r="B3186" t="s">
        <v>51</v>
      </c>
      <c r="C3186">
        <v>0</v>
      </c>
      <c r="D3186">
        <v>0</v>
      </c>
      <c r="E3186" s="29">
        <v>0</v>
      </c>
      <c r="F3186">
        <v>0</v>
      </c>
      <c r="G3186">
        <v>0</v>
      </c>
      <c r="H3186">
        <v>0</v>
      </c>
      <c r="I3186" s="29">
        <v>0</v>
      </c>
      <c r="J3186" s="29">
        <v>0</v>
      </c>
      <c r="K3186" s="9">
        <v>45372</v>
      </c>
      <c r="L3186">
        <f xml:space="preserve"> (交易處理資料__3[[#This Row],[售出工時]] * 60) / 5</f>
        <v>0</v>
      </c>
      <c r="M3186" t="str">
        <f>VLOOKUP(交易處理資料__3[[#This Row],[人員代號]],團隊分組!$B$1:$C$52,2,FALSE)</f>
        <v>無效數據</v>
      </c>
      <c r="N3186" t="str">
        <f>IF(交易處理資料__3[[#This Row],[上班時間]]=0,"否","是")</f>
        <v>否</v>
      </c>
      <c r="O3186" t="s">
        <v>76</v>
      </c>
      <c r="P3186" s="37">
        <v>0</v>
      </c>
      <c r="Q3186" s="37">
        <v>0</v>
      </c>
      <c r="R3186" s="37">
        <v>0</v>
      </c>
    </row>
    <row r="3187" spans="1:18" hidden="1">
      <c r="A3187" t="s">
        <v>76</v>
      </c>
      <c r="B3187" t="s">
        <v>52</v>
      </c>
      <c r="C3187">
        <v>0</v>
      </c>
      <c r="D3187">
        <v>0</v>
      </c>
      <c r="E3187" s="29">
        <v>0</v>
      </c>
      <c r="F3187">
        <v>0</v>
      </c>
      <c r="G3187">
        <v>0</v>
      </c>
      <c r="H3187">
        <v>0</v>
      </c>
      <c r="I3187" s="29">
        <v>0</v>
      </c>
      <c r="J3187" s="29">
        <v>0</v>
      </c>
      <c r="K3187" s="9">
        <v>45372</v>
      </c>
      <c r="L3187">
        <f xml:space="preserve"> (交易處理資料__3[[#This Row],[售出工時]] * 60) / 5</f>
        <v>0</v>
      </c>
      <c r="M3187" t="str">
        <f>VLOOKUP(交易處理資料__3[[#This Row],[人員代號]],團隊分組!$B$1:$C$52,2,FALSE)</f>
        <v>查修團隊B</v>
      </c>
      <c r="N3187" t="str">
        <f>IF(交易處理資料__3[[#This Row],[上班時間]]=0,"否","是")</f>
        <v>否</v>
      </c>
      <c r="O3187" t="s">
        <v>76</v>
      </c>
      <c r="P3187" s="38">
        <v>0</v>
      </c>
      <c r="Q3187" s="38">
        <v>0</v>
      </c>
      <c r="R3187" s="38">
        <v>0</v>
      </c>
    </row>
    <row r="3188" spans="1:18" hidden="1">
      <c r="A3188" s="10" t="s">
        <v>74</v>
      </c>
      <c r="B3188" t="s">
        <v>1</v>
      </c>
      <c r="C3188">
        <v>3.16</v>
      </c>
      <c r="D3188">
        <v>6.86</v>
      </c>
      <c r="E3188" s="29">
        <v>0.46064139939999998</v>
      </c>
      <c r="F3188">
        <v>3.75</v>
      </c>
      <c r="G3188">
        <v>4.3</v>
      </c>
      <c r="H3188">
        <v>8.0500000000000007</v>
      </c>
      <c r="I3188" s="29">
        <v>0.46579999999999999</v>
      </c>
      <c r="J3188" s="29">
        <v>0.39250000000000002</v>
      </c>
      <c r="K3188" s="9">
        <v>45373</v>
      </c>
      <c r="L3188">
        <f xml:space="preserve"> (交易處理資料__3[[#This Row],[售出工時]] * 60) / 5</f>
        <v>37.92</v>
      </c>
      <c r="M3188" t="str">
        <f>VLOOKUP(交易處理資料__3[[#This Row],[人員代號]],團隊分組!$B$1:$C$52,2,FALSE)</f>
        <v>噴漆維修組</v>
      </c>
      <c r="N3188" t="str">
        <f>IF(交易處理資料__3[[#This Row],[上班時間]]=0,"否","是")</f>
        <v>是</v>
      </c>
      <c r="O3188" s="10" t="s">
        <v>74</v>
      </c>
      <c r="P3188" s="37">
        <v>0.46064139939999998</v>
      </c>
      <c r="Q3188" s="37">
        <v>0.39250000000000002</v>
      </c>
      <c r="R3188" s="37">
        <v>0.46579999999999999</v>
      </c>
    </row>
    <row r="3189" spans="1:18" hidden="1">
      <c r="A3189" s="10" t="s">
        <v>74</v>
      </c>
      <c r="B3189" t="s">
        <v>5</v>
      </c>
      <c r="C3189">
        <v>0</v>
      </c>
      <c r="D3189">
        <v>0</v>
      </c>
      <c r="E3189" s="29">
        <v>0</v>
      </c>
      <c r="F3189">
        <v>6.72</v>
      </c>
      <c r="G3189">
        <v>1.29</v>
      </c>
      <c r="H3189">
        <v>8.01</v>
      </c>
      <c r="I3189" s="29">
        <v>0.83900000000000008</v>
      </c>
      <c r="J3189" s="29">
        <v>0</v>
      </c>
      <c r="K3189" s="9">
        <v>45373</v>
      </c>
      <c r="L3189">
        <f xml:space="preserve"> (交易處理資料__3[[#This Row],[售出工時]] * 60) / 5</f>
        <v>0</v>
      </c>
      <c r="M3189" t="str">
        <f>VLOOKUP(交易處理資料__3[[#This Row],[人員代號]],團隊分組!$B$1:$C$52,2,FALSE)</f>
        <v>噴漆維修組</v>
      </c>
      <c r="N3189" t="str">
        <f>IF(交易處理資料__3[[#This Row],[上班時間]]=0,"否","是")</f>
        <v>是</v>
      </c>
      <c r="O3189" s="10" t="s">
        <v>74</v>
      </c>
      <c r="P3189" s="38">
        <v>0</v>
      </c>
      <c r="Q3189" s="38">
        <v>0</v>
      </c>
      <c r="R3189" s="38">
        <v>0.83900000000000008</v>
      </c>
    </row>
    <row r="3190" spans="1:18">
      <c r="A3190" s="10" t="s">
        <v>74</v>
      </c>
      <c r="B3190" t="s">
        <v>7</v>
      </c>
      <c r="C3190">
        <v>1.56</v>
      </c>
      <c r="D3190">
        <v>3.92</v>
      </c>
      <c r="E3190" s="29">
        <v>0.39795918370000005</v>
      </c>
      <c r="F3190">
        <v>6.69</v>
      </c>
      <c r="G3190">
        <v>1.32</v>
      </c>
      <c r="H3190">
        <v>8.01</v>
      </c>
      <c r="I3190" s="29">
        <v>0.83519999999999994</v>
      </c>
      <c r="J3190" s="29">
        <v>0.1948</v>
      </c>
      <c r="K3190" s="9">
        <v>45373</v>
      </c>
      <c r="L3190">
        <f xml:space="preserve"> (交易處理資料__3[[#This Row],[售出工時]] * 60) / 5</f>
        <v>18.720000000000002</v>
      </c>
      <c r="M3190" t="str">
        <f>VLOOKUP(交易處理資料__3[[#This Row],[人員代號]],團隊分組!$B$1:$C$52,2,FALSE)</f>
        <v>噴漆維修組</v>
      </c>
      <c r="N3190" t="str">
        <f>IF(交易處理資料__3[[#This Row],[上班時間]]=0,"否","是")</f>
        <v>是</v>
      </c>
      <c r="O3190" s="10" t="s">
        <v>74</v>
      </c>
      <c r="P3190" s="37">
        <v>0.39795918370000005</v>
      </c>
      <c r="Q3190" s="37">
        <v>0.1948</v>
      </c>
      <c r="R3190" s="37">
        <v>0.83519999999999994</v>
      </c>
    </row>
    <row r="3191" spans="1:18" hidden="1">
      <c r="A3191" t="s">
        <v>75</v>
      </c>
      <c r="B3191" t="s">
        <v>11</v>
      </c>
      <c r="C3191">
        <v>13.33333333</v>
      </c>
      <c r="D3191">
        <v>3.49</v>
      </c>
      <c r="E3191" s="29">
        <v>3.8204393510000001</v>
      </c>
      <c r="F3191">
        <v>3.75</v>
      </c>
      <c r="G3191">
        <v>4.29</v>
      </c>
      <c r="H3191">
        <v>8.0399999999999991</v>
      </c>
      <c r="I3191" s="29">
        <v>0.46639999999999998</v>
      </c>
      <c r="J3191" s="29">
        <v>1.6584000000000001</v>
      </c>
      <c r="K3191" s="9">
        <v>45373</v>
      </c>
      <c r="L3191">
        <f xml:space="preserve"> (交易處理資料__3[[#This Row],[售出工時]] * 60) / 5</f>
        <v>159.99999996000003</v>
      </c>
      <c r="M3191" t="str">
        <f>VLOOKUP(交易處理資料__3[[#This Row],[人員代號]],團隊分組!$B$1:$C$52,2,FALSE)</f>
        <v>鈑金維修組</v>
      </c>
      <c r="N3191" t="str">
        <f>IF(交易處理資料__3[[#This Row],[上班時間]]=0,"否","是")</f>
        <v>是</v>
      </c>
      <c r="O3191" t="s">
        <v>75</v>
      </c>
      <c r="P3191" s="38">
        <v>3.8204393510000001</v>
      </c>
      <c r="Q3191" s="38">
        <v>1.6584000000000001</v>
      </c>
      <c r="R3191" s="38">
        <v>0.46639999999999998</v>
      </c>
    </row>
    <row r="3192" spans="1:18" hidden="1">
      <c r="A3192" t="s">
        <v>75</v>
      </c>
      <c r="B3192" t="s">
        <v>14</v>
      </c>
      <c r="C3192">
        <v>3.253333333</v>
      </c>
      <c r="D3192">
        <v>3.36</v>
      </c>
      <c r="E3192" s="29">
        <v>0.96825396829999999</v>
      </c>
      <c r="F3192">
        <v>7.35</v>
      </c>
      <c r="G3192">
        <v>0.68</v>
      </c>
      <c r="H3192">
        <v>8.0299999999999994</v>
      </c>
      <c r="I3192" s="29">
        <v>0.9153</v>
      </c>
      <c r="J3192" s="29">
        <v>0.40509999999999996</v>
      </c>
      <c r="K3192" s="9">
        <v>45373</v>
      </c>
      <c r="L3192">
        <f xml:space="preserve"> (交易處理資料__3[[#This Row],[售出工時]] * 60) / 5</f>
        <v>39.039999995999999</v>
      </c>
      <c r="M3192" t="str">
        <f>VLOOKUP(交易處理資料__3[[#This Row],[人員代號]],團隊分組!$B$1:$C$52,2,FALSE)</f>
        <v>鈑金維修組</v>
      </c>
      <c r="N3192" t="str">
        <f>IF(交易處理資料__3[[#This Row],[上班時間]]=0,"否","是")</f>
        <v>是</v>
      </c>
      <c r="O3192" t="s">
        <v>75</v>
      </c>
      <c r="P3192" s="37">
        <v>0.96825396829999999</v>
      </c>
      <c r="Q3192" s="37">
        <v>0.40509999999999996</v>
      </c>
      <c r="R3192" s="37">
        <v>0.9153</v>
      </c>
    </row>
    <row r="3193" spans="1:18" hidden="1">
      <c r="A3193" t="s">
        <v>76</v>
      </c>
      <c r="B3193" t="s">
        <v>20</v>
      </c>
      <c r="C3193">
        <v>0.93</v>
      </c>
      <c r="D3193">
        <v>2.2200000000000002</v>
      </c>
      <c r="E3193" s="29">
        <v>0.41891891889999999</v>
      </c>
      <c r="F3193">
        <v>8.1300000000000008</v>
      </c>
      <c r="G3193">
        <v>1.96</v>
      </c>
      <c r="H3193">
        <v>10.09</v>
      </c>
      <c r="I3193" s="29">
        <v>0.80569999999999997</v>
      </c>
      <c r="J3193" s="29">
        <v>9.2200000000000004E-2</v>
      </c>
      <c r="K3193" s="9">
        <v>45373</v>
      </c>
      <c r="L3193">
        <f xml:space="preserve"> (交易處理資料__3[[#This Row],[售出工時]] * 60) / 5</f>
        <v>11.16</v>
      </c>
      <c r="M3193" t="str">
        <f>VLOOKUP(交易處理資料__3[[#This Row],[人員代號]],團隊分組!$B$1:$C$52,2,FALSE)</f>
        <v>查修團隊B</v>
      </c>
      <c r="N3193" t="str">
        <f>IF(交易處理資料__3[[#This Row],[上班時間]]=0,"否","是")</f>
        <v>是</v>
      </c>
      <c r="O3193" t="s">
        <v>76</v>
      </c>
      <c r="P3193" s="38">
        <v>0.41891891889999999</v>
      </c>
      <c r="Q3193" s="38">
        <v>9.2200000000000004E-2</v>
      </c>
      <c r="R3193" s="38">
        <v>0.80569999999999997</v>
      </c>
    </row>
    <row r="3194" spans="1:18" hidden="1">
      <c r="A3194" t="s">
        <v>76</v>
      </c>
      <c r="B3194" t="s">
        <v>22</v>
      </c>
      <c r="C3194">
        <v>12.91666667</v>
      </c>
      <c r="D3194">
        <v>6.6</v>
      </c>
      <c r="E3194" s="29">
        <v>1.957070707</v>
      </c>
      <c r="F3194">
        <v>7.28</v>
      </c>
      <c r="G3194">
        <v>0.72</v>
      </c>
      <c r="H3194">
        <v>8</v>
      </c>
      <c r="I3194" s="29">
        <v>0.91</v>
      </c>
      <c r="J3194" s="29">
        <v>1.6146</v>
      </c>
      <c r="K3194" s="9">
        <v>45373</v>
      </c>
      <c r="L3194">
        <f xml:space="preserve"> (交易處理資料__3[[#This Row],[售出工時]] * 60) / 5</f>
        <v>155.00000003999997</v>
      </c>
      <c r="M3194" t="str">
        <f>VLOOKUP(交易處理資料__3[[#This Row],[人員代號]],團隊分組!$B$1:$C$52,2,FALSE)</f>
        <v>快速保養團隊A</v>
      </c>
      <c r="N3194" t="str">
        <f>IF(交易處理資料__3[[#This Row],[上班時間]]=0,"否","是")</f>
        <v>是</v>
      </c>
      <c r="O3194" t="s">
        <v>76</v>
      </c>
      <c r="P3194" s="37">
        <v>1.957070707</v>
      </c>
      <c r="Q3194" s="37">
        <v>1.6146</v>
      </c>
      <c r="R3194" s="37">
        <v>0.91</v>
      </c>
    </row>
    <row r="3195" spans="1:18" hidden="1">
      <c r="A3195" t="s">
        <v>76</v>
      </c>
      <c r="B3195" t="s">
        <v>42</v>
      </c>
      <c r="C3195">
        <v>10.66666667</v>
      </c>
      <c r="D3195">
        <v>6.82</v>
      </c>
      <c r="E3195" s="29">
        <v>1.56402737</v>
      </c>
      <c r="F3195">
        <v>7.32</v>
      </c>
      <c r="G3195">
        <v>0.67</v>
      </c>
      <c r="H3195">
        <v>7.99</v>
      </c>
      <c r="I3195" s="29">
        <v>0.91610000000000003</v>
      </c>
      <c r="J3195" s="29">
        <v>1.335</v>
      </c>
      <c r="K3195" s="9">
        <v>45373</v>
      </c>
      <c r="L3195">
        <f xml:space="preserve"> (交易處理資料__3[[#This Row],[售出工時]] * 60) / 5</f>
        <v>128.00000003999997</v>
      </c>
      <c r="M3195" t="str">
        <f>VLOOKUP(交易處理資料__3[[#This Row],[人員代號]],團隊分組!$B$1:$C$52,2,FALSE)</f>
        <v>快速保養團隊A</v>
      </c>
      <c r="N3195" t="str">
        <f>IF(交易處理資料__3[[#This Row],[上班時間]]=0,"否","是")</f>
        <v>是</v>
      </c>
      <c r="O3195" t="s">
        <v>76</v>
      </c>
      <c r="P3195" s="38">
        <v>1.56402737</v>
      </c>
      <c r="Q3195" s="38">
        <v>1.335</v>
      </c>
      <c r="R3195" s="38">
        <v>0.91610000000000003</v>
      </c>
    </row>
    <row r="3196" spans="1:18" hidden="1">
      <c r="A3196" t="s">
        <v>76</v>
      </c>
      <c r="B3196" t="s">
        <v>44</v>
      </c>
      <c r="C3196">
        <v>4.8333333329999997</v>
      </c>
      <c r="D3196">
        <v>2.4500000000000002</v>
      </c>
      <c r="E3196" s="29">
        <v>1.972789116</v>
      </c>
      <c r="F3196">
        <v>5.57</v>
      </c>
      <c r="G3196">
        <v>2.58</v>
      </c>
      <c r="H3196">
        <v>8.15</v>
      </c>
      <c r="I3196" s="29">
        <v>0.68340000000000001</v>
      </c>
      <c r="J3196" s="29">
        <v>0.59299999999999997</v>
      </c>
      <c r="K3196" s="9">
        <v>45373</v>
      </c>
      <c r="L3196">
        <f xml:space="preserve"> (交易處理資料__3[[#This Row],[售出工時]] * 60) / 5</f>
        <v>57.999999996</v>
      </c>
      <c r="M3196" t="str">
        <f>VLOOKUP(交易處理資料__3[[#This Row],[人員代號]],團隊分組!$B$1:$C$52,2,FALSE)</f>
        <v>快速保養團隊B</v>
      </c>
      <c r="N3196" t="str">
        <f>IF(交易處理資料__3[[#This Row],[上班時間]]=0,"否","是")</f>
        <v>是</v>
      </c>
      <c r="O3196" t="s">
        <v>76</v>
      </c>
      <c r="P3196" s="37">
        <v>1.972789116</v>
      </c>
      <c r="Q3196" s="37">
        <v>0.59299999999999997</v>
      </c>
      <c r="R3196" s="37">
        <v>0.68340000000000001</v>
      </c>
    </row>
    <row r="3197" spans="1:18" hidden="1">
      <c r="A3197" t="s">
        <v>76</v>
      </c>
      <c r="B3197" t="s">
        <v>45</v>
      </c>
      <c r="C3197">
        <v>14.5</v>
      </c>
      <c r="D3197">
        <v>7.34</v>
      </c>
      <c r="E3197" s="29">
        <v>1.9754768390000002</v>
      </c>
      <c r="F3197">
        <v>7.39</v>
      </c>
      <c r="G3197">
        <v>0.52</v>
      </c>
      <c r="H3197">
        <v>7.91</v>
      </c>
      <c r="I3197" s="29">
        <v>0.93430000000000002</v>
      </c>
      <c r="J3197" s="29">
        <v>1.8331</v>
      </c>
      <c r="K3197" s="9">
        <v>45373</v>
      </c>
      <c r="L3197">
        <f xml:space="preserve"> (交易處理資料__3[[#This Row],[售出工時]] * 60) / 5</f>
        <v>174</v>
      </c>
      <c r="M3197" t="str">
        <f>VLOOKUP(交易處理資料__3[[#This Row],[人員代號]],團隊分組!$B$1:$C$52,2,FALSE)</f>
        <v>快速保養團隊A</v>
      </c>
      <c r="N3197" t="str">
        <f>IF(交易處理資料__3[[#This Row],[上班時間]]=0,"否","是")</f>
        <v>是</v>
      </c>
      <c r="O3197" t="s">
        <v>76</v>
      </c>
      <c r="P3197" s="38">
        <v>1.9754768390000002</v>
      </c>
      <c r="Q3197" s="38">
        <v>1.8331</v>
      </c>
      <c r="R3197" s="38">
        <v>0.93430000000000002</v>
      </c>
    </row>
    <row r="3198" spans="1:18" hidden="1">
      <c r="A3198" t="s">
        <v>76</v>
      </c>
      <c r="B3198" t="s">
        <v>51</v>
      </c>
      <c r="C3198">
        <v>0</v>
      </c>
      <c r="D3198">
        <v>0</v>
      </c>
      <c r="E3198" s="29">
        <v>0</v>
      </c>
      <c r="F3198">
        <v>0</v>
      </c>
      <c r="G3198">
        <v>0</v>
      </c>
      <c r="H3198">
        <v>0</v>
      </c>
      <c r="I3198" s="29">
        <v>0</v>
      </c>
      <c r="J3198" s="29">
        <v>0</v>
      </c>
      <c r="K3198" s="9">
        <v>45373</v>
      </c>
      <c r="L3198">
        <f xml:space="preserve"> (交易處理資料__3[[#This Row],[售出工時]] * 60) / 5</f>
        <v>0</v>
      </c>
      <c r="M3198" t="str">
        <f>VLOOKUP(交易處理資料__3[[#This Row],[人員代號]],團隊分組!$B$1:$C$52,2,FALSE)</f>
        <v>無效數據</v>
      </c>
      <c r="N3198" t="str">
        <f>IF(交易處理資料__3[[#This Row],[上班時間]]=0,"否","是")</f>
        <v>否</v>
      </c>
      <c r="O3198" t="s">
        <v>76</v>
      </c>
      <c r="P3198" s="37">
        <v>0</v>
      </c>
      <c r="Q3198" s="37">
        <v>0</v>
      </c>
      <c r="R3198" s="37">
        <v>0</v>
      </c>
    </row>
    <row r="3199" spans="1:18" hidden="1">
      <c r="A3199" t="s">
        <v>76</v>
      </c>
      <c r="B3199" t="s">
        <v>52</v>
      </c>
      <c r="C3199">
        <v>2.4166666669999999</v>
      </c>
      <c r="D3199">
        <v>4.4400000000000004</v>
      </c>
      <c r="E3199" s="29">
        <v>0.54429429429999998</v>
      </c>
      <c r="F3199">
        <v>6.53</v>
      </c>
      <c r="G3199">
        <v>1.56</v>
      </c>
      <c r="H3199">
        <v>8.09</v>
      </c>
      <c r="I3199" s="29">
        <v>0.80720000000000003</v>
      </c>
      <c r="J3199" s="29">
        <v>0.29870000000000002</v>
      </c>
      <c r="K3199" s="9">
        <v>45373</v>
      </c>
      <c r="L3199">
        <f xml:space="preserve"> (交易處理資料__3[[#This Row],[售出工時]] * 60) / 5</f>
        <v>29.000000003999997</v>
      </c>
      <c r="M3199" t="str">
        <f>VLOOKUP(交易處理資料__3[[#This Row],[人員代號]],團隊分組!$B$1:$C$52,2,FALSE)</f>
        <v>查修團隊B</v>
      </c>
      <c r="N3199" t="str">
        <f>IF(交易處理資料__3[[#This Row],[上班時間]]=0,"否","是")</f>
        <v>是</v>
      </c>
      <c r="O3199" t="s">
        <v>76</v>
      </c>
      <c r="P3199" s="38">
        <v>0.54429429429999998</v>
      </c>
      <c r="Q3199" s="38">
        <v>0.29870000000000002</v>
      </c>
      <c r="R3199" s="38">
        <v>0.80720000000000003</v>
      </c>
    </row>
    <row r="3200" spans="1:18" hidden="1">
      <c r="A3200" s="10" t="s">
        <v>74</v>
      </c>
      <c r="B3200" t="s">
        <v>2</v>
      </c>
      <c r="C3200">
        <v>0</v>
      </c>
      <c r="D3200">
        <v>0</v>
      </c>
      <c r="E3200" s="29">
        <v>0</v>
      </c>
      <c r="F3200">
        <v>0</v>
      </c>
      <c r="G3200">
        <v>0</v>
      </c>
      <c r="H3200">
        <v>0</v>
      </c>
      <c r="I3200" s="29">
        <v>0</v>
      </c>
      <c r="J3200" s="29">
        <v>0</v>
      </c>
      <c r="K3200" s="9">
        <v>45374</v>
      </c>
      <c r="L3200">
        <f xml:space="preserve"> (交易處理資料__3[[#This Row],[售出工時]] * 60) / 5</f>
        <v>0</v>
      </c>
      <c r="M3200" t="str">
        <f>VLOOKUP(交易處理資料__3[[#This Row],[人員代號]],團隊分組!$B$1:$C$52,2,FALSE)</f>
        <v>噴漆維修組</v>
      </c>
      <c r="N3200" t="str">
        <f>IF(交易處理資料__3[[#This Row],[上班時間]]=0,"否","是")</f>
        <v>否</v>
      </c>
      <c r="O3200" s="10" t="s">
        <v>74</v>
      </c>
      <c r="P3200" s="37">
        <v>0</v>
      </c>
      <c r="Q3200" s="37">
        <v>0</v>
      </c>
      <c r="R3200" s="37">
        <v>0</v>
      </c>
    </row>
    <row r="3201" spans="1:18" hidden="1">
      <c r="A3201" s="10" t="s">
        <v>74</v>
      </c>
      <c r="B3201" t="s">
        <v>3</v>
      </c>
      <c r="C3201">
        <v>0</v>
      </c>
      <c r="D3201">
        <v>0</v>
      </c>
      <c r="E3201" s="29">
        <v>0</v>
      </c>
      <c r="F3201">
        <v>0</v>
      </c>
      <c r="G3201">
        <v>0</v>
      </c>
      <c r="H3201">
        <v>0</v>
      </c>
      <c r="I3201" s="29">
        <v>0</v>
      </c>
      <c r="J3201" s="29">
        <v>0</v>
      </c>
      <c r="K3201" s="9">
        <v>45374</v>
      </c>
      <c r="L3201">
        <f xml:space="preserve"> (交易處理資料__3[[#This Row],[售出工時]] * 60) / 5</f>
        <v>0</v>
      </c>
      <c r="M3201" t="str">
        <f>VLOOKUP(交易處理資料__3[[#This Row],[人員代號]],團隊分組!$B$1:$C$52,2,FALSE)</f>
        <v>噴漆維修組</v>
      </c>
      <c r="N3201" t="str">
        <f>IF(交易處理資料__3[[#This Row],[上班時間]]=0,"否","是")</f>
        <v>否</v>
      </c>
      <c r="O3201" s="10" t="s">
        <v>74</v>
      </c>
      <c r="P3201" s="38">
        <v>0</v>
      </c>
      <c r="Q3201" s="38">
        <v>0</v>
      </c>
      <c r="R3201" s="38">
        <v>0</v>
      </c>
    </row>
    <row r="3202" spans="1:18" hidden="1">
      <c r="A3202" s="10" t="s">
        <v>74</v>
      </c>
      <c r="B3202" t="s">
        <v>4</v>
      </c>
      <c r="C3202">
        <v>0</v>
      </c>
      <c r="D3202">
        <v>0</v>
      </c>
      <c r="E3202" s="29">
        <v>0</v>
      </c>
      <c r="F3202">
        <v>0</v>
      </c>
      <c r="G3202">
        <v>0</v>
      </c>
      <c r="H3202">
        <v>0</v>
      </c>
      <c r="I3202" s="29">
        <v>0</v>
      </c>
      <c r="J3202" s="29">
        <v>0</v>
      </c>
      <c r="K3202" s="9">
        <v>45374</v>
      </c>
      <c r="L3202">
        <f xml:space="preserve"> (交易處理資料__3[[#This Row],[售出工時]] * 60) / 5</f>
        <v>0</v>
      </c>
      <c r="M3202" t="str">
        <f>VLOOKUP(交易處理資料__3[[#This Row],[人員代號]],團隊分組!$B$1:$C$52,2,FALSE)</f>
        <v>噴漆維修組</v>
      </c>
      <c r="N3202" t="str">
        <f>IF(交易處理資料__3[[#This Row],[上班時間]]=0,"否","是")</f>
        <v>否</v>
      </c>
      <c r="O3202" s="10" t="s">
        <v>74</v>
      </c>
      <c r="P3202" s="37">
        <v>0</v>
      </c>
      <c r="Q3202" s="37">
        <v>0</v>
      </c>
      <c r="R3202" s="37">
        <v>0</v>
      </c>
    </row>
    <row r="3203" spans="1:18" hidden="1">
      <c r="A3203" s="10" t="s">
        <v>74</v>
      </c>
      <c r="B3203" t="s">
        <v>5</v>
      </c>
      <c r="C3203">
        <v>2.12</v>
      </c>
      <c r="D3203">
        <v>4.7</v>
      </c>
      <c r="E3203" s="29">
        <v>0.45106382979999998</v>
      </c>
      <c r="F3203">
        <v>5.58</v>
      </c>
      <c r="G3203">
        <v>2.36</v>
      </c>
      <c r="H3203">
        <v>7.94</v>
      </c>
      <c r="I3203" s="29">
        <v>0.70279999999999998</v>
      </c>
      <c r="J3203" s="29">
        <v>0.26700000000000002</v>
      </c>
      <c r="K3203" s="9">
        <v>45374</v>
      </c>
      <c r="L3203">
        <f xml:space="preserve"> (交易處理資料__3[[#This Row],[售出工時]] * 60) / 5</f>
        <v>25.44</v>
      </c>
      <c r="M3203" t="str">
        <f>VLOOKUP(交易處理資料__3[[#This Row],[人員代號]],團隊分組!$B$1:$C$52,2,FALSE)</f>
        <v>噴漆維修組</v>
      </c>
      <c r="N3203" t="str">
        <f>IF(交易處理資料__3[[#This Row],[上班時間]]=0,"否","是")</f>
        <v>是</v>
      </c>
      <c r="O3203" s="10" t="s">
        <v>74</v>
      </c>
      <c r="P3203" s="38">
        <v>0.45106382979999998</v>
      </c>
      <c r="Q3203" s="38">
        <v>0.26700000000000002</v>
      </c>
      <c r="R3203" s="38">
        <v>0.70279999999999998</v>
      </c>
    </row>
    <row r="3204" spans="1:18" hidden="1">
      <c r="A3204" s="10" t="s">
        <v>74</v>
      </c>
      <c r="B3204" t="s">
        <v>6</v>
      </c>
      <c r="C3204">
        <v>0</v>
      </c>
      <c r="D3204">
        <v>0</v>
      </c>
      <c r="E3204" s="29">
        <v>0</v>
      </c>
      <c r="F3204">
        <v>5.56</v>
      </c>
      <c r="G3204">
        <v>2.38</v>
      </c>
      <c r="H3204">
        <v>7.94</v>
      </c>
      <c r="I3204" s="29">
        <v>0.70030000000000003</v>
      </c>
      <c r="J3204" s="29">
        <v>0</v>
      </c>
      <c r="K3204" s="9">
        <v>45374</v>
      </c>
      <c r="L3204">
        <f xml:space="preserve"> (交易處理資料__3[[#This Row],[售出工時]] * 60) / 5</f>
        <v>0</v>
      </c>
      <c r="M3204" t="str">
        <f>VLOOKUP(交易處理資料__3[[#This Row],[人員代號]],團隊分組!$B$1:$C$52,2,FALSE)</f>
        <v>噴漆維修組</v>
      </c>
      <c r="N3204" t="str">
        <f>IF(交易處理資料__3[[#This Row],[上班時間]]=0,"否","是")</f>
        <v>是</v>
      </c>
      <c r="O3204" s="10" t="s">
        <v>74</v>
      </c>
      <c r="P3204" s="37">
        <v>0</v>
      </c>
      <c r="Q3204" s="37">
        <v>0</v>
      </c>
      <c r="R3204" s="37">
        <v>0.70030000000000003</v>
      </c>
    </row>
    <row r="3205" spans="1:18">
      <c r="A3205" s="10" t="s">
        <v>74</v>
      </c>
      <c r="B3205" t="s">
        <v>7</v>
      </c>
      <c r="C3205">
        <v>2.2966666670000002</v>
      </c>
      <c r="D3205">
        <v>4.92</v>
      </c>
      <c r="E3205" s="29">
        <v>0.46680216799999996</v>
      </c>
      <c r="F3205">
        <v>5.58</v>
      </c>
      <c r="G3205">
        <v>2.36</v>
      </c>
      <c r="H3205">
        <v>7.94</v>
      </c>
      <c r="I3205" s="29">
        <v>0.70279999999999998</v>
      </c>
      <c r="J3205" s="29">
        <v>0.2893</v>
      </c>
      <c r="K3205" s="9">
        <v>45374</v>
      </c>
      <c r="L3205">
        <f xml:space="preserve"> (交易處理資料__3[[#This Row],[售出工時]] * 60) / 5</f>
        <v>27.560000004000006</v>
      </c>
      <c r="M3205" t="str">
        <f>VLOOKUP(交易處理資料__3[[#This Row],[人員代號]],團隊分組!$B$1:$C$52,2,FALSE)</f>
        <v>噴漆維修組</v>
      </c>
      <c r="N3205" t="str">
        <f>IF(交易處理資料__3[[#This Row],[上班時間]]=0,"否","是")</f>
        <v>是</v>
      </c>
      <c r="O3205" s="10" t="s">
        <v>74</v>
      </c>
      <c r="P3205" s="38">
        <v>0.46680216799999996</v>
      </c>
      <c r="Q3205" s="38">
        <v>0.2893</v>
      </c>
      <c r="R3205" s="38">
        <v>0.70279999999999998</v>
      </c>
    </row>
    <row r="3206" spans="1:18" hidden="1">
      <c r="A3206" s="10" t="s">
        <v>74</v>
      </c>
      <c r="B3206" t="s">
        <v>8</v>
      </c>
      <c r="C3206">
        <v>0</v>
      </c>
      <c r="D3206">
        <v>0</v>
      </c>
      <c r="E3206" s="29">
        <v>0</v>
      </c>
      <c r="F3206">
        <v>0</v>
      </c>
      <c r="G3206">
        <v>0</v>
      </c>
      <c r="H3206">
        <v>0</v>
      </c>
      <c r="I3206" s="29">
        <v>0</v>
      </c>
      <c r="J3206" s="29">
        <v>0</v>
      </c>
      <c r="K3206" s="9">
        <v>45374</v>
      </c>
      <c r="L3206">
        <f xml:space="preserve"> (交易處理資料__3[[#This Row],[售出工時]] * 60) / 5</f>
        <v>0</v>
      </c>
      <c r="M3206" t="str">
        <f>VLOOKUP(交易處理資料__3[[#This Row],[人員代號]],團隊分組!$B$1:$C$52,2,FALSE)</f>
        <v>噴漆維修組</v>
      </c>
      <c r="N3206" t="str">
        <f>IF(交易處理資料__3[[#This Row],[上班時間]]=0,"否","是")</f>
        <v>否</v>
      </c>
      <c r="O3206" s="10" t="s">
        <v>74</v>
      </c>
      <c r="P3206" s="37">
        <v>0</v>
      </c>
      <c r="Q3206" s="37">
        <v>0</v>
      </c>
      <c r="R3206" s="37">
        <v>0</v>
      </c>
    </row>
    <row r="3207" spans="1:18" hidden="1">
      <c r="A3207" t="s">
        <v>75</v>
      </c>
      <c r="B3207" t="s">
        <v>13</v>
      </c>
      <c r="C3207">
        <v>0</v>
      </c>
      <c r="D3207">
        <v>0</v>
      </c>
      <c r="E3207" s="29">
        <v>0</v>
      </c>
      <c r="F3207">
        <v>0</v>
      </c>
      <c r="G3207">
        <v>0</v>
      </c>
      <c r="H3207">
        <v>0</v>
      </c>
      <c r="I3207" s="29">
        <v>0</v>
      </c>
      <c r="J3207" s="29">
        <v>0</v>
      </c>
      <c r="K3207" s="9">
        <v>45374</v>
      </c>
      <c r="L3207">
        <f xml:space="preserve"> (交易處理資料__3[[#This Row],[售出工時]] * 60) / 5</f>
        <v>0</v>
      </c>
      <c r="M3207" t="str">
        <f>VLOOKUP(交易處理資料__3[[#This Row],[人員代號]],團隊分組!$B$1:$C$52,2,FALSE)</f>
        <v>鈑金維修組</v>
      </c>
      <c r="N3207" t="str">
        <f>IF(交易處理資料__3[[#This Row],[上班時間]]=0,"否","是")</f>
        <v>否</v>
      </c>
      <c r="O3207" t="s">
        <v>75</v>
      </c>
      <c r="P3207" s="38">
        <v>0</v>
      </c>
      <c r="Q3207" s="38">
        <v>0</v>
      </c>
      <c r="R3207" s="38">
        <v>0</v>
      </c>
    </row>
    <row r="3208" spans="1:18" hidden="1">
      <c r="A3208" t="s">
        <v>75</v>
      </c>
      <c r="B3208" t="s">
        <v>14</v>
      </c>
      <c r="C3208">
        <v>0</v>
      </c>
      <c r="D3208">
        <v>0</v>
      </c>
      <c r="E3208" s="29">
        <v>0</v>
      </c>
      <c r="F3208">
        <v>0</v>
      </c>
      <c r="G3208">
        <v>0</v>
      </c>
      <c r="H3208">
        <v>0</v>
      </c>
      <c r="I3208" s="29">
        <v>0</v>
      </c>
      <c r="J3208" s="29">
        <v>0</v>
      </c>
      <c r="K3208" s="9">
        <v>45374</v>
      </c>
      <c r="L3208">
        <f xml:space="preserve"> (交易處理資料__3[[#This Row],[售出工時]] * 60) / 5</f>
        <v>0</v>
      </c>
      <c r="M3208" t="str">
        <f>VLOOKUP(交易處理資料__3[[#This Row],[人員代號]],團隊分組!$B$1:$C$52,2,FALSE)</f>
        <v>鈑金維修組</v>
      </c>
      <c r="N3208" t="str">
        <f>IF(交易處理資料__3[[#This Row],[上班時間]]=0,"否","是")</f>
        <v>否</v>
      </c>
      <c r="O3208" t="s">
        <v>75</v>
      </c>
      <c r="P3208" s="37">
        <v>0</v>
      </c>
      <c r="Q3208" s="37">
        <v>0</v>
      </c>
      <c r="R3208" s="37">
        <v>0</v>
      </c>
    </row>
    <row r="3209" spans="1:18" hidden="1">
      <c r="A3209" t="s">
        <v>75</v>
      </c>
      <c r="B3209" t="s">
        <v>15</v>
      </c>
      <c r="C3209">
        <v>0</v>
      </c>
      <c r="D3209">
        <v>0</v>
      </c>
      <c r="E3209" s="29">
        <v>0</v>
      </c>
      <c r="F3209">
        <v>0</v>
      </c>
      <c r="G3209">
        <v>0</v>
      </c>
      <c r="H3209">
        <v>0</v>
      </c>
      <c r="I3209" s="29">
        <v>0</v>
      </c>
      <c r="J3209" s="29">
        <v>0</v>
      </c>
      <c r="K3209" s="9">
        <v>45374</v>
      </c>
      <c r="L3209">
        <f xml:space="preserve"> (交易處理資料__3[[#This Row],[售出工時]] * 60) / 5</f>
        <v>0</v>
      </c>
      <c r="M3209" t="str">
        <f>VLOOKUP(交易處理資料__3[[#This Row],[人員代號]],團隊分組!$B$1:$C$52,2,FALSE)</f>
        <v>鈑金維修組</v>
      </c>
      <c r="N3209" t="str">
        <f>IF(交易處理資料__3[[#This Row],[上班時間]]=0,"否","是")</f>
        <v>否</v>
      </c>
      <c r="O3209" t="s">
        <v>75</v>
      </c>
      <c r="P3209" s="38">
        <v>0</v>
      </c>
      <c r="Q3209" s="38">
        <v>0</v>
      </c>
      <c r="R3209" s="38">
        <v>0</v>
      </c>
    </row>
    <row r="3210" spans="1:18" hidden="1">
      <c r="A3210" t="s">
        <v>76</v>
      </c>
      <c r="B3210" t="s">
        <v>17</v>
      </c>
      <c r="C3210">
        <v>7.11</v>
      </c>
      <c r="D3210">
        <v>6.37</v>
      </c>
      <c r="E3210" s="29">
        <v>1.116169545</v>
      </c>
      <c r="F3210">
        <v>5.77</v>
      </c>
      <c r="G3210">
        <v>2.23</v>
      </c>
      <c r="H3210">
        <v>8</v>
      </c>
      <c r="I3210" s="29">
        <v>0.72129999999999994</v>
      </c>
      <c r="J3210" s="29">
        <v>0.88879999999999992</v>
      </c>
      <c r="K3210" s="9">
        <v>45374</v>
      </c>
      <c r="L3210">
        <f xml:space="preserve"> (交易處理資料__3[[#This Row],[售出工時]] * 60) / 5</f>
        <v>85.320000000000007</v>
      </c>
      <c r="M3210" t="str">
        <f>VLOOKUP(交易處理資料__3[[#This Row],[人員代號]],團隊分組!$B$1:$C$52,2,FALSE)</f>
        <v>快速保養團隊A</v>
      </c>
      <c r="N3210" t="str">
        <f>IF(交易處理資料__3[[#This Row],[上班時間]]=0,"否","是")</f>
        <v>是</v>
      </c>
      <c r="O3210" t="s">
        <v>76</v>
      </c>
      <c r="P3210" s="37">
        <v>1.116169545</v>
      </c>
      <c r="Q3210" s="37">
        <v>0.88879999999999992</v>
      </c>
      <c r="R3210" s="37">
        <v>0.72129999999999994</v>
      </c>
    </row>
    <row r="3211" spans="1:18" hidden="1">
      <c r="A3211" t="s">
        <v>76</v>
      </c>
      <c r="B3211" t="s">
        <v>18</v>
      </c>
      <c r="C3211">
        <v>0.95</v>
      </c>
      <c r="D3211">
        <v>1.65</v>
      </c>
      <c r="E3211" s="29">
        <v>0.57575757579999998</v>
      </c>
      <c r="F3211">
        <v>5.95</v>
      </c>
      <c r="G3211">
        <v>2.02</v>
      </c>
      <c r="H3211">
        <v>7.97</v>
      </c>
      <c r="I3211" s="29">
        <v>0.74650000000000005</v>
      </c>
      <c r="J3211" s="29">
        <v>0.1192</v>
      </c>
      <c r="K3211" s="9">
        <v>45374</v>
      </c>
      <c r="L3211">
        <f xml:space="preserve"> (交易處理資料__3[[#This Row],[售出工時]] * 60) / 5</f>
        <v>11.4</v>
      </c>
      <c r="M3211" t="str">
        <f>VLOOKUP(交易處理資料__3[[#This Row],[人員代號]],團隊分組!$B$1:$C$52,2,FALSE)</f>
        <v>查修團隊B</v>
      </c>
      <c r="N3211" t="str">
        <f>IF(交易處理資料__3[[#This Row],[上班時間]]=0,"否","是")</f>
        <v>是</v>
      </c>
      <c r="O3211" t="s">
        <v>76</v>
      </c>
      <c r="P3211" s="38">
        <v>0.57575757579999998</v>
      </c>
      <c r="Q3211" s="38">
        <v>0.1192</v>
      </c>
      <c r="R3211" s="38">
        <v>0.74650000000000005</v>
      </c>
    </row>
    <row r="3212" spans="1:18" hidden="1">
      <c r="A3212" t="s">
        <v>76</v>
      </c>
      <c r="B3212" t="s">
        <v>19</v>
      </c>
      <c r="C3212">
        <v>7.25</v>
      </c>
      <c r="D3212">
        <v>5.31</v>
      </c>
      <c r="E3212" s="29">
        <v>1.3653483990000002</v>
      </c>
      <c r="F3212">
        <v>5.45</v>
      </c>
      <c r="G3212">
        <v>2.5099999999999998</v>
      </c>
      <c r="H3212">
        <v>7.96</v>
      </c>
      <c r="I3212" s="29">
        <v>0.68469999999999998</v>
      </c>
      <c r="J3212" s="29">
        <v>0.91079999999999994</v>
      </c>
      <c r="K3212" s="9">
        <v>45374</v>
      </c>
      <c r="L3212">
        <f xml:space="preserve"> (交易處理資料__3[[#This Row],[售出工時]] * 60) / 5</f>
        <v>87</v>
      </c>
      <c r="M3212" t="str">
        <f>VLOOKUP(交易處理資料__3[[#This Row],[人員代號]],團隊分組!$B$1:$C$52,2,FALSE)</f>
        <v>查修團隊A</v>
      </c>
      <c r="N3212" t="str">
        <f>IF(交易處理資料__3[[#This Row],[上班時間]]=0,"否","是")</f>
        <v>是</v>
      </c>
      <c r="O3212" t="s">
        <v>76</v>
      </c>
      <c r="P3212" s="37">
        <v>1.3653483990000002</v>
      </c>
      <c r="Q3212" s="37">
        <v>0.91079999999999994</v>
      </c>
      <c r="R3212" s="37">
        <v>0.68469999999999998</v>
      </c>
    </row>
    <row r="3213" spans="1:18" hidden="1">
      <c r="A3213" t="s">
        <v>76</v>
      </c>
      <c r="B3213" t="s">
        <v>20</v>
      </c>
      <c r="C3213">
        <v>0</v>
      </c>
      <c r="D3213">
        <v>0</v>
      </c>
      <c r="E3213" s="29">
        <v>0</v>
      </c>
      <c r="F3213">
        <v>6.08</v>
      </c>
      <c r="G3213">
        <v>1.89</v>
      </c>
      <c r="H3213">
        <v>7.97</v>
      </c>
      <c r="I3213" s="29">
        <v>0.76290000000000002</v>
      </c>
      <c r="J3213" s="29">
        <v>0</v>
      </c>
      <c r="K3213" s="9">
        <v>45374</v>
      </c>
      <c r="L3213">
        <f xml:space="preserve"> (交易處理資料__3[[#This Row],[售出工時]] * 60) / 5</f>
        <v>0</v>
      </c>
      <c r="M3213" t="str">
        <f>VLOOKUP(交易處理資料__3[[#This Row],[人員代號]],團隊分組!$B$1:$C$52,2,FALSE)</f>
        <v>查修團隊B</v>
      </c>
      <c r="N3213" t="str">
        <f>IF(交易處理資料__3[[#This Row],[上班時間]]=0,"否","是")</f>
        <v>是</v>
      </c>
      <c r="O3213" t="s">
        <v>76</v>
      </c>
      <c r="P3213" s="38">
        <v>0</v>
      </c>
      <c r="Q3213" s="38">
        <v>0</v>
      </c>
      <c r="R3213" s="38">
        <v>0.76290000000000002</v>
      </c>
    </row>
    <row r="3214" spans="1:18" hidden="1">
      <c r="A3214" t="s">
        <v>76</v>
      </c>
      <c r="B3214" t="s">
        <v>21</v>
      </c>
      <c r="C3214">
        <v>0</v>
      </c>
      <c r="D3214">
        <v>0</v>
      </c>
      <c r="E3214" s="29">
        <v>0</v>
      </c>
      <c r="F3214">
        <v>0</v>
      </c>
      <c r="G3214">
        <v>0</v>
      </c>
      <c r="H3214">
        <v>0</v>
      </c>
      <c r="I3214" s="29">
        <v>0</v>
      </c>
      <c r="J3214" s="29">
        <v>0</v>
      </c>
      <c r="K3214" s="9">
        <v>45374</v>
      </c>
      <c r="L3214">
        <f xml:space="preserve"> (交易處理資料__3[[#This Row],[售出工時]] * 60) / 5</f>
        <v>0</v>
      </c>
      <c r="M3214" t="str">
        <f>VLOOKUP(交易處理資料__3[[#This Row],[人員代號]],團隊分組!$B$1:$C$52,2,FALSE)</f>
        <v>查修團隊B</v>
      </c>
      <c r="N3214" t="str">
        <f>IF(交易處理資料__3[[#This Row],[上班時間]]=0,"否","是")</f>
        <v>否</v>
      </c>
      <c r="O3214" t="s">
        <v>76</v>
      </c>
      <c r="P3214" s="37">
        <v>0</v>
      </c>
      <c r="Q3214" s="37">
        <v>0</v>
      </c>
      <c r="R3214" s="37">
        <v>0</v>
      </c>
    </row>
    <row r="3215" spans="1:18" hidden="1">
      <c r="A3215" t="s">
        <v>76</v>
      </c>
      <c r="B3215" t="s">
        <v>23</v>
      </c>
      <c r="C3215">
        <v>5.5</v>
      </c>
      <c r="D3215">
        <v>2.13</v>
      </c>
      <c r="E3215" s="29">
        <v>2.5821596240000004</v>
      </c>
      <c r="F3215">
        <v>5.86</v>
      </c>
      <c r="G3215">
        <v>2.15</v>
      </c>
      <c r="H3215">
        <v>8.01</v>
      </c>
      <c r="I3215" s="29">
        <v>0.73159999999999992</v>
      </c>
      <c r="J3215" s="29">
        <v>0.68659999999999999</v>
      </c>
      <c r="K3215" s="9">
        <v>45374</v>
      </c>
      <c r="L3215">
        <f xml:space="preserve"> (交易處理資料__3[[#This Row],[售出工時]] * 60) / 5</f>
        <v>66</v>
      </c>
      <c r="M3215" t="str">
        <f>VLOOKUP(交易處理資料__3[[#This Row],[人員代號]],團隊分組!$B$1:$C$52,2,FALSE)</f>
        <v>快速保養團隊B</v>
      </c>
      <c r="N3215" t="str">
        <f>IF(交易處理資料__3[[#This Row],[上班時間]]=0,"否","是")</f>
        <v>是</v>
      </c>
      <c r="O3215" t="s">
        <v>76</v>
      </c>
      <c r="P3215" s="38">
        <v>2.5821596240000004</v>
      </c>
      <c r="Q3215" s="38">
        <v>0.68659999999999999</v>
      </c>
      <c r="R3215" s="38">
        <v>0.73159999999999992</v>
      </c>
    </row>
    <row r="3216" spans="1:18" hidden="1">
      <c r="A3216" t="s">
        <v>76</v>
      </c>
      <c r="B3216" t="s">
        <v>24</v>
      </c>
      <c r="C3216">
        <v>7.31</v>
      </c>
      <c r="D3216">
        <v>6.43</v>
      </c>
      <c r="E3216" s="29">
        <v>1.136858476</v>
      </c>
      <c r="F3216">
        <v>6.15</v>
      </c>
      <c r="G3216">
        <v>1.89</v>
      </c>
      <c r="H3216">
        <v>8.0399999999999991</v>
      </c>
      <c r="I3216" s="29">
        <v>0.76489999999999991</v>
      </c>
      <c r="J3216" s="29">
        <v>0.90920000000000001</v>
      </c>
      <c r="K3216" s="9">
        <v>45374</v>
      </c>
      <c r="L3216">
        <f xml:space="preserve"> (交易處理資料__3[[#This Row],[售出工時]] * 60) / 5</f>
        <v>87.72</v>
      </c>
      <c r="M3216" t="str">
        <f>VLOOKUP(交易處理資料__3[[#This Row],[人員代號]],團隊分組!$B$1:$C$52,2,FALSE)</f>
        <v>快速保養團隊A</v>
      </c>
      <c r="N3216" t="str">
        <f>IF(交易處理資料__3[[#This Row],[上班時間]]=0,"否","是")</f>
        <v>是</v>
      </c>
      <c r="O3216" t="s">
        <v>76</v>
      </c>
      <c r="P3216" s="37">
        <v>1.136858476</v>
      </c>
      <c r="Q3216" s="37">
        <v>0.90920000000000001</v>
      </c>
      <c r="R3216" s="37">
        <v>0.76489999999999991</v>
      </c>
    </row>
    <row r="3217" spans="1:18" hidden="1">
      <c r="A3217" t="s">
        <v>76</v>
      </c>
      <c r="B3217" t="s">
        <v>25</v>
      </c>
      <c r="C3217">
        <v>0</v>
      </c>
      <c r="D3217">
        <v>0</v>
      </c>
      <c r="E3217" s="29">
        <v>0</v>
      </c>
      <c r="F3217">
        <v>0</v>
      </c>
      <c r="G3217">
        <v>0</v>
      </c>
      <c r="H3217">
        <v>0</v>
      </c>
      <c r="I3217" s="29">
        <v>0</v>
      </c>
      <c r="J3217" s="29">
        <v>0</v>
      </c>
      <c r="K3217" s="9">
        <v>45374</v>
      </c>
      <c r="L3217">
        <f xml:space="preserve"> (交易處理資料__3[[#This Row],[售出工時]] * 60) / 5</f>
        <v>0</v>
      </c>
      <c r="M3217" t="str">
        <f>VLOOKUP(交易處理資料__3[[#This Row],[人員代號]],團隊分組!$B$1:$C$52,2,FALSE)</f>
        <v>查修團隊A</v>
      </c>
      <c r="N3217" t="str">
        <f>IF(交易處理資料__3[[#This Row],[上班時間]]=0,"否","是")</f>
        <v>否</v>
      </c>
      <c r="O3217" t="s">
        <v>76</v>
      </c>
      <c r="P3217" s="38">
        <v>0</v>
      </c>
      <c r="Q3217" s="38">
        <v>0</v>
      </c>
      <c r="R3217" s="38">
        <v>0</v>
      </c>
    </row>
    <row r="3218" spans="1:18" hidden="1">
      <c r="A3218" t="s">
        <v>76</v>
      </c>
      <c r="B3218" t="s">
        <v>26</v>
      </c>
      <c r="C3218">
        <v>4.0066666670000002</v>
      </c>
      <c r="D3218">
        <v>3.47</v>
      </c>
      <c r="E3218" s="29">
        <v>1.1546589819999999</v>
      </c>
      <c r="F3218">
        <v>4.92</v>
      </c>
      <c r="G3218">
        <v>3.03</v>
      </c>
      <c r="H3218">
        <v>7.95</v>
      </c>
      <c r="I3218" s="29">
        <v>0.61890000000000001</v>
      </c>
      <c r="J3218" s="29">
        <v>0.504</v>
      </c>
      <c r="K3218" s="9">
        <v>45374</v>
      </c>
      <c r="L3218">
        <f xml:space="preserve"> (交易處理資料__3[[#This Row],[售出工時]] * 60) / 5</f>
        <v>48.080000004000006</v>
      </c>
      <c r="M3218" t="str">
        <f>VLOOKUP(交易處理資料__3[[#This Row],[人員代號]],團隊分組!$B$1:$C$52,2,FALSE)</f>
        <v>查修團隊B</v>
      </c>
      <c r="N3218" t="str">
        <f>IF(交易處理資料__3[[#This Row],[上班時間]]=0,"否","是")</f>
        <v>是</v>
      </c>
      <c r="O3218" t="s">
        <v>76</v>
      </c>
      <c r="P3218" s="37">
        <v>1.1546589819999999</v>
      </c>
      <c r="Q3218" s="37">
        <v>0.504</v>
      </c>
      <c r="R3218" s="37">
        <v>0.61890000000000001</v>
      </c>
    </row>
    <row r="3219" spans="1:18" hidden="1">
      <c r="A3219" t="s">
        <v>76</v>
      </c>
      <c r="B3219" t="s">
        <v>28</v>
      </c>
      <c r="C3219">
        <v>0</v>
      </c>
      <c r="D3219">
        <v>0</v>
      </c>
      <c r="E3219" s="29">
        <v>0</v>
      </c>
      <c r="F3219">
        <v>0</v>
      </c>
      <c r="G3219">
        <v>0</v>
      </c>
      <c r="H3219">
        <v>0</v>
      </c>
      <c r="I3219" s="29">
        <v>0</v>
      </c>
      <c r="J3219" s="29">
        <v>0</v>
      </c>
      <c r="K3219" s="9">
        <v>45374</v>
      </c>
      <c r="L3219">
        <f xml:space="preserve"> (交易處理資料__3[[#This Row],[售出工時]] * 60) / 5</f>
        <v>0</v>
      </c>
      <c r="M3219" t="str">
        <f>VLOOKUP(交易處理資料__3[[#This Row],[人員代號]],團隊分組!$B$1:$C$52,2,FALSE)</f>
        <v>快速保養團隊A</v>
      </c>
      <c r="N3219" t="str">
        <f>IF(交易處理資料__3[[#This Row],[上班時間]]=0,"否","是")</f>
        <v>否</v>
      </c>
      <c r="O3219" t="s">
        <v>76</v>
      </c>
      <c r="P3219" s="38">
        <v>0</v>
      </c>
      <c r="Q3219" s="38">
        <v>0</v>
      </c>
      <c r="R3219" s="38">
        <v>0</v>
      </c>
    </row>
    <row r="3220" spans="1:18" hidden="1">
      <c r="A3220" t="s">
        <v>76</v>
      </c>
      <c r="B3220" t="s">
        <v>29</v>
      </c>
      <c r="C3220">
        <v>0</v>
      </c>
      <c r="D3220">
        <v>0</v>
      </c>
      <c r="E3220" s="29">
        <v>0</v>
      </c>
      <c r="F3220">
        <v>0</v>
      </c>
      <c r="G3220">
        <v>0</v>
      </c>
      <c r="H3220">
        <v>0</v>
      </c>
      <c r="I3220" s="29">
        <v>0</v>
      </c>
      <c r="J3220" s="29">
        <v>0</v>
      </c>
      <c r="K3220" s="9">
        <v>45374</v>
      </c>
      <c r="L3220">
        <f xml:space="preserve"> (交易處理資料__3[[#This Row],[售出工時]] * 60) / 5</f>
        <v>0</v>
      </c>
      <c r="M3220" t="str">
        <f>VLOOKUP(交易處理資料__3[[#This Row],[人員代號]],團隊分組!$B$1:$C$52,2,FALSE)</f>
        <v>查修團隊B</v>
      </c>
      <c r="N3220" t="str">
        <f>IF(交易處理資料__3[[#This Row],[上班時間]]=0,"否","是")</f>
        <v>否</v>
      </c>
      <c r="O3220" t="s">
        <v>76</v>
      </c>
      <c r="P3220" s="37">
        <v>0</v>
      </c>
      <c r="Q3220" s="37">
        <v>0</v>
      </c>
      <c r="R3220" s="37">
        <v>0</v>
      </c>
    </row>
    <row r="3221" spans="1:18" hidden="1">
      <c r="A3221" t="s">
        <v>76</v>
      </c>
      <c r="B3221" t="s">
        <v>33</v>
      </c>
      <c r="C3221">
        <v>0</v>
      </c>
      <c r="D3221">
        <v>0</v>
      </c>
      <c r="E3221" s="29">
        <v>0</v>
      </c>
      <c r="F3221">
        <v>0</v>
      </c>
      <c r="G3221">
        <v>0</v>
      </c>
      <c r="H3221">
        <v>0</v>
      </c>
      <c r="I3221" s="29">
        <v>0</v>
      </c>
      <c r="J3221" s="29">
        <v>0</v>
      </c>
      <c r="K3221" s="9">
        <v>45374</v>
      </c>
      <c r="L3221">
        <f xml:space="preserve"> (交易處理資料__3[[#This Row],[售出工時]] * 60) / 5</f>
        <v>0</v>
      </c>
      <c r="M3221" t="str">
        <f>VLOOKUP(交易處理資料__3[[#This Row],[人員代號]],團隊分組!$B$1:$C$52,2,FALSE)</f>
        <v>快速保養團隊B</v>
      </c>
      <c r="N3221" t="str">
        <f>IF(交易處理資料__3[[#This Row],[上班時間]]=0,"否","是")</f>
        <v>否</v>
      </c>
      <c r="O3221" t="s">
        <v>76</v>
      </c>
      <c r="P3221" s="38">
        <v>0</v>
      </c>
      <c r="Q3221" s="38">
        <v>0</v>
      </c>
      <c r="R3221" s="38">
        <v>0</v>
      </c>
    </row>
    <row r="3222" spans="1:18" hidden="1">
      <c r="A3222" t="s">
        <v>76</v>
      </c>
      <c r="B3222" t="s">
        <v>35</v>
      </c>
      <c r="C3222">
        <v>0</v>
      </c>
      <c r="D3222">
        <v>0</v>
      </c>
      <c r="E3222" s="29">
        <v>0</v>
      </c>
      <c r="F3222">
        <v>6.06</v>
      </c>
      <c r="G3222">
        <v>1.92</v>
      </c>
      <c r="H3222">
        <v>7.98</v>
      </c>
      <c r="I3222" s="29">
        <v>0.75939999999999996</v>
      </c>
      <c r="J3222" s="29">
        <v>0</v>
      </c>
      <c r="K3222" s="9">
        <v>45374</v>
      </c>
      <c r="L3222">
        <f xml:space="preserve"> (交易處理資料__3[[#This Row],[售出工時]] * 60) / 5</f>
        <v>0</v>
      </c>
      <c r="M3222" t="str">
        <f>VLOOKUP(交易處理資料__3[[#This Row],[人員代號]],團隊分組!$B$1:$C$52,2,FALSE)</f>
        <v>查修團隊B</v>
      </c>
      <c r="N3222" t="str">
        <f>IF(交易處理資料__3[[#This Row],[上班時間]]=0,"否","是")</f>
        <v>是</v>
      </c>
      <c r="O3222" t="s">
        <v>76</v>
      </c>
      <c r="P3222" s="37">
        <v>0</v>
      </c>
      <c r="Q3222" s="37">
        <v>0</v>
      </c>
      <c r="R3222" s="37">
        <v>0.75939999999999996</v>
      </c>
    </row>
    <row r="3223" spans="1:18" hidden="1">
      <c r="A3223" t="s">
        <v>76</v>
      </c>
      <c r="B3223" t="s">
        <v>36</v>
      </c>
      <c r="C3223">
        <v>8.5833333330000006</v>
      </c>
      <c r="D3223">
        <v>5.2</v>
      </c>
      <c r="E3223" s="29">
        <v>1.6506410260000002</v>
      </c>
      <c r="F3223">
        <v>5.2</v>
      </c>
      <c r="G3223">
        <v>2.77</v>
      </c>
      <c r="H3223">
        <v>7.97</v>
      </c>
      <c r="I3223" s="29">
        <v>0.65239999999999998</v>
      </c>
      <c r="J3223" s="29">
        <v>1.077</v>
      </c>
      <c r="K3223" s="9">
        <v>45374</v>
      </c>
      <c r="L3223">
        <f xml:space="preserve"> (交易處理資料__3[[#This Row],[售出工時]] * 60) / 5</f>
        <v>102.999999996</v>
      </c>
      <c r="M3223" t="str">
        <f>VLOOKUP(交易處理資料__3[[#This Row],[人員代號]],團隊分組!$B$1:$C$52,2,FALSE)</f>
        <v>查修團隊B</v>
      </c>
      <c r="N3223" t="str">
        <f>IF(交易處理資料__3[[#This Row],[上班時間]]=0,"否","是")</f>
        <v>是</v>
      </c>
      <c r="O3223" t="s">
        <v>76</v>
      </c>
      <c r="P3223" s="38">
        <v>1.6506410260000002</v>
      </c>
      <c r="Q3223" s="38">
        <v>1.077</v>
      </c>
      <c r="R3223" s="38">
        <v>0.65239999999999998</v>
      </c>
    </row>
    <row r="3224" spans="1:18" hidden="1">
      <c r="A3224" t="s">
        <v>76</v>
      </c>
      <c r="B3224" t="s">
        <v>37</v>
      </c>
      <c r="C3224">
        <v>2.0466666670000002</v>
      </c>
      <c r="D3224">
        <v>3.86</v>
      </c>
      <c r="E3224" s="29">
        <v>0.53022452499999995</v>
      </c>
      <c r="F3224">
        <v>5.62</v>
      </c>
      <c r="G3224">
        <v>2.31</v>
      </c>
      <c r="H3224">
        <v>7.93</v>
      </c>
      <c r="I3224" s="29">
        <v>0.7087</v>
      </c>
      <c r="J3224" s="29">
        <v>0.2581</v>
      </c>
      <c r="K3224" s="9">
        <v>45374</v>
      </c>
      <c r="L3224">
        <f xml:space="preserve"> (交易處理資料__3[[#This Row],[售出工時]] * 60) / 5</f>
        <v>24.560000004000003</v>
      </c>
      <c r="M3224" t="str">
        <f>VLOOKUP(交易處理資料__3[[#This Row],[人員代號]],團隊分組!$B$1:$C$52,2,FALSE)</f>
        <v>查修團隊A</v>
      </c>
      <c r="N3224" t="str">
        <f>IF(交易處理資料__3[[#This Row],[上班時間]]=0,"否","是")</f>
        <v>是</v>
      </c>
      <c r="O3224" t="s">
        <v>76</v>
      </c>
      <c r="P3224" s="37">
        <v>0.53022452499999995</v>
      </c>
      <c r="Q3224" s="37">
        <v>0.2581</v>
      </c>
      <c r="R3224" s="37">
        <v>0.7087</v>
      </c>
    </row>
    <row r="3225" spans="1:18" hidden="1">
      <c r="A3225" t="s">
        <v>76</v>
      </c>
      <c r="B3225" t="s">
        <v>38</v>
      </c>
      <c r="C3225">
        <v>7.88</v>
      </c>
      <c r="D3225">
        <v>6.61</v>
      </c>
      <c r="E3225" s="29">
        <v>1.1921331319999999</v>
      </c>
      <c r="F3225">
        <v>6.01</v>
      </c>
      <c r="G3225">
        <v>1.97</v>
      </c>
      <c r="H3225">
        <v>7.98</v>
      </c>
      <c r="I3225" s="29">
        <v>0.75309999999999999</v>
      </c>
      <c r="J3225" s="29">
        <v>0.98750000000000004</v>
      </c>
      <c r="K3225" s="9">
        <v>45374</v>
      </c>
      <c r="L3225">
        <f xml:space="preserve"> (交易處理資料__3[[#This Row],[售出工時]] * 60) / 5</f>
        <v>94.56</v>
      </c>
      <c r="M3225" t="str">
        <f>VLOOKUP(交易處理資料__3[[#This Row],[人員代號]],團隊分組!$B$1:$C$52,2,FALSE)</f>
        <v>快速保養團隊A</v>
      </c>
      <c r="N3225" t="str">
        <f>IF(交易處理資料__3[[#This Row],[上班時間]]=0,"否","是")</f>
        <v>是</v>
      </c>
      <c r="O3225" t="s">
        <v>76</v>
      </c>
      <c r="P3225" s="38">
        <v>1.1921331319999999</v>
      </c>
      <c r="Q3225" s="38">
        <v>0.98750000000000004</v>
      </c>
      <c r="R3225" s="38">
        <v>0.75309999999999999</v>
      </c>
    </row>
    <row r="3226" spans="1:18" hidden="1">
      <c r="A3226" t="s">
        <v>76</v>
      </c>
      <c r="B3226" t="s">
        <v>39</v>
      </c>
      <c r="C3226">
        <v>1.5</v>
      </c>
      <c r="D3226">
        <v>0.68</v>
      </c>
      <c r="E3226" s="29">
        <v>2.2058823530000002</v>
      </c>
      <c r="F3226">
        <v>7.07</v>
      </c>
      <c r="G3226">
        <v>0.89</v>
      </c>
      <c r="H3226">
        <v>7.96</v>
      </c>
      <c r="I3226" s="29">
        <v>0.88819999999999988</v>
      </c>
      <c r="J3226" s="29">
        <v>0.18840000000000001</v>
      </c>
      <c r="K3226" s="9">
        <v>45374</v>
      </c>
      <c r="L3226">
        <f xml:space="preserve"> (交易處理資料__3[[#This Row],[售出工時]] * 60) / 5</f>
        <v>18</v>
      </c>
      <c r="M3226" t="str">
        <f>VLOOKUP(交易處理資料__3[[#This Row],[人員代號]],團隊分組!$B$1:$C$52,2,FALSE)</f>
        <v>查修團隊A</v>
      </c>
      <c r="N3226" t="str">
        <f>IF(交易處理資料__3[[#This Row],[上班時間]]=0,"否","是")</f>
        <v>是</v>
      </c>
      <c r="O3226" t="s">
        <v>76</v>
      </c>
      <c r="P3226" s="37">
        <v>2.2058823530000002</v>
      </c>
      <c r="Q3226" s="37">
        <v>0.18840000000000001</v>
      </c>
      <c r="R3226" s="37">
        <v>0.88819999999999988</v>
      </c>
    </row>
    <row r="3227" spans="1:18" hidden="1">
      <c r="A3227" t="s">
        <v>76</v>
      </c>
      <c r="B3227" t="s">
        <v>40</v>
      </c>
      <c r="C3227">
        <v>5.3</v>
      </c>
      <c r="D3227">
        <v>3.68</v>
      </c>
      <c r="E3227" s="29">
        <v>1.440217391</v>
      </c>
      <c r="F3227">
        <v>6.32</v>
      </c>
      <c r="G3227">
        <v>1.65</v>
      </c>
      <c r="H3227">
        <v>7.97</v>
      </c>
      <c r="I3227" s="29">
        <v>0.79299999999999993</v>
      </c>
      <c r="J3227" s="29">
        <v>0.66500000000000004</v>
      </c>
      <c r="K3227" s="9">
        <v>45374</v>
      </c>
      <c r="L3227">
        <f xml:space="preserve"> (交易處理資料__3[[#This Row],[售出工時]] * 60) / 5</f>
        <v>63.6</v>
      </c>
      <c r="M3227" t="str">
        <f>VLOOKUP(交易處理資料__3[[#This Row],[人員代號]],團隊分組!$B$1:$C$52,2,FALSE)</f>
        <v>查修團隊A</v>
      </c>
      <c r="N3227" t="str">
        <f>IF(交易處理資料__3[[#This Row],[上班時間]]=0,"否","是")</f>
        <v>是</v>
      </c>
      <c r="O3227" t="s">
        <v>76</v>
      </c>
      <c r="P3227" s="38">
        <v>1.440217391</v>
      </c>
      <c r="Q3227" s="38">
        <v>0.66500000000000004</v>
      </c>
      <c r="R3227" s="38">
        <v>0.79299999999999993</v>
      </c>
    </row>
    <row r="3228" spans="1:18" hidden="1">
      <c r="A3228" t="s">
        <v>76</v>
      </c>
      <c r="B3228" t="s">
        <v>41</v>
      </c>
      <c r="C3228">
        <v>9.19</v>
      </c>
      <c r="D3228">
        <v>6.8</v>
      </c>
      <c r="E3228" s="29">
        <v>1.351470588</v>
      </c>
      <c r="F3228">
        <v>6.06</v>
      </c>
      <c r="G3228">
        <v>1.89</v>
      </c>
      <c r="H3228">
        <v>7.95</v>
      </c>
      <c r="I3228" s="29">
        <v>0.76230000000000009</v>
      </c>
      <c r="J3228" s="29">
        <v>1.1559999999999999</v>
      </c>
      <c r="K3228" s="9">
        <v>45374</v>
      </c>
      <c r="L3228">
        <f xml:space="preserve"> (交易處理資料__3[[#This Row],[售出工時]] * 60) / 5</f>
        <v>110.28</v>
      </c>
      <c r="M3228" t="str">
        <f>VLOOKUP(交易處理資料__3[[#This Row],[人員代號]],團隊分組!$B$1:$C$52,2,FALSE)</f>
        <v>快速保養團隊A</v>
      </c>
      <c r="N3228" t="str">
        <f>IF(交易處理資料__3[[#This Row],[上班時間]]=0,"否","是")</f>
        <v>是</v>
      </c>
      <c r="O3228" t="s">
        <v>76</v>
      </c>
      <c r="P3228" s="37">
        <v>1.351470588</v>
      </c>
      <c r="Q3228" s="37">
        <v>1.1559999999999999</v>
      </c>
      <c r="R3228" s="37">
        <v>0.76230000000000009</v>
      </c>
    </row>
    <row r="3229" spans="1:18" hidden="1">
      <c r="A3229" t="s">
        <v>76</v>
      </c>
      <c r="B3229" t="s">
        <v>42</v>
      </c>
      <c r="C3229">
        <v>0</v>
      </c>
      <c r="D3229">
        <v>0</v>
      </c>
      <c r="E3229" s="29">
        <v>0</v>
      </c>
      <c r="F3229">
        <v>0</v>
      </c>
      <c r="G3229">
        <v>0</v>
      </c>
      <c r="H3229">
        <v>0</v>
      </c>
      <c r="I3229" s="29">
        <v>0</v>
      </c>
      <c r="J3229" s="29">
        <v>0</v>
      </c>
      <c r="K3229" s="9">
        <v>45374</v>
      </c>
      <c r="L3229">
        <f xml:space="preserve"> (交易處理資料__3[[#This Row],[售出工時]] * 60) / 5</f>
        <v>0</v>
      </c>
      <c r="M3229" t="str">
        <f>VLOOKUP(交易處理資料__3[[#This Row],[人員代號]],團隊分組!$B$1:$C$52,2,FALSE)</f>
        <v>快速保養團隊A</v>
      </c>
      <c r="N3229" t="str">
        <f>IF(交易處理資料__3[[#This Row],[上班時間]]=0,"否","是")</f>
        <v>否</v>
      </c>
      <c r="O3229" t="s">
        <v>76</v>
      </c>
      <c r="P3229" s="38">
        <v>0</v>
      </c>
      <c r="Q3229" s="38">
        <v>0</v>
      </c>
      <c r="R3229" s="38">
        <v>0</v>
      </c>
    </row>
    <row r="3230" spans="1:18" hidden="1">
      <c r="A3230" t="s">
        <v>76</v>
      </c>
      <c r="B3230" t="s">
        <v>43</v>
      </c>
      <c r="C3230">
        <v>0</v>
      </c>
      <c r="D3230">
        <v>0</v>
      </c>
      <c r="E3230" s="29">
        <v>0</v>
      </c>
      <c r="F3230">
        <v>0</v>
      </c>
      <c r="G3230">
        <v>0</v>
      </c>
      <c r="H3230">
        <v>0</v>
      </c>
      <c r="I3230" s="29">
        <v>0</v>
      </c>
      <c r="J3230" s="29">
        <v>0</v>
      </c>
      <c r="K3230" s="9">
        <v>45374</v>
      </c>
      <c r="L3230">
        <f xml:space="preserve"> (交易處理資料__3[[#This Row],[售出工時]] * 60) / 5</f>
        <v>0</v>
      </c>
      <c r="M3230" t="str">
        <f>VLOOKUP(交易處理資料__3[[#This Row],[人員代號]],團隊分組!$B$1:$C$52,2,FALSE)</f>
        <v>查修團隊B</v>
      </c>
      <c r="N3230" t="str">
        <f>IF(交易處理資料__3[[#This Row],[上班時間]]=0,"否","是")</f>
        <v>否</v>
      </c>
      <c r="O3230" t="s">
        <v>76</v>
      </c>
      <c r="P3230" s="37">
        <v>0</v>
      </c>
      <c r="Q3230" s="37">
        <v>0</v>
      </c>
      <c r="R3230" s="37">
        <v>0</v>
      </c>
    </row>
    <row r="3231" spans="1:18" hidden="1">
      <c r="A3231" t="s">
        <v>76</v>
      </c>
      <c r="B3231" t="s">
        <v>44</v>
      </c>
      <c r="C3231">
        <v>1.6966666669999999</v>
      </c>
      <c r="D3231">
        <v>2.14</v>
      </c>
      <c r="E3231" s="29">
        <v>0.79283489099999993</v>
      </c>
      <c r="F3231">
        <v>6.05</v>
      </c>
      <c r="G3231">
        <v>1.92</v>
      </c>
      <c r="H3231">
        <v>7.97</v>
      </c>
      <c r="I3231" s="29">
        <v>0.7591</v>
      </c>
      <c r="J3231" s="29">
        <v>0.21289999999999998</v>
      </c>
      <c r="K3231" s="9">
        <v>45374</v>
      </c>
      <c r="L3231">
        <f xml:space="preserve"> (交易處理資料__3[[#This Row],[售出工時]] * 60) / 5</f>
        <v>20.360000004</v>
      </c>
      <c r="M3231" t="str">
        <f>VLOOKUP(交易處理資料__3[[#This Row],[人員代號]],團隊分組!$B$1:$C$52,2,FALSE)</f>
        <v>快速保養團隊B</v>
      </c>
      <c r="N3231" t="str">
        <f>IF(交易處理資料__3[[#This Row],[上班時間]]=0,"否","是")</f>
        <v>是</v>
      </c>
      <c r="O3231" t="s">
        <v>76</v>
      </c>
      <c r="P3231" s="38">
        <v>0.79283489099999993</v>
      </c>
      <c r="Q3231" s="38">
        <v>0.21289999999999998</v>
      </c>
      <c r="R3231" s="38">
        <v>0.7591</v>
      </c>
    </row>
    <row r="3232" spans="1:18" hidden="1">
      <c r="A3232" t="s">
        <v>76</v>
      </c>
      <c r="B3232" t="s">
        <v>47</v>
      </c>
      <c r="C3232">
        <v>0</v>
      </c>
      <c r="D3232">
        <v>0</v>
      </c>
      <c r="E3232" s="29">
        <v>0</v>
      </c>
      <c r="F3232">
        <v>0</v>
      </c>
      <c r="G3232">
        <v>0</v>
      </c>
      <c r="H3232">
        <v>0</v>
      </c>
      <c r="I3232" s="29">
        <v>0</v>
      </c>
      <c r="J3232" s="29">
        <v>0</v>
      </c>
      <c r="K3232" s="9">
        <v>45374</v>
      </c>
      <c r="L3232">
        <f xml:space="preserve"> (交易處理資料__3[[#This Row],[售出工時]] * 60) / 5</f>
        <v>0</v>
      </c>
      <c r="M3232" t="str">
        <f>VLOOKUP(交易處理資料__3[[#This Row],[人員代號]],團隊分組!$B$1:$C$52,2,FALSE)</f>
        <v>查修團隊B</v>
      </c>
      <c r="N3232" t="str">
        <f>IF(交易處理資料__3[[#This Row],[上班時間]]=0,"否","是")</f>
        <v>否</v>
      </c>
      <c r="O3232" t="s">
        <v>76</v>
      </c>
      <c r="P3232" s="37">
        <v>0</v>
      </c>
      <c r="Q3232" s="37">
        <v>0</v>
      </c>
      <c r="R3232" s="37">
        <v>0</v>
      </c>
    </row>
    <row r="3233" spans="1:18" hidden="1">
      <c r="A3233" t="s">
        <v>76</v>
      </c>
      <c r="B3233" t="s">
        <v>48</v>
      </c>
      <c r="C3233">
        <v>5.2633333330000003</v>
      </c>
      <c r="D3233">
        <v>3.21</v>
      </c>
      <c r="E3233" s="29">
        <v>1.6396677049999999</v>
      </c>
      <c r="F3233">
        <v>3.74</v>
      </c>
      <c r="G3233">
        <v>4.2300000000000004</v>
      </c>
      <c r="H3233">
        <v>7.97</v>
      </c>
      <c r="I3233" s="29">
        <v>0.46929999999999999</v>
      </c>
      <c r="J3233" s="29">
        <v>0.6604000000000001</v>
      </c>
      <c r="K3233" s="9">
        <v>45374</v>
      </c>
      <c r="L3233">
        <f xml:space="preserve"> (交易處理資料__3[[#This Row],[售出工時]] * 60) / 5</f>
        <v>63.159999995999996</v>
      </c>
      <c r="M3233" t="str">
        <f>VLOOKUP(交易處理資料__3[[#This Row],[人員代號]],團隊分組!$B$1:$C$52,2,FALSE)</f>
        <v>查修團隊A</v>
      </c>
      <c r="N3233" t="str">
        <f>IF(交易處理資料__3[[#This Row],[上班時間]]=0,"否","是")</f>
        <v>是</v>
      </c>
      <c r="O3233" t="s">
        <v>76</v>
      </c>
      <c r="P3233" s="38">
        <v>1.6396677049999999</v>
      </c>
      <c r="Q3233" s="38">
        <v>0.6604000000000001</v>
      </c>
      <c r="R3233" s="38">
        <v>0.46929999999999999</v>
      </c>
    </row>
    <row r="3234" spans="1:18" hidden="1">
      <c r="A3234" t="s">
        <v>76</v>
      </c>
      <c r="B3234" t="s">
        <v>49</v>
      </c>
      <c r="C3234">
        <v>0</v>
      </c>
      <c r="D3234">
        <v>0</v>
      </c>
      <c r="E3234" s="29">
        <v>0</v>
      </c>
      <c r="F3234">
        <v>0</v>
      </c>
      <c r="G3234">
        <v>0</v>
      </c>
      <c r="H3234">
        <v>0</v>
      </c>
      <c r="I3234" s="29">
        <v>0</v>
      </c>
      <c r="J3234" s="29">
        <v>0</v>
      </c>
      <c r="K3234" s="9">
        <v>45374</v>
      </c>
      <c r="L3234">
        <f xml:space="preserve"> (交易處理資料__3[[#This Row],[售出工時]] * 60) / 5</f>
        <v>0</v>
      </c>
      <c r="M3234" t="str">
        <f>VLOOKUP(交易處理資料__3[[#This Row],[人員代號]],團隊分組!$B$1:$C$52,2,FALSE)</f>
        <v>查修團隊A</v>
      </c>
      <c r="N3234" t="str">
        <f>IF(交易處理資料__3[[#This Row],[上班時間]]=0,"否","是")</f>
        <v>否</v>
      </c>
      <c r="O3234" t="s">
        <v>76</v>
      </c>
      <c r="P3234" s="37">
        <v>0</v>
      </c>
      <c r="Q3234" s="37">
        <v>0</v>
      </c>
      <c r="R3234" s="37">
        <v>0</v>
      </c>
    </row>
    <row r="3235" spans="1:18" hidden="1">
      <c r="A3235" t="s">
        <v>76</v>
      </c>
      <c r="B3235" t="s">
        <v>51</v>
      </c>
      <c r="C3235">
        <v>0</v>
      </c>
      <c r="D3235">
        <v>0</v>
      </c>
      <c r="E3235" s="29">
        <v>0</v>
      </c>
      <c r="F3235">
        <v>0</v>
      </c>
      <c r="G3235">
        <v>0</v>
      </c>
      <c r="H3235">
        <v>0</v>
      </c>
      <c r="I3235" s="29">
        <v>0</v>
      </c>
      <c r="J3235" s="29">
        <v>0</v>
      </c>
      <c r="K3235" s="9">
        <v>45374</v>
      </c>
      <c r="L3235">
        <f xml:space="preserve"> (交易處理資料__3[[#This Row],[售出工時]] * 60) / 5</f>
        <v>0</v>
      </c>
      <c r="M3235" t="str">
        <f>VLOOKUP(交易處理資料__3[[#This Row],[人員代號]],團隊分組!$B$1:$C$52,2,FALSE)</f>
        <v>無效數據</v>
      </c>
      <c r="N3235" t="str">
        <f>IF(交易處理資料__3[[#This Row],[上班時間]]=0,"否","是")</f>
        <v>否</v>
      </c>
      <c r="O3235" t="s">
        <v>76</v>
      </c>
      <c r="P3235" s="38">
        <v>0</v>
      </c>
      <c r="Q3235" s="38">
        <v>0</v>
      </c>
      <c r="R3235" s="38">
        <v>0</v>
      </c>
    </row>
    <row r="3236" spans="1:18" hidden="1">
      <c r="A3236" t="s">
        <v>76</v>
      </c>
      <c r="B3236" t="s">
        <v>52</v>
      </c>
      <c r="C3236">
        <v>0</v>
      </c>
      <c r="D3236">
        <v>0</v>
      </c>
      <c r="E3236" s="29">
        <v>0</v>
      </c>
      <c r="F3236">
        <v>0</v>
      </c>
      <c r="G3236">
        <v>0</v>
      </c>
      <c r="H3236">
        <v>0</v>
      </c>
      <c r="I3236" s="29">
        <v>0</v>
      </c>
      <c r="J3236" s="29">
        <v>0</v>
      </c>
      <c r="K3236" s="9">
        <v>45374</v>
      </c>
      <c r="L3236">
        <f xml:space="preserve"> (交易處理資料__3[[#This Row],[售出工時]] * 60) / 5</f>
        <v>0</v>
      </c>
      <c r="M3236" t="str">
        <f>VLOOKUP(交易處理資料__3[[#This Row],[人員代號]],團隊分組!$B$1:$C$52,2,FALSE)</f>
        <v>查修團隊B</v>
      </c>
      <c r="N3236" t="str">
        <f>IF(交易處理資料__3[[#This Row],[上班時間]]=0,"否","是")</f>
        <v>否</v>
      </c>
      <c r="O3236" t="s">
        <v>76</v>
      </c>
      <c r="P3236" s="37">
        <v>0</v>
      </c>
      <c r="Q3236" s="37">
        <v>0</v>
      </c>
      <c r="R3236" s="37">
        <v>0</v>
      </c>
    </row>
    <row r="3237" spans="1:18" hidden="1">
      <c r="A3237" s="10" t="s">
        <v>74</v>
      </c>
      <c r="B3237" t="s">
        <v>1</v>
      </c>
      <c r="C3237">
        <v>0</v>
      </c>
      <c r="D3237">
        <v>0</v>
      </c>
      <c r="E3237" s="29">
        <v>0</v>
      </c>
      <c r="F3237">
        <v>0</v>
      </c>
      <c r="G3237">
        <v>0</v>
      </c>
      <c r="H3237">
        <v>0</v>
      </c>
      <c r="I3237" s="29">
        <v>0</v>
      </c>
      <c r="J3237" s="29">
        <v>0</v>
      </c>
      <c r="K3237" s="9">
        <v>45375</v>
      </c>
      <c r="L3237">
        <f xml:space="preserve"> (交易處理資料__3[[#This Row],[售出工時]] * 60) / 5</f>
        <v>0</v>
      </c>
      <c r="M3237" t="str">
        <f>VLOOKUP(交易處理資料__3[[#This Row],[人員代號]],團隊分組!$B$1:$C$52,2,FALSE)</f>
        <v>噴漆維修組</v>
      </c>
      <c r="N3237" t="str">
        <f>IF(交易處理資料__3[[#This Row],[上班時間]]=0,"否","是")</f>
        <v>否</v>
      </c>
      <c r="O3237" s="10" t="s">
        <v>74</v>
      </c>
      <c r="P3237" s="38">
        <v>0</v>
      </c>
      <c r="Q3237" s="38">
        <v>0</v>
      </c>
      <c r="R3237" s="38">
        <v>0</v>
      </c>
    </row>
    <row r="3238" spans="1:18" hidden="1">
      <c r="A3238" s="10" t="s">
        <v>74</v>
      </c>
      <c r="B3238" t="s">
        <v>2</v>
      </c>
      <c r="C3238">
        <v>0</v>
      </c>
      <c r="D3238">
        <v>0</v>
      </c>
      <c r="E3238" s="29">
        <v>0</v>
      </c>
      <c r="F3238">
        <v>0</v>
      </c>
      <c r="G3238">
        <v>0</v>
      </c>
      <c r="H3238">
        <v>0</v>
      </c>
      <c r="I3238" s="29">
        <v>0</v>
      </c>
      <c r="J3238" s="29">
        <v>0</v>
      </c>
      <c r="K3238" s="9">
        <v>45375</v>
      </c>
      <c r="L3238">
        <f xml:space="preserve"> (交易處理資料__3[[#This Row],[售出工時]] * 60) / 5</f>
        <v>0</v>
      </c>
      <c r="M3238" t="str">
        <f>VLOOKUP(交易處理資料__3[[#This Row],[人員代號]],團隊分組!$B$1:$C$52,2,FALSE)</f>
        <v>噴漆維修組</v>
      </c>
      <c r="N3238" t="str">
        <f>IF(交易處理資料__3[[#This Row],[上班時間]]=0,"否","是")</f>
        <v>否</v>
      </c>
      <c r="O3238" s="10" t="s">
        <v>74</v>
      </c>
      <c r="P3238" s="37">
        <v>0</v>
      </c>
      <c r="Q3238" s="37">
        <v>0</v>
      </c>
      <c r="R3238" s="37">
        <v>0</v>
      </c>
    </row>
    <row r="3239" spans="1:18" hidden="1">
      <c r="A3239" s="10" t="s">
        <v>74</v>
      </c>
      <c r="B3239" t="s">
        <v>3</v>
      </c>
      <c r="C3239">
        <v>0</v>
      </c>
      <c r="D3239">
        <v>0</v>
      </c>
      <c r="E3239" s="29">
        <v>0</v>
      </c>
      <c r="F3239">
        <v>0</v>
      </c>
      <c r="G3239">
        <v>0</v>
      </c>
      <c r="H3239">
        <v>0</v>
      </c>
      <c r="I3239" s="29">
        <v>0</v>
      </c>
      <c r="J3239" s="29">
        <v>0</v>
      </c>
      <c r="K3239" s="9">
        <v>45375</v>
      </c>
      <c r="L3239">
        <f xml:space="preserve"> (交易處理資料__3[[#This Row],[售出工時]] * 60) / 5</f>
        <v>0</v>
      </c>
      <c r="M3239" t="str">
        <f>VLOOKUP(交易處理資料__3[[#This Row],[人員代號]],團隊分組!$B$1:$C$52,2,FALSE)</f>
        <v>噴漆維修組</v>
      </c>
      <c r="N3239" t="str">
        <f>IF(交易處理資料__3[[#This Row],[上班時間]]=0,"否","是")</f>
        <v>否</v>
      </c>
      <c r="O3239" s="10" t="s">
        <v>74</v>
      </c>
      <c r="P3239" s="38">
        <v>0</v>
      </c>
      <c r="Q3239" s="38">
        <v>0</v>
      </c>
      <c r="R3239" s="38">
        <v>0</v>
      </c>
    </row>
    <row r="3240" spans="1:18" hidden="1">
      <c r="A3240" s="10" t="s">
        <v>74</v>
      </c>
      <c r="B3240" t="s">
        <v>4</v>
      </c>
      <c r="C3240">
        <v>0</v>
      </c>
      <c r="D3240">
        <v>0</v>
      </c>
      <c r="E3240" s="29">
        <v>0</v>
      </c>
      <c r="F3240">
        <v>0</v>
      </c>
      <c r="G3240">
        <v>0</v>
      </c>
      <c r="H3240">
        <v>0</v>
      </c>
      <c r="I3240" s="29">
        <v>0</v>
      </c>
      <c r="J3240" s="29">
        <v>0</v>
      </c>
      <c r="K3240" s="9">
        <v>45375</v>
      </c>
      <c r="L3240">
        <f xml:space="preserve"> (交易處理資料__3[[#This Row],[售出工時]] * 60) / 5</f>
        <v>0</v>
      </c>
      <c r="M3240" t="str">
        <f>VLOOKUP(交易處理資料__3[[#This Row],[人員代號]],團隊分組!$B$1:$C$52,2,FALSE)</f>
        <v>噴漆維修組</v>
      </c>
      <c r="N3240" t="str">
        <f>IF(交易處理資料__3[[#This Row],[上班時間]]=0,"否","是")</f>
        <v>否</v>
      </c>
      <c r="O3240" s="10" t="s">
        <v>74</v>
      </c>
      <c r="P3240" s="37">
        <v>0</v>
      </c>
      <c r="Q3240" s="37">
        <v>0</v>
      </c>
      <c r="R3240" s="37">
        <v>0</v>
      </c>
    </row>
    <row r="3241" spans="1:18" hidden="1">
      <c r="A3241" s="10" t="s">
        <v>74</v>
      </c>
      <c r="B3241" t="s">
        <v>5</v>
      </c>
      <c r="C3241">
        <v>0</v>
      </c>
      <c r="D3241">
        <v>0</v>
      </c>
      <c r="E3241" s="29">
        <v>0</v>
      </c>
      <c r="F3241">
        <v>0</v>
      </c>
      <c r="G3241">
        <v>0</v>
      </c>
      <c r="H3241">
        <v>0</v>
      </c>
      <c r="I3241" s="29">
        <v>0</v>
      </c>
      <c r="J3241" s="29">
        <v>0</v>
      </c>
      <c r="K3241" s="9">
        <v>45375</v>
      </c>
      <c r="L3241">
        <f xml:space="preserve"> (交易處理資料__3[[#This Row],[售出工時]] * 60) / 5</f>
        <v>0</v>
      </c>
      <c r="M3241" t="str">
        <f>VLOOKUP(交易處理資料__3[[#This Row],[人員代號]],團隊分組!$B$1:$C$52,2,FALSE)</f>
        <v>噴漆維修組</v>
      </c>
      <c r="N3241" t="str">
        <f>IF(交易處理資料__3[[#This Row],[上班時間]]=0,"否","是")</f>
        <v>否</v>
      </c>
      <c r="O3241" s="10" t="s">
        <v>74</v>
      </c>
      <c r="P3241" s="38">
        <v>0</v>
      </c>
      <c r="Q3241" s="38">
        <v>0</v>
      </c>
      <c r="R3241" s="38">
        <v>0</v>
      </c>
    </row>
    <row r="3242" spans="1:18" hidden="1">
      <c r="A3242" s="10" t="s">
        <v>74</v>
      </c>
      <c r="B3242" t="s">
        <v>6</v>
      </c>
      <c r="C3242">
        <v>0</v>
      </c>
      <c r="D3242">
        <v>0</v>
      </c>
      <c r="E3242" s="29">
        <v>0</v>
      </c>
      <c r="F3242">
        <v>0</v>
      </c>
      <c r="G3242">
        <v>0</v>
      </c>
      <c r="H3242">
        <v>0</v>
      </c>
      <c r="I3242" s="29">
        <v>0</v>
      </c>
      <c r="J3242" s="29">
        <v>0</v>
      </c>
      <c r="K3242" s="9">
        <v>45375</v>
      </c>
      <c r="L3242">
        <f xml:space="preserve"> (交易處理資料__3[[#This Row],[售出工時]] * 60) / 5</f>
        <v>0</v>
      </c>
      <c r="M3242" t="str">
        <f>VLOOKUP(交易處理資料__3[[#This Row],[人員代號]],團隊分組!$B$1:$C$52,2,FALSE)</f>
        <v>噴漆維修組</v>
      </c>
      <c r="N3242" t="str">
        <f>IF(交易處理資料__3[[#This Row],[上班時間]]=0,"否","是")</f>
        <v>否</v>
      </c>
      <c r="O3242" s="10" t="s">
        <v>74</v>
      </c>
      <c r="P3242" s="37">
        <v>0</v>
      </c>
      <c r="Q3242" s="37">
        <v>0</v>
      </c>
      <c r="R3242" s="37">
        <v>0</v>
      </c>
    </row>
    <row r="3243" spans="1:18">
      <c r="A3243" s="10" t="s">
        <v>74</v>
      </c>
      <c r="B3243" t="s">
        <v>7</v>
      </c>
      <c r="C3243">
        <v>0</v>
      </c>
      <c r="D3243">
        <v>0</v>
      </c>
      <c r="E3243" s="29">
        <v>0</v>
      </c>
      <c r="F3243">
        <v>0</v>
      </c>
      <c r="G3243">
        <v>0</v>
      </c>
      <c r="H3243">
        <v>0</v>
      </c>
      <c r="I3243" s="29">
        <v>0</v>
      </c>
      <c r="J3243" s="29">
        <v>0</v>
      </c>
      <c r="K3243" s="9">
        <v>45375</v>
      </c>
      <c r="L3243">
        <f xml:space="preserve"> (交易處理資料__3[[#This Row],[售出工時]] * 60) / 5</f>
        <v>0</v>
      </c>
      <c r="M3243" t="str">
        <f>VLOOKUP(交易處理資料__3[[#This Row],[人員代號]],團隊分組!$B$1:$C$52,2,FALSE)</f>
        <v>噴漆維修組</v>
      </c>
      <c r="N3243" t="str">
        <f>IF(交易處理資料__3[[#This Row],[上班時間]]=0,"否","是")</f>
        <v>否</v>
      </c>
      <c r="O3243" s="10" t="s">
        <v>74</v>
      </c>
      <c r="P3243" s="38">
        <v>0</v>
      </c>
      <c r="Q3243" s="38">
        <v>0</v>
      </c>
      <c r="R3243" s="38">
        <v>0</v>
      </c>
    </row>
    <row r="3244" spans="1:18" hidden="1">
      <c r="A3244" s="10" t="s">
        <v>74</v>
      </c>
      <c r="B3244" t="s">
        <v>8</v>
      </c>
      <c r="C3244">
        <v>0</v>
      </c>
      <c r="D3244">
        <v>0</v>
      </c>
      <c r="E3244" s="29">
        <v>0</v>
      </c>
      <c r="F3244">
        <v>0</v>
      </c>
      <c r="G3244">
        <v>0</v>
      </c>
      <c r="H3244">
        <v>0</v>
      </c>
      <c r="I3244" s="29">
        <v>0</v>
      </c>
      <c r="J3244" s="29">
        <v>0</v>
      </c>
      <c r="K3244" s="9">
        <v>45375</v>
      </c>
      <c r="L3244">
        <f xml:space="preserve"> (交易處理資料__3[[#This Row],[售出工時]] * 60) / 5</f>
        <v>0</v>
      </c>
      <c r="M3244" t="str">
        <f>VLOOKUP(交易處理資料__3[[#This Row],[人員代號]],團隊分組!$B$1:$C$52,2,FALSE)</f>
        <v>噴漆維修組</v>
      </c>
      <c r="N3244" t="str">
        <f>IF(交易處理資料__3[[#This Row],[上班時間]]=0,"否","是")</f>
        <v>否</v>
      </c>
      <c r="O3244" s="10" t="s">
        <v>74</v>
      </c>
      <c r="P3244" s="37">
        <v>0</v>
      </c>
      <c r="Q3244" s="37">
        <v>0</v>
      </c>
      <c r="R3244" s="37">
        <v>0</v>
      </c>
    </row>
    <row r="3245" spans="1:18" hidden="1">
      <c r="A3245" s="10" t="s">
        <v>74</v>
      </c>
      <c r="B3245" t="s">
        <v>9</v>
      </c>
      <c r="C3245">
        <v>0</v>
      </c>
      <c r="D3245">
        <v>0</v>
      </c>
      <c r="E3245" s="29">
        <v>0</v>
      </c>
      <c r="F3245">
        <v>0</v>
      </c>
      <c r="G3245">
        <v>0</v>
      </c>
      <c r="H3245">
        <v>0</v>
      </c>
      <c r="I3245" s="29">
        <v>0</v>
      </c>
      <c r="J3245" s="29">
        <v>0</v>
      </c>
      <c r="K3245" s="9">
        <v>45375</v>
      </c>
      <c r="L3245">
        <f xml:space="preserve"> (交易處理資料__3[[#This Row],[售出工時]] * 60) / 5</f>
        <v>0</v>
      </c>
      <c r="M3245" t="str">
        <f>VLOOKUP(交易處理資料__3[[#This Row],[人員代號]],團隊分組!$B$1:$C$52,2,FALSE)</f>
        <v>噴漆維修組</v>
      </c>
      <c r="N3245" t="str">
        <f>IF(交易處理資料__3[[#This Row],[上班時間]]=0,"否","是")</f>
        <v>否</v>
      </c>
      <c r="O3245" s="10" t="s">
        <v>74</v>
      </c>
      <c r="P3245" s="38">
        <v>0</v>
      </c>
      <c r="Q3245" s="38">
        <v>0</v>
      </c>
      <c r="R3245" s="38">
        <v>0</v>
      </c>
    </row>
    <row r="3246" spans="1:18" hidden="1">
      <c r="A3246" t="s">
        <v>75</v>
      </c>
      <c r="B3246" t="s">
        <v>11</v>
      </c>
      <c r="C3246">
        <v>0</v>
      </c>
      <c r="D3246">
        <v>0</v>
      </c>
      <c r="E3246" s="29">
        <v>0</v>
      </c>
      <c r="F3246">
        <v>0</v>
      </c>
      <c r="G3246">
        <v>0</v>
      </c>
      <c r="H3246">
        <v>0</v>
      </c>
      <c r="I3246" s="29">
        <v>0</v>
      </c>
      <c r="J3246" s="29">
        <v>0</v>
      </c>
      <c r="K3246" s="9">
        <v>45375</v>
      </c>
      <c r="L3246">
        <f xml:space="preserve"> (交易處理資料__3[[#This Row],[售出工時]] * 60) / 5</f>
        <v>0</v>
      </c>
      <c r="M3246" t="str">
        <f>VLOOKUP(交易處理資料__3[[#This Row],[人員代號]],團隊分組!$B$1:$C$52,2,FALSE)</f>
        <v>鈑金維修組</v>
      </c>
      <c r="N3246" t="str">
        <f>IF(交易處理資料__3[[#This Row],[上班時間]]=0,"否","是")</f>
        <v>否</v>
      </c>
      <c r="O3246" t="s">
        <v>75</v>
      </c>
      <c r="P3246" s="37">
        <v>0</v>
      </c>
      <c r="Q3246" s="37">
        <v>0</v>
      </c>
      <c r="R3246" s="37">
        <v>0</v>
      </c>
    </row>
    <row r="3247" spans="1:18" hidden="1">
      <c r="A3247" t="s">
        <v>75</v>
      </c>
      <c r="B3247" t="s">
        <v>12</v>
      </c>
      <c r="C3247">
        <v>0</v>
      </c>
      <c r="D3247">
        <v>0</v>
      </c>
      <c r="E3247" s="29">
        <v>0</v>
      </c>
      <c r="F3247">
        <v>0</v>
      </c>
      <c r="G3247">
        <v>0</v>
      </c>
      <c r="H3247">
        <v>0</v>
      </c>
      <c r="I3247" s="29">
        <v>0</v>
      </c>
      <c r="J3247" s="29">
        <v>0</v>
      </c>
      <c r="K3247" s="9">
        <v>45375</v>
      </c>
      <c r="L3247">
        <f xml:space="preserve"> (交易處理資料__3[[#This Row],[售出工時]] * 60) / 5</f>
        <v>0</v>
      </c>
      <c r="M3247" t="str">
        <f>VLOOKUP(交易處理資料__3[[#This Row],[人員代號]],團隊分組!$B$1:$C$52,2,FALSE)</f>
        <v>鈑金維修組</v>
      </c>
      <c r="N3247" t="str">
        <f>IF(交易處理資料__3[[#This Row],[上班時間]]=0,"否","是")</f>
        <v>否</v>
      </c>
      <c r="O3247" t="s">
        <v>75</v>
      </c>
      <c r="P3247" s="38">
        <v>0</v>
      </c>
      <c r="Q3247" s="38">
        <v>0</v>
      </c>
      <c r="R3247" s="38">
        <v>0</v>
      </c>
    </row>
    <row r="3248" spans="1:18" hidden="1">
      <c r="A3248" t="s">
        <v>75</v>
      </c>
      <c r="B3248" t="s">
        <v>13</v>
      </c>
      <c r="C3248">
        <v>0</v>
      </c>
      <c r="D3248">
        <v>0</v>
      </c>
      <c r="E3248" s="29">
        <v>0</v>
      </c>
      <c r="F3248">
        <v>0</v>
      </c>
      <c r="G3248">
        <v>0</v>
      </c>
      <c r="H3248">
        <v>0</v>
      </c>
      <c r="I3248" s="29">
        <v>0</v>
      </c>
      <c r="J3248" s="29">
        <v>0</v>
      </c>
      <c r="K3248" s="9">
        <v>45375</v>
      </c>
      <c r="L3248">
        <f xml:space="preserve"> (交易處理資料__3[[#This Row],[售出工時]] * 60) / 5</f>
        <v>0</v>
      </c>
      <c r="M3248" t="str">
        <f>VLOOKUP(交易處理資料__3[[#This Row],[人員代號]],團隊分組!$B$1:$C$52,2,FALSE)</f>
        <v>鈑金維修組</v>
      </c>
      <c r="N3248" t="str">
        <f>IF(交易處理資料__3[[#This Row],[上班時間]]=0,"否","是")</f>
        <v>否</v>
      </c>
      <c r="O3248" t="s">
        <v>75</v>
      </c>
      <c r="P3248" s="37">
        <v>0</v>
      </c>
      <c r="Q3248" s="37">
        <v>0</v>
      </c>
      <c r="R3248" s="37">
        <v>0</v>
      </c>
    </row>
    <row r="3249" spans="1:18" hidden="1">
      <c r="A3249" t="s">
        <v>75</v>
      </c>
      <c r="B3249" t="s">
        <v>14</v>
      </c>
      <c r="C3249">
        <v>0</v>
      </c>
      <c r="D3249">
        <v>0</v>
      </c>
      <c r="E3249" s="29">
        <v>0</v>
      </c>
      <c r="F3249">
        <v>0</v>
      </c>
      <c r="G3249">
        <v>0</v>
      </c>
      <c r="H3249">
        <v>0</v>
      </c>
      <c r="I3249" s="29">
        <v>0</v>
      </c>
      <c r="J3249" s="29">
        <v>0</v>
      </c>
      <c r="K3249" s="9">
        <v>45375</v>
      </c>
      <c r="L3249">
        <f xml:space="preserve"> (交易處理資料__3[[#This Row],[售出工時]] * 60) / 5</f>
        <v>0</v>
      </c>
      <c r="M3249" t="str">
        <f>VLOOKUP(交易處理資料__3[[#This Row],[人員代號]],團隊分組!$B$1:$C$52,2,FALSE)</f>
        <v>鈑金維修組</v>
      </c>
      <c r="N3249" t="str">
        <f>IF(交易處理資料__3[[#This Row],[上班時間]]=0,"否","是")</f>
        <v>否</v>
      </c>
      <c r="O3249" t="s">
        <v>75</v>
      </c>
      <c r="P3249" s="38">
        <v>0</v>
      </c>
      <c r="Q3249" s="38">
        <v>0</v>
      </c>
      <c r="R3249" s="38">
        <v>0</v>
      </c>
    </row>
    <row r="3250" spans="1:18" hidden="1">
      <c r="A3250" t="s">
        <v>75</v>
      </c>
      <c r="B3250" t="s">
        <v>15</v>
      </c>
      <c r="C3250">
        <v>0</v>
      </c>
      <c r="D3250">
        <v>0</v>
      </c>
      <c r="E3250" s="29">
        <v>0</v>
      </c>
      <c r="F3250">
        <v>0</v>
      </c>
      <c r="G3250">
        <v>0</v>
      </c>
      <c r="H3250">
        <v>0</v>
      </c>
      <c r="I3250" s="29">
        <v>0</v>
      </c>
      <c r="J3250" s="29">
        <v>0</v>
      </c>
      <c r="K3250" s="9">
        <v>45375</v>
      </c>
      <c r="L3250">
        <f xml:space="preserve"> (交易處理資料__3[[#This Row],[售出工時]] * 60) / 5</f>
        <v>0</v>
      </c>
      <c r="M3250" t="str">
        <f>VLOOKUP(交易處理資料__3[[#This Row],[人員代號]],團隊分組!$B$1:$C$52,2,FALSE)</f>
        <v>鈑金維修組</v>
      </c>
      <c r="N3250" t="str">
        <f>IF(交易處理資料__3[[#This Row],[上班時間]]=0,"否","是")</f>
        <v>否</v>
      </c>
      <c r="O3250" t="s">
        <v>75</v>
      </c>
      <c r="P3250" s="37">
        <v>0</v>
      </c>
      <c r="Q3250" s="37">
        <v>0</v>
      </c>
      <c r="R3250" s="37">
        <v>0</v>
      </c>
    </row>
    <row r="3251" spans="1:18" hidden="1">
      <c r="A3251" t="s">
        <v>76</v>
      </c>
      <c r="B3251" t="s">
        <v>17</v>
      </c>
      <c r="C3251">
        <v>0</v>
      </c>
      <c r="D3251">
        <v>0</v>
      </c>
      <c r="E3251" s="29">
        <v>0</v>
      </c>
      <c r="F3251">
        <v>0</v>
      </c>
      <c r="G3251">
        <v>0</v>
      </c>
      <c r="H3251">
        <v>0</v>
      </c>
      <c r="I3251" s="29">
        <v>0</v>
      </c>
      <c r="J3251" s="29">
        <v>0</v>
      </c>
      <c r="K3251" s="9">
        <v>45375</v>
      </c>
      <c r="L3251">
        <f xml:space="preserve"> (交易處理資料__3[[#This Row],[售出工時]] * 60) / 5</f>
        <v>0</v>
      </c>
      <c r="M3251" t="str">
        <f>VLOOKUP(交易處理資料__3[[#This Row],[人員代號]],團隊分組!$B$1:$C$52,2,FALSE)</f>
        <v>快速保養團隊A</v>
      </c>
      <c r="N3251" t="str">
        <f>IF(交易處理資料__3[[#This Row],[上班時間]]=0,"否","是")</f>
        <v>否</v>
      </c>
      <c r="O3251" t="s">
        <v>76</v>
      </c>
      <c r="P3251" s="38">
        <v>0</v>
      </c>
      <c r="Q3251" s="38">
        <v>0</v>
      </c>
      <c r="R3251" s="38">
        <v>0</v>
      </c>
    </row>
    <row r="3252" spans="1:18" hidden="1">
      <c r="A3252" t="s">
        <v>76</v>
      </c>
      <c r="B3252" t="s">
        <v>18</v>
      </c>
      <c r="C3252">
        <v>0</v>
      </c>
      <c r="D3252">
        <v>0</v>
      </c>
      <c r="E3252" s="29">
        <v>0</v>
      </c>
      <c r="F3252">
        <v>0</v>
      </c>
      <c r="G3252">
        <v>0</v>
      </c>
      <c r="H3252">
        <v>0</v>
      </c>
      <c r="I3252" s="29">
        <v>0</v>
      </c>
      <c r="J3252" s="29">
        <v>0</v>
      </c>
      <c r="K3252" s="9">
        <v>45375</v>
      </c>
      <c r="L3252">
        <f xml:space="preserve"> (交易處理資料__3[[#This Row],[售出工時]] * 60) / 5</f>
        <v>0</v>
      </c>
      <c r="M3252" t="str">
        <f>VLOOKUP(交易處理資料__3[[#This Row],[人員代號]],團隊分組!$B$1:$C$52,2,FALSE)</f>
        <v>查修團隊B</v>
      </c>
      <c r="N3252" t="str">
        <f>IF(交易處理資料__3[[#This Row],[上班時間]]=0,"否","是")</f>
        <v>否</v>
      </c>
      <c r="O3252" t="s">
        <v>76</v>
      </c>
      <c r="P3252" s="37">
        <v>0</v>
      </c>
      <c r="Q3252" s="37">
        <v>0</v>
      </c>
      <c r="R3252" s="37">
        <v>0</v>
      </c>
    </row>
    <row r="3253" spans="1:18" hidden="1">
      <c r="A3253" t="s">
        <v>76</v>
      </c>
      <c r="B3253" t="s">
        <v>19</v>
      </c>
      <c r="C3253">
        <v>0</v>
      </c>
      <c r="D3253">
        <v>0</v>
      </c>
      <c r="E3253" s="29">
        <v>0</v>
      </c>
      <c r="F3253">
        <v>0</v>
      </c>
      <c r="G3253">
        <v>0</v>
      </c>
      <c r="H3253">
        <v>0</v>
      </c>
      <c r="I3253" s="29">
        <v>0</v>
      </c>
      <c r="J3253" s="29">
        <v>0</v>
      </c>
      <c r="K3253" s="9">
        <v>45375</v>
      </c>
      <c r="L3253">
        <f xml:space="preserve"> (交易處理資料__3[[#This Row],[售出工時]] * 60) / 5</f>
        <v>0</v>
      </c>
      <c r="M3253" t="str">
        <f>VLOOKUP(交易處理資料__3[[#This Row],[人員代號]],團隊分組!$B$1:$C$52,2,FALSE)</f>
        <v>查修團隊A</v>
      </c>
      <c r="N3253" t="str">
        <f>IF(交易處理資料__3[[#This Row],[上班時間]]=0,"否","是")</f>
        <v>否</v>
      </c>
      <c r="O3253" t="s">
        <v>76</v>
      </c>
      <c r="P3253" s="38">
        <v>0</v>
      </c>
      <c r="Q3253" s="38">
        <v>0</v>
      </c>
      <c r="R3253" s="38">
        <v>0</v>
      </c>
    </row>
    <row r="3254" spans="1:18" hidden="1">
      <c r="A3254" t="s">
        <v>76</v>
      </c>
      <c r="B3254" t="s">
        <v>20</v>
      </c>
      <c r="C3254">
        <v>0</v>
      </c>
      <c r="D3254">
        <v>0</v>
      </c>
      <c r="E3254" s="29">
        <v>0</v>
      </c>
      <c r="F3254">
        <v>0</v>
      </c>
      <c r="G3254">
        <v>0</v>
      </c>
      <c r="H3254">
        <v>0</v>
      </c>
      <c r="I3254" s="29">
        <v>0</v>
      </c>
      <c r="J3254" s="29">
        <v>0</v>
      </c>
      <c r="K3254" s="9">
        <v>45375</v>
      </c>
      <c r="L3254">
        <f xml:space="preserve"> (交易處理資料__3[[#This Row],[售出工時]] * 60) / 5</f>
        <v>0</v>
      </c>
      <c r="M3254" t="str">
        <f>VLOOKUP(交易處理資料__3[[#This Row],[人員代號]],團隊分組!$B$1:$C$52,2,FALSE)</f>
        <v>查修團隊B</v>
      </c>
      <c r="N3254" t="str">
        <f>IF(交易處理資料__3[[#This Row],[上班時間]]=0,"否","是")</f>
        <v>否</v>
      </c>
      <c r="O3254" t="s">
        <v>76</v>
      </c>
      <c r="P3254" s="37">
        <v>0</v>
      </c>
      <c r="Q3254" s="37">
        <v>0</v>
      </c>
      <c r="R3254" s="37">
        <v>0</v>
      </c>
    </row>
    <row r="3255" spans="1:18" hidden="1">
      <c r="A3255" t="s">
        <v>76</v>
      </c>
      <c r="B3255" t="s">
        <v>21</v>
      </c>
      <c r="C3255">
        <v>0</v>
      </c>
      <c r="D3255">
        <v>0</v>
      </c>
      <c r="E3255" s="29">
        <v>0</v>
      </c>
      <c r="F3255">
        <v>0</v>
      </c>
      <c r="G3255">
        <v>0</v>
      </c>
      <c r="H3255">
        <v>0</v>
      </c>
      <c r="I3255" s="29">
        <v>0</v>
      </c>
      <c r="J3255" s="29">
        <v>0</v>
      </c>
      <c r="K3255" s="9">
        <v>45375</v>
      </c>
      <c r="L3255">
        <f xml:space="preserve"> (交易處理資料__3[[#This Row],[售出工時]] * 60) / 5</f>
        <v>0</v>
      </c>
      <c r="M3255" t="str">
        <f>VLOOKUP(交易處理資料__3[[#This Row],[人員代號]],團隊分組!$B$1:$C$52,2,FALSE)</f>
        <v>查修團隊B</v>
      </c>
      <c r="N3255" t="str">
        <f>IF(交易處理資料__3[[#This Row],[上班時間]]=0,"否","是")</f>
        <v>否</v>
      </c>
      <c r="O3255" t="s">
        <v>76</v>
      </c>
      <c r="P3255" s="38">
        <v>0</v>
      </c>
      <c r="Q3255" s="38">
        <v>0</v>
      </c>
      <c r="R3255" s="38">
        <v>0</v>
      </c>
    </row>
    <row r="3256" spans="1:18" hidden="1">
      <c r="A3256" t="s">
        <v>76</v>
      </c>
      <c r="B3256" t="s">
        <v>22</v>
      </c>
      <c r="C3256">
        <v>0</v>
      </c>
      <c r="D3256">
        <v>0</v>
      </c>
      <c r="E3256" s="29">
        <v>0</v>
      </c>
      <c r="F3256">
        <v>0</v>
      </c>
      <c r="G3256">
        <v>0</v>
      </c>
      <c r="H3256">
        <v>0</v>
      </c>
      <c r="I3256" s="29">
        <v>0</v>
      </c>
      <c r="J3256" s="29">
        <v>0</v>
      </c>
      <c r="K3256" s="9">
        <v>45375</v>
      </c>
      <c r="L3256">
        <f xml:space="preserve"> (交易處理資料__3[[#This Row],[售出工時]] * 60) / 5</f>
        <v>0</v>
      </c>
      <c r="M3256" t="str">
        <f>VLOOKUP(交易處理資料__3[[#This Row],[人員代號]],團隊分組!$B$1:$C$52,2,FALSE)</f>
        <v>快速保養團隊A</v>
      </c>
      <c r="N3256" t="str">
        <f>IF(交易處理資料__3[[#This Row],[上班時間]]=0,"否","是")</f>
        <v>否</v>
      </c>
      <c r="O3256" t="s">
        <v>76</v>
      </c>
      <c r="P3256" s="37">
        <v>0</v>
      </c>
      <c r="Q3256" s="37">
        <v>0</v>
      </c>
      <c r="R3256" s="37">
        <v>0</v>
      </c>
    </row>
    <row r="3257" spans="1:18" hidden="1">
      <c r="A3257" t="s">
        <v>76</v>
      </c>
      <c r="B3257" t="s">
        <v>23</v>
      </c>
      <c r="C3257">
        <v>0</v>
      </c>
      <c r="D3257">
        <v>0</v>
      </c>
      <c r="E3257" s="29">
        <v>0</v>
      </c>
      <c r="F3257">
        <v>0</v>
      </c>
      <c r="G3257">
        <v>0</v>
      </c>
      <c r="H3257">
        <v>0</v>
      </c>
      <c r="I3257" s="29">
        <v>0</v>
      </c>
      <c r="J3257" s="29">
        <v>0</v>
      </c>
      <c r="K3257" s="9">
        <v>45375</v>
      </c>
      <c r="L3257">
        <f xml:space="preserve"> (交易處理資料__3[[#This Row],[售出工時]] * 60) / 5</f>
        <v>0</v>
      </c>
      <c r="M3257" t="str">
        <f>VLOOKUP(交易處理資料__3[[#This Row],[人員代號]],團隊分組!$B$1:$C$52,2,FALSE)</f>
        <v>快速保養團隊B</v>
      </c>
      <c r="N3257" t="str">
        <f>IF(交易處理資料__3[[#This Row],[上班時間]]=0,"否","是")</f>
        <v>否</v>
      </c>
      <c r="O3257" t="s">
        <v>76</v>
      </c>
      <c r="P3257" s="38">
        <v>0</v>
      </c>
      <c r="Q3257" s="38">
        <v>0</v>
      </c>
      <c r="R3257" s="38">
        <v>0</v>
      </c>
    </row>
    <row r="3258" spans="1:18" hidden="1">
      <c r="A3258" t="s">
        <v>76</v>
      </c>
      <c r="B3258" t="s">
        <v>24</v>
      </c>
      <c r="C3258">
        <v>0</v>
      </c>
      <c r="D3258">
        <v>0</v>
      </c>
      <c r="E3258" s="29">
        <v>0</v>
      </c>
      <c r="F3258">
        <v>0</v>
      </c>
      <c r="G3258">
        <v>0</v>
      </c>
      <c r="H3258">
        <v>0</v>
      </c>
      <c r="I3258" s="29">
        <v>0</v>
      </c>
      <c r="J3258" s="29">
        <v>0</v>
      </c>
      <c r="K3258" s="9">
        <v>45375</v>
      </c>
      <c r="L3258">
        <f xml:space="preserve"> (交易處理資料__3[[#This Row],[售出工時]] * 60) / 5</f>
        <v>0</v>
      </c>
      <c r="M3258" t="str">
        <f>VLOOKUP(交易處理資料__3[[#This Row],[人員代號]],團隊分組!$B$1:$C$52,2,FALSE)</f>
        <v>快速保養團隊A</v>
      </c>
      <c r="N3258" t="str">
        <f>IF(交易處理資料__3[[#This Row],[上班時間]]=0,"否","是")</f>
        <v>否</v>
      </c>
      <c r="O3258" t="s">
        <v>76</v>
      </c>
      <c r="P3258" s="37">
        <v>0</v>
      </c>
      <c r="Q3258" s="37">
        <v>0</v>
      </c>
      <c r="R3258" s="37">
        <v>0</v>
      </c>
    </row>
    <row r="3259" spans="1:18" hidden="1">
      <c r="A3259" t="s">
        <v>76</v>
      </c>
      <c r="B3259" t="s">
        <v>25</v>
      </c>
      <c r="C3259">
        <v>0</v>
      </c>
      <c r="D3259">
        <v>0</v>
      </c>
      <c r="E3259" s="29">
        <v>0</v>
      </c>
      <c r="F3259">
        <v>0</v>
      </c>
      <c r="G3259">
        <v>0</v>
      </c>
      <c r="H3259">
        <v>0</v>
      </c>
      <c r="I3259" s="29">
        <v>0</v>
      </c>
      <c r="J3259" s="29">
        <v>0</v>
      </c>
      <c r="K3259" s="9">
        <v>45375</v>
      </c>
      <c r="L3259">
        <f xml:space="preserve"> (交易處理資料__3[[#This Row],[售出工時]] * 60) / 5</f>
        <v>0</v>
      </c>
      <c r="M3259" t="str">
        <f>VLOOKUP(交易處理資料__3[[#This Row],[人員代號]],團隊分組!$B$1:$C$52,2,FALSE)</f>
        <v>查修團隊A</v>
      </c>
      <c r="N3259" t="str">
        <f>IF(交易處理資料__3[[#This Row],[上班時間]]=0,"否","是")</f>
        <v>否</v>
      </c>
      <c r="O3259" t="s">
        <v>76</v>
      </c>
      <c r="P3259" s="38">
        <v>0</v>
      </c>
      <c r="Q3259" s="38">
        <v>0</v>
      </c>
      <c r="R3259" s="38">
        <v>0</v>
      </c>
    </row>
    <row r="3260" spans="1:18" hidden="1">
      <c r="A3260" t="s">
        <v>76</v>
      </c>
      <c r="B3260" t="s">
        <v>26</v>
      </c>
      <c r="C3260">
        <v>0</v>
      </c>
      <c r="D3260">
        <v>0</v>
      </c>
      <c r="E3260" s="29">
        <v>0</v>
      </c>
      <c r="F3260">
        <v>0</v>
      </c>
      <c r="G3260">
        <v>0</v>
      </c>
      <c r="H3260">
        <v>0</v>
      </c>
      <c r="I3260" s="29">
        <v>0</v>
      </c>
      <c r="J3260" s="29">
        <v>0</v>
      </c>
      <c r="K3260" s="9">
        <v>45375</v>
      </c>
      <c r="L3260">
        <f xml:space="preserve"> (交易處理資料__3[[#This Row],[售出工時]] * 60) / 5</f>
        <v>0</v>
      </c>
      <c r="M3260" t="str">
        <f>VLOOKUP(交易處理資料__3[[#This Row],[人員代號]],團隊分組!$B$1:$C$52,2,FALSE)</f>
        <v>查修團隊B</v>
      </c>
      <c r="N3260" t="str">
        <f>IF(交易處理資料__3[[#This Row],[上班時間]]=0,"否","是")</f>
        <v>否</v>
      </c>
      <c r="O3260" t="s">
        <v>76</v>
      </c>
      <c r="P3260" s="37">
        <v>0</v>
      </c>
      <c r="Q3260" s="37">
        <v>0</v>
      </c>
      <c r="R3260" s="37">
        <v>0</v>
      </c>
    </row>
    <row r="3261" spans="1:18" hidden="1">
      <c r="A3261" t="s">
        <v>76</v>
      </c>
      <c r="B3261" t="s">
        <v>27</v>
      </c>
      <c r="C3261">
        <v>0</v>
      </c>
      <c r="D3261">
        <v>0</v>
      </c>
      <c r="E3261" s="29">
        <v>0</v>
      </c>
      <c r="F3261">
        <v>0</v>
      </c>
      <c r="G3261">
        <v>0</v>
      </c>
      <c r="H3261">
        <v>0</v>
      </c>
      <c r="I3261" s="29">
        <v>0</v>
      </c>
      <c r="J3261" s="29">
        <v>0</v>
      </c>
      <c r="K3261" s="9">
        <v>45375</v>
      </c>
      <c r="L3261">
        <f xml:space="preserve"> (交易處理資料__3[[#This Row],[售出工時]] * 60) / 5</f>
        <v>0</v>
      </c>
      <c r="M3261" t="str">
        <f>VLOOKUP(交易處理資料__3[[#This Row],[人員代號]],團隊分組!$B$1:$C$52,2,FALSE)</f>
        <v>快速保養團隊B</v>
      </c>
      <c r="N3261" t="str">
        <f>IF(交易處理資料__3[[#This Row],[上班時間]]=0,"否","是")</f>
        <v>否</v>
      </c>
      <c r="O3261" t="s">
        <v>76</v>
      </c>
      <c r="P3261" s="38">
        <v>0</v>
      </c>
      <c r="Q3261" s="38">
        <v>0</v>
      </c>
      <c r="R3261" s="38">
        <v>0</v>
      </c>
    </row>
    <row r="3262" spans="1:18" hidden="1">
      <c r="A3262" t="s">
        <v>76</v>
      </c>
      <c r="B3262" t="s">
        <v>28</v>
      </c>
      <c r="C3262">
        <v>0</v>
      </c>
      <c r="D3262">
        <v>0</v>
      </c>
      <c r="E3262" s="29">
        <v>0</v>
      </c>
      <c r="F3262">
        <v>0</v>
      </c>
      <c r="G3262">
        <v>0</v>
      </c>
      <c r="H3262">
        <v>0</v>
      </c>
      <c r="I3262" s="29">
        <v>0</v>
      </c>
      <c r="J3262" s="29">
        <v>0</v>
      </c>
      <c r="K3262" s="9">
        <v>45375</v>
      </c>
      <c r="L3262">
        <f xml:space="preserve"> (交易處理資料__3[[#This Row],[售出工時]] * 60) / 5</f>
        <v>0</v>
      </c>
      <c r="M3262" t="str">
        <f>VLOOKUP(交易處理資料__3[[#This Row],[人員代號]],團隊分組!$B$1:$C$52,2,FALSE)</f>
        <v>快速保養團隊A</v>
      </c>
      <c r="N3262" t="str">
        <f>IF(交易處理資料__3[[#This Row],[上班時間]]=0,"否","是")</f>
        <v>否</v>
      </c>
      <c r="O3262" t="s">
        <v>76</v>
      </c>
      <c r="P3262" s="37">
        <v>0</v>
      </c>
      <c r="Q3262" s="37">
        <v>0</v>
      </c>
      <c r="R3262" s="37">
        <v>0</v>
      </c>
    </row>
    <row r="3263" spans="1:18" hidden="1">
      <c r="A3263" t="s">
        <v>76</v>
      </c>
      <c r="B3263" t="s">
        <v>29</v>
      </c>
      <c r="C3263">
        <v>0</v>
      </c>
      <c r="D3263">
        <v>0</v>
      </c>
      <c r="E3263" s="29">
        <v>0</v>
      </c>
      <c r="F3263">
        <v>0</v>
      </c>
      <c r="G3263">
        <v>0</v>
      </c>
      <c r="H3263">
        <v>0</v>
      </c>
      <c r="I3263" s="29">
        <v>0</v>
      </c>
      <c r="J3263" s="29">
        <v>0</v>
      </c>
      <c r="K3263" s="9">
        <v>45375</v>
      </c>
      <c r="L3263">
        <f xml:space="preserve"> (交易處理資料__3[[#This Row],[售出工時]] * 60) / 5</f>
        <v>0</v>
      </c>
      <c r="M3263" t="str">
        <f>VLOOKUP(交易處理資料__3[[#This Row],[人員代號]],團隊分組!$B$1:$C$52,2,FALSE)</f>
        <v>查修團隊B</v>
      </c>
      <c r="N3263" t="str">
        <f>IF(交易處理資料__3[[#This Row],[上班時間]]=0,"否","是")</f>
        <v>否</v>
      </c>
      <c r="O3263" t="s">
        <v>76</v>
      </c>
      <c r="P3263" s="38">
        <v>0</v>
      </c>
      <c r="Q3263" s="38">
        <v>0</v>
      </c>
      <c r="R3263" s="38">
        <v>0</v>
      </c>
    </row>
    <row r="3264" spans="1:18" hidden="1">
      <c r="A3264" t="s">
        <v>76</v>
      </c>
      <c r="B3264" t="s">
        <v>30</v>
      </c>
      <c r="C3264">
        <v>0</v>
      </c>
      <c r="D3264">
        <v>0</v>
      </c>
      <c r="E3264" s="29">
        <v>0</v>
      </c>
      <c r="F3264">
        <v>0</v>
      </c>
      <c r="G3264">
        <v>0</v>
      </c>
      <c r="H3264">
        <v>0</v>
      </c>
      <c r="I3264" s="29">
        <v>0</v>
      </c>
      <c r="J3264" s="29">
        <v>0</v>
      </c>
      <c r="K3264" s="9">
        <v>45375</v>
      </c>
      <c r="L3264">
        <f xml:space="preserve"> (交易處理資料__3[[#This Row],[售出工時]] * 60) / 5</f>
        <v>0</v>
      </c>
      <c r="M3264" t="str">
        <f>VLOOKUP(交易處理資料__3[[#This Row],[人員代號]],團隊分組!$B$1:$C$52,2,FALSE)</f>
        <v>快速保養團隊B</v>
      </c>
      <c r="N3264" t="str">
        <f>IF(交易處理資料__3[[#This Row],[上班時間]]=0,"否","是")</f>
        <v>否</v>
      </c>
      <c r="O3264" t="s">
        <v>76</v>
      </c>
      <c r="P3264" s="37">
        <v>0</v>
      </c>
      <c r="Q3264" s="37">
        <v>0</v>
      </c>
      <c r="R3264" s="37">
        <v>0</v>
      </c>
    </row>
    <row r="3265" spans="1:18" hidden="1">
      <c r="A3265" t="s">
        <v>76</v>
      </c>
      <c r="B3265" t="s">
        <v>32</v>
      </c>
      <c r="C3265">
        <v>0</v>
      </c>
      <c r="D3265">
        <v>0</v>
      </c>
      <c r="E3265" s="29">
        <v>0</v>
      </c>
      <c r="F3265">
        <v>0</v>
      </c>
      <c r="G3265">
        <v>0</v>
      </c>
      <c r="H3265">
        <v>0</v>
      </c>
      <c r="I3265" s="29">
        <v>0</v>
      </c>
      <c r="J3265" s="29">
        <v>0</v>
      </c>
      <c r="K3265" s="9">
        <v>45375</v>
      </c>
      <c r="L3265">
        <f xml:space="preserve"> (交易處理資料__3[[#This Row],[售出工時]] * 60) / 5</f>
        <v>0</v>
      </c>
      <c r="M3265" t="str">
        <f>VLOOKUP(交易處理資料__3[[#This Row],[人員代號]],團隊分組!$B$1:$C$52,2,FALSE)</f>
        <v>快速保養團隊B</v>
      </c>
      <c r="N3265" t="str">
        <f>IF(交易處理資料__3[[#This Row],[上班時間]]=0,"否","是")</f>
        <v>否</v>
      </c>
      <c r="O3265" t="s">
        <v>76</v>
      </c>
      <c r="P3265" s="38">
        <v>0</v>
      </c>
      <c r="Q3265" s="38">
        <v>0</v>
      </c>
      <c r="R3265" s="38">
        <v>0</v>
      </c>
    </row>
    <row r="3266" spans="1:18" hidden="1">
      <c r="A3266" t="s">
        <v>76</v>
      </c>
      <c r="B3266" t="s">
        <v>33</v>
      </c>
      <c r="C3266">
        <v>0</v>
      </c>
      <c r="D3266">
        <v>0</v>
      </c>
      <c r="E3266" s="29">
        <v>0</v>
      </c>
      <c r="F3266">
        <v>0</v>
      </c>
      <c r="G3266">
        <v>0</v>
      </c>
      <c r="H3266">
        <v>0</v>
      </c>
      <c r="I3266" s="29">
        <v>0</v>
      </c>
      <c r="J3266" s="29">
        <v>0</v>
      </c>
      <c r="K3266" s="9">
        <v>45375</v>
      </c>
      <c r="L3266">
        <f xml:space="preserve"> (交易處理資料__3[[#This Row],[售出工時]] * 60) / 5</f>
        <v>0</v>
      </c>
      <c r="M3266" t="str">
        <f>VLOOKUP(交易處理資料__3[[#This Row],[人員代號]],團隊分組!$B$1:$C$52,2,FALSE)</f>
        <v>快速保養團隊B</v>
      </c>
      <c r="N3266" t="str">
        <f>IF(交易處理資料__3[[#This Row],[上班時間]]=0,"否","是")</f>
        <v>否</v>
      </c>
      <c r="O3266" t="s">
        <v>76</v>
      </c>
      <c r="P3266" s="37">
        <v>0</v>
      </c>
      <c r="Q3266" s="37">
        <v>0</v>
      </c>
      <c r="R3266" s="37">
        <v>0</v>
      </c>
    </row>
    <row r="3267" spans="1:18" hidden="1">
      <c r="A3267" t="s">
        <v>76</v>
      </c>
      <c r="B3267" t="s">
        <v>34</v>
      </c>
      <c r="C3267">
        <v>0</v>
      </c>
      <c r="D3267">
        <v>0</v>
      </c>
      <c r="E3267" s="29">
        <v>0</v>
      </c>
      <c r="F3267">
        <v>0</v>
      </c>
      <c r="G3267">
        <v>0</v>
      </c>
      <c r="H3267">
        <v>0</v>
      </c>
      <c r="I3267" s="29">
        <v>0</v>
      </c>
      <c r="J3267" s="29">
        <v>0</v>
      </c>
      <c r="K3267" s="9">
        <v>45375</v>
      </c>
      <c r="L3267">
        <f xml:space="preserve"> (交易處理資料__3[[#This Row],[售出工時]] * 60) / 5</f>
        <v>0</v>
      </c>
      <c r="M3267" t="str">
        <f>VLOOKUP(交易處理資料__3[[#This Row],[人員代號]],團隊分組!$B$1:$C$52,2,FALSE)</f>
        <v>快速保養團隊A</v>
      </c>
      <c r="N3267" t="str">
        <f>IF(交易處理資料__3[[#This Row],[上班時間]]=0,"否","是")</f>
        <v>否</v>
      </c>
      <c r="O3267" t="s">
        <v>76</v>
      </c>
      <c r="P3267" s="38">
        <v>0</v>
      </c>
      <c r="Q3267" s="38">
        <v>0</v>
      </c>
      <c r="R3267" s="38">
        <v>0</v>
      </c>
    </row>
    <row r="3268" spans="1:18" hidden="1">
      <c r="A3268" t="s">
        <v>76</v>
      </c>
      <c r="B3268" t="s">
        <v>35</v>
      </c>
      <c r="C3268">
        <v>0</v>
      </c>
      <c r="D3268">
        <v>0</v>
      </c>
      <c r="E3268" s="29">
        <v>0</v>
      </c>
      <c r="F3268">
        <v>0</v>
      </c>
      <c r="G3268">
        <v>0</v>
      </c>
      <c r="H3268">
        <v>0</v>
      </c>
      <c r="I3268" s="29">
        <v>0</v>
      </c>
      <c r="J3268" s="29">
        <v>0</v>
      </c>
      <c r="K3268" s="9">
        <v>45375</v>
      </c>
      <c r="L3268">
        <f xml:space="preserve"> (交易處理資料__3[[#This Row],[售出工時]] * 60) / 5</f>
        <v>0</v>
      </c>
      <c r="M3268" t="str">
        <f>VLOOKUP(交易處理資料__3[[#This Row],[人員代號]],團隊分組!$B$1:$C$52,2,FALSE)</f>
        <v>查修團隊B</v>
      </c>
      <c r="N3268" t="str">
        <f>IF(交易處理資料__3[[#This Row],[上班時間]]=0,"否","是")</f>
        <v>否</v>
      </c>
      <c r="O3268" t="s">
        <v>76</v>
      </c>
      <c r="P3268" s="37">
        <v>0</v>
      </c>
      <c r="Q3268" s="37">
        <v>0</v>
      </c>
      <c r="R3268" s="37">
        <v>0</v>
      </c>
    </row>
    <row r="3269" spans="1:18" hidden="1">
      <c r="A3269" t="s">
        <v>76</v>
      </c>
      <c r="B3269" t="s">
        <v>36</v>
      </c>
      <c r="C3269">
        <v>0</v>
      </c>
      <c r="D3269">
        <v>0</v>
      </c>
      <c r="E3269" s="29">
        <v>0</v>
      </c>
      <c r="F3269">
        <v>0</v>
      </c>
      <c r="G3269">
        <v>0</v>
      </c>
      <c r="H3269">
        <v>0</v>
      </c>
      <c r="I3269" s="29">
        <v>0</v>
      </c>
      <c r="J3269" s="29">
        <v>0</v>
      </c>
      <c r="K3269" s="9">
        <v>45375</v>
      </c>
      <c r="L3269">
        <f xml:space="preserve"> (交易處理資料__3[[#This Row],[售出工時]] * 60) / 5</f>
        <v>0</v>
      </c>
      <c r="M3269" t="str">
        <f>VLOOKUP(交易處理資料__3[[#This Row],[人員代號]],團隊分組!$B$1:$C$52,2,FALSE)</f>
        <v>查修團隊B</v>
      </c>
      <c r="N3269" t="str">
        <f>IF(交易處理資料__3[[#This Row],[上班時間]]=0,"否","是")</f>
        <v>否</v>
      </c>
      <c r="O3269" t="s">
        <v>76</v>
      </c>
      <c r="P3269" s="38">
        <v>0</v>
      </c>
      <c r="Q3269" s="38">
        <v>0</v>
      </c>
      <c r="R3269" s="38">
        <v>0</v>
      </c>
    </row>
    <row r="3270" spans="1:18" hidden="1">
      <c r="A3270" t="s">
        <v>76</v>
      </c>
      <c r="B3270" t="s">
        <v>37</v>
      </c>
      <c r="C3270">
        <v>0</v>
      </c>
      <c r="D3270">
        <v>0</v>
      </c>
      <c r="E3270" s="29">
        <v>0</v>
      </c>
      <c r="F3270">
        <v>0</v>
      </c>
      <c r="G3270">
        <v>0</v>
      </c>
      <c r="H3270">
        <v>0</v>
      </c>
      <c r="I3270" s="29">
        <v>0</v>
      </c>
      <c r="J3270" s="29">
        <v>0</v>
      </c>
      <c r="K3270" s="9">
        <v>45375</v>
      </c>
      <c r="L3270">
        <f xml:space="preserve"> (交易處理資料__3[[#This Row],[售出工時]] * 60) / 5</f>
        <v>0</v>
      </c>
      <c r="M3270" t="str">
        <f>VLOOKUP(交易處理資料__3[[#This Row],[人員代號]],團隊分組!$B$1:$C$52,2,FALSE)</f>
        <v>查修團隊A</v>
      </c>
      <c r="N3270" t="str">
        <f>IF(交易處理資料__3[[#This Row],[上班時間]]=0,"否","是")</f>
        <v>否</v>
      </c>
      <c r="O3270" t="s">
        <v>76</v>
      </c>
      <c r="P3270" s="37">
        <v>0</v>
      </c>
      <c r="Q3270" s="37">
        <v>0</v>
      </c>
      <c r="R3270" s="37">
        <v>0</v>
      </c>
    </row>
    <row r="3271" spans="1:18" hidden="1">
      <c r="A3271" t="s">
        <v>76</v>
      </c>
      <c r="B3271" t="s">
        <v>38</v>
      </c>
      <c r="C3271">
        <v>0</v>
      </c>
      <c r="D3271">
        <v>0</v>
      </c>
      <c r="E3271" s="29">
        <v>0</v>
      </c>
      <c r="F3271">
        <v>0</v>
      </c>
      <c r="G3271">
        <v>0</v>
      </c>
      <c r="H3271">
        <v>0</v>
      </c>
      <c r="I3271" s="29">
        <v>0</v>
      </c>
      <c r="J3271" s="29">
        <v>0</v>
      </c>
      <c r="K3271" s="9">
        <v>45375</v>
      </c>
      <c r="L3271">
        <f xml:space="preserve"> (交易處理資料__3[[#This Row],[售出工時]] * 60) / 5</f>
        <v>0</v>
      </c>
      <c r="M3271" t="str">
        <f>VLOOKUP(交易處理資料__3[[#This Row],[人員代號]],團隊分組!$B$1:$C$52,2,FALSE)</f>
        <v>快速保養團隊A</v>
      </c>
      <c r="N3271" t="str">
        <f>IF(交易處理資料__3[[#This Row],[上班時間]]=0,"否","是")</f>
        <v>否</v>
      </c>
      <c r="O3271" t="s">
        <v>76</v>
      </c>
      <c r="P3271" s="38">
        <v>0</v>
      </c>
      <c r="Q3271" s="38">
        <v>0</v>
      </c>
      <c r="R3271" s="38">
        <v>0</v>
      </c>
    </row>
    <row r="3272" spans="1:18" hidden="1">
      <c r="A3272" t="s">
        <v>76</v>
      </c>
      <c r="B3272" t="s">
        <v>39</v>
      </c>
      <c r="C3272">
        <v>0</v>
      </c>
      <c r="D3272">
        <v>0</v>
      </c>
      <c r="E3272" s="29">
        <v>0</v>
      </c>
      <c r="F3272">
        <v>0</v>
      </c>
      <c r="G3272">
        <v>0</v>
      </c>
      <c r="H3272">
        <v>0</v>
      </c>
      <c r="I3272" s="29">
        <v>0</v>
      </c>
      <c r="J3272" s="29">
        <v>0</v>
      </c>
      <c r="K3272" s="9">
        <v>45375</v>
      </c>
      <c r="L3272">
        <f xml:space="preserve"> (交易處理資料__3[[#This Row],[售出工時]] * 60) / 5</f>
        <v>0</v>
      </c>
      <c r="M3272" t="str">
        <f>VLOOKUP(交易處理資料__3[[#This Row],[人員代號]],團隊分組!$B$1:$C$52,2,FALSE)</f>
        <v>查修團隊A</v>
      </c>
      <c r="N3272" t="str">
        <f>IF(交易處理資料__3[[#This Row],[上班時間]]=0,"否","是")</f>
        <v>否</v>
      </c>
      <c r="O3272" t="s">
        <v>76</v>
      </c>
      <c r="P3272" s="37">
        <v>0</v>
      </c>
      <c r="Q3272" s="37">
        <v>0</v>
      </c>
      <c r="R3272" s="37">
        <v>0</v>
      </c>
    </row>
    <row r="3273" spans="1:18" hidden="1">
      <c r="A3273" t="s">
        <v>76</v>
      </c>
      <c r="B3273" t="s">
        <v>40</v>
      </c>
      <c r="C3273">
        <v>0</v>
      </c>
      <c r="D3273">
        <v>0</v>
      </c>
      <c r="E3273" s="29">
        <v>0</v>
      </c>
      <c r="F3273">
        <v>0</v>
      </c>
      <c r="G3273">
        <v>0</v>
      </c>
      <c r="H3273">
        <v>0</v>
      </c>
      <c r="I3273" s="29">
        <v>0</v>
      </c>
      <c r="J3273" s="29">
        <v>0</v>
      </c>
      <c r="K3273" s="9">
        <v>45375</v>
      </c>
      <c r="L3273">
        <f xml:space="preserve"> (交易處理資料__3[[#This Row],[售出工時]] * 60) / 5</f>
        <v>0</v>
      </c>
      <c r="M3273" t="str">
        <f>VLOOKUP(交易處理資料__3[[#This Row],[人員代號]],團隊分組!$B$1:$C$52,2,FALSE)</f>
        <v>查修團隊A</v>
      </c>
      <c r="N3273" t="str">
        <f>IF(交易處理資料__3[[#This Row],[上班時間]]=0,"否","是")</f>
        <v>否</v>
      </c>
      <c r="O3273" t="s">
        <v>76</v>
      </c>
      <c r="P3273" s="38">
        <v>0</v>
      </c>
      <c r="Q3273" s="38">
        <v>0</v>
      </c>
      <c r="R3273" s="38">
        <v>0</v>
      </c>
    </row>
    <row r="3274" spans="1:18" hidden="1">
      <c r="A3274" t="s">
        <v>76</v>
      </c>
      <c r="B3274" t="s">
        <v>41</v>
      </c>
      <c r="C3274">
        <v>0</v>
      </c>
      <c r="D3274">
        <v>0</v>
      </c>
      <c r="E3274" s="29">
        <v>0</v>
      </c>
      <c r="F3274">
        <v>0</v>
      </c>
      <c r="G3274">
        <v>0</v>
      </c>
      <c r="H3274">
        <v>0</v>
      </c>
      <c r="I3274" s="29">
        <v>0</v>
      </c>
      <c r="J3274" s="29">
        <v>0</v>
      </c>
      <c r="K3274" s="9">
        <v>45375</v>
      </c>
      <c r="L3274">
        <f xml:space="preserve"> (交易處理資料__3[[#This Row],[售出工時]] * 60) / 5</f>
        <v>0</v>
      </c>
      <c r="M3274" t="str">
        <f>VLOOKUP(交易處理資料__3[[#This Row],[人員代號]],團隊分組!$B$1:$C$52,2,FALSE)</f>
        <v>快速保養團隊A</v>
      </c>
      <c r="N3274" t="str">
        <f>IF(交易處理資料__3[[#This Row],[上班時間]]=0,"否","是")</f>
        <v>否</v>
      </c>
      <c r="O3274" t="s">
        <v>76</v>
      </c>
      <c r="P3274" s="37">
        <v>0</v>
      </c>
      <c r="Q3274" s="37">
        <v>0</v>
      </c>
      <c r="R3274" s="37">
        <v>0</v>
      </c>
    </row>
    <row r="3275" spans="1:18" hidden="1">
      <c r="A3275" t="s">
        <v>76</v>
      </c>
      <c r="B3275" t="s">
        <v>42</v>
      </c>
      <c r="C3275">
        <v>0</v>
      </c>
      <c r="D3275">
        <v>0</v>
      </c>
      <c r="E3275" s="29">
        <v>0</v>
      </c>
      <c r="F3275">
        <v>0</v>
      </c>
      <c r="G3275">
        <v>0</v>
      </c>
      <c r="H3275">
        <v>0</v>
      </c>
      <c r="I3275" s="29">
        <v>0</v>
      </c>
      <c r="J3275" s="29">
        <v>0</v>
      </c>
      <c r="K3275" s="9">
        <v>45375</v>
      </c>
      <c r="L3275">
        <f xml:space="preserve"> (交易處理資料__3[[#This Row],[售出工時]] * 60) / 5</f>
        <v>0</v>
      </c>
      <c r="M3275" t="str">
        <f>VLOOKUP(交易處理資料__3[[#This Row],[人員代號]],團隊分組!$B$1:$C$52,2,FALSE)</f>
        <v>快速保養團隊A</v>
      </c>
      <c r="N3275" t="str">
        <f>IF(交易處理資料__3[[#This Row],[上班時間]]=0,"否","是")</f>
        <v>否</v>
      </c>
      <c r="O3275" t="s">
        <v>76</v>
      </c>
      <c r="P3275" s="38">
        <v>0</v>
      </c>
      <c r="Q3275" s="38">
        <v>0</v>
      </c>
      <c r="R3275" s="38">
        <v>0</v>
      </c>
    </row>
    <row r="3276" spans="1:18" hidden="1">
      <c r="A3276" t="s">
        <v>76</v>
      </c>
      <c r="B3276" t="s">
        <v>43</v>
      </c>
      <c r="C3276">
        <v>0</v>
      </c>
      <c r="D3276">
        <v>0</v>
      </c>
      <c r="E3276" s="29">
        <v>0</v>
      </c>
      <c r="F3276">
        <v>0</v>
      </c>
      <c r="G3276">
        <v>0</v>
      </c>
      <c r="H3276">
        <v>0</v>
      </c>
      <c r="I3276" s="29">
        <v>0</v>
      </c>
      <c r="J3276" s="29">
        <v>0</v>
      </c>
      <c r="K3276" s="9">
        <v>45375</v>
      </c>
      <c r="L3276">
        <f xml:space="preserve"> (交易處理資料__3[[#This Row],[售出工時]] * 60) / 5</f>
        <v>0</v>
      </c>
      <c r="M3276" t="str">
        <f>VLOOKUP(交易處理資料__3[[#This Row],[人員代號]],團隊分組!$B$1:$C$52,2,FALSE)</f>
        <v>查修團隊B</v>
      </c>
      <c r="N3276" t="str">
        <f>IF(交易處理資料__3[[#This Row],[上班時間]]=0,"否","是")</f>
        <v>否</v>
      </c>
      <c r="O3276" t="s">
        <v>76</v>
      </c>
      <c r="P3276" s="37">
        <v>0</v>
      </c>
      <c r="Q3276" s="37">
        <v>0</v>
      </c>
      <c r="R3276" s="37">
        <v>0</v>
      </c>
    </row>
    <row r="3277" spans="1:18" hidden="1">
      <c r="A3277" t="s">
        <v>76</v>
      </c>
      <c r="B3277" t="s">
        <v>44</v>
      </c>
      <c r="C3277">
        <v>0</v>
      </c>
      <c r="D3277">
        <v>0</v>
      </c>
      <c r="E3277" s="29">
        <v>0</v>
      </c>
      <c r="F3277">
        <v>0</v>
      </c>
      <c r="G3277">
        <v>0</v>
      </c>
      <c r="H3277">
        <v>0</v>
      </c>
      <c r="I3277" s="29">
        <v>0</v>
      </c>
      <c r="J3277" s="29">
        <v>0</v>
      </c>
      <c r="K3277" s="9">
        <v>45375</v>
      </c>
      <c r="L3277">
        <f xml:space="preserve"> (交易處理資料__3[[#This Row],[售出工時]] * 60) / 5</f>
        <v>0</v>
      </c>
      <c r="M3277" t="str">
        <f>VLOOKUP(交易處理資料__3[[#This Row],[人員代號]],團隊分組!$B$1:$C$52,2,FALSE)</f>
        <v>快速保養團隊B</v>
      </c>
      <c r="N3277" t="str">
        <f>IF(交易處理資料__3[[#This Row],[上班時間]]=0,"否","是")</f>
        <v>否</v>
      </c>
      <c r="O3277" t="s">
        <v>76</v>
      </c>
      <c r="P3277" s="38">
        <v>0</v>
      </c>
      <c r="Q3277" s="38">
        <v>0</v>
      </c>
      <c r="R3277" s="38">
        <v>0</v>
      </c>
    </row>
    <row r="3278" spans="1:18" hidden="1">
      <c r="A3278" t="s">
        <v>76</v>
      </c>
      <c r="B3278" t="s">
        <v>45</v>
      </c>
      <c r="C3278">
        <v>0</v>
      </c>
      <c r="D3278">
        <v>0</v>
      </c>
      <c r="E3278" s="29">
        <v>0</v>
      </c>
      <c r="F3278">
        <v>0</v>
      </c>
      <c r="G3278">
        <v>0</v>
      </c>
      <c r="H3278">
        <v>0</v>
      </c>
      <c r="I3278" s="29">
        <v>0</v>
      </c>
      <c r="J3278" s="29">
        <v>0</v>
      </c>
      <c r="K3278" s="9">
        <v>45375</v>
      </c>
      <c r="L3278">
        <f xml:space="preserve"> (交易處理資料__3[[#This Row],[售出工時]] * 60) / 5</f>
        <v>0</v>
      </c>
      <c r="M3278" t="str">
        <f>VLOOKUP(交易處理資料__3[[#This Row],[人員代號]],團隊分組!$B$1:$C$52,2,FALSE)</f>
        <v>快速保養團隊A</v>
      </c>
      <c r="N3278" t="str">
        <f>IF(交易處理資料__3[[#This Row],[上班時間]]=0,"否","是")</f>
        <v>否</v>
      </c>
      <c r="O3278" t="s">
        <v>76</v>
      </c>
      <c r="P3278" s="37">
        <v>0</v>
      </c>
      <c r="Q3278" s="37">
        <v>0</v>
      </c>
      <c r="R3278" s="37">
        <v>0</v>
      </c>
    </row>
    <row r="3279" spans="1:18" hidden="1">
      <c r="A3279" t="s">
        <v>76</v>
      </c>
      <c r="B3279" t="s">
        <v>46</v>
      </c>
      <c r="C3279">
        <v>0</v>
      </c>
      <c r="D3279">
        <v>0</v>
      </c>
      <c r="E3279" s="29">
        <v>0</v>
      </c>
      <c r="F3279">
        <v>0</v>
      </c>
      <c r="G3279">
        <v>0</v>
      </c>
      <c r="H3279">
        <v>0</v>
      </c>
      <c r="I3279" s="29">
        <v>0</v>
      </c>
      <c r="J3279" s="29">
        <v>0</v>
      </c>
      <c r="K3279" s="9">
        <v>45375</v>
      </c>
      <c r="L3279">
        <f xml:space="preserve"> (交易處理資料__3[[#This Row],[售出工時]] * 60) / 5</f>
        <v>0</v>
      </c>
      <c r="M3279" t="str">
        <f>VLOOKUP(交易處理資料__3[[#This Row],[人員代號]],團隊分組!$B$1:$C$52,2,FALSE)</f>
        <v>查修團隊B</v>
      </c>
      <c r="N3279" t="str">
        <f>IF(交易處理資料__3[[#This Row],[上班時間]]=0,"否","是")</f>
        <v>否</v>
      </c>
      <c r="O3279" t="s">
        <v>76</v>
      </c>
      <c r="P3279" s="38">
        <v>0</v>
      </c>
      <c r="Q3279" s="38">
        <v>0</v>
      </c>
      <c r="R3279" s="38">
        <v>0</v>
      </c>
    </row>
    <row r="3280" spans="1:18" hidden="1">
      <c r="A3280" t="s">
        <v>76</v>
      </c>
      <c r="B3280" t="s">
        <v>47</v>
      </c>
      <c r="C3280">
        <v>0</v>
      </c>
      <c r="D3280">
        <v>0</v>
      </c>
      <c r="E3280" s="29">
        <v>0</v>
      </c>
      <c r="F3280">
        <v>0</v>
      </c>
      <c r="G3280">
        <v>0</v>
      </c>
      <c r="H3280">
        <v>0</v>
      </c>
      <c r="I3280" s="29">
        <v>0</v>
      </c>
      <c r="J3280" s="29">
        <v>0</v>
      </c>
      <c r="K3280" s="9">
        <v>45375</v>
      </c>
      <c r="L3280">
        <f xml:space="preserve"> (交易處理資料__3[[#This Row],[售出工時]] * 60) / 5</f>
        <v>0</v>
      </c>
      <c r="M3280" t="str">
        <f>VLOOKUP(交易處理資料__3[[#This Row],[人員代號]],團隊分組!$B$1:$C$52,2,FALSE)</f>
        <v>查修團隊B</v>
      </c>
      <c r="N3280" t="str">
        <f>IF(交易處理資料__3[[#This Row],[上班時間]]=0,"否","是")</f>
        <v>否</v>
      </c>
      <c r="O3280" t="s">
        <v>76</v>
      </c>
      <c r="P3280" s="37">
        <v>0</v>
      </c>
      <c r="Q3280" s="37">
        <v>0</v>
      </c>
      <c r="R3280" s="37">
        <v>0</v>
      </c>
    </row>
    <row r="3281" spans="1:18" hidden="1">
      <c r="A3281" t="s">
        <v>76</v>
      </c>
      <c r="B3281" t="s">
        <v>48</v>
      </c>
      <c r="C3281">
        <v>0</v>
      </c>
      <c r="D3281">
        <v>0</v>
      </c>
      <c r="E3281" s="29">
        <v>0</v>
      </c>
      <c r="F3281">
        <v>0</v>
      </c>
      <c r="G3281">
        <v>0</v>
      </c>
      <c r="H3281">
        <v>0</v>
      </c>
      <c r="I3281" s="29">
        <v>0</v>
      </c>
      <c r="J3281" s="29">
        <v>0</v>
      </c>
      <c r="K3281" s="9">
        <v>45375</v>
      </c>
      <c r="L3281">
        <f xml:space="preserve"> (交易處理資料__3[[#This Row],[售出工時]] * 60) / 5</f>
        <v>0</v>
      </c>
      <c r="M3281" t="str">
        <f>VLOOKUP(交易處理資料__3[[#This Row],[人員代號]],團隊分組!$B$1:$C$52,2,FALSE)</f>
        <v>查修團隊A</v>
      </c>
      <c r="N3281" t="str">
        <f>IF(交易處理資料__3[[#This Row],[上班時間]]=0,"否","是")</f>
        <v>否</v>
      </c>
      <c r="O3281" t="s">
        <v>76</v>
      </c>
      <c r="P3281" s="38">
        <v>0</v>
      </c>
      <c r="Q3281" s="38">
        <v>0</v>
      </c>
      <c r="R3281" s="38">
        <v>0</v>
      </c>
    </row>
    <row r="3282" spans="1:18" hidden="1">
      <c r="A3282" t="s">
        <v>76</v>
      </c>
      <c r="B3282" t="s">
        <v>49</v>
      </c>
      <c r="C3282">
        <v>0</v>
      </c>
      <c r="D3282">
        <v>0</v>
      </c>
      <c r="E3282" s="29">
        <v>0</v>
      </c>
      <c r="F3282">
        <v>0</v>
      </c>
      <c r="G3282">
        <v>0</v>
      </c>
      <c r="H3282">
        <v>0</v>
      </c>
      <c r="I3282" s="29">
        <v>0</v>
      </c>
      <c r="J3282" s="29">
        <v>0</v>
      </c>
      <c r="K3282" s="9">
        <v>45375</v>
      </c>
      <c r="L3282">
        <f xml:space="preserve"> (交易處理資料__3[[#This Row],[售出工時]] * 60) / 5</f>
        <v>0</v>
      </c>
      <c r="M3282" t="str">
        <f>VLOOKUP(交易處理資料__3[[#This Row],[人員代號]],團隊分組!$B$1:$C$52,2,FALSE)</f>
        <v>查修團隊A</v>
      </c>
      <c r="N3282" t="str">
        <f>IF(交易處理資料__3[[#This Row],[上班時間]]=0,"否","是")</f>
        <v>否</v>
      </c>
      <c r="O3282" t="s">
        <v>76</v>
      </c>
      <c r="P3282" s="37">
        <v>0</v>
      </c>
      <c r="Q3282" s="37">
        <v>0</v>
      </c>
      <c r="R3282" s="37">
        <v>0</v>
      </c>
    </row>
    <row r="3283" spans="1:18" hidden="1">
      <c r="A3283" t="s">
        <v>76</v>
      </c>
      <c r="B3283" t="s">
        <v>50</v>
      </c>
      <c r="C3283">
        <v>0</v>
      </c>
      <c r="D3283">
        <v>0</v>
      </c>
      <c r="E3283" s="29">
        <v>0</v>
      </c>
      <c r="F3283">
        <v>0</v>
      </c>
      <c r="G3283">
        <v>0</v>
      </c>
      <c r="H3283">
        <v>0</v>
      </c>
      <c r="I3283" s="29">
        <v>0</v>
      </c>
      <c r="J3283" s="29">
        <v>0</v>
      </c>
      <c r="K3283" s="9">
        <v>45375</v>
      </c>
      <c r="L3283">
        <f xml:space="preserve"> (交易處理資料__3[[#This Row],[售出工時]] * 60) / 5</f>
        <v>0</v>
      </c>
      <c r="M3283" t="str">
        <f>VLOOKUP(交易處理資料__3[[#This Row],[人員代號]],團隊分組!$B$1:$C$52,2,FALSE)</f>
        <v>快速保養團隊B</v>
      </c>
      <c r="N3283" t="str">
        <f>IF(交易處理資料__3[[#This Row],[上班時間]]=0,"否","是")</f>
        <v>否</v>
      </c>
      <c r="O3283" t="s">
        <v>76</v>
      </c>
      <c r="P3283" s="38">
        <v>0</v>
      </c>
      <c r="Q3283" s="38">
        <v>0</v>
      </c>
      <c r="R3283" s="38">
        <v>0</v>
      </c>
    </row>
    <row r="3284" spans="1:18" hidden="1">
      <c r="A3284" t="s">
        <v>76</v>
      </c>
      <c r="B3284" t="s">
        <v>51</v>
      </c>
      <c r="C3284">
        <v>0</v>
      </c>
      <c r="D3284">
        <v>0</v>
      </c>
      <c r="E3284" s="29">
        <v>0</v>
      </c>
      <c r="F3284">
        <v>0</v>
      </c>
      <c r="G3284">
        <v>0</v>
      </c>
      <c r="H3284">
        <v>0</v>
      </c>
      <c r="I3284" s="29">
        <v>0</v>
      </c>
      <c r="J3284" s="29">
        <v>0</v>
      </c>
      <c r="K3284" s="9">
        <v>45375</v>
      </c>
      <c r="L3284">
        <f xml:space="preserve"> (交易處理資料__3[[#This Row],[售出工時]] * 60) / 5</f>
        <v>0</v>
      </c>
      <c r="M3284" t="str">
        <f>VLOOKUP(交易處理資料__3[[#This Row],[人員代號]],團隊分組!$B$1:$C$52,2,FALSE)</f>
        <v>無效數據</v>
      </c>
      <c r="N3284" t="str">
        <f>IF(交易處理資料__3[[#This Row],[上班時間]]=0,"否","是")</f>
        <v>否</v>
      </c>
      <c r="O3284" t="s">
        <v>76</v>
      </c>
      <c r="P3284" s="37">
        <v>0</v>
      </c>
      <c r="Q3284" s="37">
        <v>0</v>
      </c>
      <c r="R3284" s="37">
        <v>0</v>
      </c>
    </row>
    <row r="3285" spans="1:18" hidden="1">
      <c r="A3285" t="s">
        <v>76</v>
      </c>
      <c r="B3285" t="s">
        <v>52</v>
      </c>
      <c r="C3285">
        <v>0</v>
      </c>
      <c r="D3285">
        <v>0</v>
      </c>
      <c r="E3285" s="29">
        <v>0</v>
      </c>
      <c r="F3285">
        <v>0</v>
      </c>
      <c r="G3285">
        <v>0</v>
      </c>
      <c r="H3285">
        <v>0</v>
      </c>
      <c r="I3285" s="29">
        <v>0</v>
      </c>
      <c r="J3285" s="29">
        <v>0</v>
      </c>
      <c r="K3285" s="9">
        <v>45375</v>
      </c>
      <c r="L3285">
        <f xml:space="preserve"> (交易處理資料__3[[#This Row],[售出工時]] * 60) / 5</f>
        <v>0</v>
      </c>
      <c r="M3285" t="str">
        <f>VLOOKUP(交易處理資料__3[[#This Row],[人員代號]],團隊分組!$B$1:$C$52,2,FALSE)</f>
        <v>查修團隊B</v>
      </c>
      <c r="N3285" t="str">
        <f>IF(交易處理資料__3[[#This Row],[上班時間]]=0,"否","是")</f>
        <v>否</v>
      </c>
      <c r="O3285" t="s">
        <v>76</v>
      </c>
      <c r="P3285" s="38">
        <v>0</v>
      </c>
      <c r="Q3285" s="38">
        <v>0</v>
      </c>
      <c r="R3285" s="38">
        <v>0</v>
      </c>
    </row>
    <row r="3286" spans="1:18" hidden="1">
      <c r="A3286" t="s">
        <v>76</v>
      </c>
      <c r="B3286" t="s">
        <v>53</v>
      </c>
      <c r="C3286">
        <v>0</v>
      </c>
      <c r="D3286">
        <v>0</v>
      </c>
      <c r="E3286" s="29">
        <v>0</v>
      </c>
      <c r="F3286">
        <v>0</v>
      </c>
      <c r="G3286">
        <v>0</v>
      </c>
      <c r="H3286">
        <v>0</v>
      </c>
      <c r="I3286" s="29">
        <v>0</v>
      </c>
      <c r="J3286" s="29">
        <v>0</v>
      </c>
      <c r="K3286" s="9">
        <v>45375</v>
      </c>
      <c r="L3286">
        <f xml:space="preserve"> (交易處理資料__3[[#This Row],[售出工時]] * 60) / 5</f>
        <v>0</v>
      </c>
      <c r="M3286" t="str">
        <f>VLOOKUP(交易處理資料__3[[#This Row],[人員代號]],團隊分組!$B$1:$C$52,2,FALSE)</f>
        <v>查修團隊A</v>
      </c>
      <c r="N3286" t="str">
        <f>IF(交易處理資料__3[[#This Row],[上班時間]]=0,"否","是")</f>
        <v>否</v>
      </c>
      <c r="O3286" t="s">
        <v>76</v>
      </c>
      <c r="P3286" s="37">
        <v>0</v>
      </c>
      <c r="Q3286" s="37">
        <v>0</v>
      </c>
      <c r="R3286" s="37">
        <v>0</v>
      </c>
    </row>
    <row r="3287" spans="1:18" hidden="1">
      <c r="A3287" s="10" t="s">
        <v>74</v>
      </c>
      <c r="B3287" t="s">
        <v>1</v>
      </c>
      <c r="C3287">
        <v>0</v>
      </c>
      <c r="D3287">
        <v>0</v>
      </c>
      <c r="E3287" s="29">
        <v>0</v>
      </c>
      <c r="F3287">
        <v>6.95</v>
      </c>
      <c r="G3287">
        <v>1.03</v>
      </c>
      <c r="H3287">
        <v>7.98</v>
      </c>
      <c r="I3287" s="29">
        <v>0.87090000000000001</v>
      </c>
      <c r="J3287" s="29">
        <v>0</v>
      </c>
      <c r="K3287" s="9">
        <v>45376</v>
      </c>
      <c r="L3287">
        <f xml:space="preserve"> (交易處理資料__3[[#This Row],[售出工時]] * 60) / 5</f>
        <v>0</v>
      </c>
      <c r="M3287" t="str">
        <f>VLOOKUP(交易處理資料__3[[#This Row],[人員代號]],團隊分組!$B$1:$C$52,2,FALSE)</f>
        <v>噴漆維修組</v>
      </c>
      <c r="N3287" t="str">
        <f>IF(交易處理資料__3[[#This Row],[上班時間]]=0,"否","是")</f>
        <v>是</v>
      </c>
      <c r="O3287" s="10" t="s">
        <v>74</v>
      </c>
      <c r="P3287" s="38">
        <v>0</v>
      </c>
      <c r="Q3287" s="38">
        <v>0</v>
      </c>
      <c r="R3287" s="38">
        <v>0.87090000000000001</v>
      </c>
    </row>
    <row r="3288" spans="1:18" hidden="1">
      <c r="A3288" s="10" t="s">
        <v>74</v>
      </c>
      <c r="B3288" t="s">
        <v>2</v>
      </c>
      <c r="C3288">
        <v>1.31</v>
      </c>
      <c r="D3288">
        <v>6.53</v>
      </c>
      <c r="E3288" s="29">
        <v>0.2006125574</v>
      </c>
      <c r="F3288">
        <v>6</v>
      </c>
      <c r="G3288">
        <v>1.92</v>
      </c>
      <c r="H3288">
        <v>7.92</v>
      </c>
      <c r="I3288" s="29">
        <v>0.75760000000000005</v>
      </c>
      <c r="J3288" s="29">
        <v>0.16539999999999999</v>
      </c>
      <c r="K3288" s="9">
        <v>45376</v>
      </c>
      <c r="L3288">
        <f xml:space="preserve"> (交易處理資料__3[[#This Row],[售出工時]] * 60) / 5</f>
        <v>15.720000000000002</v>
      </c>
      <c r="M3288" t="str">
        <f>VLOOKUP(交易處理資料__3[[#This Row],[人員代號]],團隊分組!$B$1:$C$52,2,FALSE)</f>
        <v>噴漆維修組</v>
      </c>
      <c r="N3288" t="str">
        <f>IF(交易處理資料__3[[#This Row],[上班時間]]=0,"否","是")</f>
        <v>是</v>
      </c>
      <c r="O3288" s="10" t="s">
        <v>74</v>
      </c>
      <c r="P3288" s="37">
        <v>0.2006125574</v>
      </c>
      <c r="Q3288" s="37">
        <v>0.16539999999999999</v>
      </c>
      <c r="R3288" s="37">
        <v>0.75760000000000005</v>
      </c>
    </row>
    <row r="3289" spans="1:18" hidden="1">
      <c r="A3289" s="10" t="s">
        <v>74</v>
      </c>
      <c r="B3289" t="s">
        <v>3</v>
      </c>
      <c r="C3289">
        <v>1.31</v>
      </c>
      <c r="D3289">
        <v>6.53</v>
      </c>
      <c r="E3289" s="29">
        <v>0.2006125574</v>
      </c>
      <c r="F3289">
        <v>6</v>
      </c>
      <c r="G3289">
        <v>1.93</v>
      </c>
      <c r="H3289">
        <v>7.93</v>
      </c>
      <c r="I3289" s="29">
        <v>0.75659999999999994</v>
      </c>
      <c r="J3289" s="29">
        <v>0.16519999999999999</v>
      </c>
      <c r="K3289" s="9">
        <v>45376</v>
      </c>
      <c r="L3289">
        <f xml:space="preserve"> (交易處理資料__3[[#This Row],[售出工時]] * 60) / 5</f>
        <v>15.720000000000002</v>
      </c>
      <c r="M3289" t="str">
        <f>VLOOKUP(交易處理資料__3[[#This Row],[人員代號]],團隊分組!$B$1:$C$52,2,FALSE)</f>
        <v>噴漆維修組</v>
      </c>
      <c r="N3289" t="str">
        <f>IF(交易處理資料__3[[#This Row],[上班時間]]=0,"否","是")</f>
        <v>是</v>
      </c>
      <c r="O3289" s="10" t="s">
        <v>74</v>
      </c>
      <c r="P3289" s="38">
        <v>0.2006125574</v>
      </c>
      <c r="Q3289" s="38">
        <v>0.16519999999999999</v>
      </c>
      <c r="R3289" s="38">
        <v>0.75659999999999994</v>
      </c>
    </row>
    <row r="3290" spans="1:18" hidden="1">
      <c r="A3290" s="10" t="s">
        <v>74</v>
      </c>
      <c r="B3290" t="s">
        <v>5</v>
      </c>
      <c r="C3290">
        <v>7.16</v>
      </c>
      <c r="D3290">
        <v>5.95</v>
      </c>
      <c r="E3290" s="29">
        <v>1.203361345</v>
      </c>
      <c r="F3290">
        <v>6.93</v>
      </c>
      <c r="G3290">
        <v>0.96</v>
      </c>
      <c r="H3290">
        <v>7.89</v>
      </c>
      <c r="I3290" s="29">
        <v>0.87829999999999997</v>
      </c>
      <c r="J3290" s="29">
        <v>0.90749999999999997</v>
      </c>
      <c r="K3290" s="9">
        <v>45376</v>
      </c>
      <c r="L3290">
        <f xml:space="preserve"> (交易處理資料__3[[#This Row],[售出工時]] * 60) / 5</f>
        <v>85.92</v>
      </c>
      <c r="M3290" t="str">
        <f>VLOOKUP(交易處理資料__3[[#This Row],[人員代號]],團隊分組!$B$1:$C$52,2,FALSE)</f>
        <v>噴漆維修組</v>
      </c>
      <c r="N3290" t="str">
        <f>IF(交易處理資料__3[[#This Row],[上班時間]]=0,"否","是")</f>
        <v>是</v>
      </c>
      <c r="O3290" s="10" t="s">
        <v>74</v>
      </c>
      <c r="P3290" s="37">
        <v>1.203361345</v>
      </c>
      <c r="Q3290" s="37">
        <v>0.90749999999999997</v>
      </c>
      <c r="R3290" s="37">
        <v>0.87829999999999997</v>
      </c>
    </row>
    <row r="3291" spans="1:18" hidden="1">
      <c r="A3291" s="10" t="s">
        <v>74</v>
      </c>
      <c r="B3291" t="s">
        <v>6</v>
      </c>
      <c r="C3291">
        <v>1.31</v>
      </c>
      <c r="D3291">
        <v>6.53</v>
      </c>
      <c r="E3291" s="29">
        <v>0.2006125574</v>
      </c>
      <c r="F3291">
        <v>5.96</v>
      </c>
      <c r="G3291">
        <v>1.94</v>
      </c>
      <c r="H3291">
        <v>7.9</v>
      </c>
      <c r="I3291" s="29">
        <v>0.75439999999999996</v>
      </c>
      <c r="J3291" s="29">
        <v>0.16579999999999998</v>
      </c>
      <c r="K3291" s="9">
        <v>45376</v>
      </c>
      <c r="L3291">
        <f xml:space="preserve"> (交易處理資料__3[[#This Row],[售出工時]] * 60) / 5</f>
        <v>15.720000000000002</v>
      </c>
      <c r="M3291" t="str">
        <f>VLOOKUP(交易處理資料__3[[#This Row],[人員代號]],團隊分組!$B$1:$C$52,2,FALSE)</f>
        <v>噴漆維修組</v>
      </c>
      <c r="N3291" t="str">
        <f>IF(交易處理資料__3[[#This Row],[上班時間]]=0,"否","是")</f>
        <v>是</v>
      </c>
      <c r="O3291" s="10" t="s">
        <v>74</v>
      </c>
      <c r="P3291" s="38">
        <v>0.2006125574</v>
      </c>
      <c r="Q3291" s="38">
        <v>0.16579999999999998</v>
      </c>
      <c r="R3291" s="38">
        <v>0.75439999999999996</v>
      </c>
    </row>
    <row r="3292" spans="1:18">
      <c r="A3292" s="10" t="s">
        <v>74</v>
      </c>
      <c r="B3292" t="s">
        <v>7</v>
      </c>
      <c r="C3292">
        <v>5.2533333329999996</v>
      </c>
      <c r="D3292">
        <v>6.63</v>
      </c>
      <c r="E3292" s="29">
        <v>0.79235796879999998</v>
      </c>
      <c r="F3292">
        <v>7.03</v>
      </c>
      <c r="G3292">
        <v>0.88</v>
      </c>
      <c r="H3292">
        <v>7.91</v>
      </c>
      <c r="I3292" s="29">
        <v>0.88870000000000005</v>
      </c>
      <c r="J3292" s="29">
        <v>0.66409999999999991</v>
      </c>
      <c r="K3292" s="9">
        <v>45376</v>
      </c>
      <c r="L3292">
        <f xml:space="preserve"> (交易處理資料__3[[#This Row],[售出工時]] * 60) / 5</f>
        <v>63.039999995999992</v>
      </c>
      <c r="M3292" t="str">
        <f>VLOOKUP(交易處理資料__3[[#This Row],[人員代號]],團隊分組!$B$1:$C$52,2,FALSE)</f>
        <v>噴漆維修組</v>
      </c>
      <c r="N3292" t="str">
        <f>IF(交易處理資料__3[[#This Row],[上班時間]]=0,"否","是")</f>
        <v>是</v>
      </c>
      <c r="O3292" s="10" t="s">
        <v>74</v>
      </c>
      <c r="P3292" s="37">
        <v>0.79235796879999998</v>
      </c>
      <c r="Q3292" s="37">
        <v>0.66409999999999991</v>
      </c>
      <c r="R3292" s="37">
        <v>0.88870000000000005</v>
      </c>
    </row>
    <row r="3293" spans="1:18" hidden="1">
      <c r="A3293" s="10" t="s">
        <v>74</v>
      </c>
      <c r="B3293" t="s">
        <v>8</v>
      </c>
      <c r="C3293">
        <v>0</v>
      </c>
      <c r="D3293">
        <v>0</v>
      </c>
      <c r="E3293" s="29">
        <v>0</v>
      </c>
      <c r="F3293">
        <v>6.45</v>
      </c>
      <c r="G3293">
        <v>0.6</v>
      </c>
      <c r="H3293">
        <v>7.05</v>
      </c>
      <c r="I3293" s="29">
        <v>0.91489999999999994</v>
      </c>
      <c r="J3293" s="29">
        <v>0</v>
      </c>
      <c r="K3293" s="9">
        <v>45376</v>
      </c>
      <c r="L3293">
        <f xml:space="preserve"> (交易處理資料__3[[#This Row],[售出工時]] * 60) / 5</f>
        <v>0</v>
      </c>
      <c r="M3293" t="str">
        <f>VLOOKUP(交易處理資料__3[[#This Row],[人員代號]],團隊分組!$B$1:$C$52,2,FALSE)</f>
        <v>噴漆維修組</v>
      </c>
      <c r="N3293" t="str">
        <f>IF(交易處理資料__3[[#This Row],[上班時間]]=0,"否","是")</f>
        <v>是</v>
      </c>
      <c r="O3293" s="10" t="s">
        <v>74</v>
      </c>
      <c r="P3293" s="38">
        <v>0</v>
      </c>
      <c r="Q3293" s="38">
        <v>0</v>
      </c>
      <c r="R3293" s="38">
        <v>0.91489999999999994</v>
      </c>
    </row>
    <row r="3294" spans="1:18" hidden="1">
      <c r="A3294" t="s">
        <v>75</v>
      </c>
      <c r="B3294" t="s">
        <v>11</v>
      </c>
      <c r="C3294">
        <v>0</v>
      </c>
      <c r="D3294">
        <v>0</v>
      </c>
      <c r="E3294" s="29">
        <v>0</v>
      </c>
      <c r="F3294">
        <v>5.94</v>
      </c>
      <c r="G3294">
        <v>2.08</v>
      </c>
      <c r="H3294">
        <v>8.02</v>
      </c>
      <c r="I3294" s="29">
        <v>0.74060000000000004</v>
      </c>
      <c r="J3294" s="29">
        <v>0</v>
      </c>
      <c r="K3294" s="9">
        <v>45376</v>
      </c>
      <c r="L3294">
        <f xml:space="preserve"> (交易處理資料__3[[#This Row],[售出工時]] * 60) / 5</f>
        <v>0</v>
      </c>
      <c r="M3294" t="str">
        <f>VLOOKUP(交易處理資料__3[[#This Row],[人員代號]],團隊分組!$B$1:$C$52,2,FALSE)</f>
        <v>鈑金維修組</v>
      </c>
      <c r="N3294" t="str">
        <f>IF(交易處理資料__3[[#This Row],[上班時間]]=0,"否","是")</f>
        <v>是</v>
      </c>
      <c r="O3294" t="s">
        <v>75</v>
      </c>
      <c r="P3294" s="37">
        <v>0</v>
      </c>
      <c r="Q3294" s="37">
        <v>0</v>
      </c>
      <c r="R3294" s="37">
        <v>0.74060000000000004</v>
      </c>
    </row>
    <row r="3295" spans="1:18" hidden="1">
      <c r="A3295" t="s">
        <v>75</v>
      </c>
      <c r="B3295" t="s">
        <v>12</v>
      </c>
      <c r="C3295">
        <v>6.25</v>
      </c>
      <c r="D3295">
        <v>4.18</v>
      </c>
      <c r="E3295" s="29">
        <v>1.4952153109999999</v>
      </c>
      <c r="F3295">
        <v>6.7</v>
      </c>
      <c r="G3295">
        <v>1.33</v>
      </c>
      <c r="H3295">
        <v>8.0299999999999994</v>
      </c>
      <c r="I3295" s="29">
        <v>0.83440000000000003</v>
      </c>
      <c r="J3295" s="29">
        <v>0.77829999999999999</v>
      </c>
      <c r="K3295" s="9">
        <v>45376</v>
      </c>
      <c r="L3295">
        <f xml:space="preserve"> (交易處理資料__3[[#This Row],[售出工時]] * 60) / 5</f>
        <v>75</v>
      </c>
      <c r="M3295" t="str">
        <f>VLOOKUP(交易處理資料__3[[#This Row],[人員代號]],團隊分組!$B$1:$C$52,2,FALSE)</f>
        <v>鈑金維修組</v>
      </c>
      <c r="N3295" t="str">
        <f>IF(交易處理資料__3[[#This Row],[上班時間]]=0,"否","是")</f>
        <v>是</v>
      </c>
      <c r="O3295" t="s">
        <v>75</v>
      </c>
      <c r="P3295" s="38">
        <v>1.4952153109999999</v>
      </c>
      <c r="Q3295" s="38">
        <v>0.77829999999999999</v>
      </c>
      <c r="R3295" s="38">
        <v>0.83440000000000003</v>
      </c>
    </row>
    <row r="3296" spans="1:18" hidden="1">
      <c r="A3296" t="s">
        <v>75</v>
      </c>
      <c r="B3296" t="s">
        <v>13</v>
      </c>
      <c r="C3296">
        <v>11.82</v>
      </c>
      <c r="D3296">
        <v>6.89</v>
      </c>
      <c r="E3296" s="29">
        <v>1.7155297530000002</v>
      </c>
      <c r="F3296">
        <v>7.27</v>
      </c>
      <c r="G3296">
        <v>0.77</v>
      </c>
      <c r="H3296">
        <v>8.0399999999999991</v>
      </c>
      <c r="I3296" s="29">
        <v>0.9042</v>
      </c>
      <c r="J3296" s="29">
        <v>1.4701</v>
      </c>
      <c r="K3296" s="9">
        <v>45376</v>
      </c>
      <c r="L3296">
        <f xml:space="preserve"> (交易處理資料__3[[#This Row],[售出工時]] * 60) / 5</f>
        <v>141.84</v>
      </c>
      <c r="M3296" t="str">
        <f>VLOOKUP(交易處理資料__3[[#This Row],[人員代號]],團隊分組!$B$1:$C$52,2,FALSE)</f>
        <v>鈑金維修組</v>
      </c>
      <c r="N3296" t="str">
        <f>IF(交易處理資料__3[[#This Row],[上班時間]]=0,"否","是")</f>
        <v>是</v>
      </c>
      <c r="O3296" t="s">
        <v>75</v>
      </c>
      <c r="P3296" s="37">
        <v>1.7155297530000002</v>
      </c>
      <c r="Q3296" s="37">
        <v>1.4701</v>
      </c>
      <c r="R3296" s="37">
        <v>0.9042</v>
      </c>
    </row>
    <row r="3297" spans="1:18" hidden="1">
      <c r="A3297" t="s">
        <v>76</v>
      </c>
      <c r="B3297" t="s">
        <v>17</v>
      </c>
      <c r="C3297">
        <v>6.5433333329999996</v>
      </c>
      <c r="D3297">
        <v>5.25</v>
      </c>
      <c r="E3297" s="29">
        <v>1.2463492060000001</v>
      </c>
      <c r="F3297">
        <v>7.28</v>
      </c>
      <c r="G3297">
        <v>0.67</v>
      </c>
      <c r="H3297">
        <v>7.95</v>
      </c>
      <c r="I3297" s="29">
        <v>0.91569999999999996</v>
      </c>
      <c r="J3297" s="29">
        <v>0.82310000000000005</v>
      </c>
      <c r="K3297" s="9">
        <v>45376</v>
      </c>
      <c r="L3297">
        <f xml:space="preserve"> (交易處理資料__3[[#This Row],[售出工時]] * 60) / 5</f>
        <v>78.519999995999996</v>
      </c>
      <c r="M3297" t="str">
        <f>VLOOKUP(交易處理資料__3[[#This Row],[人員代號]],團隊分組!$B$1:$C$52,2,FALSE)</f>
        <v>快速保養團隊A</v>
      </c>
      <c r="N3297" t="str">
        <f>IF(交易處理資料__3[[#This Row],[上班時間]]=0,"否","是")</f>
        <v>是</v>
      </c>
      <c r="O3297" t="s">
        <v>76</v>
      </c>
      <c r="P3297" s="38">
        <v>1.2463492060000001</v>
      </c>
      <c r="Q3297" s="38">
        <v>0.82310000000000005</v>
      </c>
      <c r="R3297" s="38">
        <v>0.91569999999999996</v>
      </c>
    </row>
    <row r="3298" spans="1:18" hidden="1">
      <c r="A3298" t="s">
        <v>76</v>
      </c>
      <c r="B3298" t="s">
        <v>19</v>
      </c>
      <c r="C3298">
        <v>0</v>
      </c>
      <c r="D3298">
        <v>0</v>
      </c>
      <c r="E3298" s="29">
        <v>0</v>
      </c>
      <c r="F3298">
        <v>0</v>
      </c>
      <c r="G3298">
        <v>0</v>
      </c>
      <c r="H3298">
        <v>0</v>
      </c>
      <c r="I3298" s="29">
        <v>0</v>
      </c>
      <c r="J3298" s="29">
        <v>0</v>
      </c>
      <c r="K3298" s="9">
        <v>45376</v>
      </c>
      <c r="L3298">
        <f xml:space="preserve"> (交易處理資料__3[[#This Row],[售出工時]] * 60) / 5</f>
        <v>0</v>
      </c>
      <c r="M3298" t="str">
        <f>VLOOKUP(交易處理資料__3[[#This Row],[人員代號]],團隊分組!$B$1:$C$52,2,FALSE)</f>
        <v>查修團隊A</v>
      </c>
      <c r="N3298" t="str">
        <f>IF(交易處理資料__3[[#This Row],[上班時間]]=0,"否","是")</f>
        <v>否</v>
      </c>
      <c r="O3298" t="s">
        <v>76</v>
      </c>
      <c r="P3298" s="37">
        <v>0</v>
      </c>
      <c r="Q3298" s="37">
        <v>0</v>
      </c>
      <c r="R3298" s="37">
        <v>0</v>
      </c>
    </row>
    <row r="3299" spans="1:18" hidden="1">
      <c r="A3299" t="s">
        <v>76</v>
      </c>
      <c r="B3299" t="s">
        <v>21</v>
      </c>
      <c r="C3299">
        <v>0</v>
      </c>
      <c r="D3299">
        <v>0</v>
      </c>
      <c r="E3299" s="29">
        <v>0</v>
      </c>
      <c r="F3299">
        <v>6.58</v>
      </c>
      <c r="G3299">
        <v>1.83</v>
      </c>
      <c r="H3299">
        <v>8.41</v>
      </c>
      <c r="I3299" s="29">
        <v>0.78239999999999998</v>
      </c>
      <c r="J3299" s="29">
        <v>0</v>
      </c>
      <c r="K3299" s="9">
        <v>45376</v>
      </c>
      <c r="L3299">
        <f xml:space="preserve"> (交易處理資料__3[[#This Row],[售出工時]] * 60) / 5</f>
        <v>0</v>
      </c>
      <c r="M3299" t="str">
        <f>VLOOKUP(交易處理資料__3[[#This Row],[人員代號]],團隊分組!$B$1:$C$52,2,FALSE)</f>
        <v>查修團隊B</v>
      </c>
      <c r="N3299" t="str">
        <f>IF(交易處理資料__3[[#This Row],[上班時間]]=0,"否","是")</f>
        <v>是</v>
      </c>
      <c r="O3299" t="s">
        <v>76</v>
      </c>
      <c r="P3299" s="38">
        <v>0</v>
      </c>
      <c r="Q3299" s="38">
        <v>0</v>
      </c>
      <c r="R3299" s="38">
        <v>0.78239999999999998</v>
      </c>
    </row>
    <row r="3300" spans="1:18" hidden="1">
      <c r="A3300" t="s">
        <v>76</v>
      </c>
      <c r="B3300" t="s">
        <v>22</v>
      </c>
      <c r="C3300">
        <v>11.83333333</v>
      </c>
      <c r="D3300">
        <v>5.78</v>
      </c>
      <c r="E3300" s="29">
        <v>2.0472895040000001</v>
      </c>
      <c r="F3300">
        <v>7.34</v>
      </c>
      <c r="G3300">
        <v>0.99</v>
      </c>
      <c r="H3300">
        <v>8.33</v>
      </c>
      <c r="I3300" s="29">
        <v>0.88120000000000009</v>
      </c>
      <c r="J3300" s="29">
        <v>1.4206000000000001</v>
      </c>
      <c r="K3300" s="9">
        <v>45376</v>
      </c>
      <c r="L3300">
        <f xml:space="preserve"> (交易處理資料__3[[#This Row],[售出工時]] * 60) / 5</f>
        <v>141.99999996000003</v>
      </c>
      <c r="M3300" t="str">
        <f>VLOOKUP(交易處理資料__3[[#This Row],[人員代號]],團隊分組!$B$1:$C$52,2,FALSE)</f>
        <v>快速保養團隊A</v>
      </c>
      <c r="N3300" t="str">
        <f>IF(交易處理資料__3[[#This Row],[上班時間]]=0,"否","是")</f>
        <v>是</v>
      </c>
      <c r="O3300" t="s">
        <v>76</v>
      </c>
      <c r="P3300" s="37">
        <v>2.0472895040000001</v>
      </c>
      <c r="Q3300" s="37">
        <v>1.4206000000000001</v>
      </c>
      <c r="R3300" s="37">
        <v>0.88120000000000009</v>
      </c>
    </row>
    <row r="3301" spans="1:18" hidden="1">
      <c r="A3301" t="s">
        <v>76</v>
      </c>
      <c r="B3301" t="s">
        <v>23</v>
      </c>
      <c r="C3301">
        <v>6.9</v>
      </c>
      <c r="D3301">
        <v>4.99</v>
      </c>
      <c r="E3301" s="29">
        <v>1.382765531</v>
      </c>
      <c r="F3301">
        <v>10.77</v>
      </c>
      <c r="G3301">
        <v>0.41</v>
      </c>
      <c r="H3301">
        <v>11.18</v>
      </c>
      <c r="I3301" s="29">
        <v>0.96329999999999993</v>
      </c>
      <c r="J3301" s="29">
        <v>0.61719999999999997</v>
      </c>
      <c r="K3301" s="9">
        <v>45376</v>
      </c>
      <c r="L3301">
        <f xml:space="preserve"> (交易處理資料__3[[#This Row],[售出工時]] * 60) / 5</f>
        <v>82.8</v>
      </c>
      <c r="M3301" t="str">
        <f>VLOOKUP(交易處理資料__3[[#This Row],[人員代號]],團隊分組!$B$1:$C$52,2,FALSE)</f>
        <v>快速保養團隊B</v>
      </c>
      <c r="N3301" t="str">
        <f>IF(交易處理資料__3[[#This Row],[上班時間]]=0,"否","是")</f>
        <v>是</v>
      </c>
      <c r="O3301" t="s">
        <v>76</v>
      </c>
      <c r="P3301" s="38">
        <v>1.382765531</v>
      </c>
      <c r="Q3301" s="38">
        <v>0.61719999999999997</v>
      </c>
      <c r="R3301" s="38">
        <v>0.96329999999999993</v>
      </c>
    </row>
    <row r="3302" spans="1:18" hidden="1">
      <c r="A3302" t="s">
        <v>76</v>
      </c>
      <c r="B3302" t="s">
        <v>24</v>
      </c>
      <c r="C3302">
        <v>10.446666670000001</v>
      </c>
      <c r="D3302">
        <v>5.44</v>
      </c>
      <c r="E3302" s="29">
        <v>1.9203431370000001</v>
      </c>
      <c r="F3302">
        <v>6.28</v>
      </c>
      <c r="G3302">
        <v>0.76</v>
      </c>
      <c r="H3302">
        <v>7.04</v>
      </c>
      <c r="I3302" s="29">
        <v>0.89200000000000002</v>
      </c>
      <c r="J3302" s="29">
        <v>1.4838999999999998</v>
      </c>
      <c r="K3302" s="9">
        <v>45376</v>
      </c>
      <c r="L3302">
        <f xml:space="preserve"> (交易處理資料__3[[#This Row],[售出工時]] * 60) / 5</f>
        <v>125.36000004</v>
      </c>
      <c r="M3302" t="str">
        <f>VLOOKUP(交易處理資料__3[[#This Row],[人員代號]],團隊分組!$B$1:$C$52,2,FALSE)</f>
        <v>快速保養團隊A</v>
      </c>
      <c r="N3302" t="str">
        <f>IF(交易處理資料__3[[#This Row],[上班時間]]=0,"否","是")</f>
        <v>是</v>
      </c>
      <c r="O3302" t="s">
        <v>76</v>
      </c>
      <c r="P3302" s="37">
        <v>1.9203431370000001</v>
      </c>
      <c r="Q3302" s="37">
        <v>1.4838999999999998</v>
      </c>
      <c r="R3302" s="37">
        <v>0.89200000000000002</v>
      </c>
    </row>
    <row r="3303" spans="1:18" hidden="1">
      <c r="A3303" t="s">
        <v>76</v>
      </c>
      <c r="B3303" t="s">
        <v>25</v>
      </c>
      <c r="C3303">
        <v>0</v>
      </c>
      <c r="D3303">
        <v>0</v>
      </c>
      <c r="E3303" s="29">
        <v>0</v>
      </c>
      <c r="F3303">
        <v>6.66</v>
      </c>
      <c r="G3303">
        <v>2.42</v>
      </c>
      <c r="H3303">
        <v>9.08</v>
      </c>
      <c r="I3303" s="29">
        <v>0.73349999999999993</v>
      </c>
      <c r="J3303" s="29">
        <v>0</v>
      </c>
      <c r="K3303" s="9">
        <v>45376</v>
      </c>
      <c r="L3303">
        <f xml:space="preserve"> (交易處理資料__3[[#This Row],[售出工時]] * 60) / 5</f>
        <v>0</v>
      </c>
      <c r="M3303" t="str">
        <f>VLOOKUP(交易處理資料__3[[#This Row],[人員代號]],團隊分組!$B$1:$C$52,2,FALSE)</f>
        <v>查修團隊A</v>
      </c>
      <c r="N3303" t="str">
        <f>IF(交易處理資料__3[[#This Row],[上班時間]]=0,"否","是")</f>
        <v>是</v>
      </c>
      <c r="O3303" t="s">
        <v>76</v>
      </c>
      <c r="P3303" s="38">
        <v>0</v>
      </c>
      <c r="Q3303" s="38">
        <v>0</v>
      </c>
      <c r="R3303" s="38">
        <v>0.73349999999999993</v>
      </c>
    </row>
    <row r="3304" spans="1:18" hidden="1">
      <c r="A3304" t="s">
        <v>76</v>
      </c>
      <c r="B3304" t="s">
        <v>26</v>
      </c>
      <c r="C3304">
        <v>0.66666666699999999</v>
      </c>
      <c r="D3304">
        <v>1.45</v>
      </c>
      <c r="E3304" s="29">
        <v>0.45977011490000003</v>
      </c>
      <c r="F3304">
        <v>7.35</v>
      </c>
      <c r="G3304">
        <v>2.96</v>
      </c>
      <c r="H3304">
        <v>10.31</v>
      </c>
      <c r="I3304" s="29">
        <v>0.71290000000000009</v>
      </c>
      <c r="J3304" s="29">
        <v>6.4699999999999994E-2</v>
      </c>
      <c r="K3304" s="9">
        <v>45376</v>
      </c>
      <c r="L3304">
        <f xml:space="preserve"> (交易處理資料__3[[#This Row],[售出工時]] * 60) / 5</f>
        <v>8.0000000040000003</v>
      </c>
      <c r="M3304" t="str">
        <f>VLOOKUP(交易處理資料__3[[#This Row],[人員代號]],團隊分組!$B$1:$C$52,2,FALSE)</f>
        <v>查修團隊B</v>
      </c>
      <c r="N3304" t="str">
        <f>IF(交易處理資料__3[[#This Row],[上班時間]]=0,"否","是")</f>
        <v>是</v>
      </c>
      <c r="O3304" t="s">
        <v>76</v>
      </c>
      <c r="P3304" s="37">
        <v>0.45977011490000003</v>
      </c>
      <c r="Q3304" s="37">
        <v>6.4699999999999994E-2</v>
      </c>
      <c r="R3304" s="37">
        <v>0.71290000000000009</v>
      </c>
    </row>
    <row r="3305" spans="1:18" hidden="1">
      <c r="A3305" t="s">
        <v>76</v>
      </c>
      <c r="B3305" t="s">
        <v>27</v>
      </c>
      <c r="C3305">
        <v>2.8633333329999999</v>
      </c>
      <c r="D3305">
        <v>2.73</v>
      </c>
      <c r="E3305" s="29">
        <v>1.0488400489999998</v>
      </c>
      <c r="F3305">
        <v>6.62</v>
      </c>
      <c r="G3305">
        <v>1.35</v>
      </c>
      <c r="H3305">
        <v>7.97</v>
      </c>
      <c r="I3305" s="29">
        <v>0.8306</v>
      </c>
      <c r="J3305" s="29">
        <v>0.35930000000000001</v>
      </c>
      <c r="K3305" s="9">
        <v>45376</v>
      </c>
      <c r="L3305">
        <f xml:space="preserve"> (交易處理資料__3[[#This Row],[售出工時]] * 60) / 5</f>
        <v>34.359999995999999</v>
      </c>
      <c r="M3305" t="str">
        <f>VLOOKUP(交易處理資料__3[[#This Row],[人員代號]],團隊分組!$B$1:$C$52,2,FALSE)</f>
        <v>快速保養團隊B</v>
      </c>
      <c r="N3305" t="str">
        <f>IF(交易處理資料__3[[#This Row],[上班時間]]=0,"否","是")</f>
        <v>是</v>
      </c>
      <c r="O3305" t="s">
        <v>76</v>
      </c>
      <c r="P3305" s="38">
        <v>1.0488400489999998</v>
      </c>
      <c r="Q3305" s="38">
        <v>0.35930000000000001</v>
      </c>
      <c r="R3305" s="38">
        <v>0.8306</v>
      </c>
    </row>
    <row r="3306" spans="1:18" hidden="1">
      <c r="A3306" t="s">
        <v>76</v>
      </c>
      <c r="B3306" t="s">
        <v>28</v>
      </c>
      <c r="C3306">
        <v>9.6666666669999994</v>
      </c>
      <c r="D3306">
        <v>6.69</v>
      </c>
      <c r="E3306" s="29">
        <v>1.444942701</v>
      </c>
      <c r="F3306">
        <v>7.96</v>
      </c>
      <c r="G3306">
        <v>0.23</v>
      </c>
      <c r="H3306">
        <v>8.19</v>
      </c>
      <c r="I3306" s="29">
        <v>0.97189999999999999</v>
      </c>
      <c r="J3306" s="29">
        <v>1.1802999999999999</v>
      </c>
      <c r="K3306" s="9">
        <v>45376</v>
      </c>
      <c r="L3306">
        <f xml:space="preserve"> (交易處理資料__3[[#This Row],[售出工時]] * 60) / 5</f>
        <v>116.000000004</v>
      </c>
      <c r="M3306" t="str">
        <f>VLOOKUP(交易處理資料__3[[#This Row],[人員代號]],團隊分組!$B$1:$C$52,2,FALSE)</f>
        <v>快速保養團隊A</v>
      </c>
      <c r="N3306" t="str">
        <f>IF(交易處理資料__3[[#This Row],[上班時間]]=0,"否","是")</f>
        <v>是</v>
      </c>
      <c r="O3306" t="s">
        <v>76</v>
      </c>
      <c r="P3306" s="37">
        <v>1.444942701</v>
      </c>
      <c r="Q3306" s="37">
        <v>1.1802999999999999</v>
      </c>
      <c r="R3306" s="37">
        <v>0.97189999999999999</v>
      </c>
    </row>
    <row r="3307" spans="1:18" hidden="1">
      <c r="A3307" t="s">
        <v>76</v>
      </c>
      <c r="B3307" t="s">
        <v>29</v>
      </c>
      <c r="C3307">
        <v>0</v>
      </c>
      <c r="D3307">
        <v>0</v>
      </c>
      <c r="E3307" s="29">
        <v>0</v>
      </c>
      <c r="F3307">
        <v>5.73</v>
      </c>
      <c r="G3307">
        <v>2.4</v>
      </c>
      <c r="H3307">
        <v>8.1300000000000008</v>
      </c>
      <c r="I3307" s="29">
        <v>0.70480000000000009</v>
      </c>
      <c r="J3307" s="29">
        <v>0</v>
      </c>
      <c r="K3307" s="9">
        <v>45376</v>
      </c>
      <c r="L3307">
        <f xml:space="preserve"> (交易處理資料__3[[#This Row],[售出工時]] * 60) / 5</f>
        <v>0</v>
      </c>
      <c r="M3307" t="str">
        <f>VLOOKUP(交易處理資料__3[[#This Row],[人員代號]],團隊分組!$B$1:$C$52,2,FALSE)</f>
        <v>查修團隊B</v>
      </c>
      <c r="N3307" t="str">
        <f>IF(交易處理資料__3[[#This Row],[上班時間]]=0,"否","是")</f>
        <v>是</v>
      </c>
      <c r="O3307" t="s">
        <v>76</v>
      </c>
      <c r="P3307" s="38">
        <v>0</v>
      </c>
      <c r="Q3307" s="38">
        <v>0</v>
      </c>
      <c r="R3307" s="38">
        <v>0.70480000000000009</v>
      </c>
    </row>
    <row r="3308" spans="1:18" hidden="1">
      <c r="A3308" t="s">
        <v>76</v>
      </c>
      <c r="B3308" t="s">
        <v>30</v>
      </c>
      <c r="C3308">
        <v>6.5633333330000001</v>
      </c>
      <c r="D3308">
        <v>3.83</v>
      </c>
      <c r="E3308" s="29">
        <v>1.713664056</v>
      </c>
      <c r="F3308">
        <v>6.21</v>
      </c>
      <c r="G3308">
        <v>1.78</v>
      </c>
      <c r="H3308">
        <v>7.99</v>
      </c>
      <c r="I3308" s="29">
        <v>0.7772</v>
      </c>
      <c r="J3308" s="29">
        <v>0.82140000000000002</v>
      </c>
      <c r="K3308" s="9">
        <v>45376</v>
      </c>
      <c r="L3308">
        <f xml:space="preserve"> (交易處理資料__3[[#This Row],[售出工時]] * 60) / 5</f>
        <v>78.759999996000005</v>
      </c>
      <c r="M3308" t="str">
        <f>VLOOKUP(交易處理資料__3[[#This Row],[人員代號]],團隊分組!$B$1:$C$52,2,FALSE)</f>
        <v>快速保養團隊B</v>
      </c>
      <c r="N3308" t="str">
        <f>IF(交易處理資料__3[[#This Row],[上班時間]]=0,"否","是")</f>
        <v>是</v>
      </c>
      <c r="O3308" t="s">
        <v>76</v>
      </c>
      <c r="P3308" s="37">
        <v>1.713664056</v>
      </c>
      <c r="Q3308" s="37">
        <v>0.82140000000000002</v>
      </c>
      <c r="R3308" s="37">
        <v>0.7772</v>
      </c>
    </row>
    <row r="3309" spans="1:18" hidden="1">
      <c r="A3309" t="s">
        <v>76</v>
      </c>
      <c r="B3309" t="s">
        <v>32</v>
      </c>
      <c r="C3309">
        <v>4.95</v>
      </c>
      <c r="D3309">
        <v>6.01</v>
      </c>
      <c r="E3309" s="29">
        <v>0.82362728790000006</v>
      </c>
      <c r="F3309">
        <v>10.68</v>
      </c>
      <c r="G3309">
        <v>0.47</v>
      </c>
      <c r="H3309">
        <v>11.15</v>
      </c>
      <c r="I3309" s="29">
        <v>0.95779999999999998</v>
      </c>
      <c r="J3309" s="29">
        <v>0.44390000000000002</v>
      </c>
      <c r="K3309" s="9">
        <v>45376</v>
      </c>
      <c r="L3309">
        <f xml:space="preserve"> (交易處理資料__3[[#This Row],[售出工時]] * 60) / 5</f>
        <v>59.4</v>
      </c>
      <c r="M3309" t="str">
        <f>VLOOKUP(交易處理資料__3[[#This Row],[人員代號]],團隊分組!$B$1:$C$52,2,FALSE)</f>
        <v>快速保養團隊B</v>
      </c>
      <c r="N3309" t="str">
        <f>IF(交易處理資料__3[[#This Row],[上班時間]]=0,"否","是")</f>
        <v>是</v>
      </c>
      <c r="O3309" t="s">
        <v>76</v>
      </c>
      <c r="P3309" s="38">
        <v>0.82362728790000006</v>
      </c>
      <c r="Q3309" s="38">
        <v>0.44390000000000002</v>
      </c>
      <c r="R3309" s="38">
        <v>0.95779999999999998</v>
      </c>
    </row>
    <row r="3310" spans="1:18" hidden="1">
      <c r="A3310" t="s">
        <v>76</v>
      </c>
      <c r="B3310" t="s">
        <v>34</v>
      </c>
      <c r="C3310">
        <v>5.4166666670000003</v>
      </c>
      <c r="D3310">
        <v>3.42</v>
      </c>
      <c r="E3310" s="29">
        <v>1.583820663</v>
      </c>
      <c r="F3310">
        <v>9.0399999999999991</v>
      </c>
      <c r="G3310">
        <v>0.57999999999999996</v>
      </c>
      <c r="H3310">
        <v>9.6199999999999992</v>
      </c>
      <c r="I3310" s="29">
        <v>0.93969999999999998</v>
      </c>
      <c r="J3310" s="29">
        <v>0.56310000000000004</v>
      </c>
      <c r="K3310" s="9">
        <v>45376</v>
      </c>
      <c r="L3310">
        <f xml:space="preserve"> (交易處理資料__3[[#This Row],[售出工時]] * 60) / 5</f>
        <v>65.000000004</v>
      </c>
      <c r="M3310" t="str">
        <f>VLOOKUP(交易處理資料__3[[#This Row],[人員代號]],團隊分組!$B$1:$C$52,2,FALSE)</f>
        <v>快速保養團隊A</v>
      </c>
      <c r="N3310" t="str">
        <f>IF(交易處理資料__3[[#This Row],[上班時間]]=0,"否","是")</f>
        <v>是</v>
      </c>
      <c r="O3310" t="s">
        <v>76</v>
      </c>
      <c r="P3310" s="37">
        <v>1.583820663</v>
      </c>
      <c r="Q3310" s="37">
        <v>0.56310000000000004</v>
      </c>
      <c r="R3310" s="37">
        <v>0.93969999999999998</v>
      </c>
    </row>
    <row r="3311" spans="1:18" hidden="1">
      <c r="A3311" t="s">
        <v>76</v>
      </c>
      <c r="B3311" t="s">
        <v>35</v>
      </c>
      <c r="C3311">
        <v>2.25</v>
      </c>
      <c r="D3311">
        <v>5.0999999999999996</v>
      </c>
      <c r="E3311" s="29">
        <v>0.44117647060000004</v>
      </c>
      <c r="F3311">
        <v>8.8800000000000008</v>
      </c>
      <c r="G3311">
        <v>1.43</v>
      </c>
      <c r="H3311">
        <v>10.31</v>
      </c>
      <c r="I3311" s="29">
        <v>0.86129999999999995</v>
      </c>
      <c r="J3311" s="29">
        <v>0.21820000000000001</v>
      </c>
      <c r="K3311" s="9">
        <v>45376</v>
      </c>
      <c r="L3311">
        <f xml:space="preserve"> (交易處理資料__3[[#This Row],[售出工時]] * 60) / 5</f>
        <v>27</v>
      </c>
      <c r="M3311" t="str">
        <f>VLOOKUP(交易處理資料__3[[#This Row],[人員代號]],團隊分組!$B$1:$C$52,2,FALSE)</f>
        <v>查修團隊B</v>
      </c>
      <c r="N3311" t="str">
        <f>IF(交易處理資料__3[[#This Row],[上班時間]]=0,"否","是")</f>
        <v>是</v>
      </c>
      <c r="O3311" t="s">
        <v>76</v>
      </c>
      <c r="P3311" s="38">
        <v>0.44117647060000004</v>
      </c>
      <c r="Q3311" s="38">
        <v>0.21820000000000001</v>
      </c>
      <c r="R3311" s="38">
        <v>0.86129999999999995</v>
      </c>
    </row>
    <row r="3312" spans="1:18" hidden="1">
      <c r="A3312" t="s">
        <v>76</v>
      </c>
      <c r="B3312" t="s">
        <v>36</v>
      </c>
      <c r="C3312">
        <v>5.3766666670000003</v>
      </c>
      <c r="D3312">
        <v>9.91</v>
      </c>
      <c r="E3312" s="29">
        <v>0.54254961319999995</v>
      </c>
      <c r="F3312">
        <v>10.02</v>
      </c>
      <c r="G3312">
        <v>0.31</v>
      </c>
      <c r="H3312">
        <v>10.33</v>
      </c>
      <c r="I3312" s="29">
        <v>0.97</v>
      </c>
      <c r="J3312" s="29">
        <v>0.52049999999999996</v>
      </c>
      <c r="K3312" s="9">
        <v>45376</v>
      </c>
      <c r="L3312">
        <f xml:space="preserve"> (交易處理資料__3[[#This Row],[售出工時]] * 60) / 5</f>
        <v>64.520000004000011</v>
      </c>
      <c r="M3312" t="str">
        <f>VLOOKUP(交易處理資料__3[[#This Row],[人員代號]],團隊分組!$B$1:$C$52,2,FALSE)</f>
        <v>查修團隊B</v>
      </c>
      <c r="N3312" t="str">
        <f>IF(交易處理資料__3[[#This Row],[上班時間]]=0,"否","是")</f>
        <v>是</v>
      </c>
      <c r="O3312" t="s">
        <v>76</v>
      </c>
      <c r="P3312" s="37">
        <v>0.54254961319999995</v>
      </c>
      <c r="Q3312" s="37">
        <v>0.52049999999999996</v>
      </c>
      <c r="R3312" s="37">
        <v>0.97</v>
      </c>
    </row>
    <row r="3313" spans="1:18" hidden="1">
      <c r="A3313" t="s">
        <v>76</v>
      </c>
      <c r="B3313" t="s">
        <v>37</v>
      </c>
      <c r="C3313">
        <v>2.39</v>
      </c>
      <c r="D3313">
        <v>4.37</v>
      </c>
      <c r="E3313" s="29">
        <v>0.54691075509999998</v>
      </c>
      <c r="F3313">
        <v>8.17</v>
      </c>
      <c r="G3313">
        <v>1.84</v>
      </c>
      <c r="H3313">
        <v>10.01</v>
      </c>
      <c r="I3313" s="29">
        <v>0.81620000000000004</v>
      </c>
      <c r="J3313" s="29">
        <v>0.23879999999999998</v>
      </c>
      <c r="K3313" s="9">
        <v>45376</v>
      </c>
      <c r="L3313">
        <f xml:space="preserve"> (交易處理資料__3[[#This Row],[售出工時]] * 60) / 5</f>
        <v>28.68</v>
      </c>
      <c r="M3313" t="str">
        <f>VLOOKUP(交易處理資料__3[[#This Row],[人員代號]],團隊分組!$B$1:$C$52,2,FALSE)</f>
        <v>查修團隊A</v>
      </c>
      <c r="N3313" t="str">
        <f>IF(交易處理資料__3[[#This Row],[上班時間]]=0,"否","是")</f>
        <v>是</v>
      </c>
      <c r="O3313" t="s">
        <v>76</v>
      </c>
      <c r="P3313" s="38">
        <v>0.54691075509999998</v>
      </c>
      <c r="Q3313" s="38">
        <v>0.23879999999999998</v>
      </c>
      <c r="R3313" s="38">
        <v>0.81620000000000004</v>
      </c>
    </row>
    <row r="3314" spans="1:18" hidden="1">
      <c r="A3314" t="s">
        <v>76</v>
      </c>
      <c r="B3314" t="s">
        <v>38</v>
      </c>
      <c r="C3314">
        <v>6.5833333329999997</v>
      </c>
      <c r="D3314">
        <v>4.46</v>
      </c>
      <c r="E3314" s="29">
        <v>1.4760837069999999</v>
      </c>
      <c r="F3314">
        <v>8.82</v>
      </c>
      <c r="G3314">
        <v>0.68</v>
      </c>
      <c r="H3314">
        <v>9.5</v>
      </c>
      <c r="I3314" s="29">
        <v>0.9284</v>
      </c>
      <c r="J3314" s="29">
        <v>0.69299999999999995</v>
      </c>
      <c r="K3314" s="9">
        <v>45376</v>
      </c>
      <c r="L3314">
        <f xml:space="preserve"> (交易處理資料__3[[#This Row],[售出工時]] * 60) / 5</f>
        <v>78.999999996</v>
      </c>
      <c r="M3314" t="str">
        <f>VLOOKUP(交易處理資料__3[[#This Row],[人員代號]],團隊分組!$B$1:$C$52,2,FALSE)</f>
        <v>快速保養團隊A</v>
      </c>
      <c r="N3314" t="str">
        <f>IF(交易處理資料__3[[#This Row],[上班時間]]=0,"否","是")</f>
        <v>是</v>
      </c>
      <c r="O3314" t="s">
        <v>76</v>
      </c>
      <c r="P3314" s="37">
        <v>1.4760837069999999</v>
      </c>
      <c r="Q3314" s="37">
        <v>0.69299999999999995</v>
      </c>
      <c r="R3314" s="37">
        <v>0.9284</v>
      </c>
    </row>
    <row r="3315" spans="1:18" hidden="1">
      <c r="A3315" t="s">
        <v>76</v>
      </c>
      <c r="B3315" t="s">
        <v>39</v>
      </c>
      <c r="C3315">
        <v>2</v>
      </c>
      <c r="D3315">
        <v>7.08</v>
      </c>
      <c r="E3315" s="29">
        <v>0.2824858757</v>
      </c>
      <c r="F3315">
        <v>8.92</v>
      </c>
      <c r="G3315">
        <v>1.65</v>
      </c>
      <c r="H3315">
        <v>10.57</v>
      </c>
      <c r="I3315" s="29">
        <v>0.84389999999999998</v>
      </c>
      <c r="J3315" s="29">
        <v>0.18920000000000001</v>
      </c>
      <c r="K3315" s="9">
        <v>45376</v>
      </c>
      <c r="L3315">
        <f xml:space="preserve"> (交易處理資料__3[[#This Row],[售出工時]] * 60) / 5</f>
        <v>24</v>
      </c>
      <c r="M3315" t="str">
        <f>VLOOKUP(交易處理資料__3[[#This Row],[人員代號]],團隊分組!$B$1:$C$52,2,FALSE)</f>
        <v>查修團隊A</v>
      </c>
      <c r="N3315" t="str">
        <f>IF(交易處理資料__3[[#This Row],[上班時間]]=0,"否","是")</f>
        <v>是</v>
      </c>
      <c r="O3315" t="s">
        <v>76</v>
      </c>
      <c r="P3315" s="38">
        <v>0.2824858757</v>
      </c>
      <c r="Q3315" s="38">
        <v>0.18920000000000001</v>
      </c>
      <c r="R3315" s="38">
        <v>0.84389999999999998</v>
      </c>
    </row>
    <row r="3316" spans="1:18" hidden="1">
      <c r="A3316" t="s">
        <v>76</v>
      </c>
      <c r="B3316" t="s">
        <v>40</v>
      </c>
      <c r="C3316">
        <v>3.923333333</v>
      </c>
      <c r="D3316">
        <v>4.38</v>
      </c>
      <c r="E3316" s="29">
        <v>0.89573820400000004</v>
      </c>
      <c r="F3316">
        <v>6.78</v>
      </c>
      <c r="G3316">
        <v>2</v>
      </c>
      <c r="H3316">
        <v>8.7799999999999994</v>
      </c>
      <c r="I3316" s="29">
        <v>0.7722</v>
      </c>
      <c r="J3316" s="29">
        <v>0.44679999999999997</v>
      </c>
      <c r="K3316" s="9">
        <v>45376</v>
      </c>
      <c r="L3316">
        <f xml:space="preserve"> (交易處理資料__3[[#This Row],[售出工時]] * 60) / 5</f>
        <v>47.079999995999998</v>
      </c>
      <c r="M3316" t="str">
        <f>VLOOKUP(交易處理資料__3[[#This Row],[人員代號]],團隊分組!$B$1:$C$52,2,FALSE)</f>
        <v>查修團隊A</v>
      </c>
      <c r="N3316" t="str">
        <f>IF(交易處理資料__3[[#This Row],[上班時間]]=0,"否","是")</f>
        <v>是</v>
      </c>
      <c r="O3316" t="s">
        <v>76</v>
      </c>
      <c r="P3316" s="37">
        <v>0.89573820400000004</v>
      </c>
      <c r="Q3316" s="37">
        <v>0.44679999999999997</v>
      </c>
      <c r="R3316" s="37">
        <v>0.7722</v>
      </c>
    </row>
    <row r="3317" spans="1:18" hidden="1">
      <c r="A3317" t="s">
        <v>76</v>
      </c>
      <c r="B3317" t="s">
        <v>42</v>
      </c>
      <c r="C3317">
        <v>7.8333333329999997</v>
      </c>
      <c r="D3317">
        <v>7.62</v>
      </c>
      <c r="E3317" s="29">
        <v>1.0279965</v>
      </c>
      <c r="F3317">
        <v>6.54</v>
      </c>
      <c r="G3317">
        <v>1.52</v>
      </c>
      <c r="H3317">
        <v>8.06</v>
      </c>
      <c r="I3317" s="29">
        <v>0.81140000000000001</v>
      </c>
      <c r="J3317" s="29">
        <v>0.97189999999999999</v>
      </c>
      <c r="K3317" s="9">
        <v>45376</v>
      </c>
      <c r="L3317">
        <f xml:space="preserve"> (交易處理資料__3[[#This Row],[售出工時]] * 60) / 5</f>
        <v>93.999999996</v>
      </c>
      <c r="M3317" t="str">
        <f>VLOOKUP(交易處理資料__3[[#This Row],[人員代號]],團隊分組!$B$1:$C$52,2,FALSE)</f>
        <v>快速保養團隊A</v>
      </c>
      <c r="N3317" t="str">
        <f>IF(交易處理資料__3[[#This Row],[上班時間]]=0,"否","是")</f>
        <v>是</v>
      </c>
      <c r="O3317" t="s">
        <v>76</v>
      </c>
      <c r="P3317" s="38">
        <v>1.0279965</v>
      </c>
      <c r="Q3317" s="38">
        <v>0.97189999999999999</v>
      </c>
      <c r="R3317" s="38">
        <v>0.81140000000000001</v>
      </c>
    </row>
    <row r="3318" spans="1:18" hidden="1">
      <c r="A3318" t="s">
        <v>76</v>
      </c>
      <c r="B3318" t="s">
        <v>43</v>
      </c>
      <c r="C3318">
        <v>2.98</v>
      </c>
      <c r="D3318">
        <v>7.71</v>
      </c>
      <c r="E3318" s="29">
        <v>0.38651102459999997</v>
      </c>
      <c r="F3318">
        <v>7.69</v>
      </c>
      <c r="G3318">
        <v>0.24</v>
      </c>
      <c r="H3318">
        <v>7.93</v>
      </c>
      <c r="I3318" s="29">
        <v>0.96970000000000001</v>
      </c>
      <c r="J3318" s="29">
        <v>0.37579999999999997</v>
      </c>
      <c r="K3318" s="9">
        <v>45376</v>
      </c>
      <c r="L3318">
        <f xml:space="preserve"> (交易處理資料__3[[#This Row],[售出工時]] * 60) / 5</f>
        <v>35.760000000000005</v>
      </c>
      <c r="M3318" t="str">
        <f>VLOOKUP(交易處理資料__3[[#This Row],[人員代號]],團隊分組!$B$1:$C$52,2,FALSE)</f>
        <v>查修團隊B</v>
      </c>
      <c r="N3318" t="str">
        <f>IF(交易處理資料__3[[#This Row],[上班時間]]=0,"否","是")</f>
        <v>是</v>
      </c>
      <c r="O3318" t="s">
        <v>76</v>
      </c>
      <c r="P3318" s="37">
        <v>0.38651102459999997</v>
      </c>
      <c r="Q3318" s="37">
        <v>0.37579999999999997</v>
      </c>
      <c r="R3318" s="37">
        <v>0.96970000000000001</v>
      </c>
    </row>
    <row r="3319" spans="1:18" hidden="1">
      <c r="A3319" t="s">
        <v>76</v>
      </c>
      <c r="B3319" t="s">
        <v>45</v>
      </c>
      <c r="C3319">
        <v>0</v>
      </c>
      <c r="D3319">
        <v>0</v>
      </c>
      <c r="E3319" s="29">
        <v>0</v>
      </c>
      <c r="F3319">
        <v>0</v>
      </c>
      <c r="G3319">
        <v>0</v>
      </c>
      <c r="H3319">
        <v>0</v>
      </c>
      <c r="I3319" s="29">
        <v>0</v>
      </c>
      <c r="J3319" s="29">
        <v>0</v>
      </c>
      <c r="K3319" s="9">
        <v>45376</v>
      </c>
      <c r="L3319">
        <f xml:space="preserve"> (交易處理資料__3[[#This Row],[售出工時]] * 60) / 5</f>
        <v>0</v>
      </c>
      <c r="M3319" t="str">
        <f>VLOOKUP(交易處理資料__3[[#This Row],[人員代號]],團隊分組!$B$1:$C$52,2,FALSE)</f>
        <v>快速保養團隊A</v>
      </c>
      <c r="N3319" t="str">
        <f>IF(交易處理資料__3[[#This Row],[上班時間]]=0,"否","是")</f>
        <v>否</v>
      </c>
      <c r="O3319" t="s">
        <v>76</v>
      </c>
      <c r="P3319" s="38">
        <v>0</v>
      </c>
      <c r="Q3319" s="38">
        <v>0</v>
      </c>
      <c r="R3319" s="38">
        <v>0</v>
      </c>
    </row>
    <row r="3320" spans="1:18" hidden="1">
      <c r="A3320" t="s">
        <v>76</v>
      </c>
      <c r="B3320" t="s">
        <v>47</v>
      </c>
      <c r="C3320">
        <v>3.1666666669999999</v>
      </c>
      <c r="D3320">
        <v>3.89</v>
      </c>
      <c r="E3320" s="29">
        <v>0.81405312769999993</v>
      </c>
      <c r="F3320">
        <v>7.43</v>
      </c>
      <c r="G3320">
        <v>0.73</v>
      </c>
      <c r="H3320">
        <v>8.16</v>
      </c>
      <c r="I3320" s="29">
        <v>0.91049999999999998</v>
      </c>
      <c r="J3320" s="29">
        <v>0.3881</v>
      </c>
      <c r="K3320" s="9">
        <v>45376</v>
      </c>
      <c r="L3320">
        <f xml:space="preserve"> (交易處理資料__3[[#This Row],[售出工時]] * 60) / 5</f>
        <v>38.000000004</v>
      </c>
      <c r="M3320" t="str">
        <f>VLOOKUP(交易處理資料__3[[#This Row],[人員代號]],團隊分組!$B$1:$C$52,2,FALSE)</f>
        <v>查修團隊B</v>
      </c>
      <c r="N3320" t="str">
        <f>IF(交易處理資料__3[[#This Row],[上班時間]]=0,"否","是")</f>
        <v>是</v>
      </c>
      <c r="O3320" t="s">
        <v>76</v>
      </c>
      <c r="P3320" s="37">
        <v>0.81405312769999993</v>
      </c>
      <c r="Q3320" s="37">
        <v>0.3881</v>
      </c>
      <c r="R3320" s="37">
        <v>0.91049999999999998</v>
      </c>
    </row>
    <row r="3321" spans="1:18" hidden="1">
      <c r="A3321" t="s">
        <v>76</v>
      </c>
      <c r="B3321" t="s">
        <v>48</v>
      </c>
      <c r="C3321">
        <v>1.606666667</v>
      </c>
      <c r="D3321">
        <v>4.5599999999999996</v>
      </c>
      <c r="E3321" s="29">
        <v>0.35233918129999997</v>
      </c>
      <c r="F3321">
        <v>4.9000000000000004</v>
      </c>
      <c r="G3321">
        <v>3.84</v>
      </c>
      <c r="H3321">
        <v>8.74</v>
      </c>
      <c r="I3321" s="29">
        <v>0.56059999999999999</v>
      </c>
      <c r="J3321" s="29">
        <v>0.18379999999999999</v>
      </c>
      <c r="K3321" s="9">
        <v>45376</v>
      </c>
      <c r="L3321">
        <f xml:space="preserve"> (交易處理資料__3[[#This Row],[售出工時]] * 60) / 5</f>
        <v>19.280000004000001</v>
      </c>
      <c r="M3321" t="str">
        <f>VLOOKUP(交易處理資料__3[[#This Row],[人員代號]],團隊分組!$B$1:$C$52,2,FALSE)</f>
        <v>查修團隊A</v>
      </c>
      <c r="N3321" t="str">
        <f>IF(交易處理資料__3[[#This Row],[上班時間]]=0,"否","是")</f>
        <v>是</v>
      </c>
      <c r="O3321" t="s">
        <v>76</v>
      </c>
      <c r="P3321" s="38">
        <v>0.35233918129999997</v>
      </c>
      <c r="Q3321" s="38">
        <v>0.18379999999999999</v>
      </c>
      <c r="R3321" s="38">
        <v>0.56059999999999999</v>
      </c>
    </row>
    <row r="3322" spans="1:18" hidden="1">
      <c r="A3322" t="s">
        <v>76</v>
      </c>
      <c r="B3322" t="s">
        <v>49</v>
      </c>
      <c r="C3322">
        <v>0</v>
      </c>
      <c r="D3322">
        <v>0</v>
      </c>
      <c r="E3322" s="29">
        <v>0</v>
      </c>
      <c r="F3322">
        <v>7.61</v>
      </c>
      <c r="G3322">
        <v>0.86</v>
      </c>
      <c r="H3322">
        <v>8.4700000000000006</v>
      </c>
      <c r="I3322" s="29">
        <v>0.89849999999999997</v>
      </c>
      <c r="J3322" s="29">
        <v>0</v>
      </c>
      <c r="K3322" s="9">
        <v>45376</v>
      </c>
      <c r="L3322">
        <f xml:space="preserve"> (交易處理資料__3[[#This Row],[售出工時]] * 60) / 5</f>
        <v>0</v>
      </c>
      <c r="M3322" t="str">
        <f>VLOOKUP(交易處理資料__3[[#This Row],[人員代號]],團隊分組!$B$1:$C$52,2,FALSE)</f>
        <v>查修團隊A</v>
      </c>
      <c r="N3322" t="str">
        <f>IF(交易處理資料__3[[#This Row],[上班時間]]=0,"否","是")</f>
        <v>是</v>
      </c>
      <c r="O3322" t="s">
        <v>76</v>
      </c>
      <c r="P3322" s="37">
        <v>0</v>
      </c>
      <c r="Q3322" s="37">
        <v>0</v>
      </c>
      <c r="R3322" s="37">
        <v>0.89849999999999997</v>
      </c>
    </row>
    <row r="3323" spans="1:18" hidden="1">
      <c r="A3323" t="s">
        <v>76</v>
      </c>
      <c r="B3323" t="s">
        <v>50</v>
      </c>
      <c r="C3323">
        <v>5.52</v>
      </c>
      <c r="D3323">
        <v>4.71</v>
      </c>
      <c r="E3323" s="29">
        <v>1.171974522</v>
      </c>
      <c r="F3323">
        <v>7.64</v>
      </c>
      <c r="G3323">
        <v>0.39</v>
      </c>
      <c r="H3323">
        <v>8.0299999999999994</v>
      </c>
      <c r="I3323" s="29">
        <v>0.95140000000000002</v>
      </c>
      <c r="J3323" s="29">
        <v>0.6873999999999999</v>
      </c>
      <c r="K3323" s="9">
        <v>45376</v>
      </c>
      <c r="L3323">
        <f xml:space="preserve"> (交易處理資料__3[[#This Row],[售出工時]] * 60) / 5</f>
        <v>66.239999999999995</v>
      </c>
      <c r="M3323" t="str">
        <f>VLOOKUP(交易處理資料__3[[#This Row],[人員代號]],團隊分組!$B$1:$C$52,2,FALSE)</f>
        <v>快速保養團隊B</v>
      </c>
      <c r="N3323" t="str">
        <f>IF(交易處理資料__3[[#This Row],[上班時間]]=0,"否","是")</f>
        <v>是</v>
      </c>
      <c r="O3323" t="s">
        <v>76</v>
      </c>
      <c r="P3323" s="38">
        <v>1.171974522</v>
      </c>
      <c r="Q3323" s="38">
        <v>0.6873999999999999</v>
      </c>
      <c r="R3323" s="38">
        <v>0.95140000000000002</v>
      </c>
    </row>
    <row r="3324" spans="1:18" hidden="1">
      <c r="A3324" t="s">
        <v>76</v>
      </c>
      <c r="B3324" t="s">
        <v>51</v>
      </c>
      <c r="C3324">
        <v>0</v>
      </c>
      <c r="D3324">
        <v>0</v>
      </c>
      <c r="E3324" s="29">
        <v>0</v>
      </c>
      <c r="F3324">
        <v>0</v>
      </c>
      <c r="G3324">
        <v>0</v>
      </c>
      <c r="H3324">
        <v>0</v>
      </c>
      <c r="I3324" s="29">
        <v>0</v>
      </c>
      <c r="J3324" s="29">
        <v>0</v>
      </c>
      <c r="K3324" s="9">
        <v>45376</v>
      </c>
      <c r="L3324">
        <f xml:space="preserve"> (交易處理資料__3[[#This Row],[售出工時]] * 60) / 5</f>
        <v>0</v>
      </c>
      <c r="M3324" t="str">
        <f>VLOOKUP(交易處理資料__3[[#This Row],[人員代號]],團隊分組!$B$1:$C$52,2,FALSE)</f>
        <v>無效數據</v>
      </c>
      <c r="N3324" t="str">
        <f>IF(交易處理資料__3[[#This Row],[上班時間]]=0,"否","是")</f>
        <v>否</v>
      </c>
      <c r="O3324" t="s">
        <v>76</v>
      </c>
      <c r="P3324" s="37">
        <v>0</v>
      </c>
      <c r="Q3324" s="37">
        <v>0</v>
      </c>
      <c r="R3324" s="37">
        <v>0</v>
      </c>
    </row>
    <row r="3325" spans="1:18" hidden="1">
      <c r="A3325" t="s">
        <v>76</v>
      </c>
      <c r="B3325" t="s">
        <v>52</v>
      </c>
      <c r="C3325">
        <v>1.8333333329999999</v>
      </c>
      <c r="D3325">
        <v>4.75</v>
      </c>
      <c r="E3325" s="29">
        <v>0.38596491229999996</v>
      </c>
      <c r="F3325">
        <v>6.85</v>
      </c>
      <c r="G3325">
        <v>1.29</v>
      </c>
      <c r="H3325">
        <v>8.14</v>
      </c>
      <c r="I3325" s="29">
        <v>0.84150000000000003</v>
      </c>
      <c r="J3325" s="29">
        <v>0.22519999999999998</v>
      </c>
      <c r="K3325" s="9">
        <v>45376</v>
      </c>
      <c r="L3325">
        <f xml:space="preserve"> (交易處理資料__3[[#This Row],[售出工時]] * 60) / 5</f>
        <v>21.999999996</v>
      </c>
      <c r="M3325" t="str">
        <f>VLOOKUP(交易處理資料__3[[#This Row],[人員代號]],團隊分組!$B$1:$C$52,2,FALSE)</f>
        <v>查修團隊B</v>
      </c>
      <c r="N3325" t="str">
        <f>IF(交易處理資料__3[[#This Row],[上班時間]]=0,"否","是")</f>
        <v>是</v>
      </c>
      <c r="O3325" t="s">
        <v>76</v>
      </c>
      <c r="P3325" s="38">
        <v>0.38596491229999996</v>
      </c>
      <c r="Q3325" s="38">
        <v>0.22519999999999998</v>
      </c>
      <c r="R3325" s="38">
        <v>0.84150000000000003</v>
      </c>
    </row>
    <row r="3326" spans="1:18" hidden="1">
      <c r="A3326" t="s">
        <v>76</v>
      </c>
      <c r="B3326" t="s">
        <v>53</v>
      </c>
      <c r="C3326">
        <v>5</v>
      </c>
      <c r="D3326">
        <v>5.56</v>
      </c>
      <c r="E3326" s="29">
        <v>0.89928057550000007</v>
      </c>
      <c r="F3326">
        <v>8.9</v>
      </c>
      <c r="G3326">
        <v>1.5</v>
      </c>
      <c r="H3326">
        <v>10.4</v>
      </c>
      <c r="I3326" s="29">
        <v>0.85580000000000001</v>
      </c>
      <c r="J3326" s="29">
        <v>0.48080000000000001</v>
      </c>
      <c r="K3326" s="9">
        <v>45376</v>
      </c>
      <c r="L3326">
        <f xml:space="preserve"> (交易處理資料__3[[#This Row],[售出工時]] * 60) / 5</f>
        <v>60</v>
      </c>
      <c r="M3326" t="str">
        <f>VLOOKUP(交易處理資料__3[[#This Row],[人員代號]],團隊分組!$B$1:$C$52,2,FALSE)</f>
        <v>查修團隊A</v>
      </c>
      <c r="N3326" t="str">
        <f>IF(交易處理資料__3[[#This Row],[上班時間]]=0,"否","是")</f>
        <v>是</v>
      </c>
      <c r="O3326" t="s">
        <v>76</v>
      </c>
      <c r="P3326" s="37">
        <v>0.89928057550000007</v>
      </c>
      <c r="Q3326" s="37">
        <v>0.48080000000000001</v>
      </c>
      <c r="R3326" s="37">
        <v>0.85580000000000001</v>
      </c>
    </row>
    <row r="3327" spans="1:18" hidden="1">
      <c r="A3327" s="10" t="s">
        <v>74</v>
      </c>
      <c r="B3327" t="s">
        <v>2</v>
      </c>
      <c r="C3327">
        <v>1.1100000000000001</v>
      </c>
      <c r="D3327">
        <v>3.93</v>
      </c>
      <c r="E3327" s="29">
        <v>0.28244274810000003</v>
      </c>
      <c r="F3327">
        <v>10.83</v>
      </c>
      <c r="G3327">
        <v>0.18</v>
      </c>
      <c r="H3327">
        <v>11.01</v>
      </c>
      <c r="I3327" s="29">
        <v>0.98370000000000002</v>
      </c>
      <c r="J3327" s="29">
        <v>0.1008</v>
      </c>
      <c r="K3327" s="9">
        <v>45377</v>
      </c>
      <c r="L3327">
        <f xml:space="preserve"> (交易處理資料__3[[#This Row],[售出工時]] * 60) / 5</f>
        <v>13.320000000000002</v>
      </c>
      <c r="M3327" t="str">
        <f>VLOOKUP(交易處理資料__3[[#This Row],[人員代號]],團隊分組!$B$1:$C$52,2,FALSE)</f>
        <v>噴漆維修組</v>
      </c>
      <c r="N3327" t="str">
        <f>IF(交易處理資料__3[[#This Row],[上班時間]]=0,"否","是")</f>
        <v>是</v>
      </c>
      <c r="O3327" s="10" t="s">
        <v>74</v>
      </c>
      <c r="P3327" s="38">
        <v>0.28244274810000003</v>
      </c>
      <c r="Q3327" s="38">
        <v>0.1008</v>
      </c>
      <c r="R3327" s="38">
        <v>0.98370000000000002</v>
      </c>
    </row>
    <row r="3328" spans="1:18" hidden="1">
      <c r="A3328" s="10" t="s">
        <v>74</v>
      </c>
      <c r="B3328" t="s">
        <v>3</v>
      </c>
      <c r="C3328">
        <v>1.1100000000000001</v>
      </c>
      <c r="D3328">
        <v>3.93</v>
      </c>
      <c r="E3328" s="29">
        <v>0.28244274810000003</v>
      </c>
      <c r="F3328">
        <v>10.83</v>
      </c>
      <c r="G3328">
        <v>0.18</v>
      </c>
      <c r="H3328">
        <v>11.01</v>
      </c>
      <c r="I3328" s="29">
        <v>0.98370000000000002</v>
      </c>
      <c r="J3328" s="29">
        <v>0.1008</v>
      </c>
      <c r="K3328" s="9">
        <v>45377</v>
      </c>
      <c r="L3328">
        <f xml:space="preserve"> (交易處理資料__3[[#This Row],[售出工時]] * 60) / 5</f>
        <v>13.320000000000002</v>
      </c>
      <c r="M3328" t="str">
        <f>VLOOKUP(交易處理資料__3[[#This Row],[人員代號]],團隊分組!$B$1:$C$52,2,FALSE)</f>
        <v>噴漆維修組</v>
      </c>
      <c r="N3328" t="str">
        <f>IF(交易處理資料__3[[#This Row],[上班時間]]=0,"否","是")</f>
        <v>是</v>
      </c>
      <c r="O3328" s="10" t="s">
        <v>74</v>
      </c>
      <c r="P3328" s="37">
        <v>0.28244274810000003</v>
      </c>
      <c r="Q3328" s="37">
        <v>0.1008</v>
      </c>
      <c r="R3328" s="37">
        <v>0.98370000000000002</v>
      </c>
    </row>
    <row r="3329" spans="1:18" hidden="1">
      <c r="A3329" s="10" t="s">
        <v>74</v>
      </c>
      <c r="B3329" t="s">
        <v>4</v>
      </c>
      <c r="C3329">
        <v>2.46</v>
      </c>
      <c r="D3329">
        <v>5.1100000000000003</v>
      </c>
      <c r="E3329" s="29">
        <v>0.48140900199999997</v>
      </c>
      <c r="F3329">
        <v>9.35</v>
      </c>
      <c r="G3329">
        <v>0.73</v>
      </c>
      <c r="H3329">
        <v>10.08</v>
      </c>
      <c r="I3329" s="29">
        <v>0.92760000000000009</v>
      </c>
      <c r="J3329" s="29">
        <v>0.24399999999999999</v>
      </c>
      <c r="K3329" s="9">
        <v>45377</v>
      </c>
      <c r="L3329">
        <f xml:space="preserve"> (交易處理資料__3[[#This Row],[售出工時]] * 60) / 5</f>
        <v>29.52</v>
      </c>
      <c r="M3329" t="str">
        <f>VLOOKUP(交易處理資料__3[[#This Row],[人員代號]],團隊分組!$B$1:$C$52,2,FALSE)</f>
        <v>噴漆維修組</v>
      </c>
      <c r="N3329" t="str">
        <f>IF(交易處理資料__3[[#This Row],[上班時間]]=0,"否","是")</f>
        <v>是</v>
      </c>
      <c r="O3329" s="10" t="s">
        <v>74</v>
      </c>
      <c r="P3329" s="38">
        <v>0.48140900199999997</v>
      </c>
      <c r="Q3329" s="38">
        <v>0.24399999999999999</v>
      </c>
      <c r="R3329" s="38">
        <v>0.92760000000000009</v>
      </c>
    </row>
    <row r="3330" spans="1:18" hidden="1">
      <c r="A3330" s="10" t="s">
        <v>74</v>
      </c>
      <c r="B3330" t="s">
        <v>9</v>
      </c>
      <c r="C3330">
        <v>3.93</v>
      </c>
      <c r="D3330">
        <v>3.43</v>
      </c>
      <c r="E3330" s="29">
        <v>1.1457725949999999</v>
      </c>
      <c r="F3330">
        <v>9.43</v>
      </c>
      <c r="G3330">
        <v>0.66</v>
      </c>
      <c r="H3330">
        <v>10.09</v>
      </c>
      <c r="I3330" s="29">
        <v>0.93459999999999999</v>
      </c>
      <c r="J3330" s="29">
        <v>0.38950000000000001</v>
      </c>
      <c r="K3330" s="9">
        <v>45377</v>
      </c>
      <c r="L3330">
        <f xml:space="preserve"> (交易處理資料__3[[#This Row],[售出工時]] * 60) / 5</f>
        <v>47.160000000000004</v>
      </c>
      <c r="M3330" t="str">
        <f>VLOOKUP(交易處理資料__3[[#This Row],[人員代號]],團隊分組!$B$1:$C$52,2,FALSE)</f>
        <v>噴漆維修組</v>
      </c>
      <c r="N3330" t="str">
        <f>IF(交易處理資料__3[[#This Row],[上班時間]]=0,"否","是")</f>
        <v>是</v>
      </c>
      <c r="O3330" s="10" t="s">
        <v>74</v>
      </c>
      <c r="P3330" s="37">
        <v>1.1457725949999999</v>
      </c>
      <c r="Q3330" s="37">
        <v>0.38950000000000001</v>
      </c>
      <c r="R3330" s="37">
        <v>0.93459999999999999</v>
      </c>
    </row>
    <row r="3331" spans="1:18" hidden="1">
      <c r="A3331" t="s">
        <v>75</v>
      </c>
      <c r="B3331" t="s">
        <v>11</v>
      </c>
      <c r="C3331">
        <v>10.75</v>
      </c>
      <c r="D3331">
        <v>6.5</v>
      </c>
      <c r="E3331" s="29">
        <v>1.653846154</v>
      </c>
      <c r="F3331">
        <v>5.19</v>
      </c>
      <c r="G3331">
        <v>2.91</v>
      </c>
      <c r="H3331">
        <v>8.1</v>
      </c>
      <c r="I3331" s="29">
        <v>0.64069999999999994</v>
      </c>
      <c r="J3331" s="29">
        <v>1.3271999999999999</v>
      </c>
      <c r="K3331" s="9">
        <v>45377</v>
      </c>
      <c r="L3331">
        <f xml:space="preserve"> (交易處理資料__3[[#This Row],[售出工時]] * 60) / 5</f>
        <v>129</v>
      </c>
      <c r="M3331" t="str">
        <f>VLOOKUP(交易處理資料__3[[#This Row],[人員代號]],團隊分組!$B$1:$C$52,2,FALSE)</f>
        <v>鈑金維修組</v>
      </c>
      <c r="N3331" t="str">
        <f>IF(交易處理資料__3[[#This Row],[上班時間]]=0,"否","是")</f>
        <v>是</v>
      </c>
      <c r="O3331" t="s">
        <v>75</v>
      </c>
      <c r="P3331" s="38">
        <v>1.653846154</v>
      </c>
      <c r="Q3331" s="38">
        <v>1.3271999999999999</v>
      </c>
      <c r="R3331" s="38">
        <v>0.64069999999999994</v>
      </c>
    </row>
    <row r="3332" spans="1:18" hidden="1">
      <c r="A3332" t="s">
        <v>75</v>
      </c>
      <c r="B3332" t="s">
        <v>12</v>
      </c>
      <c r="C3332">
        <v>8</v>
      </c>
      <c r="D3332">
        <v>7.14</v>
      </c>
      <c r="E3332" s="29">
        <v>1.120448179</v>
      </c>
      <c r="F3332">
        <v>9.98</v>
      </c>
      <c r="G3332">
        <v>0.67</v>
      </c>
      <c r="H3332">
        <v>10.65</v>
      </c>
      <c r="I3332" s="29">
        <v>0.93709999999999993</v>
      </c>
      <c r="J3332" s="29">
        <v>0.75120000000000009</v>
      </c>
      <c r="K3332" s="9">
        <v>45377</v>
      </c>
      <c r="L3332">
        <f xml:space="preserve"> (交易處理資料__3[[#This Row],[售出工時]] * 60) / 5</f>
        <v>96</v>
      </c>
      <c r="M3332" t="str">
        <f>VLOOKUP(交易處理資料__3[[#This Row],[人員代號]],團隊分組!$B$1:$C$52,2,FALSE)</f>
        <v>鈑金維修組</v>
      </c>
      <c r="N3332" t="str">
        <f>IF(交易處理資料__3[[#This Row],[上班時間]]=0,"否","是")</f>
        <v>是</v>
      </c>
      <c r="O3332" t="s">
        <v>75</v>
      </c>
      <c r="P3332" s="37">
        <v>1.120448179</v>
      </c>
      <c r="Q3332" s="37">
        <v>0.75120000000000009</v>
      </c>
      <c r="R3332" s="37">
        <v>0.93709999999999993</v>
      </c>
    </row>
    <row r="3333" spans="1:18" hidden="1">
      <c r="A3333" t="s">
        <v>75</v>
      </c>
      <c r="B3333" t="s">
        <v>13</v>
      </c>
      <c r="C3333">
        <v>3.92</v>
      </c>
      <c r="D3333">
        <v>5.92</v>
      </c>
      <c r="E3333" s="29">
        <v>0.66216216220000002</v>
      </c>
      <c r="F3333">
        <v>7.5</v>
      </c>
      <c r="G3333">
        <v>0.61</v>
      </c>
      <c r="H3333">
        <v>8.11</v>
      </c>
      <c r="I3333" s="29">
        <v>0.92480000000000007</v>
      </c>
      <c r="J3333" s="29">
        <v>0.48340000000000005</v>
      </c>
      <c r="K3333" s="9">
        <v>45377</v>
      </c>
      <c r="L3333">
        <f xml:space="preserve"> (交易處理資料__3[[#This Row],[售出工時]] * 60) / 5</f>
        <v>47.04</v>
      </c>
      <c r="M3333" t="str">
        <f>VLOOKUP(交易處理資料__3[[#This Row],[人員代號]],團隊分組!$B$1:$C$52,2,FALSE)</f>
        <v>鈑金維修組</v>
      </c>
      <c r="N3333" t="str">
        <f>IF(交易處理資料__3[[#This Row],[上班時間]]=0,"否","是")</f>
        <v>是</v>
      </c>
      <c r="O3333" t="s">
        <v>75</v>
      </c>
      <c r="P3333" s="38">
        <v>0.66216216220000002</v>
      </c>
      <c r="Q3333" s="38">
        <v>0.48340000000000005</v>
      </c>
      <c r="R3333" s="38">
        <v>0.92480000000000007</v>
      </c>
    </row>
    <row r="3334" spans="1:18" hidden="1">
      <c r="A3334" t="s">
        <v>76</v>
      </c>
      <c r="B3334" t="s">
        <v>17</v>
      </c>
      <c r="C3334">
        <v>10.5</v>
      </c>
      <c r="D3334">
        <v>5.1100000000000003</v>
      </c>
      <c r="E3334" s="29">
        <v>2.0547945209999998</v>
      </c>
      <c r="F3334">
        <v>8.52</v>
      </c>
      <c r="G3334">
        <v>0.5</v>
      </c>
      <c r="H3334">
        <v>9.02</v>
      </c>
      <c r="I3334" s="29">
        <v>0.94459999999999988</v>
      </c>
      <c r="J3334" s="29">
        <v>1.1640999999999999</v>
      </c>
      <c r="K3334" s="9">
        <v>45377</v>
      </c>
      <c r="L3334">
        <f xml:space="preserve"> (交易處理資料__3[[#This Row],[售出工時]] * 60) / 5</f>
        <v>126</v>
      </c>
      <c r="M3334" t="str">
        <f>VLOOKUP(交易處理資料__3[[#This Row],[人員代號]],團隊分組!$B$1:$C$52,2,FALSE)</f>
        <v>快速保養團隊A</v>
      </c>
      <c r="N3334" t="str">
        <f>IF(交易處理資料__3[[#This Row],[上班時間]]=0,"否","是")</f>
        <v>是</v>
      </c>
      <c r="O3334" t="s">
        <v>76</v>
      </c>
      <c r="P3334" s="37">
        <v>2.0547945209999998</v>
      </c>
      <c r="Q3334" s="37">
        <v>1.1640999999999999</v>
      </c>
      <c r="R3334" s="37">
        <v>0.94459999999999988</v>
      </c>
    </row>
    <row r="3335" spans="1:18" hidden="1">
      <c r="A3335" t="s">
        <v>76</v>
      </c>
      <c r="B3335" t="s">
        <v>19</v>
      </c>
      <c r="C3335">
        <v>0</v>
      </c>
      <c r="D3335">
        <v>0</v>
      </c>
      <c r="E3335" s="29">
        <v>0</v>
      </c>
      <c r="F3335">
        <v>0</v>
      </c>
      <c r="G3335">
        <v>0</v>
      </c>
      <c r="H3335">
        <v>0</v>
      </c>
      <c r="I3335" s="29">
        <v>0</v>
      </c>
      <c r="J3335" s="29">
        <v>0</v>
      </c>
      <c r="K3335" s="9">
        <v>45377</v>
      </c>
      <c r="L3335">
        <f xml:space="preserve"> (交易處理資料__3[[#This Row],[售出工時]] * 60) / 5</f>
        <v>0</v>
      </c>
      <c r="M3335" t="str">
        <f>VLOOKUP(交易處理資料__3[[#This Row],[人員代號]],團隊分組!$B$1:$C$52,2,FALSE)</f>
        <v>查修團隊A</v>
      </c>
      <c r="N3335" t="str">
        <f>IF(交易處理資料__3[[#This Row],[上班時間]]=0,"否","是")</f>
        <v>否</v>
      </c>
      <c r="O3335" t="s">
        <v>76</v>
      </c>
      <c r="P3335" s="38">
        <v>0</v>
      </c>
      <c r="Q3335" s="38">
        <v>0</v>
      </c>
      <c r="R3335" s="38">
        <v>0</v>
      </c>
    </row>
    <row r="3336" spans="1:18" hidden="1">
      <c r="A3336" t="s">
        <v>76</v>
      </c>
      <c r="B3336" t="s">
        <v>20</v>
      </c>
      <c r="C3336">
        <v>0.2</v>
      </c>
      <c r="D3336">
        <v>0.83</v>
      </c>
      <c r="E3336" s="29">
        <v>0.24096385540000001</v>
      </c>
      <c r="F3336">
        <v>8.57</v>
      </c>
      <c r="G3336">
        <v>1.83</v>
      </c>
      <c r="H3336">
        <v>10.4</v>
      </c>
      <c r="I3336" s="29">
        <v>0.82400000000000007</v>
      </c>
      <c r="J3336" s="29">
        <v>1.9199999999999998E-2</v>
      </c>
      <c r="K3336" s="9">
        <v>45377</v>
      </c>
      <c r="L3336">
        <f xml:space="preserve"> (交易處理資料__3[[#This Row],[售出工時]] * 60) / 5</f>
        <v>2.4</v>
      </c>
      <c r="M3336" t="str">
        <f>VLOOKUP(交易處理資料__3[[#This Row],[人員代號]],團隊分組!$B$1:$C$52,2,FALSE)</f>
        <v>查修團隊B</v>
      </c>
      <c r="N3336" t="str">
        <f>IF(交易處理資料__3[[#This Row],[上班時間]]=0,"否","是")</f>
        <v>是</v>
      </c>
      <c r="O3336" t="s">
        <v>76</v>
      </c>
      <c r="P3336" s="37">
        <v>0.24096385540000001</v>
      </c>
      <c r="Q3336" s="37">
        <v>1.9199999999999998E-2</v>
      </c>
      <c r="R3336" s="37">
        <v>0.82400000000000007</v>
      </c>
    </row>
    <row r="3337" spans="1:18" hidden="1">
      <c r="A3337" t="s">
        <v>76</v>
      </c>
      <c r="B3337" t="s">
        <v>21</v>
      </c>
      <c r="C3337">
        <v>1</v>
      </c>
      <c r="D3337">
        <v>0.06</v>
      </c>
      <c r="E3337" s="29">
        <v>16.666666669999998</v>
      </c>
      <c r="F3337">
        <v>7.31</v>
      </c>
      <c r="G3337">
        <v>1.05</v>
      </c>
      <c r="H3337">
        <v>8.36</v>
      </c>
      <c r="I3337" s="29">
        <v>0.87439999999999996</v>
      </c>
      <c r="J3337" s="29">
        <v>0.11960000000000001</v>
      </c>
      <c r="K3337" s="9">
        <v>45377</v>
      </c>
      <c r="L3337">
        <f xml:space="preserve"> (交易處理資料__3[[#This Row],[售出工時]] * 60) / 5</f>
        <v>12</v>
      </c>
      <c r="M3337" t="str">
        <f>VLOOKUP(交易處理資料__3[[#This Row],[人員代號]],團隊分組!$B$1:$C$52,2,FALSE)</f>
        <v>查修團隊B</v>
      </c>
      <c r="N3337" t="str">
        <f>IF(交易處理資料__3[[#This Row],[上班時間]]=0,"否","是")</f>
        <v>是</v>
      </c>
      <c r="O3337" t="s">
        <v>76</v>
      </c>
      <c r="P3337" s="38">
        <v>16.666666669999998</v>
      </c>
      <c r="Q3337" s="38">
        <v>0.11960000000000001</v>
      </c>
      <c r="R3337" s="38">
        <v>0.87439999999999996</v>
      </c>
    </row>
    <row r="3338" spans="1:18" hidden="1">
      <c r="A3338" t="s">
        <v>76</v>
      </c>
      <c r="B3338" t="s">
        <v>22</v>
      </c>
      <c r="C3338">
        <v>13.473333330000001</v>
      </c>
      <c r="D3338">
        <v>6.59</v>
      </c>
      <c r="E3338" s="29">
        <v>2.0445118870000001</v>
      </c>
      <c r="F3338">
        <v>9.69</v>
      </c>
      <c r="G3338">
        <v>0.8</v>
      </c>
      <c r="H3338">
        <v>10.49</v>
      </c>
      <c r="I3338" s="29">
        <v>0.92370000000000008</v>
      </c>
      <c r="J3338" s="29">
        <v>1.2844</v>
      </c>
      <c r="K3338" s="9">
        <v>45377</v>
      </c>
      <c r="L3338">
        <f xml:space="preserve"> (交易處理資料__3[[#This Row],[售出工時]] * 60) / 5</f>
        <v>161.67999996</v>
      </c>
      <c r="M3338" t="str">
        <f>VLOOKUP(交易處理資料__3[[#This Row],[人員代號]],團隊分組!$B$1:$C$52,2,FALSE)</f>
        <v>快速保養團隊A</v>
      </c>
      <c r="N3338" t="str">
        <f>IF(交易處理資料__3[[#This Row],[上班時間]]=0,"否","是")</f>
        <v>是</v>
      </c>
      <c r="O3338" t="s">
        <v>76</v>
      </c>
      <c r="P3338" s="37">
        <v>2.0445118870000001</v>
      </c>
      <c r="Q3338" s="37">
        <v>1.2844</v>
      </c>
      <c r="R3338" s="37">
        <v>0.92370000000000008</v>
      </c>
    </row>
    <row r="3339" spans="1:18" hidden="1">
      <c r="A3339" t="s">
        <v>76</v>
      </c>
      <c r="B3339" t="s">
        <v>23</v>
      </c>
      <c r="C3339">
        <v>7.8133333330000001</v>
      </c>
      <c r="D3339">
        <v>6.89</v>
      </c>
      <c r="E3339" s="29">
        <v>1.1340106430000001</v>
      </c>
      <c r="F3339">
        <v>7.8</v>
      </c>
      <c r="G3339">
        <v>0.75</v>
      </c>
      <c r="H3339">
        <v>8.5500000000000007</v>
      </c>
      <c r="I3339" s="29">
        <v>0.9123</v>
      </c>
      <c r="J3339" s="29">
        <v>0.91379999999999995</v>
      </c>
      <c r="K3339" s="9">
        <v>45377</v>
      </c>
      <c r="L3339">
        <f xml:space="preserve"> (交易處理資料__3[[#This Row],[售出工時]] * 60) / 5</f>
        <v>93.759999996000005</v>
      </c>
      <c r="M3339" t="str">
        <f>VLOOKUP(交易處理資料__3[[#This Row],[人員代號]],團隊分組!$B$1:$C$52,2,FALSE)</f>
        <v>快速保養團隊B</v>
      </c>
      <c r="N3339" t="str">
        <f>IF(交易處理資料__3[[#This Row],[上班時間]]=0,"否","是")</f>
        <v>是</v>
      </c>
      <c r="O3339" t="s">
        <v>76</v>
      </c>
      <c r="P3339" s="38">
        <v>1.1340106430000001</v>
      </c>
      <c r="Q3339" s="38">
        <v>0.91379999999999995</v>
      </c>
      <c r="R3339" s="38">
        <v>0.9123</v>
      </c>
    </row>
    <row r="3340" spans="1:18" hidden="1">
      <c r="A3340" t="s">
        <v>76</v>
      </c>
      <c r="B3340" t="s">
        <v>24</v>
      </c>
      <c r="C3340">
        <v>8.9166666669999994</v>
      </c>
      <c r="D3340">
        <v>4.82</v>
      </c>
      <c r="E3340" s="29">
        <v>1.849930844</v>
      </c>
      <c r="F3340">
        <v>7.38</v>
      </c>
      <c r="G3340">
        <v>0.7</v>
      </c>
      <c r="H3340">
        <v>8.08</v>
      </c>
      <c r="I3340" s="29">
        <v>0.91339999999999999</v>
      </c>
      <c r="J3340" s="29">
        <v>1.1034999999999999</v>
      </c>
      <c r="K3340" s="9">
        <v>45377</v>
      </c>
      <c r="L3340">
        <f xml:space="preserve"> (交易處理資料__3[[#This Row],[售出工時]] * 60) / 5</f>
        <v>107.000000004</v>
      </c>
      <c r="M3340" t="str">
        <f>VLOOKUP(交易處理資料__3[[#This Row],[人員代號]],團隊分組!$B$1:$C$52,2,FALSE)</f>
        <v>快速保養團隊A</v>
      </c>
      <c r="N3340" t="str">
        <f>IF(交易處理資料__3[[#This Row],[上班時間]]=0,"否","是")</f>
        <v>是</v>
      </c>
      <c r="O3340" t="s">
        <v>76</v>
      </c>
      <c r="P3340" s="37">
        <v>1.849930844</v>
      </c>
      <c r="Q3340" s="37">
        <v>1.1034999999999999</v>
      </c>
      <c r="R3340" s="37">
        <v>0.91339999999999999</v>
      </c>
    </row>
    <row r="3341" spans="1:18" hidden="1">
      <c r="A3341" t="s">
        <v>76</v>
      </c>
      <c r="B3341" t="s">
        <v>28</v>
      </c>
      <c r="C3341">
        <v>5.1666666670000003</v>
      </c>
      <c r="D3341">
        <v>6.28</v>
      </c>
      <c r="E3341" s="29">
        <v>0.8227176221000001</v>
      </c>
      <c r="F3341">
        <v>9.4</v>
      </c>
      <c r="G3341">
        <v>1.1200000000000001</v>
      </c>
      <c r="H3341">
        <v>10.52</v>
      </c>
      <c r="I3341" s="29">
        <v>0.89349999999999996</v>
      </c>
      <c r="J3341" s="29">
        <v>0.49109999999999998</v>
      </c>
      <c r="K3341" s="9">
        <v>45377</v>
      </c>
      <c r="L3341">
        <f xml:space="preserve"> (交易處理資料__3[[#This Row],[售出工時]] * 60) / 5</f>
        <v>62.000000004</v>
      </c>
      <c r="M3341" t="str">
        <f>VLOOKUP(交易處理資料__3[[#This Row],[人員代號]],團隊分組!$B$1:$C$52,2,FALSE)</f>
        <v>快速保養團隊A</v>
      </c>
      <c r="N3341" t="str">
        <f>IF(交易處理資料__3[[#This Row],[上班時間]]=0,"否","是")</f>
        <v>是</v>
      </c>
      <c r="O3341" t="s">
        <v>76</v>
      </c>
      <c r="P3341" s="38">
        <v>0.8227176221000001</v>
      </c>
      <c r="Q3341" s="38">
        <v>0.49109999999999998</v>
      </c>
      <c r="R3341" s="38">
        <v>0.89349999999999996</v>
      </c>
    </row>
    <row r="3342" spans="1:18" hidden="1">
      <c r="A3342" t="s">
        <v>76</v>
      </c>
      <c r="B3342" t="s">
        <v>30</v>
      </c>
      <c r="C3342">
        <v>11.483333330000001</v>
      </c>
      <c r="D3342">
        <v>5.0999999999999996</v>
      </c>
      <c r="E3342" s="29">
        <v>2.2516339869999999</v>
      </c>
      <c r="F3342">
        <v>7.83</v>
      </c>
      <c r="G3342">
        <v>0.16</v>
      </c>
      <c r="H3342">
        <v>7.99</v>
      </c>
      <c r="I3342" s="29">
        <v>0.98</v>
      </c>
      <c r="J3342" s="29">
        <v>1.4372</v>
      </c>
      <c r="K3342" s="9">
        <v>45377</v>
      </c>
      <c r="L3342">
        <f xml:space="preserve"> (交易處理資料__3[[#This Row],[售出工時]] * 60) / 5</f>
        <v>137.79999996000001</v>
      </c>
      <c r="M3342" t="str">
        <f>VLOOKUP(交易處理資料__3[[#This Row],[人員代號]],團隊分組!$B$1:$C$52,2,FALSE)</f>
        <v>快速保養團隊B</v>
      </c>
      <c r="N3342" t="str">
        <f>IF(交易處理資料__3[[#This Row],[上班時間]]=0,"否","是")</f>
        <v>是</v>
      </c>
      <c r="O3342" t="s">
        <v>76</v>
      </c>
      <c r="P3342" s="37">
        <v>2.2516339869999999</v>
      </c>
      <c r="Q3342" s="37">
        <v>1.4372</v>
      </c>
      <c r="R3342" s="37">
        <v>0.98</v>
      </c>
    </row>
    <row r="3343" spans="1:18" hidden="1">
      <c r="A3343" t="s">
        <v>76</v>
      </c>
      <c r="B3343" t="s">
        <v>32</v>
      </c>
      <c r="C3343">
        <v>7.28</v>
      </c>
      <c r="D3343">
        <v>5.19</v>
      </c>
      <c r="E3343" s="29">
        <v>1.402697495</v>
      </c>
      <c r="F3343">
        <v>7.76</v>
      </c>
      <c r="G3343">
        <v>0.76</v>
      </c>
      <c r="H3343">
        <v>8.52</v>
      </c>
      <c r="I3343" s="29">
        <v>0.91079999999999994</v>
      </c>
      <c r="J3343" s="29">
        <v>0.85450000000000004</v>
      </c>
      <c r="K3343" s="9">
        <v>45377</v>
      </c>
      <c r="L3343">
        <f xml:space="preserve"> (交易處理資料__3[[#This Row],[售出工時]] * 60) / 5</f>
        <v>87.36</v>
      </c>
      <c r="M3343" t="str">
        <f>VLOOKUP(交易處理資料__3[[#This Row],[人員代號]],團隊分組!$B$1:$C$52,2,FALSE)</f>
        <v>快速保養團隊B</v>
      </c>
      <c r="N3343" t="str">
        <f>IF(交易處理資料__3[[#This Row],[上班時間]]=0,"否","是")</f>
        <v>是</v>
      </c>
      <c r="O3343" t="s">
        <v>76</v>
      </c>
      <c r="P3343" s="38">
        <v>1.402697495</v>
      </c>
      <c r="Q3343" s="38">
        <v>0.85450000000000004</v>
      </c>
      <c r="R3343" s="38">
        <v>0.91079999999999994</v>
      </c>
    </row>
    <row r="3344" spans="1:18" hidden="1">
      <c r="A3344" t="s">
        <v>76</v>
      </c>
      <c r="B3344" t="s">
        <v>34</v>
      </c>
      <c r="C3344">
        <v>21.166666670000001</v>
      </c>
      <c r="D3344">
        <v>9.1999999999999993</v>
      </c>
      <c r="E3344" s="29">
        <v>2.3007246380000002</v>
      </c>
      <c r="F3344">
        <v>7.56</v>
      </c>
      <c r="G3344">
        <v>2.74</v>
      </c>
      <c r="H3344">
        <v>10.3</v>
      </c>
      <c r="I3344" s="29">
        <v>0.7340000000000001</v>
      </c>
      <c r="J3344" s="29">
        <v>2.0550000000000002</v>
      </c>
      <c r="K3344" s="9">
        <v>45377</v>
      </c>
      <c r="L3344">
        <f xml:space="preserve"> (交易處理資料__3[[#This Row],[售出工時]] * 60) / 5</f>
        <v>254.00000004000003</v>
      </c>
      <c r="M3344" t="str">
        <f>VLOOKUP(交易處理資料__3[[#This Row],[人員代號]],團隊分組!$B$1:$C$52,2,FALSE)</f>
        <v>快速保養團隊A</v>
      </c>
      <c r="N3344" t="str">
        <f>IF(交易處理資料__3[[#This Row],[上班時間]]=0,"否","是")</f>
        <v>是</v>
      </c>
      <c r="O3344" t="s">
        <v>76</v>
      </c>
      <c r="P3344" s="37">
        <v>2.3007246380000002</v>
      </c>
      <c r="Q3344" s="37">
        <v>2.0550000000000002</v>
      </c>
      <c r="R3344" s="37">
        <v>0.7340000000000001</v>
      </c>
    </row>
    <row r="3345" spans="1:18" hidden="1">
      <c r="A3345" t="s">
        <v>76</v>
      </c>
      <c r="B3345" t="s">
        <v>35</v>
      </c>
      <c r="C3345">
        <v>0</v>
      </c>
      <c r="D3345">
        <v>0</v>
      </c>
      <c r="E3345" s="29">
        <v>0</v>
      </c>
      <c r="F3345">
        <v>8.57</v>
      </c>
      <c r="G3345">
        <v>1.83</v>
      </c>
      <c r="H3345">
        <v>10.4</v>
      </c>
      <c r="I3345" s="29">
        <v>0.82400000000000007</v>
      </c>
      <c r="J3345" s="29">
        <v>0</v>
      </c>
      <c r="K3345" s="9">
        <v>45377</v>
      </c>
      <c r="L3345">
        <f xml:space="preserve"> (交易處理資料__3[[#This Row],[售出工時]] * 60) / 5</f>
        <v>0</v>
      </c>
      <c r="M3345" t="str">
        <f>VLOOKUP(交易處理資料__3[[#This Row],[人員代號]],團隊分組!$B$1:$C$52,2,FALSE)</f>
        <v>查修團隊B</v>
      </c>
      <c r="N3345" t="str">
        <f>IF(交易處理資料__3[[#This Row],[上班時間]]=0,"否","是")</f>
        <v>是</v>
      </c>
      <c r="O3345" t="s">
        <v>76</v>
      </c>
      <c r="P3345" s="38">
        <v>0</v>
      </c>
      <c r="Q3345" s="38">
        <v>0</v>
      </c>
      <c r="R3345" s="38">
        <v>0.82400000000000007</v>
      </c>
    </row>
    <row r="3346" spans="1:18" hidden="1">
      <c r="A3346" t="s">
        <v>76</v>
      </c>
      <c r="B3346" t="s">
        <v>36</v>
      </c>
      <c r="C3346">
        <v>2.4133333330000002</v>
      </c>
      <c r="D3346">
        <v>7.88</v>
      </c>
      <c r="E3346" s="29">
        <v>0.3062605753</v>
      </c>
      <c r="F3346">
        <v>6.92</v>
      </c>
      <c r="G3346">
        <v>1.24</v>
      </c>
      <c r="H3346">
        <v>8.16</v>
      </c>
      <c r="I3346" s="29">
        <v>0.84799999999999998</v>
      </c>
      <c r="J3346" s="29">
        <v>0.29580000000000001</v>
      </c>
      <c r="K3346" s="9">
        <v>45377</v>
      </c>
      <c r="L3346">
        <f xml:space="preserve"> (交易處理資料__3[[#This Row],[售出工時]] * 60) / 5</f>
        <v>28.959999996000004</v>
      </c>
      <c r="M3346" t="str">
        <f>VLOOKUP(交易處理資料__3[[#This Row],[人員代號]],團隊分組!$B$1:$C$52,2,FALSE)</f>
        <v>查修團隊B</v>
      </c>
      <c r="N3346" t="str">
        <f>IF(交易處理資料__3[[#This Row],[上班時間]]=0,"否","是")</f>
        <v>是</v>
      </c>
      <c r="O3346" t="s">
        <v>76</v>
      </c>
      <c r="P3346" s="37">
        <v>0.3062605753</v>
      </c>
      <c r="Q3346" s="37">
        <v>0.29580000000000001</v>
      </c>
      <c r="R3346" s="37">
        <v>0.84799999999999998</v>
      </c>
    </row>
    <row r="3347" spans="1:18" hidden="1">
      <c r="A3347" t="s">
        <v>76</v>
      </c>
      <c r="B3347" t="s">
        <v>37</v>
      </c>
      <c r="C3347">
        <v>4.3899999999999997</v>
      </c>
      <c r="D3347">
        <v>7.51</v>
      </c>
      <c r="E3347" s="29">
        <v>0.58455392809999995</v>
      </c>
      <c r="F3347">
        <v>8.41</v>
      </c>
      <c r="G3347">
        <v>1.52</v>
      </c>
      <c r="H3347">
        <v>9.93</v>
      </c>
      <c r="I3347" s="29">
        <v>0.84689999999999999</v>
      </c>
      <c r="J3347" s="29">
        <v>0.44209999999999999</v>
      </c>
      <c r="K3347" s="9">
        <v>45377</v>
      </c>
      <c r="L3347">
        <f xml:space="preserve"> (交易處理資料__3[[#This Row],[售出工時]] * 60) / 5</f>
        <v>52.679999999999993</v>
      </c>
      <c r="M3347" t="str">
        <f>VLOOKUP(交易處理資料__3[[#This Row],[人員代號]],團隊分組!$B$1:$C$52,2,FALSE)</f>
        <v>查修團隊A</v>
      </c>
      <c r="N3347" t="str">
        <f>IF(交易處理資料__3[[#This Row],[上班時間]]=0,"否","是")</f>
        <v>是</v>
      </c>
      <c r="O3347" t="s">
        <v>76</v>
      </c>
      <c r="P3347" s="38">
        <v>0.58455392809999995</v>
      </c>
      <c r="Q3347" s="38">
        <v>0.44209999999999999</v>
      </c>
      <c r="R3347" s="38">
        <v>0.84689999999999999</v>
      </c>
    </row>
    <row r="3348" spans="1:18" hidden="1">
      <c r="A3348" t="s">
        <v>76</v>
      </c>
      <c r="B3348" t="s">
        <v>38</v>
      </c>
      <c r="C3348">
        <v>13.286666670000001</v>
      </c>
      <c r="D3348">
        <v>5.84</v>
      </c>
      <c r="E3348" s="29">
        <v>2.2751141549999998</v>
      </c>
      <c r="F3348">
        <v>8.67</v>
      </c>
      <c r="G3348">
        <v>1.0900000000000001</v>
      </c>
      <c r="H3348">
        <v>9.76</v>
      </c>
      <c r="I3348" s="29">
        <v>0.88829999999999998</v>
      </c>
      <c r="J3348" s="29">
        <v>1.3613</v>
      </c>
      <c r="K3348" s="9">
        <v>45377</v>
      </c>
      <c r="L3348">
        <f xml:space="preserve"> (交易處理資料__3[[#This Row],[售出工時]] * 60) / 5</f>
        <v>159.44000004000003</v>
      </c>
      <c r="M3348" t="str">
        <f>VLOOKUP(交易處理資料__3[[#This Row],[人員代號]],團隊分組!$B$1:$C$52,2,FALSE)</f>
        <v>快速保養團隊A</v>
      </c>
      <c r="N3348" t="str">
        <f>IF(交易處理資料__3[[#This Row],[上班時間]]=0,"否","是")</f>
        <v>是</v>
      </c>
      <c r="O3348" t="s">
        <v>76</v>
      </c>
      <c r="P3348" s="37">
        <v>2.2751141549999998</v>
      </c>
      <c r="Q3348" s="37">
        <v>1.3613</v>
      </c>
      <c r="R3348" s="37">
        <v>0.88829999999999998</v>
      </c>
    </row>
    <row r="3349" spans="1:18" hidden="1">
      <c r="A3349" t="s">
        <v>76</v>
      </c>
      <c r="B3349" t="s">
        <v>40</v>
      </c>
      <c r="C3349">
        <v>0</v>
      </c>
      <c r="D3349">
        <v>0</v>
      </c>
      <c r="E3349" s="29">
        <v>0</v>
      </c>
      <c r="F3349">
        <v>9.27</v>
      </c>
      <c r="G3349">
        <v>0.65</v>
      </c>
      <c r="H3349">
        <v>9.92</v>
      </c>
      <c r="I3349" s="29">
        <v>0.9345</v>
      </c>
      <c r="J3349" s="29">
        <v>0</v>
      </c>
      <c r="K3349" s="9">
        <v>45377</v>
      </c>
      <c r="L3349">
        <f xml:space="preserve"> (交易處理資料__3[[#This Row],[售出工時]] * 60) / 5</f>
        <v>0</v>
      </c>
      <c r="M3349" t="str">
        <f>VLOOKUP(交易處理資料__3[[#This Row],[人員代號]],團隊分組!$B$1:$C$52,2,FALSE)</f>
        <v>查修團隊A</v>
      </c>
      <c r="N3349" t="str">
        <f>IF(交易處理資料__3[[#This Row],[上班時間]]=0,"否","是")</f>
        <v>是</v>
      </c>
      <c r="O3349" t="s">
        <v>76</v>
      </c>
      <c r="P3349" s="38">
        <v>0</v>
      </c>
      <c r="Q3349" s="38">
        <v>0</v>
      </c>
      <c r="R3349" s="38">
        <v>0.9345</v>
      </c>
    </row>
    <row r="3350" spans="1:18" hidden="1">
      <c r="A3350" t="s">
        <v>76</v>
      </c>
      <c r="B3350" t="s">
        <v>41</v>
      </c>
      <c r="C3350">
        <v>5.8533333330000001</v>
      </c>
      <c r="D3350">
        <v>3.37</v>
      </c>
      <c r="E3350" s="29">
        <v>1.736894164</v>
      </c>
      <c r="F3350">
        <v>8.66</v>
      </c>
      <c r="G3350">
        <v>0.64</v>
      </c>
      <c r="H3350">
        <v>9.3000000000000007</v>
      </c>
      <c r="I3350" s="29">
        <v>0.93120000000000003</v>
      </c>
      <c r="J3350" s="29">
        <v>0.62939999999999996</v>
      </c>
      <c r="K3350" s="9">
        <v>45377</v>
      </c>
      <c r="L3350">
        <f xml:space="preserve"> (交易處理資料__3[[#This Row],[售出工時]] * 60) / 5</f>
        <v>70.239999996000009</v>
      </c>
      <c r="M3350" t="str">
        <f>VLOOKUP(交易處理資料__3[[#This Row],[人員代號]],團隊分組!$B$1:$C$52,2,FALSE)</f>
        <v>快速保養團隊A</v>
      </c>
      <c r="N3350" t="str">
        <f>IF(交易處理資料__3[[#This Row],[上班時間]]=0,"否","是")</f>
        <v>是</v>
      </c>
      <c r="O3350" t="s">
        <v>76</v>
      </c>
      <c r="P3350" s="37">
        <v>1.736894164</v>
      </c>
      <c r="Q3350" s="37">
        <v>0.62939999999999996</v>
      </c>
      <c r="R3350" s="37">
        <v>0.93120000000000003</v>
      </c>
    </row>
    <row r="3351" spans="1:18" hidden="1">
      <c r="A3351" t="s">
        <v>76</v>
      </c>
      <c r="B3351" t="s">
        <v>42</v>
      </c>
      <c r="C3351">
        <v>6.4166666670000003</v>
      </c>
      <c r="D3351">
        <v>5.04</v>
      </c>
      <c r="E3351" s="29">
        <v>1.273148148</v>
      </c>
      <c r="F3351">
        <v>5.66</v>
      </c>
      <c r="G3351">
        <v>2.33</v>
      </c>
      <c r="H3351">
        <v>7.99</v>
      </c>
      <c r="I3351" s="29">
        <v>0.70840000000000003</v>
      </c>
      <c r="J3351" s="29">
        <v>0.80310000000000004</v>
      </c>
      <c r="K3351" s="9">
        <v>45377</v>
      </c>
      <c r="L3351">
        <f xml:space="preserve"> (交易處理資料__3[[#This Row],[售出工時]] * 60) / 5</f>
        <v>77.000000004</v>
      </c>
      <c r="M3351" t="str">
        <f>VLOOKUP(交易處理資料__3[[#This Row],[人員代號]],團隊分組!$B$1:$C$52,2,FALSE)</f>
        <v>快速保養團隊A</v>
      </c>
      <c r="N3351" t="str">
        <f>IF(交易處理資料__3[[#This Row],[上班時間]]=0,"否","是")</f>
        <v>是</v>
      </c>
      <c r="O3351" t="s">
        <v>76</v>
      </c>
      <c r="P3351" s="38">
        <v>1.273148148</v>
      </c>
      <c r="Q3351" s="38">
        <v>0.80310000000000004</v>
      </c>
      <c r="R3351" s="38">
        <v>0.70840000000000003</v>
      </c>
    </row>
    <row r="3352" spans="1:18" hidden="1">
      <c r="A3352" t="s">
        <v>76</v>
      </c>
      <c r="B3352" t="s">
        <v>43</v>
      </c>
      <c r="C3352">
        <v>1.503333333</v>
      </c>
      <c r="D3352">
        <v>4.34</v>
      </c>
      <c r="E3352" s="29">
        <v>0.34639016900000003</v>
      </c>
      <c r="F3352">
        <v>9.49</v>
      </c>
      <c r="G3352">
        <v>0.73</v>
      </c>
      <c r="H3352">
        <v>10.220000000000001</v>
      </c>
      <c r="I3352" s="29">
        <v>0.92859999999999998</v>
      </c>
      <c r="J3352" s="29">
        <v>0.14710000000000001</v>
      </c>
      <c r="K3352" s="9">
        <v>45377</v>
      </c>
      <c r="L3352">
        <f xml:space="preserve"> (交易處理資料__3[[#This Row],[售出工時]] * 60) / 5</f>
        <v>18.039999995999999</v>
      </c>
      <c r="M3352" t="str">
        <f>VLOOKUP(交易處理資料__3[[#This Row],[人員代號]],團隊分組!$B$1:$C$52,2,FALSE)</f>
        <v>查修團隊B</v>
      </c>
      <c r="N3352" t="str">
        <f>IF(交易處理資料__3[[#This Row],[上班時間]]=0,"否","是")</f>
        <v>是</v>
      </c>
      <c r="O3352" t="s">
        <v>76</v>
      </c>
      <c r="P3352" s="37">
        <v>0.34639016900000003</v>
      </c>
      <c r="Q3352" s="37">
        <v>0.14710000000000001</v>
      </c>
      <c r="R3352" s="37">
        <v>0.92859999999999998</v>
      </c>
    </row>
    <row r="3353" spans="1:18" hidden="1">
      <c r="A3353" t="s">
        <v>76</v>
      </c>
      <c r="B3353" t="s">
        <v>46</v>
      </c>
      <c r="C3353">
        <v>1.6666666670000001</v>
      </c>
      <c r="D3353">
        <v>1.61</v>
      </c>
      <c r="E3353" s="29">
        <v>1.035196687</v>
      </c>
      <c r="F3353">
        <v>9.64</v>
      </c>
      <c r="G3353">
        <v>0.59</v>
      </c>
      <c r="H3353">
        <v>10.23</v>
      </c>
      <c r="I3353" s="29">
        <v>0.94230000000000003</v>
      </c>
      <c r="J3353" s="29">
        <v>0.16289999999999999</v>
      </c>
      <c r="K3353" s="9">
        <v>45377</v>
      </c>
      <c r="L3353">
        <f xml:space="preserve"> (交易處理資料__3[[#This Row],[售出工時]] * 60) / 5</f>
        <v>20.000000004</v>
      </c>
      <c r="M3353" t="str">
        <f>VLOOKUP(交易處理資料__3[[#This Row],[人員代號]],團隊分組!$B$1:$C$52,2,FALSE)</f>
        <v>查修團隊B</v>
      </c>
      <c r="N3353" t="str">
        <f>IF(交易處理資料__3[[#This Row],[上班時間]]=0,"否","是")</f>
        <v>是</v>
      </c>
      <c r="O3353" t="s">
        <v>76</v>
      </c>
      <c r="P3353" s="38">
        <v>1.035196687</v>
      </c>
      <c r="Q3353" s="38">
        <v>0.16289999999999999</v>
      </c>
      <c r="R3353" s="38">
        <v>0.94230000000000003</v>
      </c>
    </row>
    <row r="3354" spans="1:18" hidden="1">
      <c r="A3354" t="s">
        <v>76</v>
      </c>
      <c r="B3354" t="s">
        <v>47</v>
      </c>
      <c r="C3354">
        <v>4.63</v>
      </c>
      <c r="D3354">
        <v>5.84</v>
      </c>
      <c r="E3354" s="29">
        <v>0.79280821919999989</v>
      </c>
      <c r="F3354">
        <v>7.06</v>
      </c>
      <c r="G3354">
        <v>0.95</v>
      </c>
      <c r="H3354">
        <v>8.01</v>
      </c>
      <c r="I3354" s="29">
        <v>0.88139999999999996</v>
      </c>
      <c r="J3354" s="29">
        <v>0.57799999999999996</v>
      </c>
      <c r="K3354" s="9">
        <v>45377</v>
      </c>
      <c r="L3354">
        <f xml:space="preserve"> (交易處理資料__3[[#This Row],[售出工時]] * 60) / 5</f>
        <v>55.56</v>
      </c>
      <c r="M3354" t="str">
        <f>VLOOKUP(交易處理資料__3[[#This Row],[人員代號]],團隊分組!$B$1:$C$52,2,FALSE)</f>
        <v>查修團隊B</v>
      </c>
      <c r="N3354" t="str">
        <f>IF(交易處理資料__3[[#This Row],[上班時間]]=0,"否","是")</f>
        <v>是</v>
      </c>
      <c r="O3354" t="s">
        <v>76</v>
      </c>
      <c r="P3354" s="37">
        <v>0.79280821919999989</v>
      </c>
      <c r="Q3354" s="37">
        <v>0.57799999999999996</v>
      </c>
      <c r="R3354" s="37">
        <v>0.88139999999999996</v>
      </c>
    </row>
    <row r="3355" spans="1:18" hidden="1">
      <c r="A3355" t="s">
        <v>76</v>
      </c>
      <c r="B3355" t="s">
        <v>48</v>
      </c>
      <c r="C3355">
        <v>2.8933333330000002</v>
      </c>
      <c r="D3355">
        <v>8.61</v>
      </c>
      <c r="E3355" s="29">
        <v>0.33604336039999999</v>
      </c>
      <c r="F3355">
        <v>7.55</v>
      </c>
      <c r="G3355">
        <v>1.43</v>
      </c>
      <c r="H3355">
        <v>8.98</v>
      </c>
      <c r="I3355" s="29">
        <v>0.84079999999999999</v>
      </c>
      <c r="J3355" s="29">
        <v>0.32219999999999999</v>
      </c>
      <c r="K3355" s="9">
        <v>45377</v>
      </c>
      <c r="L3355">
        <f xml:space="preserve"> (交易處理資料__3[[#This Row],[售出工時]] * 60) / 5</f>
        <v>34.719999995999999</v>
      </c>
      <c r="M3355" t="str">
        <f>VLOOKUP(交易處理資料__3[[#This Row],[人員代號]],團隊分組!$B$1:$C$52,2,FALSE)</f>
        <v>查修團隊A</v>
      </c>
      <c r="N3355" t="str">
        <f>IF(交易處理資料__3[[#This Row],[上班時間]]=0,"否","是")</f>
        <v>是</v>
      </c>
      <c r="O3355" t="s">
        <v>76</v>
      </c>
      <c r="P3355" s="38">
        <v>0.33604336039999999</v>
      </c>
      <c r="Q3355" s="38">
        <v>0.32219999999999999</v>
      </c>
      <c r="R3355" s="38">
        <v>0.84079999999999999</v>
      </c>
    </row>
    <row r="3356" spans="1:18" hidden="1">
      <c r="A3356" t="s">
        <v>76</v>
      </c>
      <c r="B3356" t="s">
        <v>51</v>
      </c>
      <c r="C3356">
        <v>0</v>
      </c>
      <c r="D3356">
        <v>0</v>
      </c>
      <c r="E3356" s="29">
        <v>0</v>
      </c>
      <c r="F3356">
        <v>0</v>
      </c>
      <c r="G3356">
        <v>0</v>
      </c>
      <c r="H3356">
        <v>0</v>
      </c>
      <c r="I3356" s="29">
        <v>0</v>
      </c>
      <c r="J3356" s="29">
        <v>0</v>
      </c>
      <c r="K3356" s="9">
        <v>45377</v>
      </c>
      <c r="L3356">
        <f xml:space="preserve"> (交易處理資料__3[[#This Row],[售出工時]] * 60) / 5</f>
        <v>0</v>
      </c>
      <c r="M3356" t="str">
        <f>VLOOKUP(交易處理資料__3[[#This Row],[人員代號]],團隊分組!$B$1:$C$52,2,FALSE)</f>
        <v>無效數據</v>
      </c>
      <c r="N3356" t="str">
        <f>IF(交易處理資料__3[[#This Row],[上班時間]]=0,"否","是")</f>
        <v>否</v>
      </c>
      <c r="O3356" t="s">
        <v>76</v>
      </c>
      <c r="P3356" s="37">
        <v>0</v>
      </c>
      <c r="Q3356" s="37">
        <v>0</v>
      </c>
      <c r="R3356" s="37">
        <v>0</v>
      </c>
    </row>
    <row r="3357" spans="1:18" hidden="1">
      <c r="A3357" t="s">
        <v>76</v>
      </c>
      <c r="B3357" t="s">
        <v>52</v>
      </c>
      <c r="C3357">
        <v>4.1666666670000003</v>
      </c>
      <c r="D3357">
        <v>3.84</v>
      </c>
      <c r="E3357" s="29">
        <v>1.0850694439999999</v>
      </c>
      <c r="F3357">
        <v>7.63</v>
      </c>
      <c r="G3357">
        <v>0.54</v>
      </c>
      <c r="H3357">
        <v>8.17</v>
      </c>
      <c r="I3357" s="29">
        <v>0.93389999999999995</v>
      </c>
      <c r="J3357" s="29">
        <v>0.51</v>
      </c>
      <c r="K3357" s="9">
        <v>45377</v>
      </c>
      <c r="L3357">
        <f xml:space="preserve"> (交易處理資料__3[[#This Row],[售出工時]] * 60) / 5</f>
        <v>50.000000004</v>
      </c>
      <c r="M3357" t="str">
        <f>VLOOKUP(交易處理資料__3[[#This Row],[人員代號]],團隊分組!$B$1:$C$52,2,FALSE)</f>
        <v>查修團隊B</v>
      </c>
      <c r="N3357" t="str">
        <f>IF(交易處理資料__3[[#This Row],[上班時間]]=0,"否","是")</f>
        <v>是</v>
      </c>
      <c r="O3357" t="s">
        <v>76</v>
      </c>
      <c r="P3357" s="38">
        <v>1.0850694439999999</v>
      </c>
      <c r="Q3357" s="38">
        <v>0.51</v>
      </c>
      <c r="R3357" s="38">
        <v>0.93389999999999995</v>
      </c>
    </row>
    <row r="3358" spans="1:18" hidden="1">
      <c r="A3358" t="s">
        <v>76</v>
      </c>
      <c r="B3358" t="s">
        <v>53</v>
      </c>
      <c r="C3358">
        <v>0</v>
      </c>
      <c r="D3358">
        <v>0</v>
      </c>
      <c r="E3358" s="29">
        <v>0</v>
      </c>
      <c r="F3358">
        <v>9.35</v>
      </c>
      <c r="G3358">
        <v>0.6</v>
      </c>
      <c r="H3358">
        <v>9.9499999999999993</v>
      </c>
      <c r="I3358" s="29">
        <v>0.93969999999999998</v>
      </c>
      <c r="J3358" s="29">
        <v>0</v>
      </c>
      <c r="K3358" s="9">
        <v>45377</v>
      </c>
      <c r="L3358">
        <f xml:space="preserve"> (交易處理資料__3[[#This Row],[售出工時]] * 60) / 5</f>
        <v>0</v>
      </c>
      <c r="M3358" t="str">
        <f>VLOOKUP(交易處理資料__3[[#This Row],[人員代號]],團隊分組!$B$1:$C$52,2,FALSE)</f>
        <v>查修團隊A</v>
      </c>
      <c r="N3358" t="str">
        <f>IF(交易處理資料__3[[#This Row],[上班時間]]=0,"否","是")</f>
        <v>是</v>
      </c>
      <c r="O3358" t="s">
        <v>76</v>
      </c>
      <c r="P3358" s="37">
        <v>0</v>
      </c>
      <c r="Q3358" s="37">
        <v>0</v>
      </c>
      <c r="R3358" s="37">
        <v>0.93969999999999998</v>
      </c>
    </row>
    <row r="3359" spans="1:18" hidden="1">
      <c r="A3359" s="10" t="s">
        <v>74</v>
      </c>
      <c r="B3359" t="s">
        <v>1</v>
      </c>
      <c r="C3359">
        <v>0</v>
      </c>
      <c r="D3359">
        <v>0</v>
      </c>
      <c r="E3359" s="29">
        <v>0</v>
      </c>
      <c r="F3359">
        <v>9.25</v>
      </c>
      <c r="G3359">
        <v>0.85</v>
      </c>
      <c r="H3359">
        <v>10.1</v>
      </c>
      <c r="I3359" s="29">
        <v>0.91579999999999995</v>
      </c>
      <c r="J3359" s="29">
        <v>0</v>
      </c>
      <c r="K3359" s="9">
        <v>45378</v>
      </c>
      <c r="L3359">
        <f xml:space="preserve"> (交易處理資料__3[[#This Row],[售出工時]] * 60) / 5</f>
        <v>0</v>
      </c>
      <c r="M3359" t="str">
        <f>VLOOKUP(交易處理資料__3[[#This Row],[人員代號]],團隊分組!$B$1:$C$52,2,FALSE)</f>
        <v>噴漆維修組</v>
      </c>
      <c r="N3359" t="str">
        <f>IF(交易處理資料__3[[#This Row],[上班時間]]=0,"否","是")</f>
        <v>是</v>
      </c>
      <c r="O3359" s="10" t="s">
        <v>74</v>
      </c>
      <c r="P3359" s="38">
        <v>0</v>
      </c>
      <c r="Q3359" s="38">
        <v>0</v>
      </c>
      <c r="R3359" s="38">
        <v>0.91579999999999995</v>
      </c>
    </row>
    <row r="3360" spans="1:18" hidden="1">
      <c r="A3360" s="10" t="s">
        <v>74</v>
      </c>
      <c r="B3360" t="s">
        <v>2</v>
      </c>
      <c r="C3360">
        <v>2.4500000000000002</v>
      </c>
      <c r="D3360">
        <v>7.88</v>
      </c>
      <c r="E3360" s="29">
        <v>0.31091370560000003</v>
      </c>
      <c r="F3360">
        <v>10.45</v>
      </c>
      <c r="G3360">
        <v>0.14000000000000001</v>
      </c>
      <c r="H3360">
        <v>10.59</v>
      </c>
      <c r="I3360" s="29">
        <v>0.98680000000000012</v>
      </c>
      <c r="J3360" s="29">
        <v>0.23139999999999999</v>
      </c>
      <c r="K3360" s="9">
        <v>45378</v>
      </c>
      <c r="L3360">
        <f xml:space="preserve"> (交易處理資料__3[[#This Row],[售出工時]] * 60) / 5</f>
        <v>29.4</v>
      </c>
      <c r="M3360" t="str">
        <f>VLOOKUP(交易處理資料__3[[#This Row],[人員代號]],團隊分組!$B$1:$C$52,2,FALSE)</f>
        <v>噴漆維修組</v>
      </c>
      <c r="N3360" t="str">
        <f>IF(交易處理資料__3[[#This Row],[上班時間]]=0,"否","是")</f>
        <v>是</v>
      </c>
      <c r="O3360" s="10" t="s">
        <v>74</v>
      </c>
      <c r="P3360" s="37">
        <v>0.31091370560000003</v>
      </c>
      <c r="Q3360" s="37">
        <v>0.23139999999999999</v>
      </c>
      <c r="R3360" s="37">
        <v>0.98680000000000012</v>
      </c>
    </row>
    <row r="3361" spans="1:18" hidden="1">
      <c r="A3361" s="10" t="s">
        <v>74</v>
      </c>
      <c r="B3361" t="s">
        <v>3</v>
      </c>
      <c r="C3361">
        <v>2.1800000000000002</v>
      </c>
      <c r="D3361">
        <v>5.78</v>
      </c>
      <c r="E3361" s="29">
        <v>0.37716262980000004</v>
      </c>
      <c r="F3361">
        <v>10.47</v>
      </c>
      <c r="G3361">
        <v>0.14000000000000001</v>
      </c>
      <c r="H3361">
        <v>10.61</v>
      </c>
      <c r="I3361" s="29">
        <v>0.98680000000000012</v>
      </c>
      <c r="J3361" s="29">
        <v>0.20550000000000002</v>
      </c>
      <c r="K3361" s="9">
        <v>45378</v>
      </c>
      <c r="L3361">
        <f xml:space="preserve"> (交易處理資料__3[[#This Row],[售出工時]] * 60) / 5</f>
        <v>26.160000000000004</v>
      </c>
      <c r="M3361" t="str">
        <f>VLOOKUP(交易處理資料__3[[#This Row],[人員代號]],團隊分組!$B$1:$C$52,2,FALSE)</f>
        <v>噴漆維修組</v>
      </c>
      <c r="N3361" t="str">
        <f>IF(交易處理資料__3[[#This Row],[上班時間]]=0,"否","是")</f>
        <v>是</v>
      </c>
      <c r="O3361" s="10" t="s">
        <v>74</v>
      </c>
      <c r="P3361" s="38">
        <v>0.37716262980000004</v>
      </c>
      <c r="Q3361" s="38">
        <v>0.20550000000000002</v>
      </c>
      <c r="R3361" s="38">
        <v>0.98680000000000012</v>
      </c>
    </row>
    <row r="3362" spans="1:18" hidden="1">
      <c r="A3362" s="10" t="s">
        <v>74</v>
      </c>
      <c r="B3362" t="s">
        <v>4</v>
      </c>
      <c r="C3362">
        <v>0</v>
      </c>
      <c r="D3362">
        <v>0</v>
      </c>
      <c r="E3362" s="29">
        <v>0</v>
      </c>
      <c r="F3362">
        <v>9.23</v>
      </c>
      <c r="G3362">
        <v>1.32</v>
      </c>
      <c r="H3362">
        <v>10.55</v>
      </c>
      <c r="I3362" s="29">
        <v>0.8748999999999999</v>
      </c>
      <c r="J3362" s="29">
        <v>0</v>
      </c>
      <c r="K3362" s="9">
        <v>45378</v>
      </c>
      <c r="L3362">
        <f xml:space="preserve"> (交易處理資料__3[[#This Row],[售出工時]] * 60) / 5</f>
        <v>0</v>
      </c>
      <c r="M3362" t="str">
        <f>VLOOKUP(交易處理資料__3[[#This Row],[人員代號]],團隊分組!$B$1:$C$52,2,FALSE)</f>
        <v>噴漆維修組</v>
      </c>
      <c r="N3362" t="str">
        <f>IF(交易處理資料__3[[#This Row],[上班時間]]=0,"否","是")</f>
        <v>是</v>
      </c>
      <c r="O3362" s="10" t="s">
        <v>74</v>
      </c>
      <c r="P3362" s="37">
        <v>0</v>
      </c>
      <c r="Q3362" s="37">
        <v>0</v>
      </c>
      <c r="R3362" s="37">
        <v>0.8748999999999999</v>
      </c>
    </row>
    <row r="3363" spans="1:18" hidden="1">
      <c r="A3363" s="10" t="s">
        <v>74</v>
      </c>
      <c r="B3363" t="s">
        <v>5</v>
      </c>
      <c r="C3363">
        <v>5.4</v>
      </c>
      <c r="D3363">
        <v>5.14</v>
      </c>
      <c r="E3363" s="29">
        <v>1.0505836580000001</v>
      </c>
      <c r="F3363">
        <v>9.64</v>
      </c>
      <c r="G3363">
        <v>0.03</v>
      </c>
      <c r="H3363">
        <v>9.67</v>
      </c>
      <c r="I3363" s="29">
        <v>0.99690000000000001</v>
      </c>
      <c r="J3363" s="29">
        <v>0.55840000000000001</v>
      </c>
      <c r="K3363" s="9">
        <v>45378</v>
      </c>
      <c r="L3363">
        <f xml:space="preserve"> (交易處理資料__3[[#This Row],[售出工時]] * 60) / 5</f>
        <v>64.8</v>
      </c>
      <c r="M3363" t="str">
        <f>VLOOKUP(交易處理資料__3[[#This Row],[人員代號]],團隊分組!$B$1:$C$52,2,FALSE)</f>
        <v>噴漆維修組</v>
      </c>
      <c r="N3363" t="str">
        <f>IF(交易處理資料__3[[#This Row],[上班時間]]=0,"否","是")</f>
        <v>是</v>
      </c>
      <c r="O3363" s="10" t="s">
        <v>74</v>
      </c>
      <c r="P3363" s="38">
        <v>1.0505836580000001</v>
      </c>
      <c r="Q3363" s="38">
        <v>0.55840000000000001</v>
      </c>
      <c r="R3363" s="38">
        <v>0.99690000000000001</v>
      </c>
    </row>
    <row r="3364" spans="1:18">
      <c r="A3364" s="10" t="s">
        <v>74</v>
      </c>
      <c r="B3364" t="s">
        <v>7</v>
      </c>
      <c r="C3364">
        <v>5.36</v>
      </c>
      <c r="D3364">
        <v>5.12</v>
      </c>
      <c r="E3364" s="29">
        <v>1.046875</v>
      </c>
      <c r="F3364">
        <v>10.5</v>
      </c>
      <c r="G3364">
        <v>0.15</v>
      </c>
      <c r="H3364">
        <v>10.65</v>
      </c>
      <c r="I3364" s="29">
        <v>0.9859</v>
      </c>
      <c r="J3364" s="29">
        <v>0.50329999999999997</v>
      </c>
      <c r="K3364" s="9">
        <v>45378</v>
      </c>
      <c r="L3364">
        <f xml:space="preserve"> (交易處理資料__3[[#This Row],[售出工時]] * 60) / 5</f>
        <v>64.320000000000007</v>
      </c>
      <c r="M3364" t="str">
        <f>VLOOKUP(交易處理資料__3[[#This Row],[人員代號]],團隊分組!$B$1:$C$52,2,FALSE)</f>
        <v>噴漆維修組</v>
      </c>
      <c r="N3364" t="str">
        <f>IF(交易處理資料__3[[#This Row],[上班時間]]=0,"否","是")</f>
        <v>是</v>
      </c>
      <c r="O3364" s="10" t="s">
        <v>74</v>
      </c>
      <c r="P3364" s="37">
        <v>1.046875</v>
      </c>
      <c r="Q3364" s="37">
        <v>0.50329999999999997</v>
      </c>
      <c r="R3364" s="37">
        <v>0.9859</v>
      </c>
    </row>
    <row r="3365" spans="1:18" hidden="1">
      <c r="A3365" s="10" t="s">
        <v>74</v>
      </c>
      <c r="B3365" t="s">
        <v>8</v>
      </c>
      <c r="C3365">
        <v>0</v>
      </c>
      <c r="D3365">
        <v>0</v>
      </c>
      <c r="E3365" s="29">
        <v>0</v>
      </c>
      <c r="F3365">
        <v>7.8</v>
      </c>
      <c r="G3365">
        <v>0.35</v>
      </c>
      <c r="H3365">
        <v>8.15</v>
      </c>
      <c r="I3365" s="29">
        <v>0.95709999999999995</v>
      </c>
      <c r="J3365" s="29">
        <v>0</v>
      </c>
      <c r="K3365" s="9">
        <v>45378</v>
      </c>
      <c r="L3365">
        <f xml:space="preserve"> (交易處理資料__3[[#This Row],[售出工時]] * 60) / 5</f>
        <v>0</v>
      </c>
      <c r="M3365" t="str">
        <f>VLOOKUP(交易處理資料__3[[#This Row],[人員代號]],團隊分組!$B$1:$C$52,2,FALSE)</f>
        <v>噴漆維修組</v>
      </c>
      <c r="N3365" t="str">
        <f>IF(交易處理資料__3[[#This Row],[上班時間]]=0,"否","是")</f>
        <v>是</v>
      </c>
      <c r="O3365" s="10" t="s">
        <v>74</v>
      </c>
      <c r="P3365" s="38">
        <v>0</v>
      </c>
      <c r="Q3365" s="38">
        <v>0</v>
      </c>
      <c r="R3365" s="38">
        <v>0.95709999999999995</v>
      </c>
    </row>
    <row r="3366" spans="1:18" hidden="1">
      <c r="A3366" s="10" t="s">
        <v>74</v>
      </c>
      <c r="B3366" t="s">
        <v>9</v>
      </c>
      <c r="C3366">
        <v>0</v>
      </c>
      <c r="D3366">
        <v>0</v>
      </c>
      <c r="E3366" s="29">
        <v>0</v>
      </c>
      <c r="F3366">
        <v>9.25</v>
      </c>
      <c r="G3366">
        <v>1.31</v>
      </c>
      <c r="H3366">
        <v>10.56</v>
      </c>
      <c r="I3366" s="29">
        <v>0.87590000000000001</v>
      </c>
      <c r="J3366" s="29">
        <v>0</v>
      </c>
      <c r="K3366" s="9">
        <v>45378</v>
      </c>
      <c r="L3366">
        <f xml:space="preserve"> (交易處理資料__3[[#This Row],[售出工時]] * 60) / 5</f>
        <v>0</v>
      </c>
      <c r="M3366" t="str">
        <f>VLOOKUP(交易處理資料__3[[#This Row],[人員代號]],團隊分組!$B$1:$C$52,2,FALSE)</f>
        <v>噴漆維修組</v>
      </c>
      <c r="N3366" t="str">
        <f>IF(交易處理資料__3[[#This Row],[上班時間]]=0,"否","是")</f>
        <v>是</v>
      </c>
      <c r="O3366" s="10" t="s">
        <v>74</v>
      </c>
      <c r="P3366" s="37">
        <v>0</v>
      </c>
      <c r="Q3366" s="37">
        <v>0</v>
      </c>
      <c r="R3366" s="37">
        <v>0.87590000000000001</v>
      </c>
    </row>
    <row r="3367" spans="1:18" hidden="1">
      <c r="A3367" t="s">
        <v>75</v>
      </c>
      <c r="B3367" t="s">
        <v>11</v>
      </c>
      <c r="C3367">
        <v>0</v>
      </c>
      <c r="D3367">
        <v>0</v>
      </c>
      <c r="E3367" s="29">
        <v>0</v>
      </c>
      <c r="F3367">
        <v>4.08</v>
      </c>
      <c r="G3367">
        <v>4</v>
      </c>
      <c r="H3367">
        <v>8.08</v>
      </c>
      <c r="I3367" s="29">
        <v>0.505</v>
      </c>
      <c r="J3367" s="29">
        <v>0</v>
      </c>
      <c r="K3367" s="9">
        <v>45378</v>
      </c>
      <c r="L3367">
        <f xml:space="preserve"> (交易處理資料__3[[#This Row],[售出工時]] * 60) / 5</f>
        <v>0</v>
      </c>
      <c r="M3367" t="str">
        <f>VLOOKUP(交易處理資料__3[[#This Row],[人員代號]],團隊分組!$B$1:$C$52,2,FALSE)</f>
        <v>鈑金維修組</v>
      </c>
      <c r="N3367" t="str">
        <f>IF(交易處理資料__3[[#This Row],[上班時間]]=0,"否","是")</f>
        <v>是</v>
      </c>
      <c r="O3367" t="s">
        <v>75</v>
      </c>
      <c r="P3367" s="38">
        <v>0</v>
      </c>
      <c r="Q3367" s="38">
        <v>0</v>
      </c>
      <c r="R3367" s="38">
        <v>0.505</v>
      </c>
    </row>
    <row r="3368" spans="1:18" hidden="1">
      <c r="A3368" t="s">
        <v>75</v>
      </c>
      <c r="B3368" t="s">
        <v>12</v>
      </c>
      <c r="C3368">
        <v>2.75</v>
      </c>
      <c r="D3368">
        <v>2.48</v>
      </c>
      <c r="E3368" s="29">
        <v>1.108870968</v>
      </c>
      <c r="F3368">
        <v>8.4499999999999993</v>
      </c>
      <c r="G3368">
        <v>1.97</v>
      </c>
      <c r="H3368">
        <v>10.42</v>
      </c>
      <c r="I3368" s="29">
        <v>0.81090000000000007</v>
      </c>
      <c r="J3368" s="29">
        <v>0.26390000000000002</v>
      </c>
      <c r="K3368" s="9">
        <v>45378</v>
      </c>
      <c r="L3368">
        <f xml:space="preserve"> (交易處理資料__3[[#This Row],[售出工時]] * 60) / 5</f>
        <v>33</v>
      </c>
      <c r="M3368" t="str">
        <f>VLOOKUP(交易處理資料__3[[#This Row],[人員代號]],團隊分組!$B$1:$C$52,2,FALSE)</f>
        <v>鈑金維修組</v>
      </c>
      <c r="N3368" t="str">
        <f>IF(交易處理資料__3[[#This Row],[上班時間]]=0,"否","是")</f>
        <v>是</v>
      </c>
      <c r="O3368" t="s">
        <v>75</v>
      </c>
      <c r="P3368" s="37">
        <v>1.108870968</v>
      </c>
      <c r="Q3368" s="37">
        <v>0.26390000000000002</v>
      </c>
      <c r="R3368" s="37">
        <v>0.81090000000000007</v>
      </c>
    </row>
    <row r="3369" spans="1:18" hidden="1">
      <c r="A3369" t="s">
        <v>75</v>
      </c>
      <c r="B3369" t="s">
        <v>14</v>
      </c>
      <c r="C3369">
        <v>5.26</v>
      </c>
      <c r="D3369">
        <v>5.58</v>
      </c>
      <c r="E3369" s="29">
        <v>0.94265232970000001</v>
      </c>
      <c r="F3369">
        <v>6.98</v>
      </c>
      <c r="G3369">
        <v>1.19</v>
      </c>
      <c r="H3369">
        <v>8.17</v>
      </c>
      <c r="I3369" s="29">
        <v>0.85430000000000006</v>
      </c>
      <c r="J3369" s="29">
        <v>0.64379999999999993</v>
      </c>
      <c r="K3369" s="9">
        <v>45378</v>
      </c>
      <c r="L3369">
        <f xml:space="preserve"> (交易處理資料__3[[#This Row],[售出工時]] * 60) / 5</f>
        <v>63.11999999999999</v>
      </c>
      <c r="M3369" t="str">
        <f>VLOOKUP(交易處理資料__3[[#This Row],[人員代號]],團隊分組!$B$1:$C$52,2,FALSE)</f>
        <v>鈑金維修組</v>
      </c>
      <c r="N3369" t="str">
        <f>IF(交易處理資料__3[[#This Row],[上班時間]]=0,"否","是")</f>
        <v>是</v>
      </c>
      <c r="O3369" t="s">
        <v>75</v>
      </c>
      <c r="P3369" s="38">
        <v>0.94265232970000001</v>
      </c>
      <c r="Q3369" s="38">
        <v>0.64379999999999993</v>
      </c>
      <c r="R3369" s="38">
        <v>0.85430000000000006</v>
      </c>
    </row>
    <row r="3370" spans="1:18" hidden="1">
      <c r="A3370" t="s">
        <v>76</v>
      </c>
      <c r="B3370" t="s">
        <v>17</v>
      </c>
      <c r="C3370">
        <v>13.16666667</v>
      </c>
      <c r="D3370">
        <v>5.22</v>
      </c>
      <c r="E3370" s="29">
        <v>2.5223499359999999</v>
      </c>
      <c r="F3370">
        <v>7.36</v>
      </c>
      <c r="G3370">
        <v>0.72</v>
      </c>
      <c r="H3370">
        <v>8.08</v>
      </c>
      <c r="I3370" s="29">
        <v>0.91090000000000004</v>
      </c>
      <c r="J3370" s="29">
        <v>1.6294999999999999</v>
      </c>
      <c r="K3370" s="9">
        <v>45378</v>
      </c>
      <c r="L3370">
        <f xml:space="preserve"> (交易處理資料__3[[#This Row],[售出工時]] * 60) / 5</f>
        <v>158.00000003999997</v>
      </c>
      <c r="M3370" t="str">
        <f>VLOOKUP(交易處理資料__3[[#This Row],[人員代號]],團隊分組!$B$1:$C$52,2,FALSE)</f>
        <v>快速保養團隊A</v>
      </c>
      <c r="N3370" t="str">
        <f>IF(交易處理資料__3[[#This Row],[上班時間]]=0,"否","是")</f>
        <v>是</v>
      </c>
      <c r="O3370" t="s">
        <v>76</v>
      </c>
      <c r="P3370" s="37">
        <v>2.5223499359999999</v>
      </c>
      <c r="Q3370" s="37">
        <v>1.6294999999999999</v>
      </c>
      <c r="R3370" s="37">
        <v>0.91090000000000004</v>
      </c>
    </row>
    <row r="3371" spans="1:18" hidden="1">
      <c r="A3371" t="s">
        <v>76</v>
      </c>
      <c r="B3371" t="s">
        <v>18</v>
      </c>
      <c r="C3371">
        <v>0</v>
      </c>
      <c r="D3371">
        <v>0</v>
      </c>
      <c r="E3371" s="29">
        <v>0</v>
      </c>
      <c r="F3371">
        <v>8.4700000000000006</v>
      </c>
      <c r="G3371">
        <v>0.32</v>
      </c>
      <c r="H3371">
        <v>8.7899999999999991</v>
      </c>
      <c r="I3371" s="29">
        <v>0.96360000000000001</v>
      </c>
      <c r="J3371" s="29">
        <v>0</v>
      </c>
      <c r="K3371" s="9">
        <v>45378</v>
      </c>
      <c r="L3371">
        <f xml:space="preserve"> (交易處理資料__3[[#This Row],[售出工時]] * 60) / 5</f>
        <v>0</v>
      </c>
      <c r="M3371" t="str">
        <f>VLOOKUP(交易處理資料__3[[#This Row],[人員代號]],團隊分組!$B$1:$C$52,2,FALSE)</f>
        <v>查修團隊B</v>
      </c>
      <c r="N3371" t="str">
        <f>IF(交易處理資料__3[[#This Row],[上班時間]]=0,"否","是")</f>
        <v>是</v>
      </c>
      <c r="O3371" t="s">
        <v>76</v>
      </c>
      <c r="P3371" s="38">
        <v>0</v>
      </c>
      <c r="Q3371" s="38">
        <v>0</v>
      </c>
      <c r="R3371" s="38">
        <v>0.96360000000000001</v>
      </c>
    </row>
    <row r="3372" spans="1:18" hidden="1">
      <c r="A3372" t="s">
        <v>76</v>
      </c>
      <c r="B3372" t="s">
        <v>19</v>
      </c>
      <c r="C3372">
        <v>0.72</v>
      </c>
      <c r="D3372">
        <v>1.07</v>
      </c>
      <c r="E3372" s="29">
        <v>0.67289719629999989</v>
      </c>
      <c r="F3372">
        <v>7.73</v>
      </c>
      <c r="G3372">
        <v>0.08</v>
      </c>
      <c r="H3372">
        <v>7.81</v>
      </c>
      <c r="I3372" s="29">
        <v>0.98980000000000001</v>
      </c>
      <c r="J3372" s="29">
        <v>9.2200000000000004E-2</v>
      </c>
      <c r="K3372" s="9">
        <v>45378</v>
      </c>
      <c r="L3372">
        <f xml:space="preserve"> (交易處理資料__3[[#This Row],[售出工時]] * 60) / 5</f>
        <v>8.6399999999999988</v>
      </c>
      <c r="M3372" t="str">
        <f>VLOOKUP(交易處理資料__3[[#This Row],[人員代號]],團隊分組!$B$1:$C$52,2,FALSE)</f>
        <v>查修團隊A</v>
      </c>
      <c r="N3372" t="str">
        <f>IF(交易處理資料__3[[#This Row],[上班時間]]=0,"否","是")</f>
        <v>是</v>
      </c>
      <c r="O3372" t="s">
        <v>76</v>
      </c>
      <c r="P3372" s="37">
        <v>0.67289719629999989</v>
      </c>
      <c r="Q3372" s="37">
        <v>9.2200000000000004E-2</v>
      </c>
      <c r="R3372" s="37">
        <v>0.98980000000000001</v>
      </c>
    </row>
    <row r="3373" spans="1:18" hidden="1">
      <c r="A3373" t="s">
        <v>76</v>
      </c>
      <c r="B3373" t="s">
        <v>21</v>
      </c>
      <c r="C3373">
        <v>8.25</v>
      </c>
      <c r="D3373">
        <v>8.06</v>
      </c>
      <c r="E3373" s="29">
        <v>1.023573201</v>
      </c>
      <c r="F3373">
        <v>6.72</v>
      </c>
      <c r="G3373">
        <v>1.53</v>
      </c>
      <c r="H3373">
        <v>8.25</v>
      </c>
      <c r="I3373" s="29">
        <v>0.8145</v>
      </c>
      <c r="J3373" s="29">
        <v>1</v>
      </c>
      <c r="K3373" s="9">
        <v>45378</v>
      </c>
      <c r="L3373">
        <f xml:space="preserve"> (交易處理資料__3[[#This Row],[售出工時]] * 60) / 5</f>
        <v>99</v>
      </c>
      <c r="M3373" t="str">
        <f>VLOOKUP(交易處理資料__3[[#This Row],[人員代號]],團隊分組!$B$1:$C$52,2,FALSE)</f>
        <v>查修團隊B</v>
      </c>
      <c r="N3373" t="str">
        <f>IF(交易處理資料__3[[#This Row],[上班時間]]=0,"否","是")</f>
        <v>是</v>
      </c>
      <c r="O3373" t="s">
        <v>76</v>
      </c>
      <c r="P3373" s="38">
        <v>1.023573201</v>
      </c>
      <c r="Q3373" s="38">
        <v>1</v>
      </c>
      <c r="R3373" s="38">
        <v>0.8145</v>
      </c>
    </row>
    <row r="3374" spans="1:18" hidden="1">
      <c r="A3374" t="s">
        <v>76</v>
      </c>
      <c r="B3374" t="s">
        <v>22</v>
      </c>
      <c r="C3374">
        <v>8.5</v>
      </c>
      <c r="D3374">
        <v>3.96</v>
      </c>
      <c r="E3374" s="29">
        <v>2.1464646460000001</v>
      </c>
      <c r="F3374">
        <v>9.26</v>
      </c>
      <c r="G3374">
        <v>0.2</v>
      </c>
      <c r="H3374">
        <v>9.4600000000000009</v>
      </c>
      <c r="I3374" s="29">
        <v>0.97889999999999999</v>
      </c>
      <c r="J3374" s="29">
        <v>0.89849999999999997</v>
      </c>
      <c r="K3374" s="9">
        <v>45378</v>
      </c>
      <c r="L3374">
        <f xml:space="preserve"> (交易處理資料__3[[#This Row],[售出工時]] * 60) / 5</f>
        <v>102</v>
      </c>
      <c r="M3374" t="str">
        <f>VLOOKUP(交易處理資料__3[[#This Row],[人員代號]],團隊分組!$B$1:$C$52,2,FALSE)</f>
        <v>快速保養團隊A</v>
      </c>
      <c r="N3374" t="str">
        <f>IF(交易處理資料__3[[#This Row],[上班時間]]=0,"否","是")</f>
        <v>是</v>
      </c>
      <c r="O3374" t="s">
        <v>76</v>
      </c>
      <c r="P3374" s="37">
        <v>2.1464646460000001</v>
      </c>
      <c r="Q3374" s="37">
        <v>0.89849999999999997</v>
      </c>
      <c r="R3374" s="37">
        <v>0.97889999999999999</v>
      </c>
    </row>
    <row r="3375" spans="1:18" hidden="1">
      <c r="A3375" t="s">
        <v>76</v>
      </c>
      <c r="B3375" t="s">
        <v>25</v>
      </c>
      <c r="C3375">
        <v>5</v>
      </c>
      <c r="D3375">
        <v>5.6</v>
      </c>
      <c r="E3375" s="29">
        <v>0.89285714290000007</v>
      </c>
      <c r="F3375">
        <v>5.94</v>
      </c>
      <c r="G3375">
        <v>1.9</v>
      </c>
      <c r="H3375">
        <v>7.84</v>
      </c>
      <c r="I3375" s="29">
        <v>0.75769999999999993</v>
      </c>
      <c r="J3375" s="29">
        <v>0.63780000000000003</v>
      </c>
      <c r="K3375" s="9">
        <v>45378</v>
      </c>
      <c r="L3375">
        <f xml:space="preserve"> (交易處理資料__3[[#This Row],[售出工時]] * 60) / 5</f>
        <v>60</v>
      </c>
      <c r="M3375" t="str">
        <f>VLOOKUP(交易處理資料__3[[#This Row],[人員代號]],團隊分組!$B$1:$C$52,2,FALSE)</f>
        <v>查修團隊A</v>
      </c>
      <c r="N3375" t="str">
        <f>IF(交易處理資料__3[[#This Row],[上班時間]]=0,"否","是")</f>
        <v>是</v>
      </c>
      <c r="O3375" t="s">
        <v>76</v>
      </c>
      <c r="P3375" s="38">
        <v>0.89285714290000007</v>
      </c>
      <c r="Q3375" s="38">
        <v>0.63780000000000003</v>
      </c>
      <c r="R3375" s="38">
        <v>0.75769999999999993</v>
      </c>
    </row>
    <row r="3376" spans="1:18" hidden="1">
      <c r="A3376" t="s">
        <v>76</v>
      </c>
      <c r="B3376" t="s">
        <v>27</v>
      </c>
      <c r="C3376">
        <v>2.5</v>
      </c>
      <c r="D3376">
        <v>3.53</v>
      </c>
      <c r="E3376" s="29">
        <v>0.70821529750000001</v>
      </c>
      <c r="F3376">
        <v>10.07</v>
      </c>
      <c r="G3376">
        <v>0.5</v>
      </c>
      <c r="H3376">
        <v>10.57</v>
      </c>
      <c r="I3376" s="29">
        <v>0.95269999999999999</v>
      </c>
      <c r="J3376" s="29">
        <v>0.23649999999999999</v>
      </c>
      <c r="K3376" s="9">
        <v>45378</v>
      </c>
      <c r="L3376">
        <f xml:space="preserve"> (交易處理資料__3[[#This Row],[售出工時]] * 60) / 5</f>
        <v>30</v>
      </c>
      <c r="M3376" t="str">
        <f>VLOOKUP(交易處理資料__3[[#This Row],[人員代號]],團隊分組!$B$1:$C$52,2,FALSE)</f>
        <v>快速保養團隊B</v>
      </c>
      <c r="N3376" t="str">
        <f>IF(交易處理資料__3[[#This Row],[上班時間]]=0,"否","是")</f>
        <v>是</v>
      </c>
      <c r="O3376" t="s">
        <v>76</v>
      </c>
      <c r="P3376" s="37">
        <v>0.70821529750000001</v>
      </c>
      <c r="Q3376" s="37">
        <v>0.23649999999999999</v>
      </c>
      <c r="R3376" s="37">
        <v>0.95269999999999999</v>
      </c>
    </row>
    <row r="3377" spans="1:18" hidden="1">
      <c r="A3377" t="s">
        <v>76</v>
      </c>
      <c r="B3377" t="s">
        <v>28</v>
      </c>
      <c r="C3377">
        <v>6.5</v>
      </c>
      <c r="D3377">
        <v>4.58</v>
      </c>
      <c r="E3377" s="29">
        <v>1.4192139739999998</v>
      </c>
      <c r="F3377">
        <v>9.2200000000000006</v>
      </c>
      <c r="G3377">
        <v>0.35</v>
      </c>
      <c r="H3377">
        <v>9.57</v>
      </c>
      <c r="I3377" s="29">
        <v>0.96340000000000003</v>
      </c>
      <c r="J3377" s="29">
        <v>0.67920000000000003</v>
      </c>
      <c r="K3377" s="9">
        <v>45378</v>
      </c>
      <c r="L3377">
        <f xml:space="preserve"> (交易處理資料__3[[#This Row],[售出工時]] * 60) / 5</f>
        <v>78</v>
      </c>
      <c r="M3377" t="str">
        <f>VLOOKUP(交易處理資料__3[[#This Row],[人員代號]],團隊分組!$B$1:$C$52,2,FALSE)</f>
        <v>快速保養團隊A</v>
      </c>
      <c r="N3377" t="str">
        <f>IF(交易處理資料__3[[#This Row],[上班時間]]=0,"否","是")</f>
        <v>是</v>
      </c>
      <c r="O3377" t="s">
        <v>76</v>
      </c>
      <c r="P3377" s="38">
        <v>1.4192139739999998</v>
      </c>
      <c r="Q3377" s="38">
        <v>0.67920000000000003</v>
      </c>
      <c r="R3377" s="38">
        <v>0.96340000000000003</v>
      </c>
    </row>
    <row r="3378" spans="1:18" hidden="1">
      <c r="A3378" t="s">
        <v>76</v>
      </c>
      <c r="B3378" t="s">
        <v>32</v>
      </c>
      <c r="C3378">
        <v>9.8766666670000003</v>
      </c>
      <c r="D3378">
        <v>6.3</v>
      </c>
      <c r="E3378" s="29">
        <v>1.567724868</v>
      </c>
      <c r="F3378">
        <v>7.27</v>
      </c>
      <c r="G3378">
        <v>1.36</v>
      </c>
      <c r="H3378">
        <v>8.6300000000000008</v>
      </c>
      <c r="I3378" s="29">
        <v>0.84239999999999993</v>
      </c>
      <c r="J3378" s="29">
        <v>1.1445000000000001</v>
      </c>
      <c r="K3378" s="9">
        <v>45378</v>
      </c>
      <c r="L3378">
        <f xml:space="preserve"> (交易處理資料__3[[#This Row],[售出工時]] * 60) / 5</f>
        <v>118.52000000400001</v>
      </c>
      <c r="M3378" t="str">
        <f>VLOOKUP(交易處理資料__3[[#This Row],[人員代號]],團隊分組!$B$1:$C$52,2,FALSE)</f>
        <v>快速保養團隊B</v>
      </c>
      <c r="N3378" t="str">
        <f>IF(交易處理資料__3[[#This Row],[上班時間]]=0,"否","是")</f>
        <v>是</v>
      </c>
      <c r="O3378" t="s">
        <v>76</v>
      </c>
      <c r="P3378" s="37">
        <v>1.567724868</v>
      </c>
      <c r="Q3378" s="37">
        <v>1.1445000000000001</v>
      </c>
      <c r="R3378" s="37">
        <v>0.84239999999999993</v>
      </c>
    </row>
    <row r="3379" spans="1:18" hidden="1">
      <c r="A3379" t="s">
        <v>76</v>
      </c>
      <c r="B3379" t="s">
        <v>33</v>
      </c>
      <c r="C3379">
        <v>9.2433333330000007</v>
      </c>
      <c r="D3379">
        <v>7.79</v>
      </c>
      <c r="E3379" s="29">
        <v>1.186563971</v>
      </c>
      <c r="F3379">
        <v>6.79</v>
      </c>
      <c r="G3379">
        <v>1.28</v>
      </c>
      <c r="H3379">
        <v>8.07</v>
      </c>
      <c r="I3379" s="29">
        <v>0.84140000000000004</v>
      </c>
      <c r="J3379" s="29">
        <v>1.1454</v>
      </c>
      <c r="K3379" s="9">
        <v>45378</v>
      </c>
      <c r="L3379">
        <f xml:space="preserve"> (交易處理資料__3[[#This Row],[售出工時]] * 60) / 5</f>
        <v>110.919999996</v>
      </c>
      <c r="M3379" t="str">
        <f>VLOOKUP(交易處理資料__3[[#This Row],[人員代號]],團隊分組!$B$1:$C$52,2,FALSE)</f>
        <v>快速保養團隊B</v>
      </c>
      <c r="N3379" t="str">
        <f>IF(交易處理資料__3[[#This Row],[上班時間]]=0,"否","是")</f>
        <v>是</v>
      </c>
      <c r="O3379" t="s">
        <v>76</v>
      </c>
      <c r="P3379" s="38">
        <v>1.186563971</v>
      </c>
      <c r="Q3379" s="38">
        <v>1.1454</v>
      </c>
      <c r="R3379" s="38">
        <v>0.84140000000000004</v>
      </c>
    </row>
    <row r="3380" spans="1:18" hidden="1">
      <c r="A3380" t="s">
        <v>76</v>
      </c>
      <c r="B3380" t="s">
        <v>34</v>
      </c>
      <c r="C3380">
        <v>8.5133333330000003</v>
      </c>
      <c r="D3380">
        <v>6.75</v>
      </c>
      <c r="E3380" s="29">
        <v>1.2612345679999999</v>
      </c>
      <c r="F3380">
        <v>7.16</v>
      </c>
      <c r="G3380">
        <v>0.87</v>
      </c>
      <c r="H3380">
        <v>8.0299999999999994</v>
      </c>
      <c r="I3380" s="29">
        <v>0.89170000000000005</v>
      </c>
      <c r="J3380" s="29">
        <v>1.0602</v>
      </c>
      <c r="K3380" s="9">
        <v>45378</v>
      </c>
      <c r="L3380">
        <f xml:space="preserve"> (交易處理資料__3[[#This Row],[售出工時]] * 60) / 5</f>
        <v>102.159999996</v>
      </c>
      <c r="M3380" t="str">
        <f>VLOOKUP(交易處理資料__3[[#This Row],[人員代號]],團隊分組!$B$1:$C$52,2,FALSE)</f>
        <v>快速保養團隊A</v>
      </c>
      <c r="N3380" t="str">
        <f>IF(交易處理資料__3[[#This Row],[上班時間]]=0,"否","是")</f>
        <v>是</v>
      </c>
      <c r="O3380" t="s">
        <v>76</v>
      </c>
      <c r="P3380" s="37">
        <v>1.2612345679999999</v>
      </c>
      <c r="Q3380" s="37">
        <v>1.0602</v>
      </c>
      <c r="R3380" s="37">
        <v>0.89170000000000005</v>
      </c>
    </row>
    <row r="3381" spans="1:18" hidden="1">
      <c r="A3381" t="s">
        <v>76</v>
      </c>
      <c r="B3381" t="s">
        <v>36</v>
      </c>
      <c r="C3381">
        <v>1.1333333329999999</v>
      </c>
      <c r="D3381">
        <v>4.8899999999999997</v>
      </c>
      <c r="E3381" s="29">
        <v>0.23176550779999999</v>
      </c>
      <c r="F3381">
        <v>7.55</v>
      </c>
      <c r="G3381">
        <v>1.66</v>
      </c>
      <c r="H3381">
        <v>9.2100000000000009</v>
      </c>
      <c r="I3381" s="29">
        <v>0.81980000000000008</v>
      </c>
      <c r="J3381" s="29">
        <v>0.1231</v>
      </c>
      <c r="K3381" s="9">
        <v>45378</v>
      </c>
      <c r="L3381">
        <f xml:space="preserve"> (交易處理資料__3[[#This Row],[售出工時]] * 60) / 5</f>
        <v>13.599999995999999</v>
      </c>
      <c r="M3381" t="str">
        <f>VLOOKUP(交易處理資料__3[[#This Row],[人員代號]],團隊分組!$B$1:$C$52,2,FALSE)</f>
        <v>查修團隊B</v>
      </c>
      <c r="N3381" t="str">
        <f>IF(交易處理資料__3[[#This Row],[上班時間]]=0,"否","是")</f>
        <v>是</v>
      </c>
      <c r="O3381" t="s">
        <v>76</v>
      </c>
      <c r="P3381" s="38">
        <v>0.23176550779999999</v>
      </c>
      <c r="Q3381" s="38">
        <v>0.1231</v>
      </c>
      <c r="R3381" s="38">
        <v>0.81980000000000008</v>
      </c>
    </row>
    <row r="3382" spans="1:18" hidden="1">
      <c r="A3382" t="s">
        <v>76</v>
      </c>
      <c r="B3382" t="s">
        <v>37</v>
      </c>
      <c r="C3382">
        <v>4.25</v>
      </c>
      <c r="D3382">
        <v>4.28</v>
      </c>
      <c r="E3382" s="29">
        <v>0.9929906542000001</v>
      </c>
      <c r="F3382">
        <v>6.73</v>
      </c>
      <c r="G3382">
        <v>1.04</v>
      </c>
      <c r="H3382">
        <v>7.77</v>
      </c>
      <c r="I3382" s="29">
        <v>0.86620000000000008</v>
      </c>
      <c r="J3382" s="29">
        <v>0.54700000000000004</v>
      </c>
      <c r="K3382" s="9">
        <v>45378</v>
      </c>
      <c r="L3382">
        <f xml:space="preserve"> (交易處理資料__3[[#This Row],[售出工時]] * 60) / 5</f>
        <v>51</v>
      </c>
      <c r="M3382" t="str">
        <f>VLOOKUP(交易處理資料__3[[#This Row],[人員代號]],團隊分組!$B$1:$C$52,2,FALSE)</f>
        <v>查修團隊A</v>
      </c>
      <c r="N3382" t="str">
        <f>IF(交易處理資料__3[[#This Row],[上班時間]]=0,"否","是")</f>
        <v>是</v>
      </c>
      <c r="O3382" t="s">
        <v>76</v>
      </c>
      <c r="P3382" s="37">
        <v>0.9929906542000001</v>
      </c>
      <c r="Q3382" s="37">
        <v>0.54700000000000004</v>
      </c>
      <c r="R3382" s="37">
        <v>0.86620000000000008</v>
      </c>
    </row>
    <row r="3383" spans="1:18" hidden="1">
      <c r="A3383" t="s">
        <v>76</v>
      </c>
      <c r="B3383" t="s">
        <v>38</v>
      </c>
      <c r="C3383">
        <v>14.10333333</v>
      </c>
      <c r="D3383">
        <v>7.78</v>
      </c>
      <c r="E3383" s="29">
        <v>1.812767781</v>
      </c>
      <c r="F3383">
        <v>8.3800000000000008</v>
      </c>
      <c r="G3383">
        <v>1.36</v>
      </c>
      <c r="H3383">
        <v>9.74</v>
      </c>
      <c r="I3383" s="29">
        <v>0.86040000000000005</v>
      </c>
      <c r="J3383" s="29">
        <v>1.4480000000000002</v>
      </c>
      <c r="K3383" s="9">
        <v>45378</v>
      </c>
      <c r="L3383">
        <f xml:space="preserve"> (交易處理資料__3[[#This Row],[售出工時]] * 60) / 5</f>
        <v>169.23999996000001</v>
      </c>
      <c r="M3383" t="str">
        <f>VLOOKUP(交易處理資料__3[[#This Row],[人員代號]],團隊分組!$B$1:$C$52,2,FALSE)</f>
        <v>快速保養團隊A</v>
      </c>
      <c r="N3383" t="str">
        <f>IF(交易處理資料__3[[#This Row],[上班時間]]=0,"否","是")</f>
        <v>是</v>
      </c>
      <c r="O3383" t="s">
        <v>76</v>
      </c>
      <c r="P3383" s="38">
        <v>1.812767781</v>
      </c>
      <c r="Q3383" s="38">
        <v>1.4480000000000002</v>
      </c>
      <c r="R3383" s="38">
        <v>0.86040000000000005</v>
      </c>
    </row>
    <row r="3384" spans="1:18" hidden="1">
      <c r="A3384" t="s">
        <v>76</v>
      </c>
      <c r="B3384" t="s">
        <v>39</v>
      </c>
      <c r="C3384">
        <v>0</v>
      </c>
      <c r="D3384">
        <v>0</v>
      </c>
      <c r="E3384" s="29">
        <v>0</v>
      </c>
      <c r="F3384">
        <v>8.27</v>
      </c>
      <c r="G3384">
        <v>1.41</v>
      </c>
      <c r="H3384">
        <v>9.68</v>
      </c>
      <c r="I3384" s="29">
        <v>0.85430000000000006</v>
      </c>
      <c r="J3384" s="29">
        <v>0</v>
      </c>
      <c r="K3384" s="9">
        <v>45378</v>
      </c>
      <c r="L3384">
        <f xml:space="preserve"> (交易處理資料__3[[#This Row],[售出工時]] * 60) / 5</f>
        <v>0</v>
      </c>
      <c r="M3384" t="str">
        <f>VLOOKUP(交易處理資料__3[[#This Row],[人員代號]],團隊分組!$B$1:$C$52,2,FALSE)</f>
        <v>查修團隊A</v>
      </c>
      <c r="N3384" t="str">
        <f>IF(交易處理資料__3[[#This Row],[上班時間]]=0,"否","是")</f>
        <v>是</v>
      </c>
      <c r="O3384" t="s">
        <v>76</v>
      </c>
      <c r="P3384" s="37">
        <v>0</v>
      </c>
      <c r="Q3384" s="37">
        <v>0</v>
      </c>
      <c r="R3384" s="37">
        <v>0.85430000000000006</v>
      </c>
    </row>
    <row r="3385" spans="1:18" hidden="1">
      <c r="A3385" t="s">
        <v>76</v>
      </c>
      <c r="B3385" t="s">
        <v>40</v>
      </c>
      <c r="C3385">
        <v>2</v>
      </c>
      <c r="D3385">
        <v>7.82</v>
      </c>
      <c r="E3385" s="29">
        <v>0.25575447570000004</v>
      </c>
      <c r="F3385">
        <v>7.33</v>
      </c>
      <c r="G3385">
        <v>2.4500000000000002</v>
      </c>
      <c r="H3385">
        <v>9.7799999999999994</v>
      </c>
      <c r="I3385" s="29">
        <v>0.74950000000000006</v>
      </c>
      <c r="J3385" s="29">
        <v>0.20449999999999999</v>
      </c>
      <c r="K3385" s="9">
        <v>45378</v>
      </c>
      <c r="L3385">
        <f xml:space="preserve"> (交易處理資料__3[[#This Row],[售出工時]] * 60) / 5</f>
        <v>24</v>
      </c>
      <c r="M3385" t="str">
        <f>VLOOKUP(交易處理資料__3[[#This Row],[人員代號]],團隊分組!$B$1:$C$52,2,FALSE)</f>
        <v>查修團隊A</v>
      </c>
      <c r="N3385" t="str">
        <f>IF(交易處理資料__3[[#This Row],[上班時間]]=0,"否","是")</f>
        <v>是</v>
      </c>
      <c r="O3385" t="s">
        <v>76</v>
      </c>
      <c r="P3385" s="38">
        <v>0.25575447570000004</v>
      </c>
      <c r="Q3385" s="38">
        <v>0.20449999999999999</v>
      </c>
      <c r="R3385" s="38">
        <v>0.74950000000000006</v>
      </c>
    </row>
    <row r="3386" spans="1:18" hidden="1">
      <c r="A3386" t="s">
        <v>76</v>
      </c>
      <c r="B3386" t="s">
        <v>41</v>
      </c>
      <c r="C3386">
        <v>17.333333329999999</v>
      </c>
      <c r="D3386">
        <v>8.33</v>
      </c>
      <c r="E3386" s="29">
        <v>2.080832333</v>
      </c>
      <c r="F3386">
        <v>8.15</v>
      </c>
      <c r="G3386">
        <v>0.82</v>
      </c>
      <c r="H3386">
        <v>8.9700000000000006</v>
      </c>
      <c r="I3386" s="29">
        <v>0.90859999999999996</v>
      </c>
      <c r="J3386" s="29">
        <v>1.9324000000000001</v>
      </c>
      <c r="K3386" s="9">
        <v>45378</v>
      </c>
      <c r="L3386">
        <f xml:space="preserve"> (交易處理資料__3[[#This Row],[售出工時]] * 60) / 5</f>
        <v>207.99999995999997</v>
      </c>
      <c r="M3386" t="str">
        <f>VLOOKUP(交易處理資料__3[[#This Row],[人員代號]],團隊分組!$B$1:$C$52,2,FALSE)</f>
        <v>快速保養團隊A</v>
      </c>
      <c r="N3386" t="str">
        <f>IF(交易處理資料__3[[#This Row],[上班時間]]=0,"否","是")</f>
        <v>是</v>
      </c>
      <c r="O3386" t="s">
        <v>76</v>
      </c>
      <c r="P3386" s="37">
        <v>2.080832333</v>
      </c>
      <c r="Q3386" s="37">
        <v>1.9324000000000001</v>
      </c>
      <c r="R3386" s="37">
        <v>0.90859999999999996</v>
      </c>
    </row>
    <row r="3387" spans="1:18" hidden="1">
      <c r="A3387" t="s">
        <v>76</v>
      </c>
      <c r="B3387" t="s">
        <v>42</v>
      </c>
      <c r="C3387">
        <v>10.83333333</v>
      </c>
      <c r="D3387">
        <v>6.23</v>
      </c>
      <c r="E3387" s="29">
        <v>1.738897806</v>
      </c>
      <c r="F3387">
        <v>7.17</v>
      </c>
      <c r="G3387">
        <v>0.88</v>
      </c>
      <c r="H3387">
        <v>8.0500000000000007</v>
      </c>
      <c r="I3387" s="29">
        <v>0.89069999999999994</v>
      </c>
      <c r="J3387" s="29">
        <v>1.3458000000000001</v>
      </c>
      <c r="K3387" s="9">
        <v>45378</v>
      </c>
      <c r="L3387">
        <f xml:space="preserve"> (交易處理資料__3[[#This Row],[售出工時]] * 60) / 5</f>
        <v>129.99999996000003</v>
      </c>
      <c r="M3387" t="str">
        <f>VLOOKUP(交易處理資料__3[[#This Row],[人員代號]],團隊分組!$B$1:$C$52,2,FALSE)</f>
        <v>快速保養團隊A</v>
      </c>
      <c r="N3387" t="str">
        <f>IF(交易處理資料__3[[#This Row],[上班時間]]=0,"否","是")</f>
        <v>是</v>
      </c>
      <c r="O3387" t="s">
        <v>76</v>
      </c>
      <c r="P3387" s="38">
        <v>1.738897806</v>
      </c>
      <c r="Q3387" s="38">
        <v>1.3458000000000001</v>
      </c>
      <c r="R3387" s="38">
        <v>0.89069999999999994</v>
      </c>
    </row>
    <row r="3388" spans="1:18" hidden="1">
      <c r="A3388" t="s">
        <v>76</v>
      </c>
      <c r="B3388" t="s">
        <v>43</v>
      </c>
      <c r="C3388">
        <v>3.43</v>
      </c>
      <c r="D3388">
        <v>6.74</v>
      </c>
      <c r="E3388" s="29">
        <v>0.50890207720000002</v>
      </c>
      <c r="F3388">
        <v>7.35</v>
      </c>
      <c r="G3388">
        <v>0.85</v>
      </c>
      <c r="H3388">
        <v>8.1999999999999993</v>
      </c>
      <c r="I3388" s="29">
        <v>0.89629999999999999</v>
      </c>
      <c r="J3388" s="29">
        <v>0.41830000000000001</v>
      </c>
      <c r="K3388" s="9">
        <v>45378</v>
      </c>
      <c r="L3388">
        <f xml:space="preserve"> (交易處理資料__3[[#This Row],[售出工時]] * 60) / 5</f>
        <v>41.160000000000004</v>
      </c>
      <c r="M3388" t="str">
        <f>VLOOKUP(交易處理資料__3[[#This Row],[人員代號]],團隊分組!$B$1:$C$52,2,FALSE)</f>
        <v>查修團隊B</v>
      </c>
      <c r="N3388" t="str">
        <f>IF(交易處理資料__3[[#This Row],[上班時間]]=0,"否","是")</f>
        <v>是</v>
      </c>
      <c r="O3388" t="s">
        <v>76</v>
      </c>
      <c r="P3388" s="37">
        <v>0.50890207720000002</v>
      </c>
      <c r="Q3388" s="37">
        <v>0.41830000000000001</v>
      </c>
      <c r="R3388" s="37">
        <v>0.89629999999999999</v>
      </c>
    </row>
    <row r="3389" spans="1:18" hidden="1">
      <c r="A3389" t="s">
        <v>76</v>
      </c>
      <c r="B3389" t="s">
        <v>45</v>
      </c>
      <c r="C3389">
        <v>12.08333333</v>
      </c>
      <c r="D3389">
        <v>4.0599999999999996</v>
      </c>
      <c r="E3389" s="29">
        <v>2.9761904759999998</v>
      </c>
      <c r="F3389">
        <v>8.32</v>
      </c>
      <c r="G3389">
        <v>0.74</v>
      </c>
      <c r="H3389">
        <v>9.06</v>
      </c>
      <c r="I3389" s="29">
        <v>0.91830000000000001</v>
      </c>
      <c r="J3389" s="29">
        <v>1.3337000000000001</v>
      </c>
      <c r="K3389" s="9">
        <v>45378</v>
      </c>
      <c r="L3389">
        <f xml:space="preserve"> (交易處理資料__3[[#This Row],[售出工時]] * 60) / 5</f>
        <v>144.99999996000003</v>
      </c>
      <c r="M3389" t="str">
        <f>VLOOKUP(交易處理資料__3[[#This Row],[人員代號]],團隊分組!$B$1:$C$52,2,FALSE)</f>
        <v>快速保養團隊A</v>
      </c>
      <c r="N3389" t="str">
        <f>IF(交易處理資料__3[[#This Row],[上班時間]]=0,"否","是")</f>
        <v>是</v>
      </c>
      <c r="O3389" t="s">
        <v>76</v>
      </c>
      <c r="P3389" s="38">
        <v>2.9761904759999998</v>
      </c>
      <c r="Q3389" s="38">
        <v>1.3337000000000001</v>
      </c>
      <c r="R3389" s="38">
        <v>0.91830000000000001</v>
      </c>
    </row>
    <row r="3390" spans="1:18" hidden="1">
      <c r="A3390" t="s">
        <v>76</v>
      </c>
      <c r="B3390" t="s">
        <v>46</v>
      </c>
      <c r="C3390">
        <v>4.5</v>
      </c>
      <c r="D3390">
        <v>7.28</v>
      </c>
      <c r="E3390" s="29">
        <v>0.61813186809999998</v>
      </c>
      <c r="F3390">
        <v>8.5299999999999994</v>
      </c>
      <c r="G3390">
        <v>1</v>
      </c>
      <c r="H3390">
        <v>9.5299999999999994</v>
      </c>
      <c r="I3390" s="29">
        <v>0.89510000000000001</v>
      </c>
      <c r="J3390" s="29">
        <v>0.47220000000000001</v>
      </c>
      <c r="K3390" s="9">
        <v>45378</v>
      </c>
      <c r="L3390">
        <f xml:space="preserve"> (交易處理資料__3[[#This Row],[售出工時]] * 60) / 5</f>
        <v>54</v>
      </c>
      <c r="M3390" t="str">
        <f>VLOOKUP(交易處理資料__3[[#This Row],[人員代號]],團隊分組!$B$1:$C$52,2,FALSE)</f>
        <v>查修團隊B</v>
      </c>
      <c r="N3390" t="str">
        <f>IF(交易處理資料__3[[#This Row],[上班時間]]=0,"否","是")</f>
        <v>是</v>
      </c>
      <c r="O3390" t="s">
        <v>76</v>
      </c>
      <c r="P3390" s="37">
        <v>0.61813186809999998</v>
      </c>
      <c r="Q3390" s="37">
        <v>0.47220000000000001</v>
      </c>
      <c r="R3390" s="37">
        <v>0.89510000000000001</v>
      </c>
    </row>
    <row r="3391" spans="1:18" hidden="1">
      <c r="A3391" t="s">
        <v>76</v>
      </c>
      <c r="B3391" t="s">
        <v>48</v>
      </c>
      <c r="C3391">
        <v>0.33333333300000001</v>
      </c>
      <c r="D3391">
        <v>0.32</v>
      </c>
      <c r="E3391" s="29">
        <v>1.0416666669999999</v>
      </c>
      <c r="F3391">
        <v>8.81</v>
      </c>
      <c r="G3391">
        <v>0.27</v>
      </c>
      <c r="H3391">
        <v>9.08</v>
      </c>
      <c r="I3391" s="29">
        <v>0.97030000000000005</v>
      </c>
      <c r="J3391" s="29">
        <v>3.6699999999999997E-2</v>
      </c>
      <c r="K3391" s="9">
        <v>45378</v>
      </c>
      <c r="L3391">
        <f xml:space="preserve"> (交易處理資料__3[[#This Row],[售出工時]] * 60) / 5</f>
        <v>3.9999999960000006</v>
      </c>
      <c r="M3391" t="str">
        <f>VLOOKUP(交易處理資料__3[[#This Row],[人員代號]],團隊分組!$B$1:$C$52,2,FALSE)</f>
        <v>查修團隊A</v>
      </c>
      <c r="N3391" t="str">
        <f>IF(交易處理資料__3[[#This Row],[上班時間]]=0,"否","是")</f>
        <v>是</v>
      </c>
      <c r="O3391" t="s">
        <v>76</v>
      </c>
      <c r="P3391" s="38">
        <v>1.0416666669999999</v>
      </c>
      <c r="Q3391" s="38">
        <v>3.6699999999999997E-2</v>
      </c>
      <c r="R3391" s="38">
        <v>0.97030000000000005</v>
      </c>
    </row>
    <row r="3392" spans="1:18" hidden="1">
      <c r="A3392" t="s">
        <v>76</v>
      </c>
      <c r="B3392" t="s">
        <v>49</v>
      </c>
      <c r="C3392">
        <v>4.1966666669999997</v>
      </c>
      <c r="D3392">
        <v>4.1100000000000003</v>
      </c>
      <c r="E3392" s="29">
        <v>1.0210867800000001</v>
      </c>
      <c r="F3392">
        <v>7.72</v>
      </c>
      <c r="G3392">
        <v>0.06</v>
      </c>
      <c r="H3392">
        <v>7.78</v>
      </c>
      <c r="I3392" s="29">
        <v>0.99230000000000007</v>
      </c>
      <c r="J3392" s="29">
        <v>0.53939999999999999</v>
      </c>
      <c r="K3392" s="9">
        <v>45378</v>
      </c>
      <c r="L3392">
        <f xml:space="preserve"> (交易處理資料__3[[#This Row],[售出工時]] * 60) / 5</f>
        <v>50.360000003999993</v>
      </c>
      <c r="M3392" t="str">
        <f>VLOOKUP(交易處理資料__3[[#This Row],[人員代號]],團隊分組!$B$1:$C$52,2,FALSE)</f>
        <v>查修團隊A</v>
      </c>
      <c r="N3392" t="str">
        <f>IF(交易處理資料__3[[#This Row],[上班時間]]=0,"否","是")</f>
        <v>是</v>
      </c>
      <c r="O3392" t="s">
        <v>76</v>
      </c>
      <c r="P3392" s="37">
        <v>1.0210867800000001</v>
      </c>
      <c r="Q3392" s="37">
        <v>0.53939999999999999</v>
      </c>
      <c r="R3392" s="37">
        <v>0.99230000000000007</v>
      </c>
    </row>
    <row r="3393" spans="1:18" hidden="1">
      <c r="A3393" t="s">
        <v>76</v>
      </c>
      <c r="B3393" t="s">
        <v>52</v>
      </c>
      <c r="C3393">
        <v>4.6666666670000003</v>
      </c>
      <c r="D3393">
        <v>6.4</v>
      </c>
      <c r="E3393" s="29">
        <v>0.72916666669999997</v>
      </c>
      <c r="F3393">
        <v>7.28</v>
      </c>
      <c r="G3393">
        <v>0.81</v>
      </c>
      <c r="H3393">
        <v>8.09</v>
      </c>
      <c r="I3393" s="29">
        <v>0.89989999999999992</v>
      </c>
      <c r="J3393" s="29">
        <v>0.57679999999999998</v>
      </c>
      <c r="K3393" s="9">
        <v>45378</v>
      </c>
      <c r="L3393">
        <f xml:space="preserve"> (交易處理資料__3[[#This Row],[售出工時]] * 60) / 5</f>
        <v>56.000000004</v>
      </c>
      <c r="M3393" t="str">
        <f>VLOOKUP(交易處理資料__3[[#This Row],[人員代號]],團隊分組!$B$1:$C$52,2,FALSE)</f>
        <v>查修團隊B</v>
      </c>
      <c r="N3393" t="str">
        <f>IF(交易處理資料__3[[#This Row],[上班時間]]=0,"否","是")</f>
        <v>是</v>
      </c>
      <c r="O3393" t="s">
        <v>76</v>
      </c>
      <c r="P3393" s="38">
        <v>0.72916666669999997</v>
      </c>
      <c r="Q3393" s="38">
        <v>0.57679999999999998</v>
      </c>
      <c r="R3393" s="38">
        <v>0.89989999999999992</v>
      </c>
    </row>
    <row r="3394" spans="1:18" hidden="1">
      <c r="A3394" t="s">
        <v>76</v>
      </c>
      <c r="B3394" t="s">
        <v>53</v>
      </c>
      <c r="C3394">
        <v>5.0666666669999998</v>
      </c>
      <c r="D3394">
        <v>5.31</v>
      </c>
      <c r="E3394" s="29">
        <v>0.95417451349999993</v>
      </c>
      <c r="F3394">
        <v>8.7899999999999991</v>
      </c>
      <c r="G3394">
        <v>0.92</v>
      </c>
      <c r="H3394">
        <v>9.7100000000000009</v>
      </c>
      <c r="I3394" s="29">
        <v>0.90529999999999999</v>
      </c>
      <c r="J3394" s="29">
        <v>0.52180000000000004</v>
      </c>
      <c r="K3394" s="9">
        <v>45378</v>
      </c>
      <c r="L3394">
        <f xml:space="preserve"> (交易處理資料__3[[#This Row],[售出工時]] * 60) / 5</f>
        <v>60.800000004000005</v>
      </c>
      <c r="M3394" t="str">
        <f>VLOOKUP(交易處理資料__3[[#This Row],[人員代號]],團隊分組!$B$1:$C$52,2,FALSE)</f>
        <v>查修團隊A</v>
      </c>
      <c r="N3394" t="str">
        <f>IF(交易處理資料__3[[#This Row],[上班時間]]=0,"否","是")</f>
        <v>是</v>
      </c>
      <c r="O3394" t="s">
        <v>76</v>
      </c>
      <c r="P3394" s="37">
        <v>0.95417451349999993</v>
      </c>
      <c r="Q3394" s="37">
        <v>0.52180000000000004</v>
      </c>
      <c r="R3394" s="37">
        <v>0.90529999999999999</v>
      </c>
    </row>
    <row r="3395" spans="1:18" hidden="1">
      <c r="A3395" s="10" t="s">
        <v>74</v>
      </c>
      <c r="B3395" t="s">
        <v>2</v>
      </c>
      <c r="C3395">
        <v>1.03</v>
      </c>
      <c r="D3395">
        <v>4.37</v>
      </c>
      <c r="E3395" s="29">
        <v>0.23569794049999998</v>
      </c>
      <c r="F3395">
        <v>7.66</v>
      </c>
      <c r="G3395">
        <v>0.11</v>
      </c>
      <c r="H3395">
        <v>7.77</v>
      </c>
      <c r="I3395" s="29">
        <v>0.98580000000000001</v>
      </c>
      <c r="J3395" s="29">
        <v>0.1326</v>
      </c>
      <c r="K3395" s="9">
        <v>45379</v>
      </c>
      <c r="L3395">
        <f xml:space="preserve"> (交易處理資料__3[[#This Row],[售出工時]] * 60) / 5</f>
        <v>12.360000000000001</v>
      </c>
      <c r="M3395" t="str">
        <f>VLOOKUP(交易處理資料__3[[#This Row],[人員代號]],團隊分組!$B$1:$C$52,2,FALSE)</f>
        <v>噴漆維修組</v>
      </c>
      <c r="N3395" t="str">
        <f>IF(交易處理資料__3[[#This Row],[上班時間]]=0,"否","是")</f>
        <v>是</v>
      </c>
      <c r="O3395" s="10" t="s">
        <v>74</v>
      </c>
      <c r="P3395" s="38">
        <v>0.23569794049999998</v>
      </c>
      <c r="Q3395" s="38">
        <v>0.1326</v>
      </c>
      <c r="R3395" s="38">
        <v>0.98580000000000001</v>
      </c>
    </row>
    <row r="3396" spans="1:18" hidden="1">
      <c r="A3396" s="10" t="s">
        <v>74</v>
      </c>
      <c r="B3396" t="s">
        <v>3</v>
      </c>
      <c r="C3396">
        <v>1.03</v>
      </c>
      <c r="D3396">
        <v>4.3499999999999996</v>
      </c>
      <c r="E3396" s="29">
        <v>0.23678160919999999</v>
      </c>
      <c r="F3396">
        <v>7.66</v>
      </c>
      <c r="G3396">
        <v>0.11</v>
      </c>
      <c r="H3396">
        <v>7.77</v>
      </c>
      <c r="I3396" s="29">
        <v>0.98580000000000001</v>
      </c>
      <c r="J3396" s="29">
        <v>0.1326</v>
      </c>
      <c r="K3396" s="9">
        <v>45379</v>
      </c>
      <c r="L3396">
        <f xml:space="preserve"> (交易處理資料__3[[#This Row],[售出工時]] * 60) / 5</f>
        <v>12.360000000000001</v>
      </c>
      <c r="M3396" t="str">
        <f>VLOOKUP(交易處理資料__3[[#This Row],[人員代號]],團隊分組!$B$1:$C$52,2,FALSE)</f>
        <v>噴漆維修組</v>
      </c>
      <c r="N3396" t="str">
        <f>IF(交易處理資料__3[[#This Row],[上班時間]]=0,"否","是")</f>
        <v>是</v>
      </c>
      <c r="O3396" s="10" t="s">
        <v>74</v>
      </c>
      <c r="P3396" s="37">
        <v>0.23678160919999999</v>
      </c>
      <c r="Q3396" s="37">
        <v>0.1326</v>
      </c>
      <c r="R3396" s="37">
        <v>0.98580000000000001</v>
      </c>
    </row>
    <row r="3397" spans="1:18" hidden="1">
      <c r="A3397" s="10" t="s">
        <v>74</v>
      </c>
      <c r="B3397" t="s">
        <v>6</v>
      </c>
      <c r="C3397">
        <v>1.02</v>
      </c>
      <c r="D3397">
        <v>4.33</v>
      </c>
      <c r="E3397" s="29">
        <v>0.23556581990000003</v>
      </c>
      <c r="F3397">
        <v>7.68</v>
      </c>
      <c r="G3397">
        <v>0.1</v>
      </c>
      <c r="H3397">
        <v>7.78</v>
      </c>
      <c r="I3397" s="29">
        <v>0.98709999999999998</v>
      </c>
      <c r="J3397" s="29">
        <v>0.13109999999999999</v>
      </c>
      <c r="K3397" s="9">
        <v>45379</v>
      </c>
      <c r="L3397">
        <f xml:space="preserve"> (交易處理資料__3[[#This Row],[售出工時]] * 60) / 5</f>
        <v>12.24</v>
      </c>
      <c r="M3397" t="str">
        <f>VLOOKUP(交易處理資料__3[[#This Row],[人員代號]],團隊分組!$B$1:$C$52,2,FALSE)</f>
        <v>噴漆維修組</v>
      </c>
      <c r="N3397" t="str">
        <f>IF(交易處理資料__3[[#This Row],[上班時間]]=0,"否","是")</f>
        <v>是</v>
      </c>
      <c r="O3397" s="10" t="s">
        <v>74</v>
      </c>
      <c r="P3397" s="38">
        <v>0.23556581990000003</v>
      </c>
      <c r="Q3397" s="38">
        <v>0.13109999999999999</v>
      </c>
      <c r="R3397" s="38">
        <v>0.98709999999999998</v>
      </c>
    </row>
    <row r="3398" spans="1:18" hidden="1">
      <c r="A3398" s="10" t="s">
        <v>74</v>
      </c>
      <c r="B3398" t="s">
        <v>8</v>
      </c>
      <c r="C3398">
        <v>0</v>
      </c>
      <c r="D3398">
        <v>0</v>
      </c>
      <c r="E3398" s="29">
        <v>0</v>
      </c>
      <c r="F3398">
        <v>7.54</v>
      </c>
      <c r="G3398">
        <v>0.5</v>
      </c>
      <c r="H3398">
        <v>8.0399999999999991</v>
      </c>
      <c r="I3398" s="29">
        <v>0.93779999999999997</v>
      </c>
      <c r="J3398" s="29">
        <v>0</v>
      </c>
      <c r="K3398" s="9">
        <v>45379</v>
      </c>
      <c r="L3398">
        <f xml:space="preserve"> (交易處理資料__3[[#This Row],[售出工時]] * 60) / 5</f>
        <v>0</v>
      </c>
      <c r="M3398" t="str">
        <f>VLOOKUP(交易處理資料__3[[#This Row],[人員代號]],團隊分組!$B$1:$C$52,2,FALSE)</f>
        <v>噴漆維修組</v>
      </c>
      <c r="N3398" t="str">
        <f>IF(交易處理資料__3[[#This Row],[上班時間]]=0,"否","是")</f>
        <v>是</v>
      </c>
      <c r="O3398" s="10" t="s">
        <v>74</v>
      </c>
      <c r="P3398" s="37">
        <v>0</v>
      </c>
      <c r="Q3398" s="37">
        <v>0</v>
      </c>
      <c r="R3398" s="37">
        <v>0.93779999999999997</v>
      </c>
    </row>
    <row r="3399" spans="1:18" hidden="1">
      <c r="A3399" s="10" t="s">
        <v>74</v>
      </c>
      <c r="B3399" t="s">
        <v>9</v>
      </c>
      <c r="C3399">
        <v>0</v>
      </c>
      <c r="D3399">
        <v>0</v>
      </c>
      <c r="E3399" s="29">
        <v>0</v>
      </c>
      <c r="F3399">
        <v>9.83</v>
      </c>
      <c r="G3399">
        <v>0.73</v>
      </c>
      <c r="H3399">
        <v>10.56</v>
      </c>
      <c r="I3399" s="29">
        <v>0.93090000000000006</v>
      </c>
      <c r="J3399" s="29">
        <v>0</v>
      </c>
      <c r="K3399" s="9">
        <v>45379</v>
      </c>
      <c r="L3399">
        <f xml:space="preserve"> (交易處理資料__3[[#This Row],[售出工時]] * 60) / 5</f>
        <v>0</v>
      </c>
      <c r="M3399" t="str">
        <f>VLOOKUP(交易處理資料__3[[#This Row],[人員代號]],團隊分組!$B$1:$C$52,2,FALSE)</f>
        <v>噴漆維修組</v>
      </c>
      <c r="N3399" t="str">
        <f>IF(交易處理資料__3[[#This Row],[上班時間]]=0,"否","是")</f>
        <v>是</v>
      </c>
      <c r="O3399" s="10" t="s">
        <v>74</v>
      </c>
      <c r="P3399" s="38">
        <v>0</v>
      </c>
      <c r="Q3399" s="38">
        <v>0</v>
      </c>
      <c r="R3399" s="38">
        <v>0.93090000000000006</v>
      </c>
    </row>
    <row r="3400" spans="1:18" hidden="1">
      <c r="A3400" t="s">
        <v>75</v>
      </c>
      <c r="B3400" t="s">
        <v>11</v>
      </c>
      <c r="C3400">
        <v>6.8333333329999997</v>
      </c>
      <c r="D3400">
        <v>1.57</v>
      </c>
      <c r="E3400" s="29">
        <v>4.352441614</v>
      </c>
      <c r="F3400">
        <v>3.2</v>
      </c>
      <c r="G3400">
        <v>4.82</v>
      </c>
      <c r="H3400">
        <v>8.02</v>
      </c>
      <c r="I3400" s="29">
        <v>0.39899999999999997</v>
      </c>
      <c r="J3400" s="29">
        <v>0.85199999999999998</v>
      </c>
      <c r="K3400" s="9">
        <v>45379</v>
      </c>
      <c r="L3400">
        <f xml:space="preserve"> (交易處理資料__3[[#This Row],[售出工時]] * 60) / 5</f>
        <v>81.999999996</v>
      </c>
      <c r="M3400" t="str">
        <f>VLOOKUP(交易處理資料__3[[#This Row],[人員代號]],團隊分組!$B$1:$C$52,2,FALSE)</f>
        <v>鈑金維修組</v>
      </c>
      <c r="N3400" t="str">
        <f>IF(交易處理資料__3[[#This Row],[上班時間]]=0,"否","是")</f>
        <v>是</v>
      </c>
      <c r="O3400" t="s">
        <v>75</v>
      </c>
      <c r="P3400" s="37">
        <v>4.352441614</v>
      </c>
      <c r="Q3400" s="37">
        <v>0.85199999999999998</v>
      </c>
      <c r="R3400" s="37">
        <v>0.39899999999999997</v>
      </c>
    </row>
    <row r="3401" spans="1:18" hidden="1">
      <c r="A3401" t="s">
        <v>75</v>
      </c>
      <c r="B3401" t="s">
        <v>12</v>
      </c>
      <c r="C3401">
        <v>8.1666666669999994</v>
      </c>
      <c r="D3401">
        <v>4.5199999999999996</v>
      </c>
      <c r="E3401" s="29">
        <v>1.806784661</v>
      </c>
      <c r="F3401">
        <v>3.56</v>
      </c>
      <c r="G3401">
        <v>4.45</v>
      </c>
      <c r="H3401">
        <v>8.01</v>
      </c>
      <c r="I3401" s="29">
        <v>0.44439999999999996</v>
      </c>
      <c r="J3401" s="29">
        <v>1.0195999999999998</v>
      </c>
      <c r="K3401" s="9">
        <v>45379</v>
      </c>
      <c r="L3401">
        <f xml:space="preserve"> (交易處理資料__3[[#This Row],[售出工時]] * 60) / 5</f>
        <v>98.000000003999986</v>
      </c>
      <c r="M3401" t="str">
        <f>VLOOKUP(交易處理資料__3[[#This Row],[人員代號]],團隊分組!$B$1:$C$52,2,FALSE)</f>
        <v>鈑金維修組</v>
      </c>
      <c r="N3401" t="str">
        <f>IF(交易處理資料__3[[#This Row],[上班時間]]=0,"否","是")</f>
        <v>是</v>
      </c>
      <c r="O3401" t="s">
        <v>75</v>
      </c>
      <c r="P3401" s="38">
        <v>1.806784661</v>
      </c>
      <c r="Q3401" s="38">
        <v>1.0195999999999998</v>
      </c>
      <c r="R3401" s="38">
        <v>0.44439999999999996</v>
      </c>
    </row>
    <row r="3402" spans="1:18" hidden="1">
      <c r="A3402" t="s">
        <v>76</v>
      </c>
      <c r="B3402" t="s">
        <v>18</v>
      </c>
      <c r="C3402">
        <v>0</v>
      </c>
      <c r="D3402">
        <v>0</v>
      </c>
      <c r="E3402" s="29">
        <v>0</v>
      </c>
      <c r="F3402">
        <v>8.9</v>
      </c>
      <c r="G3402">
        <v>0.17</v>
      </c>
      <c r="H3402">
        <v>9.07</v>
      </c>
      <c r="I3402" s="29">
        <v>0.98129999999999995</v>
      </c>
      <c r="J3402" s="29">
        <v>0</v>
      </c>
      <c r="K3402" s="9">
        <v>45379</v>
      </c>
      <c r="L3402">
        <f xml:space="preserve"> (交易處理資料__3[[#This Row],[售出工時]] * 60) / 5</f>
        <v>0</v>
      </c>
      <c r="M3402" t="str">
        <f>VLOOKUP(交易處理資料__3[[#This Row],[人員代號]],團隊分組!$B$1:$C$52,2,FALSE)</f>
        <v>查修團隊B</v>
      </c>
      <c r="N3402" t="str">
        <f>IF(交易處理資料__3[[#This Row],[上班時間]]=0,"否","是")</f>
        <v>是</v>
      </c>
      <c r="O3402" t="s">
        <v>76</v>
      </c>
      <c r="P3402" s="37">
        <v>0</v>
      </c>
      <c r="Q3402" s="37">
        <v>0</v>
      </c>
      <c r="R3402" s="37">
        <v>0.98129999999999995</v>
      </c>
    </row>
    <row r="3403" spans="1:18" hidden="1">
      <c r="A3403" t="s">
        <v>76</v>
      </c>
      <c r="B3403" t="s">
        <v>20</v>
      </c>
      <c r="C3403">
        <v>0</v>
      </c>
      <c r="D3403">
        <v>0</v>
      </c>
      <c r="E3403" s="29">
        <v>0</v>
      </c>
      <c r="F3403">
        <v>0</v>
      </c>
      <c r="G3403">
        <v>9.2200000000000006</v>
      </c>
      <c r="H3403">
        <v>9.2200000000000006</v>
      </c>
      <c r="I3403" s="29">
        <v>0</v>
      </c>
      <c r="J3403" s="29">
        <v>0</v>
      </c>
      <c r="K3403" s="9">
        <v>45379</v>
      </c>
      <c r="L3403">
        <f xml:space="preserve"> (交易處理資料__3[[#This Row],[售出工時]] * 60) / 5</f>
        <v>0</v>
      </c>
      <c r="M3403" t="str">
        <f>VLOOKUP(交易處理資料__3[[#This Row],[人員代號]],團隊分組!$B$1:$C$52,2,FALSE)</f>
        <v>查修團隊B</v>
      </c>
      <c r="N3403" t="str">
        <f>IF(交易處理資料__3[[#This Row],[上班時間]]=0,"否","是")</f>
        <v>是</v>
      </c>
      <c r="O3403" t="s">
        <v>76</v>
      </c>
      <c r="P3403" s="38">
        <v>0</v>
      </c>
      <c r="Q3403" s="38">
        <v>0</v>
      </c>
      <c r="R3403" s="38">
        <v>0</v>
      </c>
    </row>
    <row r="3404" spans="1:18" hidden="1">
      <c r="A3404" t="s">
        <v>76</v>
      </c>
      <c r="B3404" t="s">
        <v>22</v>
      </c>
      <c r="C3404">
        <v>5.1366666670000001</v>
      </c>
      <c r="D3404">
        <v>5.61</v>
      </c>
      <c r="E3404" s="29">
        <v>0.9156268568</v>
      </c>
      <c r="F3404">
        <v>7.65</v>
      </c>
      <c r="G3404">
        <v>0.62</v>
      </c>
      <c r="H3404">
        <v>8.27</v>
      </c>
      <c r="I3404" s="29">
        <v>0.92500000000000004</v>
      </c>
      <c r="J3404" s="29">
        <v>0.62109999999999999</v>
      </c>
      <c r="K3404" s="9">
        <v>45379</v>
      </c>
      <c r="L3404">
        <f xml:space="preserve"> (交易處理資料__3[[#This Row],[售出工時]] * 60) / 5</f>
        <v>61.640000004000001</v>
      </c>
      <c r="M3404" t="str">
        <f>VLOOKUP(交易處理資料__3[[#This Row],[人員代號]],團隊分組!$B$1:$C$52,2,FALSE)</f>
        <v>快速保養團隊A</v>
      </c>
      <c r="N3404" t="str">
        <f>IF(交易處理資料__3[[#This Row],[上班時間]]=0,"否","是")</f>
        <v>是</v>
      </c>
      <c r="O3404" t="s">
        <v>76</v>
      </c>
      <c r="P3404" s="37">
        <v>0.9156268568</v>
      </c>
      <c r="Q3404" s="37">
        <v>0.62109999999999999</v>
      </c>
      <c r="R3404" s="37">
        <v>0.92500000000000004</v>
      </c>
    </row>
    <row r="3405" spans="1:18" hidden="1">
      <c r="A3405" t="s">
        <v>76</v>
      </c>
      <c r="B3405" t="s">
        <v>23</v>
      </c>
      <c r="C3405">
        <v>10.41666667</v>
      </c>
      <c r="D3405">
        <v>4.79</v>
      </c>
      <c r="E3405" s="29">
        <v>2.1746694500000001</v>
      </c>
      <c r="F3405">
        <v>6.59</v>
      </c>
      <c r="G3405">
        <v>1.71</v>
      </c>
      <c r="H3405">
        <v>8.3000000000000007</v>
      </c>
      <c r="I3405" s="29">
        <v>0.79400000000000004</v>
      </c>
      <c r="J3405" s="29">
        <v>1.2549999999999999</v>
      </c>
      <c r="K3405" s="9">
        <v>45379</v>
      </c>
      <c r="L3405">
        <f xml:space="preserve"> (交易處理資料__3[[#This Row],[售出工時]] * 60) / 5</f>
        <v>125.00000003999999</v>
      </c>
      <c r="M3405" t="str">
        <f>VLOOKUP(交易處理資料__3[[#This Row],[人員代號]],團隊分組!$B$1:$C$52,2,FALSE)</f>
        <v>快速保養團隊B</v>
      </c>
      <c r="N3405" t="str">
        <f>IF(交易處理資料__3[[#This Row],[上班時間]]=0,"否","是")</f>
        <v>是</v>
      </c>
      <c r="O3405" t="s">
        <v>76</v>
      </c>
      <c r="P3405" s="38">
        <v>2.1746694500000001</v>
      </c>
      <c r="Q3405" s="38">
        <v>1.2549999999999999</v>
      </c>
      <c r="R3405" s="38">
        <v>0.79400000000000004</v>
      </c>
    </row>
    <row r="3406" spans="1:18" hidden="1">
      <c r="A3406" t="s">
        <v>76</v>
      </c>
      <c r="B3406" t="s">
        <v>27</v>
      </c>
      <c r="C3406">
        <v>6.3433333330000004</v>
      </c>
      <c r="D3406">
        <v>5.18</v>
      </c>
      <c r="E3406" s="29">
        <v>1.224581725</v>
      </c>
      <c r="F3406">
        <v>7.64</v>
      </c>
      <c r="G3406">
        <v>0.13</v>
      </c>
      <c r="H3406">
        <v>7.77</v>
      </c>
      <c r="I3406" s="29">
        <v>0.98329999999999995</v>
      </c>
      <c r="J3406" s="29">
        <v>0.81640000000000001</v>
      </c>
      <c r="K3406" s="9">
        <v>45379</v>
      </c>
      <c r="L3406">
        <f xml:space="preserve"> (交易處理資料__3[[#This Row],[售出工時]] * 60) / 5</f>
        <v>76.119999996000004</v>
      </c>
      <c r="M3406" t="str">
        <f>VLOOKUP(交易處理資料__3[[#This Row],[人員代號]],團隊分組!$B$1:$C$52,2,FALSE)</f>
        <v>快速保養團隊B</v>
      </c>
      <c r="N3406" t="str">
        <f>IF(交易處理資料__3[[#This Row],[上班時間]]=0,"否","是")</f>
        <v>是</v>
      </c>
      <c r="O3406" t="s">
        <v>76</v>
      </c>
      <c r="P3406" s="37">
        <v>1.224581725</v>
      </c>
      <c r="Q3406" s="37">
        <v>0.81640000000000001</v>
      </c>
      <c r="R3406" s="37">
        <v>0.98329999999999995</v>
      </c>
    </row>
    <row r="3407" spans="1:18" hidden="1">
      <c r="A3407" t="s">
        <v>76</v>
      </c>
      <c r="B3407" t="s">
        <v>30</v>
      </c>
      <c r="C3407">
        <v>10.32</v>
      </c>
      <c r="D3407">
        <v>6.17</v>
      </c>
      <c r="E3407" s="29">
        <v>1.6726094</v>
      </c>
      <c r="F3407">
        <v>8.9499999999999993</v>
      </c>
      <c r="G3407">
        <v>0.63</v>
      </c>
      <c r="H3407">
        <v>9.58</v>
      </c>
      <c r="I3407" s="29">
        <v>0.93420000000000003</v>
      </c>
      <c r="J3407" s="29">
        <v>1.0771999999999999</v>
      </c>
      <c r="K3407" s="9">
        <v>45379</v>
      </c>
      <c r="L3407">
        <f xml:space="preserve"> (交易處理資料__3[[#This Row],[售出工時]] * 60) / 5</f>
        <v>123.84</v>
      </c>
      <c r="M3407" t="str">
        <f>VLOOKUP(交易處理資料__3[[#This Row],[人員代號]],團隊分組!$B$1:$C$52,2,FALSE)</f>
        <v>快速保養團隊B</v>
      </c>
      <c r="N3407" t="str">
        <f>IF(交易處理資料__3[[#This Row],[上班時間]]=0,"否","是")</f>
        <v>是</v>
      </c>
      <c r="O3407" t="s">
        <v>76</v>
      </c>
      <c r="P3407" s="38">
        <v>1.6726094</v>
      </c>
      <c r="Q3407" s="38">
        <v>1.0771999999999999</v>
      </c>
      <c r="R3407" s="38">
        <v>0.93420000000000003</v>
      </c>
    </row>
    <row r="3408" spans="1:18" hidden="1">
      <c r="A3408" t="s">
        <v>76</v>
      </c>
      <c r="B3408" t="s">
        <v>32</v>
      </c>
      <c r="C3408">
        <v>13.5</v>
      </c>
      <c r="D3408">
        <v>6.96</v>
      </c>
      <c r="E3408" s="29">
        <v>1.9396551719999999</v>
      </c>
      <c r="F3408">
        <v>7.59</v>
      </c>
      <c r="G3408">
        <v>0.35</v>
      </c>
      <c r="H3408">
        <v>7.94</v>
      </c>
      <c r="I3408" s="29">
        <v>0.95590000000000008</v>
      </c>
      <c r="J3408" s="29">
        <v>1.7002999999999999</v>
      </c>
      <c r="K3408" s="9">
        <v>45379</v>
      </c>
      <c r="L3408">
        <f xml:space="preserve"> (交易處理資料__3[[#This Row],[售出工時]] * 60) / 5</f>
        <v>162</v>
      </c>
      <c r="M3408" t="str">
        <f>VLOOKUP(交易處理資料__3[[#This Row],[人員代號]],團隊分組!$B$1:$C$52,2,FALSE)</f>
        <v>快速保養團隊B</v>
      </c>
      <c r="N3408" t="str">
        <f>IF(交易處理資料__3[[#This Row],[上班時間]]=0,"否","是")</f>
        <v>是</v>
      </c>
      <c r="O3408" t="s">
        <v>76</v>
      </c>
      <c r="P3408" s="37">
        <v>1.9396551719999999</v>
      </c>
      <c r="Q3408" s="37">
        <v>1.7002999999999999</v>
      </c>
      <c r="R3408" s="37">
        <v>0.95590000000000008</v>
      </c>
    </row>
    <row r="3409" spans="1:18" hidden="1">
      <c r="A3409" t="s">
        <v>76</v>
      </c>
      <c r="B3409" t="s">
        <v>33</v>
      </c>
      <c r="C3409">
        <v>0</v>
      </c>
      <c r="D3409">
        <v>0</v>
      </c>
      <c r="E3409" s="29">
        <v>0</v>
      </c>
      <c r="F3409">
        <v>5.77</v>
      </c>
      <c r="G3409">
        <v>1.1599999999999999</v>
      </c>
      <c r="H3409">
        <v>6.93</v>
      </c>
      <c r="I3409" s="29">
        <v>0.83260000000000001</v>
      </c>
      <c r="J3409" s="29">
        <v>0</v>
      </c>
      <c r="K3409" s="9">
        <v>45379</v>
      </c>
      <c r="L3409">
        <f xml:space="preserve"> (交易處理資料__3[[#This Row],[售出工時]] * 60) / 5</f>
        <v>0</v>
      </c>
      <c r="M3409" t="str">
        <f>VLOOKUP(交易處理資料__3[[#This Row],[人員代號]],團隊分組!$B$1:$C$52,2,FALSE)</f>
        <v>快速保養團隊B</v>
      </c>
      <c r="N3409" t="str">
        <f>IF(交易處理資料__3[[#This Row],[上班時間]]=0,"否","是")</f>
        <v>是</v>
      </c>
      <c r="O3409" t="s">
        <v>76</v>
      </c>
      <c r="P3409" s="38">
        <v>0</v>
      </c>
      <c r="Q3409" s="38">
        <v>0</v>
      </c>
      <c r="R3409" s="38">
        <v>0.83260000000000001</v>
      </c>
    </row>
    <row r="3410" spans="1:18" hidden="1">
      <c r="A3410" t="s">
        <v>76</v>
      </c>
      <c r="B3410" t="s">
        <v>36</v>
      </c>
      <c r="C3410">
        <v>5.5733333329999999</v>
      </c>
      <c r="D3410">
        <v>6.78</v>
      </c>
      <c r="E3410" s="29">
        <v>0.82202556540000005</v>
      </c>
      <c r="F3410">
        <v>6.78</v>
      </c>
      <c r="G3410">
        <v>1.95</v>
      </c>
      <c r="H3410">
        <v>8.73</v>
      </c>
      <c r="I3410" s="29">
        <v>0.77659999999999996</v>
      </c>
      <c r="J3410" s="29">
        <v>0.63840000000000008</v>
      </c>
      <c r="K3410" s="9">
        <v>45379</v>
      </c>
      <c r="L3410">
        <f xml:space="preserve"> (交易處理資料__3[[#This Row],[售出工時]] * 60) / 5</f>
        <v>66.879999996000009</v>
      </c>
      <c r="M3410" t="str">
        <f>VLOOKUP(交易處理資料__3[[#This Row],[人員代號]],團隊分組!$B$1:$C$52,2,FALSE)</f>
        <v>查修團隊B</v>
      </c>
      <c r="N3410" t="str">
        <f>IF(交易處理資料__3[[#This Row],[上班時間]]=0,"否","是")</f>
        <v>是</v>
      </c>
      <c r="O3410" t="s">
        <v>76</v>
      </c>
      <c r="P3410" s="37">
        <v>0.82202556540000005</v>
      </c>
      <c r="Q3410" s="37">
        <v>0.63840000000000008</v>
      </c>
      <c r="R3410" s="37">
        <v>0.77659999999999996</v>
      </c>
    </row>
    <row r="3411" spans="1:18" hidden="1">
      <c r="A3411" t="s">
        <v>76</v>
      </c>
      <c r="B3411" t="s">
        <v>37</v>
      </c>
      <c r="C3411">
        <v>3.8333333330000001</v>
      </c>
      <c r="D3411">
        <v>5.2</v>
      </c>
      <c r="E3411" s="29">
        <v>0.73717948719999993</v>
      </c>
      <c r="F3411">
        <v>9.15</v>
      </c>
      <c r="G3411">
        <v>0.22</v>
      </c>
      <c r="H3411">
        <v>9.3699999999999992</v>
      </c>
      <c r="I3411" s="29">
        <v>0.97650000000000003</v>
      </c>
      <c r="J3411" s="29">
        <v>0.40909999999999996</v>
      </c>
      <c r="K3411" s="9">
        <v>45379</v>
      </c>
      <c r="L3411">
        <f xml:space="preserve"> (交易處理資料__3[[#This Row],[售出工時]] * 60) / 5</f>
        <v>45.999999996</v>
      </c>
      <c r="M3411" t="str">
        <f>VLOOKUP(交易處理資料__3[[#This Row],[人員代號]],團隊分組!$B$1:$C$52,2,FALSE)</f>
        <v>查修團隊A</v>
      </c>
      <c r="N3411" t="str">
        <f>IF(交易處理資料__3[[#This Row],[上班時間]]=0,"否","是")</f>
        <v>是</v>
      </c>
      <c r="O3411" t="s">
        <v>76</v>
      </c>
      <c r="P3411" s="38">
        <v>0.73717948719999993</v>
      </c>
      <c r="Q3411" s="38">
        <v>0.40909999999999996</v>
      </c>
      <c r="R3411" s="38">
        <v>0.97650000000000003</v>
      </c>
    </row>
    <row r="3412" spans="1:18" hidden="1">
      <c r="A3412" t="s">
        <v>76</v>
      </c>
      <c r="B3412" t="s">
        <v>38</v>
      </c>
      <c r="C3412">
        <v>23.213333330000001</v>
      </c>
      <c r="D3412">
        <v>9.08</v>
      </c>
      <c r="E3412" s="29">
        <v>2.5565345079999999</v>
      </c>
      <c r="F3412">
        <v>9.0299999999999994</v>
      </c>
      <c r="G3412">
        <v>0.26</v>
      </c>
      <c r="H3412">
        <v>9.2899999999999991</v>
      </c>
      <c r="I3412" s="29">
        <v>0.97199999999999998</v>
      </c>
      <c r="J3412" s="29">
        <v>2.4986999999999999</v>
      </c>
      <c r="K3412" s="9">
        <v>45379</v>
      </c>
      <c r="L3412">
        <f xml:space="preserve"> (交易處理資料__3[[#This Row],[售出工時]] * 60) / 5</f>
        <v>278.55999996000003</v>
      </c>
      <c r="M3412" t="str">
        <f>VLOOKUP(交易處理資料__3[[#This Row],[人員代號]],團隊分組!$B$1:$C$52,2,FALSE)</f>
        <v>快速保養團隊A</v>
      </c>
      <c r="N3412" t="str">
        <f>IF(交易處理資料__3[[#This Row],[上班時間]]=0,"否","是")</f>
        <v>是</v>
      </c>
      <c r="O3412" t="s">
        <v>76</v>
      </c>
      <c r="P3412" s="37">
        <v>2.5565345079999999</v>
      </c>
      <c r="Q3412" s="37">
        <v>2.4986999999999999</v>
      </c>
      <c r="R3412" s="37">
        <v>0.97199999999999998</v>
      </c>
    </row>
    <row r="3413" spans="1:18" hidden="1">
      <c r="A3413" t="s">
        <v>76</v>
      </c>
      <c r="B3413" t="s">
        <v>39</v>
      </c>
      <c r="C3413">
        <v>0</v>
      </c>
      <c r="D3413">
        <v>0</v>
      </c>
      <c r="E3413" s="29">
        <v>0</v>
      </c>
      <c r="F3413">
        <v>8.9</v>
      </c>
      <c r="G3413">
        <v>0.97</v>
      </c>
      <c r="H3413">
        <v>9.8699999999999992</v>
      </c>
      <c r="I3413" s="29">
        <v>0.90170000000000006</v>
      </c>
      <c r="J3413" s="29">
        <v>0</v>
      </c>
      <c r="K3413" s="9">
        <v>45379</v>
      </c>
      <c r="L3413">
        <f xml:space="preserve"> (交易處理資料__3[[#This Row],[售出工時]] * 60) / 5</f>
        <v>0</v>
      </c>
      <c r="M3413" t="str">
        <f>VLOOKUP(交易處理資料__3[[#This Row],[人員代號]],團隊分組!$B$1:$C$52,2,FALSE)</f>
        <v>查修團隊A</v>
      </c>
      <c r="N3413" t="str">
        <f>IF(交易處理資料__3[[#This Row],[上班時間]]=0,"否","是")</f>
        <v>是</v>
      </c>
      <c r="O3413" t="s">
        <v>76</v>
      </c>
      <c r="P3413" s="38">
        <v>0</v>
      </c>
      <c r="Q3413" s="38">
        <v>0</v>
      </c>
      <c r="R3413" s="38">
        <v>0.90170000000000006</v>
      </c>
    </row>
    <row r="3414" spans="1:18" hidden="1">
      <c r="A3414" t="s">
        <v>76</v>
      </c>
      <c r="B3414" t="s">
        <v>47</v>
      </c>
      <c r="C3414">
        <v>1.9166666670000001</v>
      </c>
      <c r="D3414">
        <v>7.51</v>
      </c>
      <c r="E3414" s="29">
        <v>0.25521526849999998</v>
      </c>
      <c r="F3414">
        <v>7.39</v>
      </c>
      <c r="G3414">
        <v>0.81</v>
      </c>
      <c r="H3414">
        <v>8.1999999999999993</v>
      </c>
      <c r="I3414" s="29">
        <v>0.9012</v>
      </c>
      <c r="J3414" s="29">
        <v>0.23370000000000002</v>
      </c>
      <c r="K3414" s="9">
        <v>45379</v>
      </c>
      <c r="L3414">
        <f xml:space="preserve"> (交易處理資料__3[[#This Row],[售出工時]] * 60) / 5</f>
        <v>23.000000004</v>
      </c>
      <c r="M3414" t="str">
        <f>VLOOKUP(交易處理資料__3[[#This Row],[人員代號]],團隊分組!$B$1:$C$52,2,FALSE)</f>
        <v>查修團隊B</v>
      </c>
      <c r="N3414" t="str">
        <f>IF(交易處理資料__3[[#This Row],[上班時間]]=0,"否","是")</f>
        <v>是</v>
      </c>
      <c r="O3414" t="s">
        <v>76</v>
      </c>
      <c r="P3414" s="37">
        <v>0.25521526849999998</v>
      </c>
      <c r="Q3414" s="37">
        <v>0.23370000000000002</v>
      </c>
      <c r="R3414" s="37">
        <v>0.9012</v>
      </c>
    </row>
    <row r="3415" spans="1:18" hidden="1">
      <c r="A3415" t="s">
        <v>76</v>
      </c>
      <c r="B3415" t="s">
        <v>51</v>
      </c>
      <c r="C3415">
        <v>0</v>
      </c>
      <c r="D3415">
        <v>0</v>
      </c>
      <c r="E3415" s="29">
        <v>0</v>
      </c>
      <c r="F3415">
        <v>0</v>
      </c>
      <c r="G3415">
        <v>0</v>
      </c>
      <c r="H3415">
        <v>0</v>
      </c>
      <c r="I3415" s="29">
        <v>0</v>
      </c>
      <c r="J3415" s="29">
        <v>0</v>
      </c>
      <c r="K3415" s="9">
        <v>45379</v>
      </c>
      <c r="L3415">
        <f xml:space="preserve"> (交易處理資料__3[[#This Row],[售出工時]] * 60) / 5</f>
        <v>0</v>
      </c>
      <c r="M3415" t="str">
        <f>VLOOKUP(交易處理資料__3[[#This Row],[人員代號]],團隊分組!$B$1:$C$52,2,FALSE)</f>
        <v>無效數據</v>
      </c>
      <c r="N3415" t="str">
        <f>IF(交易處理資料__3[[#This Row],[上班時間]]=0,"否","是")</f>
        <v>否</v>
      </c>
      <c r="O3415" t="s">
        <v>76</v>
      </c>
      <c r="P3415" s="38">
        <v>0</v>
      </c>
      <c r="Q3415" s="38">
        <v>0</v>
      </c>
      <c r="R3415" s="38">
        <v>0</v>
      </c>
    </row>
    <row r="3416" spans="1:18" hidden="1">
      <c r="A3416" t="s">
        <v>76</v>
      </c>
      <c r="B3416" t="s">
        <v>52</v>
      </c>
      <c r="C3416">
        <v>3.6666666669999999</v>
      </c>
      <c r="D3416">
        <v>5.64</v>
      </c>
      <c r="E3416" s="29">
        <v>0.65011820330000003</v>
      </c>
      <c r="F3416">
        <v>6.52</v>
      </c>
      <c r="G3416">
        <v>1.64</v>
      </c>
      <c r="H3416">
        <v>8.16</v>
      </c>
      <c r="I3416" s="29">
        <v>0.79900000000000004</v>
      </c>
      <c r="J3416" s="29">
        <v>0.44929999999999998</v>
      </c>
      <c r="K3416" s="9">
        <v>45379</v>
      </c>
      <c r="L3416">
        <f xml:space="preserve"> (交易處理資料__3[[#This Row],[售出工時]] * 60) / 5</f>
        <v>44.000000004</v>
      </c>
      <c r="M3416" t="str">
        <f>VLOOKUP(交易處理資料__3[[#This Row],[人員代號]],團隊分組!$B$1:$C$52,2,FALSE)</f>
        <v>查修團隊B</v>
      </c>
      <c r="N3416" t="str">
        <f>IF(交易處理資料__3[[#This Row],[上班時間]]=0,"否","是")</f>
        <v>是</v>
      </c>
      <c r="O3416" t="s">
        <v>76</v>
      </c>
      <c r="P3416" s="37">
        <v>0.65011820330000003</v>
      </c>
      <c r="Q3416" s="37">
        <v>0.44929999999999998</v>
      </c>
      <c r="R3416" s="37">
        <v>0.79900000000000004</v>
      </c>
    </row>
    <row r="3417" spans="1:18" hidden="1">
      <c r="A3417" s="10" t="s">
        <v>74</v>
      </c>
      <c r="B3417" t="s">
        <v>3</v>
      </c>
      <c r="C3417">
        <v>1.59</v>
      </c>
      <c r="D3417">
        <v>5.53</v>
      </c>
      <c r="E3417" s="29">
        <v>0.28752260400000001</v>
      </c>
      <c r="F3417">
        <v>7.83</v>
      </c>
      <c r="G3417">
        <v>0.2</v>
      </c>
      <c r="H3417">
        <v>8.0299999999999994</v>
      </c>
      <c r="I3417" s="29">
        <v>0.97510000000000008</v>
      </c>
      <c r="J3417" s="29">
        <v>0.19800000000000001</v>
      </c>
      <c r="K3417" s="9">
        <v>45380</v>
      </c>
      <c r="L3417">
        <f xml:space="preserve"> (交易處理資料__3[[#This Row],[售出工時]] * 60) / 5</f>
        <v>19.080000000000002</v>
      </c>
      <c r="M3417" t="str">
        <f>VLOOKUP(交易處理資料__3[[#This Row],[人員代號]],團隊分組!$B$1:$C$52,2,FALSE)</f>
        <v>噴漆維修組</v>
      </c>
      <c r="N3417" t="str">
        <f>IF(交易處理資料__3[[#This Row],[上班時間]]=0,"否","是")</f>
        <v>是</v>
      </c>
      <c r="O3417" s="10" t="s">
        <v>74</v>
      </c>
      <c r="P3417" s="38">
        <v>0.28752260400000001</v>
      </c>
      <c r="Q3417" s="38">
        <v>0.19800000000000001</v>
      </c>
      <c r="R3417" s="38">
        <v>0.97510000000000008</v>
      </c>
    </row>
    <row r="3418" spans="1:18" hidden="1">
      <c r="A3418" s="10" t="s">
        <v>74</v>
      </c>
      <c r="B3418" t="s">
        <v>6</v>
      </c>
      <c r="C3418">
        <v>2.74</v>
      </c>
      <c r="D3418">
        <v>7.19</v>
      </c>
      <c r="E3418" s="29">
        <v>0.38108484009999999</v>
      </c>
      <c r="F3418">
        <v>7.85</v>
      </c>
      <c r="G3418">
        <v>0.19</v>
      </c>
      <c r="H3418">
        <v>8.0399999999999991</v>
      </c>
      <c r="I3418" s="29">
        <v>0.97640000000000005</v>
      </c>
      <c r="J3418" s="29">
        <v>0.34079999999999999</v>
      </c>
      <c r="K3418" s="9">
        <v>45380</v>
      </c>
      <c r="L3418">
        <f xml:space="preserve"> (交易處理資料__3[[#This Row],[售出工時]] * 60) / 5</f>
        <v>32.880000000000003</v>
      </c>
      <c r="M3418" t="str">
        <f>VLOOKUP(交易處理資料__3[[#This Row],[人員代號]],團隊分組!$B$1:$C$52,2,FALSE)</f>
        <v>噴漆維修組</v>
      </c>
      <c r="N3418" t="str">
        <f>IF(交易處理資料__3[[#This Row],[上班時間]]=0,"否","是")</f>
        <v>是</v>
      </c>
      <c r="O3418" s="10" t="s">
        <v>74</v>
      </c>
      <c r="P3418" s="37">
        <v>0.38108484009999999</v>
      </c>
      <c r="Q3418" s="37">
        <v>0.34079999999999999</v>
      </c>
      <c r="R3418" s="37">
        <v>0.97640000000000005</v>
      </c>
    </row>
    <row r="3419" spans="1:18" hidden="1">
      <c r="A3419" s="10" t="s">
        <v>74</v>
      </c>
      <c r="B3419" t="s">
        <v>8</v>
      </c>
      <c r="C3419">
        <v>0</v>
      </c>
      <c r="D3419">
        <v>0</v>
      </c>
      <c r="E3419" s="29">
        <v>0</v>
      </c>
      <c r="F3419">
        <v>7.57</v>
      </c>
      <c r="G3419">
        <v>0.48</v>
      </c>
      <c r="H3419">
        <v>8.0500000000000007</v>
      </c>
      <c r="I3419" s="29">
        <v>0.94040000000000001</v>
      </c>
      <c r="J3419" s="29">
        <v>0</v>
      </c>
      <c r="K3419" s="9">
        <v>45380</v>
      </c>
      <c r="L3419">
        <f xml:space="preserve"> (交易處理資料__3[[#This Row],[售出工時]] * 60) / 5</f>
        <v>0</v>
      </c>
      <c r="M3419" t="str">
        <f>VLOOKUP(交易處理資料__3[[#This Row],[人員代號]],團隊分組!$B$1:$C$52,2,FALSE)</f>
        <v>噴漆維修組</v>
      </c>
      <c r="N3419" t="str">
        <f>IF(交易處理資料__3[[#This Row],[上班時間]]=0,"否","是")</f>
        <v>是</v>
      </c>
      <c r="O3419" s="10" t="s">
        <v>74</v>
      </c>
      <c r="P3419" s="38">
        <v>0</v>
      </c>
      <c r="Q3419" s="38">
        <v>0</v>
      </c>
      <c r="R3419" s="38">
        <v>0.94040000000000001</v>
      </c>
    </row>
    <row r="3420" spans="1:18" hidden="1">
      <c r="A3420" t="s">
        <v>75</v>
      </c>
      <c r="B3420" t="s">
        <v>11</v>
      </c>
      <c r="C3420">
        <v>8.0833333330000006</v>
      </c>
      <c r="D3420">
        <v>1.6</v>
      </c>
      <c r="E3420" s="29">
        <v>5.0520833329999997</v>
      </c>
      <c r="F3420">
        <v>4.05</v>
      </c>
      <c r="G3420">
        <v>4.07</v>
      </c>
      <c r="H3420">
        <v>8.1199999999999992</v>
      </c>
      <c r="I3420" s="29">
        <v>0.49880000000000002</v>
      </c>
      <c r="J3420" s="29">
        <v>0.99549999999999994</v>
      </c>
      <c r="K3420" s="9">
        <v>45380</v>
      </c>
      <c r="L3420">
        <f xml:space="preserve"> (交易處理資料__3[[#This Row],[售出工時]] * 60) / 5</f>
        <v>96.999999996000014</v>
      </c>
      <c r="M3420" t="str">
        <f>VLOOKUP(交易處理資料__3[[#This Row],[人員代號]],團隊分組!$B$1:$C$52,2,FALSE)</f>
        <v>鈑金維修組</v>
      </c>
      <c r="N3420" t="str">
        <f>IF(交易處理資料__3[[#This Row],[上班時間]]=0,"否","是")</f>
        <v>是</v>
      </c>
      <c r="O3420" t="s">
        <v>75</v>
      </c>
      <c r="P3420" s="37">
        <v>5.0520833329999997</v>
      </c>
      <c r="Q3420" s="37">
        <v>0.99549999999999994</v>
      </c>
      <c r="R3420" s="37">
        <v>0.49880000000000002</v>
      </c>
    </row>
    <row r="3421" spans="1:18" hidden="1">
      <c r="A3421" t="s">
        <v>75</v>
      </c>
      <c r="B3421" t="s">
        <v>14</v>
      </c>
      <c r="C3421">
        <v>2.96</v>
      </c>
      <c r="D3421">
        <v>7.67</v>
      </c>
      <c r="E3421" s="29">
        <v>0.3859191656</v>
      </c>
      <c r="F3421">
        <v>7.95</v>
      </c>
      <c r="G3421">
        <v>0.21</v>
      </c>
      <c r="H3421">
        <v>8.16</v>
      </c>
      <c r="I3421" s="29">
        <v>0.97430000000000005</v>
      </c>
      <c r="J3421" s="29">
        <v>0.36270000000000002</v>
      </c>
      <c r="K3421" s="9">
        <v>45380</v>
      </c>
      <c r="L3421">
        <f xml:space="preserve"> (交易處理資料__3[[#This Row],[售出工時]] * 60) / 5</f>
        <v>35.519999999999996</v>
      </c>
      <c r="M3421" t="str">
        <f>VLOOKUP(交易處理資料__3[[#This Row],[人員代號]],團隊分組!$B$1:$C$52,2,FALSE)</f>
        <v>鈑金維修組</v>
      </c>
      <c r="N3421" t="str">
        <f>IF(交易處理資料__3[[#This Row],[上班時間]]=0,"否","是")</f>
        <v>是</v>
      </c>
      <c r="O3421" t="s">
        <v>75</v>
      </c>
      <c r="P3421" s="38">
        <v>0.3859191656</v>
      </c>
      <c r="Q3421" s="38">
        <v>0.36270000000000002</v>
      </c>
      <c r="R3421" s="38">
        <v>0.97430000000000005</v>
      </c>
    </row>
    <row r="3422" spans="1:18" hidden="1">
      <c r="A3422" t="s">
        <v>76</v>
      </c>
      <c r="B3422" t="s">
        <v>18</v>
      </c>
      <c r="C3422">
        <v>1.3333333329999999</v>
      </c>
      <c r="D3422">
        <v>2.56</v>
      </c>
      <c r="E3422" s="29">
        <v>0.52083333330000003</v>
      </c>
      <c r="F3422">
        <v>7.46</v>
      </c>
      <c r="G3422">
        <v>0.7</v>
      </c>
      <c r="H3422">
        <v>8.16</v>
      </c>
      <c r="I3422" s="29">
        <v>0.91420000000000001</v>
      </c>
      <c r="J3422" s="29">
        <v>0.16339999999999999</v>
      </c>
      <c r="K3422" s="9">
        <v>45380</v>
      </c>
      <c r="L3422">
        <f xml:space="preserve"> (交易處理資料__3[[#This Row],[售出工時]] * 60) / 5</f>
        <v>15.999999996</v>
      </c>
      <c r="M3422" t="str">
        <f>VLOOKUP(交易處理資料__3[[#This Row],[人員代號]],團隊分組!$B$1:$C$52,2,FALSE)</f>
        <v>查修團隊B</v>
      </c>
      <c r="N3422" t="str">
        <f>IF(交易處理資料__3[[#This Row],[上班時間]]=0,"否","是")</f>
        <v>是</v>
      </c>
      <c r="O3422" t="s">
        <v>76</v>
      </c>
      <c r="P3422" s="37">
        <v>0.52083333330000003</v>
      </c>
      <c r="Q3422" s="37">
        <v>0.16339999999999999</v>
      </c>
      <c r="R3422" s="37">
        <v>0.91420000000000001</v>
      </c>
    </row>
    <row r="3423" spans="1:18" hidden="1">
      <c r="A3423" t="s">
        <v>76</v>
      </c>
      <c r="B3423" t="s">
        <v>19</v>
      </c>
      <c r="C3423">
        <v>2.13</v>
      </c>
      <c r="D3423">
        <v>3.7</v>
      </c>
      <c r="E3423" s="29">
        <v>0.5756756757</v>
      </c>
      <c r="F3423">
        <v>6.88</v>
      </c>
      <c r="G3423">
        <v>1.19</v>
      </c>
      <c r="H3423">
        <v>8.07</v>
      </c>
      <c r="I3423" s="29">
        <v>0.85250000000000004</v>
      </c>
      <c r="J3423" s="29">
        <v>0.26390000000000002</v>
      </c>
      <c r="K3423" s="9">
        <v>45380</v>
      </c>
      <c r="L3423">
        <f xml:space="preserve"> (交易處理資料__3[[#This Row],[售出工時]] * 60) / 5</f>
        <v>25.56</v>
      </c>
      <c r="M3423" t="str">
        <f>VLOOKUP(交易處理資料__3[[#This Row],[人員代號]],團隊分組!$B$1:$C$52,2,FALSE)</f>
        <v>查修團隊A</v>
      </c>
      <c r="N3423" t="str">
        <f>IF(交易處理資料__3[[#This Row],[上班時間]]=0,"否","是")</f>
        <v>是</v>
      </c>
      <c r="O3423" t="s">
        <v>76</v>
      </c>
      <c r="P3423" s="38">
        <v>0.5756756757</v>
      </c>
      <c r="Q3423" s="38">
        <v>0.26390000000000002</v>
      </c>
      <c r="R3423" s="38">
        <v>0.85250000000000004</v>
      </c>
    </row>
    <row r="3424" spans="1:18" hidden="1">
      <c r="A3424" t="s">
        <v>76</v>
      </c>
      <c r="B3424" t="s">
        <v>20</v>
      </c>
      <c r="C3424">
        <v>0</v>
      </c>
      <c r="D3424">
        <v>0</v>
      </c>
      <c r="E3424" s="29">
        <v>0</v>
      </c>
      <c r="F3424">
        <v>1.53</v>
      </c>
      <c r="G3424">
        <v>6.63</v>
      </c>
      <c r="H3424">
        <v>8.16</v>
      </c>
      <c r="I3424" s="29">
        <v>0.1875</v>
      </c>
      <c r="J3424" s="29">
        <v>0</v>
      </c>
      <c r="K3424" s="9">
        <v>45380</v>
      </c>
      <c r="L3424">
        <f xml:space="preserve"> (交易處理資料__3[[#This Row],[售出工時]] * 60) / 5</f>
        <v>0</v>
      </c>
      <c r="M3424" t="str">
        <f>VLOOKUP(交易處理資料__3[[#This Row],[人員代號]],團隊分組!$B$1:$C$52,2,FALSE)</f>
        <v>查修團隊B</v>
      </c>
      <c r="N3424" t="str">
        <f>IF(交易處理資料__3[[#This Row],[上班時間]]=0,"否","是")</f>
        <v>是</v>
      </c>
      <c r="O3424" t="s">
        <v>76</v>
      </c>
      <c r="P3424" s="37">
        <v>0</v>
      </c>
      <c r="Q3424" s="37">
        <v>0</v>
      </c>
      <c r="R3424" s="37">
        <v>0.1875</v>
      </c>
    </row>
    <row r="3425" spans="1:18" hidden="1">
      <c r="A3425" t="s">
        <v>76</v>
      </c>
      <c r="B3425" t="s">
        <v>21</v>
      </c>
      <c r="C3425">
        <v>5.3333333329999997</v>
      </c>
      <c r="D3425">
        <v>5.79</v>
      </c>
      <c r="E3425" s="29">
        <v>0.92112838229999994</v>
      </c>
      <c r="F3425">
        <v>7.98</v>
      </c>
      <c r="G3425">
        <v>2.2200000000000002</v>
      </c>
      <c r="H3425">
        <v>10.199999999999999</v>
      </c>
      <c r="I3425" s="29">
        <v>0.78239999999999998</v>
      </c>
      <c r="J3425" s="29">
        <v>0.52290000000000003</v>
      </c>
      <c r="K3425" s="9">
        <v>45380</v>
      </c>
      <c r="L3425">
        <f xml:space="preserve"> (交易處理資料__3[[#This Row],[售出工時]] * 60) / 5</f>
        <v>63.999999996</v>
      </c>
      <c r="M3425" t="str">
        <f>VLOOKUP(交易處理資料__3[[#This Row],[人員代號]],團隊分組!$B$1:$C$52,2,FALSE)</f>
        <v>查修團隊B</v>
      </c>
      <c r="N3425" t="str">
        <f>IF(交易處理資料__3[[#This Row],[上班時間]]=0,"否","是")</f>
        <v>是</v>
      </c>
      <c r="O3425" t="s">
        <v>76</v>
      </c>
      <c r="P3425" s="38">
        <v>0.92112838229999994</v>
      </c>
      <c r="Q3425" s="38">
        <v>0.52290000000000003</v>
      </c>
      <c r="R3425" s="38">
        <v>0.78239999999999998</v>
      </c>
    </row>
    <row r="3426" spans="1:18" hidden="1">
      <c r="A3426" t="s">
        <v>76</v>
      </c>
      <c r="B3426" t="s">
        <v>24</v>
      </c>
      <c r="C3426">
        <v>16.323333330000001</v>
      </c>
      <c r="D3426">
        <v>6.98</v>
      </c>
      <c r="E3426" s="29">
        <v>2.338586437</v>
      </c>
      <c r="F3426">
        <v>6.23</v>
      </c>
      <c r="G3426">
        <v>1.75</v>
      </c>
      <c r="H3426">
        <v>7.98</v>
      </c>
      <c r="I3426" s="29">
        <v>0.78069999999999995</v>
      </c>
      <c r="J3426" s="29">
        <v>2.0455000000000001</v>
      </c>
      <c r="K3426" s="9">
        <v>45380</v>
      </c>
      <c r="L3426">
        <f xml:space="preserve"> (交易處理資料__3[[#This Row],[售出工時]] * 60) / 5</f>
        <v>195.87999996000002</v>
      </c>
      <c r="M3426" t="str">
        <f>VLOOKUP(交易處理資料__3[[#This Row],[人員代號]],團隊分組!$B$1:$C$52,2,FALSE)</f>
        <v>快速保養團隊A</v>
      </c>
      <c r="N3426" t="str">
        <f>IF(交易處理資料__3[[#This Row],[上班時間]]=0,"否","是")</f>
        <v>是</v>
      </c>
      <c r="O3426" t="s">
        <v>76</v>
      </c>
      <c r="P3426" s="37">
        <v>2.338586437</v>
      </c>
      <c r="Q3426" s="37">
        <v>2.0455000000000001</v>
      </c>
      <c r="R3426" s="37">
        <v>0.78069999999999995</v>
      </c>
    </row>
    <row r="3427" spans="1:18" hidden="1">
      <c r="A3427" t="s">
        <v>76</v>
      </c>
      <c r="B3427" t="s">
        <v>25</v>
      </c>
      <c r="C3427">
        <v>3.5833333330000001</v>
      </c>
      <c r="D3427">
        <v>5.8</v>
      </c>
      <c r="E3427" s="29">
        <v>0.61781609199999998</v>
      </c>
      <c r="F3427">
        <v>6.23</v>
      </c>
      <c r="G3427">
        <v>1.84</v>
      </c>
      <c r="H3427">
        <v>8.07</v>
      </c>
      <c r="I3427" s="29">
        <v>0.77200000000000002</v>
      </c>
      <c r="J3427" s="29">
        <v>0.44400000000000001</v>
      </c>
      <c r="K3427" s="9">
        <v>45380</v>
      </c>
      <c r="L3427">
        <f xml:space="preserve"> (交易處理資料__3[[#This Row],[售出工時]] * 60) / 5</f>
        <v>42.999999996</v>
      </c>
      <c r="M3427" t="str">
        <f>VLOOKUP(交易處理資料__3[[#This Row],[人員代號]],團隊分組!$B$1:$C$52,2,FALSE)</f>
        <v>查修團隊A</v>
      </c>
      <c r="N3427" t="str">
        <f>IF(交易處理資料__3[[#This Row],[上班時間]]=0,"否","是")</f>
        <v>是</v>
      </c>
      <c r="O3427" t="s">
        <v>76</v>
      </c>
      <c r="P3427" s="38">
        <v>0.61781609199999998</v>
      </c>
      <c r="Q3427" s="38">
        <v>0.44400000000000001</v>
      </c>
      <c r="R3427" s="38">
        <v>0.77200000000000002</v>
      </c>
    </row>
    <row r="3428" spans="1:18" hidden="1">
      <c r="A3428" t="s">
        <v>76</v>
      </c>
      <c r="B3428" t="s">
        <v>29</v>
      </c>
      <c r="C3428">
        <v>8.5</v>
      </c>
      <c r="D3428">
        <v>5.66</v>
      </c>
      <c r="E3428" s="29">
        <v>1.501766784</v>
      </c>
      <c r="F3428">
        <v>6.85</v>
      </c>
      <c r="G3428">
        <v>1.28</v>
      </c>
      <c r="H3428">
        <v>8.1300000000000008</v>
      </c>
      <c r="I3428" s="29">
        <v>0.84260000000000002</v>
      </c>
      <c r="J3428" s="29">
        <v>1.0454999999999999</v>
      </c>
      <c r="K3428" s="9">
        <v>45380</v>
      </c>
      <c r="L3428">
        <f xml:space="preserve"> (交易處理資料__3[[#This Row],[售出工時]] * 60) / 5</f>
        <v>102</v>
      </c>
      <c r="M3428" t="str">
        <f>VLOOKUP(交易處理資料__3[[#This Row],[人員代號]],團隊分組!$B$1:$C$52,2,FALSE)</f>
        <v>查修團隊B</v>
      </c>
      <c r="N3428" t="str">
        <f>IF(交易處理資料__3[[#This Row],[上班時間]]=0,"否","是")</f>
        <v>是</v>
      </c>
      <c r="O3428" t="s">
        <v>76</v>
      </c>
      <c r="P3428" s="37">
        <v>1.501766784</v>
      </c>
      <c r="Q3428" s="37">
        <v>1.0454999999999999</v>
      </c>
      <c r="R3428" s="37">
        <v>0.84260000000000002</v>
      </c>
    </row>
    <row r="3429" spans="1:18" hidden="1">
      <c r="A3429" t="s">
        <v>76</v>
      </c>
      <c r="B3429" t="s">
        <v>30</v>
      </c>
      <c r="C3429">
        <v>2.61</v>
      </c>
      <c r="D3429">
        <v>1.62</v>
      </c>
      <c r="E3429" s="29">
        <v>1.6111111109999998</v>
      </c>
      <c r="F3429">
        <v>6.19</v>
      </c>
      <c r="G3429">
        <v>1.86</v>
      </c>
      <c r="H3429">
        <v>8.0500000000000007</v>
      </c>
      <c r="I3429" s="29">
        <v>0.76890000000000003</v>
      </c>
      <c r="J3429" s="29">
        <v>0.32420000000000004</v>
      </c>
      <c r="K3429" s="9">
        <v>45380</v>
      </c>
      <c r="L3429">
        <f xml:space="preserve"> (交易處理資料__3[[#This Row],[售出工時]] * 60) / 5</f>
        <v>31.32</v>
      </c>
      <c r="M3429" t="str">
        <f>VLOOKUP(交易處理資料__3[[#This Row],[人員代號]],團隊分組!$B$1:$C$52,2,FALSE)</f>
        <v>快速保養團隊B</v>
      </c>
      <c r="N3429" t="str">
        <f>IF(交易處理資料__3[[#This Row],[上班時間]]=0,"否","是")</f>
        <v>是</v>
      </c>
      <c r="O3429" t="s">
        <v>76</v>
      </c>
      <c r="P3429" s="38">
        <v>1.6111111109999998</v>
      </c>
      <c r="Q3429" s="38">
        <v>0.32420000000000004</v>
      </c>
      <c r="R3429" s="38">
        <v>0.76890000000000003</v>
      </c>
    </row>
    <row r="3430" spans="1:18" hidden="1">
      <c r="A3430" t="s">
        <v>76</v>
      </c>
      <c r="B3430" t="s">
        <v>33</v>
      </c>
      <c r="C3430">
        <v>9.9333333330000002</v>
      </c>
      <c r="D3430">
        <v>7.36</v>
      </c>
      <c r="E3430" s="29">
        <v>1.3496376810000001</v>
      </c>
      <c r="F3430">
        <v>7.57</v>
      </c>
      <c r="G3430">
        <v>0.67</v>
      </c>
      <c r="H3430">
        <v>8.24</v>
      </c>
      <c r="I3430" s="29">
        <v>0.91870000000000007</v>
      </c>
      <c r="J3430" s="29">
        <v>1.2055</v>
      </c>
      <c r="K3430" s="9">
        <v>45380</v>
      </c>
      <c r="L3430">
        <f xml:space="preserve"> (交易處理資料__3[[#This Row],[售出工時]] * 60) / 5</f>
        <v>119.199999996</v>
      </c>
      <c r="M3430" t="str">
        <f>VLOOKUP(交易處理資料__3[[#This Row],[人員代號]],團隊分組!$B$1:$C$52,2,FALSE)</f>
        <v>快速保養團隊B</v>
      </c>
      <c r="N3430" t="str">
        <f>IF(交易處理資料__3[[#This Row],[上班時間]]=0,"否","是")</f>
        <v>是</v>
      </c>
      <c r="O3430" t="s">
        <v>76</v>
      </c>
      <c r="P3430" s="37">
        <v>1.3496376810000001</v>
      </c>
      <c r="Q3430" s="37">
        <v>1.2055</v>
      </c>
      <c r="R3430" s="37">
        <v>0.91870000000000007</v>
      </c>
    </row>
    <row r="3431" spans="1:18" hidden="1">
      <c r="A3431" t="s">
        <v>76</v>
      </c>
      <c r="B3431" t="s">
        <v>34</v>
      </c>
      <c r="C3431">
        <v>0</v>
      </c>
      <c r="D3431">
        <v>0</v>
      </c>
      <c r="E3431" s="29">
        <v>0</v>
      </c>
      <c r="F3431">
        <v>0</v>
      </c>
      <c r="G3431">
        <v>0</v>
      </c>
      <c r="H3431">
        <v>0</v>
      </c>
      <c r="I3431" s="29">
        <v>0</v>
      </c>
      <c r="J3431" s="29">
        <v>0</v>
      </c>
      <c r="K3431" s="9">
        <v>45380</v>
      </c>
      <c r="L3431">
        <f xml:space="preserve"> (交易處理資料__3[[#This Row],[售出工時]] * 60) / 5</f>
        <v>0</v>
      </c>
      <c r="M3431" t="str">
        <f>VLOOKUP(交易處理資料__3[[#This Row],[人員代號]],團隊分組!$B$1:$C$52,2,FALSE)</f>
        <v>快速保養團隊A</v>
      </c>
      <c r="N3431" t="str">
        <f>IF(交易處理資料__3[[#This Row],[上班時間]]=0,"否","是")</f>
        <v>否</v>
      </c>
      <c r="O3431" t="s">
        <v>76</v>
      </c>
      <c r="P3431" s="38">
        <v>0</v>
      </c>
      <c r="Q3431" s="38">
        <v>0</v>
      </c>
      <c r="R3431" s="38">
        <v>0</v>
      </c>
    </row>
    <row r="3432" spans="1:18" hidden="1">
      <c r="A3432" t="s">
        <v>76</v>
      </c>
      <c r="B3432" t="s">
        <v>35</v>
      </c>
      <c r="C3432">
        <v>0</v>
      </c>
      <c r="D3432">
        <v>0</v>
      </c>
      <c r="E3432" s="29">
        <v>0</v>
      </c>
      <c r="F3432">
        <v>5.0599999999999996</v>
      </c>
      <c r="G3432">
        <v>2.98</v>
      </c>
      <c r="H3432">
        <v>8.0399999999999991</v>
      </c>
      <c r="I3432" s="29">
        <v>0.62939999999999996</v>
      </c>
      <c r="J3432" s="29">
        <v>0</v>
      </c>
      <c r="K3432" s="9">
        <v>45380</v>
      </c>
      <c r="L3432">
        <f xml:space="preserve"> (交易處理資料__3[[#This Row],[售出工時]] * 60) / 5</f>
        <v>0</v>
      </c>
      <c r="M3432" t="str">
        <f>VLOOKUP(交易處理資料__3[[#This Row],[人員代號]],團隊分組!$B$1:$C$52,2,FALSE)</f>
        <v>查修團隊B</v>
      </c>
      <c r="N3432" t="str">
        <f>IF(交易處理資料__3[[#This Row],[上班時間]]=0,"否","是")</f>
        <v>是</v>
      </c>
      <c r="O3432" t="s">
        <v>76</v>
      </c>
      <c r="P3432" s="37">
        <v>0</v>
      </c>
      <c r="Q3432" s="37">
        <v>0</v>
      </c>
      <c r="R3432" s="37">
        <v>0.62939999999999996</v>
      </c>
    </row>
    <row r="3433" spans="1:18" hidden="1">
      <c r="A3433" t="s">
        <v>76</v>
      </c>
      <c r="B3433" t="s">
        <v>36</v>
      </c>
      <c r="C3433">
        <v>1.5</v>
      </c>
      <c r="D3433">
        <v>1.08</v>
      </c>
      <c r="E3433" s="29">
        <v>1.3888888890000002</v>
      </c>
      <c r="F3433">
        <v>4.37</v>
      </c>
      <c r="G3433">
        <v>5.82</v>
      </c>
      <c r="H3433">
        <v>10.19</v>
      </c>
      <c r="I3433" s="29">
        <v>0.4289</v>
      </c>
      <c r="J3433" s="29">
        <v>0.1472</v>
      </c>
      <c r="K3433" s="9">
        <v>45380</v>
      </c>
      <c r="L3433">
        <f xml:space="preserve"> (交易處理資料__3[[#This Row],[售出工時]] * 60) / 5</f>
        <v>18</v>
      </c>
      <c r="M3433" t="str">
        <f>VLOOKUP(交易處理資料__3[[#This Row],[人員代號]],團隊分組!$B$1:$C$52,2,FALSE)</f>
        <v>查修團隊B</v>
      </c>
      <c r="N3433" t="str">
        <f>IF(交易處理資料__3[[#This Row],[上班時間]]=0,"否","是")</f>
        <v>是</v>
      </c>
      <c r="O3433" t="s">
        <v>76</v>
      </c>
      <c r="P3433" s="38">
        <v>1.3888888890000002</v>
      </c>
      <c r="Q3433" s="38">
        <v>0.1472</v>
      </c>
      <c r="R3433" s="38">
        <v>0.4289</v>
      </c>
    </row>
    <row r="3434" spans="1:18" hidden="1">
      <c r="A3434" t="s">
        <v>76</v>
      </c>
      <c r="B3434" t="s">
        <v>37</v>
      </c>
      <c r="C3434">
        <v>0</v>
      </c>
      <c r="D3434">
        <v>0</v>
      </c>
      <c r="E3434" s="29">
        <v>0</v>
      </c>
      <c r="F3434">
        <v>0</v>
      </c>
      <c r="G3434">
        <v>0</v>
      </c>
      <c r="H3434">
        <v>0</v>
      </c>
      <c r="I3434" s="29">
        <v>0</v>
      </c>
      <c r="J3434" s="29">
        <v>0</v>
      </c>
      <c r="K3434" s="9">
        <v>45380</v>
      </c>
      <c r="L3434">
        <f xml:space="preserve"> (交易處理資料__3[[#This Row],[售出工時]] * 60) / 5</f>
        <v>0</v>
      </c>
      <c r="M3434" t="str">
        <f>VLOOKUP(交易處理資料__3[[#This Row],[人員代號]],團隊分組!$B$1:$C$52,2,FALSE)</f>
        <v>查修團隊A</v>
      </c>
      <c r="N3434" t="str">
        <f>IF(交易處理資料__3[[#This Row],[上班時間]]=0,"否","是")</f>
        <v>否</v>
      </c>
      <c r="O3434" t="s">
        <v>76</v>
      </c>
      <c r="P3434" s="37">
        <v>0</v>
      </c>
      <c r="Q3434" s="37">
        <v>0</v>
      </c>
      <c r="R3434" s="37">
        <v>0</v>
      </c>
    </row>
    <row r="3435" spans="1:18" hidden="1">
      <c r="A3435" t="s">
        <v>76</v>
      </c>
      <c r="B3435" t="s">
        <v>39</v>
      </c>
      <c r="C3435">
        <v>0</v>
      </c>
      <c r="D3435">
        <v>0</v>
      </c>
      <c r="E3435" s="29">
        <v>0</v>
      </c>
      <c r="F3435">
        <v>7.61</v>
      </c>
      <c r="G3435">
        <v>0.46</v>
      </c>
      <c r="H3435">
        <v>8.07</v>
      </c>
      <c r="I3435" s="29">
        <v>0.94299999999999995</v>
      </c>
      <c r="J3435" s="29">
        <v>0</v>
      </c>
      <c r="K3435" s="9">
        <v>45380</v>
      </c>
      <c r="L3435">
        <f xml:space="preserve"> (交易處理資料__3[[#This Row],[售出工時]] * 60) / 5</f>
        <v>0</v>
      </c>
      <c r="M3435" t="str">
        <f>VLOOKUP(交易處理資料__3[[#This Row],[人員代號]],團隊分組!$B$1:$C$52,2,FALSE)</f>
        <v>查修團隊A</v>
      </c>
      <c r="N3435" t="str">
        <f>IF(交易處理資料__3[[#This Row],[上班時間]]=0,"否","是")</f>
        <v>是</v>
      </c>
      <c r="O3435" t="s">
        <v>76</v>
      </c>
      <c r="P3435" s="38">
        <v>0</v>
      </c>
      <c r="Q3435" s="38">
        <v>0</v>
      </c>
      <c r="R3435" s="38">
        <v>0.94299999999999995</v>
      </c>
    </row>
    <row r="3436" spans="1:18" hidden="1">
      <c r="A3436" t="s">
        <v>76</v>
      </c>
      <c r="B3436" t="s">
        <v>40</v>
      </c>
      <c r="C3436">
        <v>2.25</v>
      </c>
      <c r="D3436">
        <v>3.8</v>
      </c>
      <c r="E3436" s="29">
        <v>0.59210526320000001</v>
      </c>
      <c r="F3436">
        <v>6.03</v>
      </c>
      <c r="G3436">
        <v>2.04</v>
      </c>
      <c r="H3436">
        <v>8.07</v>
      </c>
      <c r="I3436" s="29">
        <v>0.74719999999999998</v>
      </c>
      <c r="J3436" s="29">
        <v>0.27879999999999999</v>
      </c>
      <c r="K3436" s="9">
        <v>45380</v>
      </c>
      <c r="L3436">
        <f xml:space="preserve"> (交易處理資料__3[[#This Row],[售出工時]] * 60) / 5</f>
        <v>27</v>
      </c>
      <c r="M3436" t="str">
        <f>VLOOKUP(交易處理資料__3[[#This Row],[人員代號]],團隊分組!$B$1:$C$52,2,FALSE)</f>
        <v>查修團隊A</v>
      </c>
      <c r="N3436" t="str">
        <f>IF(交易處理資料__3[[#This Row],[上班時間]]=0,"否","是")</f>
        <v>是</v>
      </c>
      <c r="O3436" t="s">
        <v>76</v>
      </c>
      <c r="P3436" s="37">
        <v>0.59210526320000001</v>
      </c>
      <c r="Q3436" s="37">
        <v>0.27879999999999999</v>
      </c>
      <c r="R3436" s="37">
        <v>0.74719999999999998</v>
      </c>
    </row>
    <row r="3437" spans="1:18" hidden="1">
      <c r="A3437" t="s">
        <v>76</v>
      </c>
      <c r="B3437" t="s">
        <v>41</v>
      </c>
      <c r="C3437">
        <v>14.91666667</v>
      </c>
      <c r="D3437">
        <v>7.57</v>
      </c>
      <c r="E3437" s="29">
        <v>1.970497578</v>
      </c>
      <c r="F3437">
        <v>8.92</v>
      </c>
      <c r="G3437">
        <v>0.09</v>
      </c>
      <c r="H3437">
        <v>9.01</v>
      </c>
      <c r="I3437" s="29">
        <v>0.99</v>
      </c>
      <c r="J3437" s="29">
        <v>1.6556</v>
      </c>
      <c r="K3437" s="9">
        <v>45380</v>
      </c>
      <c r="L3437">
        <f xml:space="preserve"> (交易處理資料__3[[#This Row],[售出工時]] * 60) / 5</f>
        <v>179.00000003999997</v>
      </c>
      <c r="M3437" t="str">
        <f>VLOOKUP(交易處理資料__3[[#This Row],[人員代號]],團隊分組!$B$1:$C$52,2,FALSE)</f>
        <v>快速保養團隊A</v>
      </c>
      <c r="N3437" t="str">
        <f>IF(交易處理資料__3[[#This Row],[上班時間]]=0,"否","是")</f>
        <v>是</v>
      </c>
      <c r="O3437" t="s">
        <v>76</v>
      </c>
      <c r="P3437" s="38">
        <v>1.970497578</v>
      </c>
      <c r="Q3437" s="38">
        <v>1.6556</v>
      </c>
      <c r="R3437" s="38">
        <v>0.99</v>
      </c>
    </row>
    <row r="3438" spans="1:18" hidden="1">
      <c r="A3438" t="s">
        <v>76</v>
      </c>
      <c r="B3438" t="s">
        <v>42</v>
      </c>
      <c r="C3438">
        <v>14.91666667</v>
      </c>
      <c r="D3438">
        <v>7.63</v>
      </c>
      <c r="E3438" s="29">
        <v>1.955002184</v>
      </c>
      <c r="F3438">
        <v>6.14</v>
      </c>
      <c r="G3438">
        <v>1.75</v>
      </c>
      <c r="H3438">
        <v>7.89</v>
      </c>
      <c r="I3438" s="29">
        <v>0.77819999999999989</v>
      </c>
      <c r="J3438" s="29">
        <v>1.8906000000000001</v>
      </c>
      <c r="K3438" s="9">
        <v>45380</v>
      </c>
      <c r="L3438">
        <f xml:space="preserve"> (交易處理資料__3[[#This Row],[售出工時]] * 60) / 5</f>
        <v>179.00000003999997</v>
      </c>
      <c r="M3438" t="str">
        <f>VLOOKUP(交易處理資料__3[[#This Row],[人員代號]],團隊分組!$B$1:$C$52,2,FALSE)</f>
        <v>快速保養團隊A</v>
      </c>
      <c r="N3438" t="str">
        <f>IF(交易處理資料__3[[#This Row],[上班時間]]=0,"否","是")</f>
        <v>是</v>
      </c>
      <c r="O3438" t="s">
        <v>76</v>
      </c>
      <c r="P3438" s="37">
        <v>1.955002184</v>
      </c>
      <c r="Q3438" s="37">
        <v>1.8906000000000001</v>
      </c>
      <c r="R3438" s="37">
        <v>0.77819999999999989</v>
      </c>
    </row>
    <row r="3439" spans="1:18" hidden="1">
      <c r="A3439" t="s">
        <v>76</v>
      </c>
      <c r="B3439" t="s">
        <v>43</v>
      </c>
      <c r="C3439">
        <v>1</v>
      </c>
      <c r="D3439">
        <v>0.6</v>
      </c>
      <c r="E3439" s="29">
        <v>1.6666666670000001</v>
      </c>
      <c r="F3439">
        <v>4.6100000000000003</v>
      </c>
      <c r="G3439">
        <v>3.49</v>
      </c>
      <c r="H3439">
        <v>8.1</v>
      </c>
      <c r="I3439" s="29">
        <v>0.56909999999999994</v>
      </c>
      <c r="J3439" s="29">
        <v>0.1235</v>
      </c>
      <c r="K3439" s="9">
        <v>45380</v>
      </c>
      <c r="L3439">
        <f xml:space="preserve"> (交易處理資料__3[[#This Row],[售出工時]] * 60) / 5</f>
        <v>12</v>
      </c>
      <c r="M3439" t="str">
        <f>VLOOKUP(交易處理資料__3[[#This Row],[人員代號]],團隊分組!$B$1:$C$52,2,FALSE)</f>
        <v>查修團隊B</v>
      </c>
      <c r="N3439" t="str">
        <f>IF(交易處理資料__3[[#This Row],[上班時間]]=0,"否","是")</f>
        <v>是</v>
      </c>
      <c r="O3439" t="s">
        <v>76</v>
      </c>
      <c r="P3439" s="38">
        <v>1.6666666670000001</v>
      </c>
      <c r="Q3439" s="38">
        <v>0.1235</v>
      </c>
      <c r="R3439" s="38">
        <v>0.56909999999999994</v>
      </c>
    </row>
    <row r="3440" spans="1:18" hidden="1">
      <c r="A3440" t="s">
        <v>76</v>
      </c>
      <c r="B3440" t="s">
        <v>50</v>
      </c>
      <c r="C3440">
        <v>14.91666667</v>
      </c>
      <c r="D3440">
        <v>3.25</v>
      </c>
      <c r="E3440" s="29">
        <v>4.5897435900000003</v>
      </c>
      <c r="F3440">
        <v>6.78</v>
      </c>
      <c r="G3440">
        <v>1.19</v>
      </c>
      <c r="H3440">
        <v>7.97</v>
      </c>
      <c r="I3440" s="29">
        <v>0.8506999999999999</v>
      </c>
      <c r="J3440" s="29">
        <v>1.8715999999999999</v>
      </c>
      <c r="K3440" s="9">
        <v>45380</v>
      </c>
      <c r="L3440">
        <f xml:space="preserve"> (交易處理資料__3[[#This Row],[售出工時]] * 60) / 5</f>
        <v>179.00000003999997</v>
      </c>
      <c r="M3440" t="str">
        <f>VLOOKUP(交易處理資料__3[[#This Row],[人員代號]],團隊分組!$B$1:$C$52,2,FALSE)</f>
        <v>快速保養團隊B</v>
      </c>
      <c r="N3440" t="str">
        <f>IF(交易處理資料__3[[#This Row],[上班時間]]=0,"否","是")</f>
        <v>是</v>
      </c>
      <c r="O3440" t="s">
        <v>76</v>
      </c>
      <c r="P3440" s="37">
        <v>4.5897435900000003</v>
      </c>
      <c r="Q3440" s="37">
        <v>1.8715999999999999</v>
      </c>
      <c r="R3440" s="37">
        <v>0.8506999999999999</v>
      </c>
    </row>
    <row r="3441" spans="1:18" hidden="1">
      <c r="A3441" t="s">
        <v>76</v>
      </c>
      <c r="B3441" t="s">
        <v>51</v>
      </c>
      <c r="C3441">
        <v>0</v>
      </c>
      <c r="D3441">
        <v>0</v>
      </c>
      <c r="E3441" s="29">
        <v>0</v>
      </c>
      <c r="F3441">
        <v>0</v>
      </c>
      <c r="G3441">
        <v>0</v>
      </c>
      <c r="H3441">
        <v>0</v>
      </c>
      <c r="I3441" s="29">
        <v>0</v>
      </c>
      <c r="J3441" s="29">
        <v>0</v>
      </c>
      <c r="K3441" s="9">
        <v>45380</v>
      </c>
      <c r="L3441">
        <f xml:space="preserve"> (交易處理資料__3[[#This Row],[售出工時]] * 60) / 5</f>
        <v>0</v>
      </c>
      <c r="M3441" t="str">
        <f>VLOOKUP(交易處理資料__3[[#This Row],[人員代號]],團隊分組!$B$1:$C$52,2,FALSE)</f>
        <v>無效數據</v>
      </c>
      <c r="N3441" t="str">
        <f>IF(交易處理資料__3[[#This Row],[上班時間]]=0,"否","是")</f>
        <v>否</v>
      </c>
      <c r="O3441" t="s">
        <v>76</v>
      </c>
      <c r="P3441" s="38">
        <v>0</v>
      </c>
      <c r="Q3441" s="38">
        <v>0</v>
      </c>
      <c r="R3441" s="38">
        <v>0</v>
      </c>
    </row>
    <row r="3442" spans="1:18" hidden="1">
      <c r="A3442" s="10" t="s">
        <v>74</v>
      </c>
      <c r="B3442" t="s">
        <v>1</v>
      </c>
      <c r="C3442">
        <v>0</v>
      </c>
      <c r="D3442">
        <v>0</v>
      </c>
      <c r="E3442" s="29">
        <v>0</v>
      </c>
      <c r="F3442">
        <v>6.87</v>
      </c>
      <c r="G3442">
        <v>1.27</v>
      </c>
      <c r="H3442">
        <v>8.14</v>
      </c>
      <c r="I3442" s="29">
        <v>0.84400000000000008</v>
      </c>
      <c r="J3442" s="29">
        <v>0</v>
      </c>
      <c r="K3442" s="9">
        <v>45381</v>
      </c>
      <c r="L3442">
        <f xml:space="preserve"> (交易處理資料__3[[#This Row],[售出工時]] * 60) / 5</f>
        <v>0</v>
      </c>
      <c r="M3442" t="str">
        <f>VLOOKUP(交易處理資料__3[[#This Row],[人員代號]],團隊分組!$B$1:$C$52,2,FALSE)</f>
        <v>噴漆維修組</v>
      </c>
      <c r="N3442" t="str">
        <f>IF(交易處理資料__3[[#This Row],[上班時間]]=0,"否","是")</f>
        <v>是</v>
      </c>
      <c r="O3442" s="10" t="s">
        <v>74</v>
      </c>
      <c r="P3442" s="37">
        <v>0</v>
      </c>
      <c r="Q3442" s="37">
        <v>0</v>
      </c>
      <c r="R3442" s="37">
        <v>0.84400000000000008</v>
      </c>
    </row>
    <row r="3443" spans="1:18" hidden="1">
      <c r="A3443" s="10" t="s">
        <v>74</v>
      </c>
      <c r="B3443" t="s">
        <v>2</v>
      </c>
      <c r="C3443">
        <v>0</v>
      </c>
      <c r="D3443">
        <v>0</v>
      </c>
      <c r="E3443" s="29">
        <v>0</v>
      </c>
      <c r="F3443">
        <v>0</v>
      </c>
      <c r="G3443">
        <v>0</v>
      </c>
      <c r="H3443">
        <v>0</v>
      </c>
      <c r="I3443" s="29">
        <v>0</v>
      </c>
      <c r="J3443" s="29">
        <v>0</v>
      </c>
      <c r="K3443" s="9">
        <v>45381</v>
      </c>
      <c r="L3443">
        <f xml:space="preserve"> (交易處理資料__3[[#This Row],[售出工時]] * 60) / 5</f>
        <v>0</v>
      </c>
      <c r="M3443" t="str">
        <f>VLOOKUP(交易處理資料__3[[#This Row],[人員代號]],團隊分組!$B$1:$C$52,2,FALSE)</f>
        <v>噴漆維修組</v>
      </c>
      <c r="N3443" t="str">
        <f>IF(交易處理資料__3[[#This Row],[上班時間]]=0,"否","是")</f>
        <v>否</v>
      </c>
      <c r="O3443" s="10" t="s">
        <v>74</v>
      </c>
      <c r="P3443" s="38">
        <v>0</v>
      </c>
      <c r="Q3443" s="38">
        <v>0</v>
      </c>
      <c r="R3443" s="38">
        <v>0</v>
      </c>
    </row>
    <row r="3444" spans="1:18" hidden="1">
      <c r="A3444" s="10" t="s">
        <v>74</v>
      </c>
      <c r="B3444" t="s">
        <v>3</v>
      </c>
      <c r="C3444">
        <v>0</v>
      </c>
      <c r="D3444">
        <v>0</v>
      </c>
      <c r="E3444" s="29">
        <v>0</v>
      </c>
      <c r="F3444">
        <v>0</v>
      </c>
      <c r="G3444">
        <v>0</v>
      </c>
      <c r="H3444">
        <v>0</v>
      </c>
      <c r="I3444" s="29">
        <v>0</v>
      </c>
      <c r="J3444" s="29">
        <v>0</v>
      </c>
      <c r="K3444" s="9">
        <v>45381</v>
      </c>
      <c r="L3444">
        <f xml:space="preserve"> (交易處理資料__3[[#This Row],[售出工時]] * 60) / 5</f>
        <v>0</v>
      </c>
      <c r="M3444" t="str">
        <f>VLOOKUP(交易處理資料__3[[#This Row],[人員代號]],團隊分組!$B$1:$C$52,2,FALSE)</f>
        <v>噴漆維修組</v>
      </c>
      <c r="N3444" t="str">
        <f>IF(交易處理資料__3[[#This Row],[上班時間]]=0,"否","是")</f>
        <v>否</v>
      </c>
      <c r="O3444" s="10" t="s">
        <v>74</v>
      </c>
      <c r="P3444" s="37">
        <v>0</v>
      </c>
      <c r="Q3444" s="37">
        <v>0</v>
      </c>
      <c r="R3444" s="37">
        <v>0</v>
      </c>
    </row>
    <row r="3445" spans="1:18" hidden="1">
      <c r="A3445" s="10" t="s">
        <v>74</v>
      </c>
      <c r="B3445" t="s">
        <v>4</v>
      </c>
      <c r="C3445">
        <v>0</v>
      </c>
      <c r="D3445">
        <v>0</v>
      </c>
      <c r="E3445" s="29">
        <v>0</v>
      </c>
      <c r="F3445">
        <v>0</v>
      </c>
      <c r="G3445">
        <v>0</v>
      </c>
      <c r="H3445">
        <v>0</v>
      </c>
      <c r="I3445" s="29">
        <v>0</v>
      </c>
      <c r="J3445" s="29">
        <v>0</v>
      </c>
      <c r="K3445" s="9">
        <v>45381</v>
      </c>
      <c r="L3445">
        <f xml:space="preserve"> (交易處理資料__3[[#This Row],[售出工時]] * 60) / 5</f>
        <v>0</v>
      </c>
      <c r="M3445" t="str">
        <f>VLOOKUP(交易處理資料__3[[#This Row],[人員代號]],團隊分組!$B$1:$C$52,2,FALSE)</f>
        <v>噴漆維修組</v>
      </c>
      <c r="N3445" t="str">
        <f>IF(交易處理資料__3[[#This Row],[上班時間]]=0,"否","是")</f>
        <v>否</v>
      </c>
      <c r="O3445" s="10" t="s">
        <v>74</v>
      </c>
      <c r="P3445" s="38">
        <v>0</v>
      </c>
      <c r="Q3445" s="38">
        <v>0</v>
      </c>
      <c r="R3445" s="38">
        <v>0</v>
      </c>
    </row>
    <row r="3446" spans="1:18" hidden="1">
      <c r="A3446" s="10" t="s">
        <v>74</v>
      </c>
      <c r="B3446" t="s">
        <v>5</v>
      </c>
      <c r="C3446">
        <v>0</v>
      </c>
      <c r="D3446">
        <v>0</v>
      </c>
      <c r="E3446" s="29">
        <v>0</v>
      </c>
      <c r="F3446">
        <v>0</v>
      </c>
      <c r="G3446">
        <v>0</v>
      </c>
      <c r="H3446">
        <v>0</v>
      </c>
      <c r="I3446" s="29">
        <v>0</v>
      </c>
      <c r="J3446" s="29">
        <v>0</v>
      </c>
      <c r="K3446" s="9">
        <v>45381</v>
      </c>
      <c r="L3446">
        <f xml:space="preserve"> (交易處理資料__3[[#This Row],[售出工時]] * 60) / 5</f>
        <v>0</v>
      </c>
      <c r="M3446" t="str">
        <f>VLOOKUP(交易處理資料__3[[#This Row],[人員代號]],團隊分組!$B$1:$C$52,2,FALSE)</f>
        <v>噴漆維修組</v>
      </c>
      <c r="N3446" t="str">
        <f>IF(交易處理資料__3[[#This Row],[上班時間]]=0,"否","是")</f>
        <v>否</v>
      </c>
      <c r="O3446" s="10" t="s">
        <v>74</v>
      </c>
      <c r="P3446" s="37">
        <v>0</v>
      </c>
      <c r="Q3446" s="37">
        <v>0</v>
      </c>
      <c r="R3446" s="37">
        <v>0</v>
      </c>
    </row>
    <row r="3447" spans="1:18" hidden="1">
      <c r="A3447" s="10" t="s">
        <v>74</v>
      </c>
      <c r="B3447" t="s">
        <v>6</v>
      </c>
      <c r="C3447">
        <v>0</v>
      </c>
      <c r="D3447">
        <v>0</v>
      </c>
      <c r="E3447" s="29">
        <v>0</v>
      </c>
      <c r="F3447">
        <v>0</v>
      </c>
      <c r="G3447">
        <v>0</v>
      </c>
      <c r="H3447">
        <v>0</v>
      </c>
      <c r="I3447" s="29">
        <v>0</v>
      </c>
      <c r="J3447" s="29">
        <v>0</v>
      </c>
      <c r="K3447" s="9">
        <v>45381</v>
      </c>
      <c r="L3447">
        <f xml:space="preserve"> (交易處理資料__3[[#This Row],[售出工時]] * 60) / 5</f>
        <v>0</v>
      </c>
      <c r="M3447" t="str">
        <f>VLOOKUP(交易處理資料__3[[#This Row],[人員代號]],團隊分組!$B$1:$C$52,2,FALSE)</f>
        <v>噴漆維修組</v>
      </c>
      <c r="N3447" t="str">
        <f>IF(交易處理資料__3[[#This Row],[上班時間]]=0,"否","是")</f>
        <v>否</v>
      </c>
      <c r="O3447" s="10" t="s">
        <v>74</v>
      </c>
      <c r="P3447" s="38">
        <v>0</v>
      </c>
      <c r="Q3447" s="38">
        <v>0</v>
      </c>
      <c r="R3447" s="38">
        <v>0</v>
      </c>
    </row>
    <row r="3448" spans="1:18">
      <c r="A3448" s="10" t="s">
        <v>74</v>
      </c>
      <c r="B3448" t="s">
        <v>7</v>
      </c>
      <c r="C3448">
        <v>0</v>
      </c>
      <c r="D3448">
        <v>0</v>
      </c>
      <c r="E3448" s="29">
        <v>0</v>
      </c>
      <c r="F3448">
        <v>6.37</v>
      </c>
      <c r="G3448">
        <v>1.77</v>
      </c>
      <c r="H3448">
        <v>8.14</v>
      </c>
      <c r="I3448" s="29">
        <v>0.78260000000000007</v>
      </c>
      <c r="J3448" s="29">
        <v>0</v>
      </c>
      <c r="K3448" s="9">
        <v>45381</v>
      </c>
      <c r="L3448">
        <f xml:space="preserve"> (交易處理資料__3[[#This Row],[售出工時]] * 60) / 5</f>
        <v>0</v>
      </c>
      <c r="M3448" t="str">
        <f>VLOOKUP(交易處理資料__3[[#This Row],[人員代號]],團隊分組!$B$1:$C$52,2,FALSE)</f>
        <v>噴漆維修組</v>
      </c>
      <c r="N3448" t="str">
        <f>IF(交易處理資料__3[[#This Row],[上班時間]]=0,"否","是")</f>
        <v>是</v>
      </c>
      <c r="O3448" s="10" t="s">
        <v>74</v>
      </c>
      <c r="P3448" s="37">
        <v>0</v>
      </c>
      <c r="Q3448" s="37">
        <v>0</v>
      </c>
      <c r="R3448" s="37">
        <v>0.78260000000000007</v>
      </c>
    </row>
    <row r="3449" spans="1:18" hidden="1">
      <c r="A3449" s="10" t="s">
        <v>74</v>
      </c>
      <c r="B3449" t="s">
        <v>8</v>
      </c>
      <c r="C3449">
        <v>0</v>
      </c>
      <c r="D3449">
        <v>0</v>
      </c>
      <c r="E3449" s="29">
        <v>0</v>
      </c>
      <c r="F3449">
        <v>0</v>
      </c>
      <c r="G3449">
        <v>0</v>
      </c>
      <c r="H3449">
        <v>0</v>
      </c>
      <c r="I3449" s="29">
        <v>0</v>
      </c>
      <c r="J3449" s="29">
        <v>0</v>
      </c>
      <c r="K3449" s="9">
        <v>45381</v>
      </c>
      <c r="L3449">
        <f xml:space="preserve"> (交易處理資料__3[[#This Row],[售出工時]] * 60) / 5</f>
        <v>0</v>
      </c>
      <c r="M3449" t="str">
        <f>VLOOKUP(交易處理資料__3[[#This Row],[人員代號]],團隊分組!$B$1:$C$52,2,FALSE)</f>
        <v>噴漆維修組</v>
      </c>
      <c r="N3449" t="str">
        <f>IF(交易處理資料__3[[#This Row],[上班時間]]=0,"否","是")</f>
        <v>否</v>
      </c>
      <c r="O3449" s="10" t="s">
        <v>74</v>
      </c>
      <c r="P3449" s="38">
        <v>0</v>
      </c>
      <c r="Q3449" s="38">
        <v>0</v>
      </c>
      <c r="R3449" s="38">
        <v>0</v>
      </c>
    </row>
    <row r="3450" spans="1:18" hidden="1">
      <c r="A3450" s="10" t="s">
        <v>74</v>
      </c>
      <c r="B3450" t="s">
        <v>9</v>
      </c>
      <c r="C3450">
        <v>0</v>
      </c>
      <c r="D3450">
        <v>0</v>
      </c>
      <c r="E3450" s="29">
        <v>0</v>
      </c>
      <c r="F3450">
        <v>0</v>
      </c>
      <c r="G3450">
        <v>0</v>
      </c>
      <c r="H3450">
        <v>0</v>
      </c>
      <c r="I3450" s="29">
        <v>0</v>
      </c>
      <c r="J3450" s="29">
        <v>0</v>
      </c>
      <c r="K3450" s="9">
        <v>45381</v>
      </c>
      <c r="L3450">
        <f xml:space="preserve"> (交易處理資料__3[[#This Row],[售出工時]] * 60) / 5</f>
        <v>0</v>
      </c>
      <c r="M3450" t="str">
        <f>VLOOKUP(交易處理資料__3[[#This Row],[人員代號]],團隊分組!$B$1:$C$52,2,FALSE)</f>
        <v>噴漆維修組</v>
      </c>
      <c r="N3450" t="str">
        <f>IF(交易處理資料__3[[#This Row],[上班時間]]=0,"否","是")</f>
        <v>否</v>
      </c>
      <c r="O3450" s="10" t="s">
        <v>74</v>
      </c>
      <c r="P3450" s="37">
        <v>0</v>
      </c>
      <c r="Q3450" s="37">
        <v>0</v>
      </c>
      <c r="R3450" s="37">
        <v>0</v>
      </c>
    </row>
    <row r="3451" spans="1:18" hidden="1">
      <c r="A3451" t="s">
        <v>75</v>
      </c>
      <c r="B3451" t="s">
        <v>11</v>
      </c>
      <c r="C3451">
        <v>0</v>
      </c>
      <c r="D3451">
        <v>0</v>
      </c>
      <c r="E3451" s="29">
        <v>0</v>
      </c>
      <c r="F3451">
        <v>0</v>
      </c>
      <c r="G3451">
        <v>0</v>
      </c>
      <c r="H3451">
        <v>0</v>
      </c>
      <c r="I3451" s="29">
        <v>0</v>
      </c>
      <c r="J3451" s="29">
        <v>0</v>
      </c>
      <c r="K3451" s="9">
        <v>45381</v>
      </c>
      <c r="L3451">
        <f xml:space="preserve"> (交易處理資料__3[[#This Row],[售出工時]] * 60) / 5</f>
        <v>0</v>
      </c>
      <c r="M3451" t="str">
        <f>VLOOKUP(交易處理資料__3[[#This Row],[人員代號]],團隊分組!$B$1:$C$52,2,FALSE)</f>
        <v>鈑金維修組</v>
      </c>
      <c r="N3451" t="str">
        <f>IF(交易處理資料__3[[#This Row],[上班時間]]=0,"否","是")</f>
        <v>否</v>
      </c>
      <c r="O3451" t="s">
        <v>75</v>
      </c>
      <c r="P3451" s="38">
        <v>0</v>
      </c>
      <c r="Q3451" s="38">
        <v>0</v>
      </c>
      <c r="R3451" s="38">
        <v>0</v>
      </c>
    </row>
    <row r="3452" spans="1:18" hidden="1">
      <c r="A3452" t="s">
        <v>75</v>
      </c>
      <c r="B3452" t="s">
        <v>12</v>
      </c>
      <c r="C3452">
        <v>0</v>
      </c>
      <c r="D3452">
        <v>0</v>
      </c>
      <c r="E3452" s="29">
        <v>0</v>
      </c>
      <c r="F3452">
        <v>6.96</v>
      </c>
      <c r="G3452">
        <v>1.2</v>
      </c>
      <c r="H3452">
        <v>8.16</v>
      </c>
      <c r="I3452" s="29">
        <v>0.8529000000000001</v>
      </c>
      <c r="J3452" s="29">
        <v>0</v>
      </c>
      <c r="K3452" s="9">
        <v>45381</v>
      </c>
      <c r="L3452">
        <f xml:space="preserve"> (交易處理資料__3[[#This Row],[售出工時]] * 60) / 5</f>
        <v>0</v>
      </c>
      <c r="M3452" t="str">
        <f>VLOOKUP(交易處理資料__3[[#This Row],[人員代號]],團隊分組!$B$1:$C$52,2,FALSE)</f>
        <v>鈑金維修組</v>
      </c>
      <c r="N3452" t="str">
        <f>IF(交易處理資料__3[[#This Row],[上班時間]]=0,"否","是")</f>
        <v>是</v>
      </c>
      <c r="O3452" t="s">
        <v>75</v>
      </c>
      <c r="P3452" s="37">
        <v>0</v>
      </c>
      <c r="Q3452" s="37">
        <v>0</v>
      </c>
      <c r="R3452" s="37">
        <v>0.8529000000000001</v>
      </c>
    </row>
    <row r="3453" spans="1:18" hidden="1">
      <c r="A3453" t="s">
        <v>75</v>
      </c>
      <c r="B3453" t="s">
        <v>13</v>
      </c>
      <c r="C3453">
        <v>0</v>
      </c>
      <c r="D3453">
        <v>0</v>
      </c>
      <c r="E3453" s="29">
        <v>0</v>
      </c>
      <c r="F3453">
        <v>4.4800000000000004</v>
      </c>
      <c r="G3453">
        <v>3.69</v>
      </c>
      <c r="H3453">
        <v>8.17</v>
      </c>
      <c r="I3453" s="29">
        <v>0.54830000000000001</v>
      </c>
      <c r="J3453" s="29">
        <v>0</v>
      </c>
      <c r="K3453" s="9">
        <v>45381</v>
      </c>
      <c r="L3453">
        <f xml:space="preserve"> (交易處理資料__3[[#This Row],[售出工時]] * 60) / 5</f>
        <v>0</v>
      </c>
      <c r="M3453" t="str">
        <f>VLOOKUP(交易處理資料__3[[#This Row],[人員代號]],團隊分組!$B$1:$C$52,2,FALSE)</f>
        <v>鈑金維修組</v>
      </c>
      <c r="N3453" t="str">
        <f>IF(交易處理資料__3[[#This Row],[上班時間]]=0,"否","是")</f>
        <v>是</v>
      </c>
      <c r="O3453" t="s">
        <v>75</v>
      </c>
      <c r="P3453" s="38">
        <v>0</v>
      </c>
      <c r="Q3453" s="38">
        <v>0</v>
      </c>
      <c r="R3453" s="38">
        <v>0.54830000000000001</v>
      </c>
    </row>
    <row r="3454" spans="1:18" hidden="1">
      <c r="A3454" t="s">
        <v>75</v>
      </c>
      <c r="B3454" t="s">
        <v>14</v>
      </c>
      <c r="C3454">
        <v>0</v>
      </c>
      <c r="D3454">
        <v>0</v>
      </c>
      <c r="E3454" s="29">
        <v>0</v>
      </c>
      <c r="F3454">
        <v>0</v>
      </c>
      <c r="G3454">
        <v>0</v>
      </c>
      <c r="H3454">
        <v>0</v>
      </c>
      <c r="I3454" s="29">
        <v>0</v>
      </c>
      <c r="J3454" s="29">
        <v>0</v>
      </c>
      <c r="K3454" s="9">
        <v>45381</v>
      </c>
      <c r="L3454">
        <f xml:space="preserve"> (交易處理資料__3[[#This Row],[售出工時]] * 60) / 5</f>
        <v>0</v>
      </c>
      <c r="M3454" t="str">
        <f>VLOOKUP(交易處理資料__3[[#This Row],[人員代號]],團隊分組!$B$1:$C$52,2,FALSE)</f>
        <v>鈑金維修組</v>
      </c>
      <c r="N3454" t="str">
        <f>IF(交易處理資料__3[[#This Row],[上班時間]]=0,"否","是")</f>
        <v>否</v>
      </c>
      <c r="O3454" t="s">
        <v>75</v>
      </c>
      <c r="P3454" s="37">
        <v>0</v>
      </c>
      <c r="Q3454" s="37">
        <v>0</v>
      </c>
      <c r="R3454" s="37">
        <v>0</v>
      </c>
    </row>
    <row r="3455" spans="1:18" hidden="1">
      <c r="A3455" t="s">
        <v>75</v>
      </c>
      <c r="B3455" t="s">
        <v>15</v>
      </c>
      <c r="C3455">
        <v>0</v>
      </c>
      <c r="D3455">
        <v>0</v>
      </c>
      <c r="E3455" s="29">
        <v>0</v>
      </c>
      <c r="F3455">
        <v>0</v>
      </c>
      <c r="G3455">
        <v>0</v>
      </c>
      <c r="H3455">
        <v>0</v>
      </c>
      <c r="I3455" s="29">
        <v>0</v>
      </c>
      <c r="J3455" s="29">
        <v>0</v>
      </c>
      <c r="K3455" s="9">
        <v>45381</v>
      </c>
      <c r="L3455">
        <f xml:space="preserve"> (交易處理資料__3[[#This Row],[售出工時]] * 60) / 5</f>
        <v>0</v>
      </c>
      <c r="M3455" t="str">
        <f>VLOOKUP(交易處理資料__3[[#This Row],[人員代號]],團隊分組!$B$1:$C$52,2,FALSE)</f>
        <v>鈑金維修組</v>
      </c>
      <c r="N3455" t="str">
        <f>IF(交易處理資料__3[[#This Row],[上班時間]]=0,"否","是")</f>
        <v>否</v>
      </c>
      <c r="O3455" t="s">
        <v>75</v>
      </c>
      <c r="P3455" s="38">
        <v>0</v>
      </c>
      <c r="Q3455" s="38">
        <v>0</v>
      </c>
      <c r="R3455" s="38">
        <v>0</v>
      </c>
    </row>
    <row r="3456" spans="1:18" hidden="1">
      <c r="A3456" t="s">
        <v>76</v>
      </c>
      <c r="B3456" t="s">
        <v>19</v>
      </c>
      <c r="C3456">
        <v>0</v>
      </c>
      <c r="D3456">
        <v>0</v>
      </c>
      <c r="E3456" s="29">
        <v>0</v>
      </c>
      <c r="F3456">
        <v>0</v>
      </c>
      <c r="G3456">
        <v>0</v>
      </c>
      <c r="H3456">
        <v>0</v>
      </c>
      <c r="I3456" s="29">
        <v>0</v>
      </c>
      <c r="J3456" s="29">
        <v>0</v>
      </c>
      <c r="K3456" s="9">
        <v>45381</v>
      </c>
      <c r="L3456">
        <f xml:space="preserve"> (交易處理資料__3[[#This Row],[售出工時]] * 60) / 5</f>
        <v>0</v>
      </c>
      <c r="M3456" t="str">
        <f>VLOOKUP(交易處理資料__3[[#This Row],[人員代號]],團隊分組!$B$1:$C$52,2,FALSE)</f>
        <v>查修團隊A</v>
      </c>
      <c r="N3456" t="str">
        <f>IF(交易處理資料__3[[#This Row],[上班時間]]=0,"否","是")</f>
        <v>否</v>
      </c>
      <c r="O3456" t="s">
        <v>76</v>
      </c>
      <c r="P3456" s="37">
        <v>0</v>
      </c>
      <c r="Q3456" s="37">
        <v>0</v>
      </c>
      <c r="R3456" s="37">
        <v>0</v>
      </c>
    </row>
    <row r="3457" spans="1:18" hidden="1">
      <c r="A3457" t="s">
        <v>76</v>
      </c>
      <c r="B3457" t="s">
        <v>20</v>
      </c>
      <c r="C3457">
        <v>0</v>
      </c>
      <c r="D3457">
        <v>0</v>
      </c>
      <c r="E3457" s="29">
        <v>0</v>
      </c>
      <c r="F3457">
        <v>0</v>
      </c>
      <c r="G3457">
        <v>0</v>
      </c>
      <c r="H3457">
        <v>0</v>
      </c>
      <c r="I3457" s="29">
        <v>0</v>
      </c>
      <c r="J3457" s="29">
        <v>0</v>
      </c>
      <c r="K3457" s="9">
        <v>45381</v>
      </c>
      <c r="L3457">
        <f xml:space="preserve"> (交易處理資料__3[[#This Row],[售出工時]] * 60) / 5</f>
        <v>0</v>
      </c>
      <c r="M3457" t="str">
        <f>VLOOKUP(交易處理資料__3[[#This Row],[人員代號]],團隊分組!$B$1:$C$52,2,FALSE)</f>
        <v>查修團隊B</v>
      </c>
      <c r="N3457" t="str">
        <f>IF(交易處理資料__3[[#This Row],[上班時間]]=0,"否","是")</f>
        <v>否</v>
      </c>
      <c r="O3457" t="s">
        <v>76</v>
      </c>
      <c r="P3457" s="38">
        <v>0</v>
      </c>
      <c r="Q3457" s="38">
        <v>0</v>
      </c>
      <c r="R3457" s="38">
        <v>0</v>
      </c>
    </row>
    <row r="3458" spans="1:18" hidden="1">
      <c r="A3458" t="s">
        <v>76</v>
      </c>
      <c r="B3458" t="s">
        <v>21</v>
      </c>
      <c r="C3458">
        <v>7.58</v>
      </c>
      <c r="D3458">
        <v>5.34</v>
      </c>
      <c r="E3458" s="29">
        <v>1.4194756550000001</v>
      </c>
      <c r="F3458">
        <v>5.34</v>
      </c>
      <c r="G3458">
        <v>2.77</v>
      </c>
      <c r="H3458">
        <v>8.11</v>
      </c>
      <c r="I3458" s="29">
        <v>0.65839999999999999</v>
      </c>
      <c r="J3458" s="29">
        <v>0.93459999999999999</v>
      </c>
      <c r="K3458" s="9">
        <v>45381</v>
      </c>
      <c r="L3458">
        <f xml:space="preserve"> (交易處理資料__3[[#This Row],[售出工時]] * 60) / 5</f>
        <v>90.960000000000008</v>
      </c>
      <c r="M3458" t="str">
        <f>VLOOKUP(交易處理資料__3[[#This Row],[人員代號]],團隊分組!$B$1:$C$52,2,FALSE)</f>
        <v>查修團隊B</v>
      </c>
      <c r="N3458" t="str">
        <f>IF(交易處理資料__3[[#This Row],[上班時間]]=0,"否","是")</f>
        <v>是</v>
      </c>
      <c r="O3458" t="s">
        <v>76</v>
      </c>
      <c r="P3458" s="37">
        <v>1.4194756550000001</v>
      </c>
      <c r="Q3458" s="37">
        <v>0.93459999999999999</v>
      </c>
      <c r="R3458" s="37">
        <v>0.65839999999999999</v>
      </c>
    </row>
    <row r="3459" spans="1:18" hidden="1">
      <c r="A3459" t="s">
        <v>76</v>
      </c>
      <c r="B3459" t="s">
        <v>22</v>
      </c>
      <c r="C3459">
        <v>3.9166666669999999</v>
      </c>
      <c r="D3459">
        <v>2.4300000000000002</v>
      </c>
      <c r="E3459" s="29">
        <v>1.611796982</v>
      </c>
      <c r="F3459">
        <v>5.58</v>
      </c>
      <c r="G3459">
        <v>2.4300000000000002</v>
      </c>
      <c r="H3459">
        <v>8.01</v>
      </c>
      <c r="I3459" s="29">
        <v>0.6966</v>
      </c>
      <c r="J3459" s="29">
        <v>0.48899999999999999</v>
      </c>
      <c r="K3459" s="9">
        <v>45381</v>
      </c>
      <c r="L3459">
        <f xml:space="preserve"> (交易處理資料__3[[#This Row],[售出工時]] * 60) / 5</f>
        <v>47.000000004</v>
      </c>
      <c r="M3459" t="str">
        <f>VLOOKUP(交易處理資料__3[[#This Row],[人員代號]],團隊分組!$B$1:$C$52,2,FALSE)</f>
        <v>快速保養團隊A</v>
      </c>
      <c r="N3459" t="str">
        <f>IF(交易處理資料__3[[#This Row],[上班時間]]=0,"否","是")</f>
        <v>是</v>
      </c>
      <c r="O3459" t="s">
        <v>76</v>
      </c>
      <c r="P3459" s="38">
        <v>1.611796982</v>
      </c>
      <c r="Q3459" s="38">
        <v>0.48899999999999999</v>
      </c>
      <c r="R3459" s="38">
        <v>0.6966</v>
      </c>
    </row>
    <row r="3460" spans="1:18" hidden="1">
      <c r="A3460" t="s">
        <v>76</v>
      </c>
      <c r="B3460" t="s">
        <v>23</v>
      </c>
      <c r="C3460">
        <v>6.94</v>
      </c>
      <c r="D3460">
        <v>5.16</v>
      </c>
      <c r="E3460" s="29">
        <v>1.3449612400000002</v>
      </c>
      <c r="F3460">
        <v>4.8099999999999996</v>
      </c>
      <c r="G3460">
        <v>3.23</v>
      </c>
      <c r="H3460">
        <v>8.0399999999999991</v>
      </c>
      <c r="I3460" s="29">
        <v>0.59829999999999994</v>
      </c>
      <c r="J3460" s="29">
        <v>0.86319999999999997</v>
      </c>
      <c r="K3460" s="9">
        <v>45381</v>
      </c>
      <c r="L3460">
        <f xml:space="preserve"> (交易處理資料__3[[#This Row],[售出工時]] * 60) / 5</f>
        <v>83.28</v>
      </c>
      <c r="M3460" t="str">
        <f>VLOOKUP(交易處理資料__3[[#This Row],[人員代號]],團隊分組!$B$1:$C$52,2,FALSE)</f>
        <v>快速保養團隊B</v>
      </c>
      <c r="N3460" t="str">
        <f>IF(交易處理資料__3[[#This Row],[上班時間]]=0,"否","是")</f>
        <v>是</v>
      </c>
      <c r="O3460" t="s">
        <v>76</v>
      </c>
      <c r="P3460" s="37">
        <v>1.3449612400000002</v>
      </c>
      <c r="Q3460" s="37">
        <v>0.86319999999999997</v>
      </c>
      <c r="R3460" s="37">
        <v>0.59829999999999994</v>
      </c>
    </row>
    <row r="3461" spans="1:18" hidden="1">
      <c r="A3461" t="s">
        <v>76</v>
      </c>
      <c r="B3461" t="s">
        <v>25</v>
      </c>
      <c r="C3461">
        <v>7.2033333329999998</v>
      </c>
      <c r="D3461">
        <v>3.51</v>
      </c>
      <c r="E3461" s="29">
        <v>2.0522317189999999</v>
      </c>
      <c r="F3461">
        <v>3.98</v>
      </c>
      <c r="G3461">
        <v>4.05</v>
      </c>
      <c r="H3461">
        <v>8.0299999999999994</v>
      </c>
      <c r="I3461" s="29">
        <v>0.49560000000000004</v>
      </c>
      <c r="J3461" s="29">
        <v>0.8970999999999999</v>
      </c>
      <c r="K3461" s="9">
        <v>45381</v>
      </c>
      <c r="L3461">
        <f xml:space="preserve"> (交易處理資料__3[[#This Row],[售出工時]] * 60) / 5</f>
        <v>86.439999995999997</v>
      </c>
      <c r="M3461" t="str">
        <f>VLOOKUP(交易處理資料__3[[#This Row],[人員代號]],團隊分組!$B$1:$C$52,2,FALSE)</f>
        <v>查修團隊A</v>
      </c>
      <c r="N3461" t="str">
        <f>IF(交易處理資料__3[[#This Row],[上班時間]]=0,"否","是")</f>
        <v>是</v>
      </c>
      <c r="O3461" t="s">
        <v>76</v>
      </c>
      <c r="P3461" s="38">
        <v>2.0522317189999999</v>
      </c>
      <c r="Q3461" s="38">
        <v>0.8970999999999999</v>
      </c>
      <c r="R3461" s="38">
        <v>0.49560000000000004</v>
      </c>
    </row>
    <row r="3462" spans="1:18" hidden="1">
      <c r="A3462" t="s">
        <v>76</v>
      </c>
      <c r="B3462" t="s">
        <v>26</v>
      </c>
      <c r="C3462">
        <v>0.4</v>
      </c>
      <c r="D3462">
        <v>1.08</v>
      </c>
      <c r="E3462" s="29">
        <v>0.37037037040000004</v>
      </c>
      <c r="F3462">
        <v>3.26</v>
      </c>
      <c r="G3462">
        <v>4.78</v>
      </c>
      <c r="H3462">
        <v>8.0399999999999991</v>
      </c>
      <c r="I3462" s="29">
        <v>0.40549999999999997</v>
      </c>
      <c r="J3462" s="29">
        <v>4.9800000000000004E-2</v>
      </c>
      <c r="K3462" s="9">
        <v>45381</v>
      </c>
      <c r="L3462">
        <f xml:space="preserve"> (交易處理資料__3[[#This Row],[售出工時]] * 60) / 5</f>
        <v>4.8</v>
      </c>
      <c r="M3462" t="str">
        <f>VLOOKUP(交易處理資料__3[[#This Row],[人員代號]],團隊分組!$B$1:$C$52,2,FALSE)</f>
        <v>查修團隊B</v>
      </c>
      <c r="N3462" t="str">
        <f>IF(交易處理資料__3[[#This Row],[上班時間]]=0,"否","是")</f>
        <v>是</v>
      </c>
      <c r="O3462" t="s">
        <v>76</v>
      </c>
      <c r="P3462" s="37">
        <v>0.37037037040000004</v>
      </c>
      <c r="Q3462" s="37">
        <v>4.9800000000000004E-2</v>
      </c>
      <c r="R3462" s="37">
        <v>0.40549999999999997</v>
      </c>
    </row>
    <row r="3463" spans="1:18" hidden="1">
      <c r="A3463" t="s">
        <v>76</v>
      </c>
      <c r="B3463" t="s">
        <v>27</v>
      </c>
      <c r="C3463">
        <v>3.98</v>
      </c>
      <c r="D3463">
        <v>3.91</v>
      </c>
      <c r="E3463" s="29">
        <v>1.0179028130000001</v>
      </c>
      <c r="F3463">
        <v>7.71</v>
      </c>
      <c r="G3463">
        <v>0.3</v>
      </c>
      <c r="H3463">
        <v>8.01</v>
      </c>
      <c r="I3463" s="29">
        <v>0.96250000000000002</v>
      </c>
      <c r="J3463" s="29">
        <v>0.49689999999999995</v>
      </c>
      <c r="K3463" s="9">
        <v>45381</v>
      </c>
      <c r="L3463">
        <f xml:space="preserve"> (交易處理資料__3[[#This Row],[售出工時]] * 60) / 5</f>
        <v>47.760000000000005</v>
      </c>
      <c r="M3463" t="str">
        <f>VLOOKUP(交易處理資料__3[[#This Row],[人員代號]],團隊分組!$B$1:$C$52,2,FALSE)</f>
        <v>快速保養團隊B</v>
      </c>
      <c r="N3463" t="str">
        <f>IF(交易處理資料__3[[#This Row],[上班時間]]=0,"否","是")</f>
        <v>是</v>
      </c>
      <c r="O3463" t="s">
        <v>76</v>
      </c>
      <c r="P3463" s="38">
        <v>1.0179028130000001</v>
      </c>
      <c r="Q3463" s="38">
        <v>0.49689999999999995</v>
      </c>
      <c r="R3463" s="38">
        <v>0.96250000000000002</v>
      </c>
    </row>
    <row r="3464" spans="1:18" hidden="1">
      <c r="A3464" t="s">
        <v>76</v>
      </c>
      <c r="B3464" t="s">
        <v>28</v>
      </c>
      <c r="C3464">
        <v>3.8033333329999999</v>
      </c>
      <c r="D3464">
        <v>3.67</v>
      </c>
      <c r="E3464" s="29">
        <v>1.036330609</v>
      </c>
      <c r="F3464">
        <v>3.67</v>
      </c>
      <c r="G3464">
        <v>4.3499999999999996</v>
      </c>
      <c r="H3464">
        <v>8.02</v>
      </c>
      <c r="I3464" s="29">
        <v>0.45760000000000001</v>
      </c>
      <c r="J3464" s="29">
        <v>0.47420000000000001</v>
      </c>
      <c r="K3464" s="9">
        <v>45381</v>
      </c>
      <c r="L3464">
        <f xml:space="preserve"> (交易處理資料__3[[#This Row],[售出工時]] * 60) / 5</f>
        <v>45.639999996</v>
      </c>
      <c r="M3464" t="str">
        <f>VLOOKUP(交易處理資料__3[[#This Row],[人員代號]],團隊分組!$B$1:$C$52,2,FALSE)</f>
        <v>快速保養團隊A</v>
      </c>
      <c r="N3464" t="str">
        <f>IF(交易處理資料__3[[#This Row],[上班時間]]=0,"否","是")</f>
        <v>是</v>
      </c>
      <c r="O3464" t="s">
        <v>76</v>
      </c>
      <c r="P3464" s="37">
        <v>1.036330609</v>
      </c>
      <c r="Q3464" s="37">
        <v>0.47420000000000001</v>
      </c>
      <c r="R3464" s="37">
        <v>0.45760000000000001</v>
      </c>
    </row>
    <row r="3465" spans="1:18" hidden="1">
      <c r="A3465" t="s">
        <v>76</v>
      </c>
      <c r="B3465" t="s">
        <v>29</v>
      </c>
      <c r="C3465">
        <v>2.4300000000000002</v>
      </c>
      <c r="D3465">
        <v>2.71</v>
      </c>
      <c r="E3465" s="29">
        <v>0.89667896680000003</v>
      </c>
      <c r="F3465">
        <v>4.13</v>
      </c>
      <c r="G3465">
        <v>3.9</v>
      </c>
      <c r="H3465">
        <v>8.0299999999999994</v>
      </c>
      <c r="I3465" s="29">
        <v>0.51429999999999998</v>
      </c>
      <c r="J3465" s="29">
        <v>0.30260000000000004</v>
      </c>
      <c r="K3465" s="9">
        <v>45381</v>
      </c>
      <c r="L3465">
        <f xml:space="preserve"> (交易處理資料__3[[#This Row],[售出工時]] * 60) / 5</f>
        <v>29.160000000000004</v>
      </c>
      <c r="M3465" t="str">
        <f>VLOOKUP(交易處理資料__3[[#This Row],[人員代號]],團隊分組!$B$1:$C$52,2,FALSE)</f>
        <v>查修團隊B</v>
      </c>
      <c r="N3465" t="str">
        <f>IF(交易處理資料__3[[#This Row],[上班時間]]=0,"否","是")</f>
        <v>是</v>
      </c>
      <c r="O3465" t="s">
        <v>76</v>
      </c>
      <c r="P3465" s="38">
        <v>0.89667896680000003</v>
      </c>
      <c r="Q3465" s="38">
        <v>0.30260000000000004</v>
      </c>
      <c r="R3465" s="38">
        <v>0.51429999999999998</v>
      </c>
    </row>
    <row r="3466" spans="1:18" hidden="1">
      <c r="A3466" t="s">
        <v>76</v>
      </c>
      <c r="B3466" t="s">
        <v>30</v>
      </c>
      <c r="C3466">
        <v>5.24</v>
      </c>
      <c r="D3466">
        <v>3.79</v>
      </c>
      <c r="E3466" s="29">
        <v>1.382585752</v>
      </c>
      <c r="F3466">
        <v>7.74</v>
      </c>
      <c r="G3466">
        <v>0.32</v>
      </c>
      <c r="H3466">
        <v>8.06</v>
      </c>
      <c r="I3466" s="29">
        <v>0.96030000000000004</v>
      </c>
      <c r="J3466" s="29">
        <v>0.65010000000000001</v>
      </c>
      <c r="K3466" s="9">
        <v>45381</v>
      </c>
      <c r="L3466">
        <f xml:space="preserve"> (交易處理資料__3[[#This Row],[售出工時]] * 60) / 5</f>
        <v>62.88000000000001</v>
      </c>
      <c r="M3466" t="str">
        <f>VLOOKUP(交易處理資料__3[[#This Row],[人員代號]],團隊分組!$B$1:$C$52,2,FALSE)</f>
        <v>快速保養團隊B</v>
      </c>
      <c r="N3466" t="str">
        <f>IF(交易處理資料__3[[#This Row],[上班時間]]=0,"否","是")</f>
        <v>是</v>
      </c>
      <c r="O3466" t="s">
        <v>76</v>
      </c>
      <c r="P3466" s="37">
        <v>1.382585752</v>
      </c>
      <c r="Q3466" s="37">
        <v>0.65010000000000001</v>
      </c>
      <c r="R3466" s="37">
        <v>0.96030000000000004</v>
      </c>
    </row>
    <row r="3467" spans="1:18" hidden="1">
      <c r="A3467" t="s">
        <v>76</v>
      </c>
      <c r="B3467" t="s">
        <v>32</v>
      </c>
      <c r="C3467">
        <v>1.71</v>
      </c>
      <c r="D3467">
        <v>2.4</v>
      </c>
      <c r="E3467" s="29">
        <v>0.71250000000000002</v>
      </c>
      <c r="F3467">
        <v>4.13</v>
      </c>
      <c r="G3467">
        <v>3.89</v>
      </c>
      <c r="H3467">
        <v>8.02</v>
      </c>
      <c r="I3467" s="29">
        <v>0.51500000000000001</v>
      </c>
      <c r="J3467" s="29">
        <v>0.2132</v>
      </c>
      <c r="K3467" s="9">
        <v>45381</v>
      </c>
      <c r="L3467">
        <f xml:space="preserve"> (交易處理資料__3[[#This Row],[售出工時]] * 60) / 5</f>
        <v>20.52</v>
      </c>
      <c r="M3467" t="str">
        <f>VLOOKUP(交易處理資料__3[[#This Row],[人員代號]],團隊分組!$B$1:$C$52,2,FALSE)</f>
        <v>快速保養團隊B</v>
      </c>
      <c r="N3467" t="str">
        <f>IF(交易處理資料__3[[#This Row],[上班時間]]=0,"否","是")</f>
        <v>是</v>
      </c>
      <c r="O3467" t="s">
        <v>76</v>
      </c>
      <c r="P3467" s="38">
        <v>0.71250000000000002</v>
      </c>
      <c r="Q3467" s="38">
        <v>0.2132</v>
      </c>
      <c r="R3467" s="38">
        <v>0.51500000000000001</v>
      </c>
    </row>
    <row r="3468" spans="1:18" hidden="1">
      <c r="A3468" t="s">
        <v>76</v>
      </c>
      <c r="B3468" t="s">
        <v>33</v>
      </c>
      <c r="C3468">
        <v>10.18</v>
      </c>
      <c r="D3468">
        <v>5.41</v>
      </c>
      <c r="E3468" s="29">
        <v>1.8817005549999999</v>
      </c>
      <c r="F3468">
        <v>3.62</v>
      </c>
      <c r="G3468">
        <v>4.41</v>
      </c>
      <c r="H3468">
        <v>8.0299999999999994</v>
      </c>
      <c r="I3468" s="29">
        <v>0.45079999999999998</v>
      </c>
      <c r="J3468" s="29">
        <v>1.2677</v>
      </c>
      <c r="K3468" s="9">
        <v>45381</v>
      </c>
      <c r="L3468">
        <f xml:space="preserve"> (交易處理資料__3[[#This Row],[售出工時]] * 60) / 5</f>
        <v>122.16</v>
      </c>
      <c r="M3468" t="str">
        <f>VLOOKUP(交易處理資料__3[[#This Row],[人員代號]],團隊分組!$B$1:$C$52,2,FALSE)</f>
        <v>快速保養團隊B</v>
      </c>
      <c r="N3468" t="str">
        <f>IF(交易處理資料__3[[#This Row],[上班時間]]=0,"否","是")</f>
        <v>是</v>
      </c>
      <c r="O3468" t="s">
        <v>76</v>
      </c>
      <c r="P3468" s="37">
        <v>1.8817005549999999</v>
      </c>
      <c r="Q3468" s="37">
        <v>1.2677</v>
      </c>
      <c r="R3468" s="37">
        <v>0.45079999999999998</v>
      </c>
    </row>
    <row r="3469" spans="1:18" hidden="1">
      <c r="A3469" t="s">
        <v>76</v>
      </c>
      <c r="B3469" t="s">
        <v>34</v>
      </c>
      <c r="C3469">
        <v>0</v>
      </c>
      <c r="D3469">
        <v>0</v>
      </c>
      <c r="E3469" s="29">
        <v>0</v>
      </c>
      <c r="F3469">
        <v>0</v>
      </c>
      <c r="G3469">
        <v>0</v>
      </c>
      <c r="H3469">
        <v>0</v>
      </c>
      <c r="I3469" s="29">
        <v>0</v>
      </c>
      <c r="J3469" s="29">
        <v>0</v>
      </c>
      <c r="K3469" s="9">
        <v>45381</v>
      </c>
      <c r="L3469">
        <f xml:space="preserve"> (交易處理資料__3[[#This Row],[售出工時]] * 60) / 5</f>
        <v>0</v>
      </c>
      <c r="M3469" t="str">
        <f>VLOOKUP(交易處理資料__3[[#This Row],[人員代號]],團隊分組!$B$1:$C$52,2,FALSE)</f>
        <v>快速保養團隊A</v>
      </c>
      <c r="N3469" t="str">
        <f>IF(交易處理資料__3[[#This Row],[上班時間]]=0,"否","是")</f>
        <v>否</v>
      </c>
      <c r="O3469" t="s">
        <v>76</v>
      </c>
      <c r="P3469" s="38">
        <v>0</v>
      </c>
      <c r="Q3469" s="38">
        <v>0</v>
      </c>
      <c r="R3469" s="38">
        <v>0</v>
      </c>
    </row>
    <row r="3470" spans="1:18" hidden="1">
      <c r="A3470" t="s">
        <v>76</v>
      </c>
      <c r="B3470" t="s">
        <v>35</v>
      </c>
      <c r="C3470">
        <v>0</v>
      </c>
      <c r="D3470">
        <v>0</v>
      </c>
      <c r="E3470" s="29">
        <v>0</v>
      </c>
      <c r="F3470">
        <v>0</v>
      </c>
      <c r="G3470">
        <v>0</v>
      </c>
      <c r="H3470">
        <v>0</v>
      </c>
      <c r="I3470" s="29">
        <v>0</v>
      </c>
      <c r="J3470" s="29">
        <v>0</v>
      </c>
      <c r="K3470" s="9">
        <v>45381</v>
      </c>
      <c r="L3470">
        <f xml:space="preserve"> (交易處理資料__3[[#This Row],[售出工時]] * 60) / 5</f>
        <v>0</v>
      </c>
      <c r="M3470" t="str">
        <f>VLOOKUP(交易處理資料__3[[#This Row],[人員代號]],團隊分組!$B$1:$C$52,2,FALSE)</f>
        <v>查修團隊B</v>
      </c>
      <c r="N3470" t="str">
        <f>IF(交易處理資料__3[[#This Row],[上班時間]]=0,"否","是")</f>
        <v>否</v>
      </c>
      <c r="O3470" t="s">
        <v>76</v>
      </c>
      <c r="P3470" s="37">
        <v>0</v>
      </c>
      <c r="Q3470" s="37">
        <v>0</v>
      </c>
      <c r="R3470" s="37">
        <v>0</v>
      </c>
    </row>
    <row r="3471" spans="1:18" hidden="1">
      <c r="A3471" t="s">
        <v>76</v>
      </c>
      <c r="B3471" t="s">
        <v>36</v>
      </c>
      <c r="C3471">
        <v>0</v>
      </c>
      <c r="D3471">
        <v>0</v>
      </c>
      <c r="E3471" s="29">
        <v>0</v>
      </c>
      <c r="F3471">
        <v>0</v>
      </c>
      <c r="G3471">
        <v>0</v>
      </c>
      <c r="H3471">
        <v>0</v>
      </c>
      <c r="I3471" s="29">
        <v>0</v>
      </c>
      <c r="J3471" s="29">
        <v>0</v>
      </c>
      <c r="K3471" s="9">
        <v>45381</v>
      </c>
      <c r="L3471">
        <f xml:space="preserve"> (交易處理資料__3[[#This Row],[售出工時]] * 60) / 5</f>
        <v>0</v>
      </c>
      <c r="M3471" t="str">
        <f>VLOOKUP(交易處理資料__3[[#This Row],[人員代號]],團隊分組!$B$1:$C$52,2,FALSE)</f>
        <v>查修團隊B</v>
      </c>
      <c r="N3471" t="str">
        <f>IF(交易處理資料__3[[#This Row],[上班時間]]=0,"否","是")</f>
        <v>否</v>
      </c>
      <c r="O3471" t="s">
        <v>76</v>
      </c>
      <c r="P3471" s="38">
        <v>0</v>
      </c>
      <c r="Q3471" s="38">
        <v>0</v>
      </c>
      <c r="R3471" s="38">
        <v>0</v>
      </c>
    </row>
    <row r="3472" spans="1:18" hidden="1">
      <c r="A3472" t="s">
        <v>76</v>
      </c>
      <c r="B3472" t="s">
        <v>37</v>
      </c>
      <c r="C3472">
        <v>3.9</v>
      </c>
      <c r="D3472">
        <v>3.59</v>
      </c>
      <c r="E3472" s="29">
        <v>1.086350975</v>
      </c>
      <c r="F3472">
        <v>3.59</v>
      </c>
      <c r="G3472">
        <v>4.43</v>
      </c>
      <c r="H3472">
        <v>8.02</v>
      </c>
      <c r="I3472" s="29">
        <v>0.4476</v>
      </c>
      <c r="J3472" s="29">
        <v>0.48630000000000001</v>
      </c>
      <c r="K3472" s="9">
        <v>45381</v>
      </c>
      <c r="L3472">
        <f xml:space="preserve"> (交易處理資料__3[[#This Row],[售出工時]] * 60) / 5</f>
        <v>46.8</v>
      </c>
      <c r="M3472" t="str">
        <f>VLOOKUP(交易處理資料__3[[#This Row],[人員代號]],團隊分組!$B$1:$C$52,2,FALSE)</f>
        <v>查修團隊A</v>
      </c>
      <c r="N3472" t="str">
        <f>IF(交易處理資料__3[[#This Row],[上班時間]]=0,"否","是")</f>
        <v>是</v>
      </c>
      <c r="O3472" t="s">
        <v>76</v>
      </c>
      <c r="P3472" s="37">
        <v>1.086350975</v>
      </c>
      <c r="Q3472" s="37">
        <v>0.48630000000000001</v>
      </c>
      <c r="R3472" s="37">
        <v>0.4476</v>
      </c>
    </row>
    <row r="3473" spans="1:18" hidden="1">
      <c r="A3473" t="s">
        <v>76</v>
      </c>
      <c r="B3473" t="s">
        <v>39</v>
      </c>
      <c r="C3473">
        <v>0</v>
      </c>
      <c r="D3473">
        <v>0</v>
      </c>
      <c r="E3473" s="29">
        <v>0</v>
      </c>
      <c r="F3473">
        <v>0</v>
      </c>
      <c r="G3473">
        <v>0</v>
      </c>
      <c r="H3473">
        <v>0</v>
      </c>
      <c r="I3473" s="29">
        <v>0</v>
      </c>
      <c r="J3473" s="29">
        <v>0</v>
      </c>
      <c r="K3473" s="9">
        <v>45381</v>
      </c>
      <c r="L3473">
        <f xml:space="preserve"> (交易處理資料__3[[#This Row],[售出工時]] * 60) / 5</f>
        <v>0</v>
      </c>
      <c r="M3473" t="str">
        <f>VLOOKUP(交易處理資料__3[[#This Row],[人員代號]],團隊分組!$B$1:$C$52,2,FALSE)</f>
        <v>查修團隊A</v>
      </c>
      <c r="N3473" t="str">
        <f>IF(交易處理資料__3[[#This Row],[上班時間]]=0,"否","是")</f>
        <v>否</v>
      </c>
      <c r="O3473" t="s">
        <v>76</v>
      </c>
      <c r="P3473" s="38">
        <v>0</v>
      </c>
      <c r="Q3473" s="38">
        <v>0</v>
      </c>
      <c r="R3473" s="38">
        <v>0</v>
      </c>
    </row>
    <row r="3474" spans="1:18" hidden="1">
      <c r="A3474" t="s">
        <v>76</v>
      </c>
      <c r="B3474" t="s">
        <v>40</v>
      </c>
      <c r="C3474">
        <v>0</v>
      </c>
      <c r="D3474">
        <v>0</v>
      </c>
      <c r="E3474" s="29">
        <v>0</v>
      </c>
      <c r="F3474">
        <v>0</v>
      </c>
      <c r="G3474">
        <v>0</v>
      </c>
      <c r="H3474">
        <v>0</v>
      </c>
      <c r="I3474" s="29">
        <v>0</v>
      </c>
      <c r="J3474" s="29">
        <v>0</v>
      </c>
      <c r="K3474" s="9">
        <v>45381</v>
      </c>
      <c r="L3474">
        <f xml:space="preserve"> (交易處理資料__3[[#This Row],[售出工時]] * 60) / 5</f>
        <v>0</v>
      </c>
      <c r="M3474" t="str">
        <f>VLOOKUP(交易處理資料__3[[#This Row],[人員代號]],團隊分組!$B$1:$C$52,2,FALSE)</f>
        <v>查修團隊A</v>
      </c>
      <c r="N3474" t="str">
        <f>IF(交易處理資料__3[[#This Row],[上班時間]]=0,"否","是")</f>
        <v>否</v>
      </c>
      <c r="O3474" t="s">
        <v>76</v>
      </c>
      <c r="P3474" s="37">
        <v>0</v>
      </c>
      <c r="Q3474" s="37">
        <v>0</v>
      </c>
      <c r="R3474" s="37">
        <v>0</v>
      </c>
    </row>
    <row r="3475" spans="1:18" hidden="1">
      <c r="A3475" t="s">
        <v>76</v>
      </c>
      <c r="B3475" t="s">
        <v>42</v>
      </c>
      <c r="C3475">
        <v>4.9366666669999999</v>
      </c>
      <c r="D3475">
        <v>4.5</v>
      </c>
      <c r="E3475" s="29">
        <v>1.097037037</v>
      </c>
      <c r="F3475">
        <v>4.5</v>
      </c>
      <c r="G3475">
        <v>3.55</v>
      </c>
      <c r="H3475">
        <v>8.0500000000000007</v>
      </c>
      <c r="I3475" s="29">
        <v>0.55899999999999994</v>
      </c>
      <c r="J3475" s="29">
        <v>0.61329999999999996</v>
      </c>
      <c r="K3475" s="9">
        <v>45381</v>
      </c>
      <c r="L3475">
        <f xml:space="preserve"> (交易處理資料__3[[#This Row],[售出工時]] * 60) / 5</f>
        <v>59.240000004000002</v>
      </c>
      <c r="M3475" t="str">
        <f>VLOOKUP(交易處理資料__3[[#This Row],[人員代號]],團隊分組!$B$1:$C$52,2,FALSE)</f>
        <v>快速保養團隊A</v>
      </c>
      <c r="N3475" t="str">
        <f>IF(交易處理資料__3[[#This Row],[上班時間]]=0,"否","是")</f>
        <v>是</v>
      </c>
      <c r="O3475" t="s">
        <v>76</v>
      </c>
      <c r="P3475" s="38">
        <v>1.097037037</v>
      </c>
      <c r="Q3475" s="38">
        <v>0.61329999999999996</v>
      </c>
      <c r="R3475" s="38">
        <v>0.55899999999999994</v>
      </c>
    </row>
    <row r="3476" spans="1:18" hidden="1">
      <c r="A3476" t="s">
        <v>76</v>
      </c>
      <c r="B3476" t="s">
        <v>43</v>
      </c>
      <c r="C3476">
        <v>0</v>
      </c>
      <c r="D3476">
        <v>0</v>
      </c>
      <c r="E3476" s="29">
        <v>0</v>
      </c>
      <c r="F3476">
        <v>0</v>
      </c>
      <c r="G3476">
        <v>0</v>
      </c>
      <c r="H3476">
        <v>0</v>
      </c>
      <c r="I3476" s="29">
        <v>0</v>
      </c>
      <c r="J3476" s="29">
        <v>0</v>
      </c>
      <c r="K3476" s="9">
        <v>45381</v>
      </c>
      <c r="L3476">
        <f xml:space="preserve"> (交易處理資料__3[[#This Row],[售出工時]] * 60) / 5</f>
        <v>0</v>
      </c>
      <c r="M3476" t="str">
        <f>VLOOKUP(交易處理資料__3[[#This Row],[人員代號]],團隊分組!$B$1:$C$52,2,FALSE)</f>
        <v>查修團隊B</v>
      </c>
      <c r="N3476" t="str">
        <f>IF(交易處理資料__3[[#This Row],[上班時間]]=0,"否","是")</f>
        <v>否</v>
      </c>
      <c r="O3476" t="s">
        <v>76</v>
      </c>
      <c r="P3476" s="37">
        <v>0</v>
      </c>
      <c r="Q3476" s="37">
        <v>0</v>
      </c>
      <c r="R3476" s="37">
        <v>0</v>
      </c>
    </row>
    <row r="3477" spans="1:18" hidden="1">
      <c r="A3477" t="s">
        <v>76</v>
      </c>
      <c r="B3477" t="s">
        <v>44</v>
      </c>
      <c r="C3477">
        <v>0</v>
      </c>
      <c r="D3477">
        <v>0</v>
      </c>
      <c r="E3477" s="29">
        <v>0</v>
      </c>
      <c r="F3477">
        <v>0</v>
      </c>
      <c r="G3477">
        <v>0</v>
      </c>
      <c r="H3477">
        <v>0</v>
      </c>
      <c r="I3477" s="29">
        <v>0</v>
      </c>
      <c r="J3477" s="29">
        <v>0</v>
      </c>
      <c r="K3477" s="9">
        <v>45381</v>
      </c>
      <c r="L3477">
        <f xml:space="preserve"> (交易處理資料__3[[#This Row],[售出工時]] * 60) / 5</f>
        <v>0</v>
      </c>
      <c r="M3477" t="str">
        <f>VLOOKUP(交易處理資料__3[[#This Row],[人員代號]],團隊分組!$B$1:$C$52,2,FALSE)</f>
        <v>快速保養團隊B</v>
      </c>
      <c r="N3477" t="str">
        <f>IF(交易處理資料__3[[#This Row],[上班時間]]=0,"否","是")</f>
        <v>否</v>
      </c>
      <c r="O3477" t="s">
        <v>76</v>
      </c>
      <c r="P3477" s="38">
        <v>0</v>
      </c>
      <c r="Q3477" s="38">
        <v>0</v>
      </c>
      <c r="R3477" s="38">
        <v>0</v>
      </c>
    </row>
    <row r="3478" spans="1:18" hidden="1">
      <c r="A3478" t="s">
        <v>76</v>
      </c>
      <c r="B3478" t="s">
        <v>45</v>
      </c>
      <c r="C3478">
        <v>4.6666666670000003</v>
      </c>
      <c r="D3478">
        <v>2.48</v>
      </c>
      <c r="E3478" s="29">
        <v>1.8817204300000001</v>
      </c>
      <c r="F3478">
        <v>4.0599999999999996</v>
      </c>
      <c r="G3478">
        <v>3.96</v>
      </c>
      <c r="H3478">
        <v>8.02</v>
      </c>
      <c r="I3478" s="29">
        <v>0.50619999999999998</v>
      </c>
      <c r="J3478" s="29">
        <v>0.58189999999999997</v>
      </c>
      <c r="K3478" s="9">
        <v>45381</v>
      </c>
      <c r="L3478">
        <f xml:space="preserve"> (交易處理資料__3[[#This Row],[售出工時]] * 60) / 5</f>
        <v>56.000000004</v>
      </c>
      <c r="M3478" t="str">
        <f>VLOOKUP(交易處理資料__3[[#This Row],[人員代號]],團隊分組!$B$1:$C$52,2,FALSE)</f>
        <v>快速保養團隊A</v>
      </c>
      <c r="N3478" t="str">
        <f>IF(交易處理資料__3[[#This Row],[上班時間]]=0,"否","是")</f>
        <v>是</v>
      </c>
      <c r="O3478" t="s">
        <v>76</v>
      </c>
      <c r="P3478" s="37">
        <v>1.8817204300000001</v>
      </c>
      <c r="Q3478" s="37">
        <v>0.58189999999999997</v>
      </c>
      <c r="R3478" s="37">
        <v>0.50619999999999998</v>
      </c>
    </row>
    <row r="3479" spans="1:18" hidden="1">
      <c r="A3479" t="s">
        <v>76</v>
      </c>
      <c r="B3479" t="s">
        <v>46</v>
      </c>
      <c r="C3479">
        <v>7.9166666670000003</v>
      </c>
      <c r="D3479">
        <v>4.17</v>
      </c>
      <c r="E3479" s="29">
        <v>1.8984812149999999</v>
      </c>
      <c r="F3479">
        <v>4.17</v>
      </c>
      <c r="G3479">
        <v>3.86</v>
      </c>
      <c r="H3479">
        <v>8.0299999999999994</v>
      </c>
      <c r="I3479" s="29">
        <v>0.51929999999999998</v>
      </c>
      <c r="J3479" s="29">
        <v>0.9859</v>
      </c>
      <c r="K3479" s="9">
        <v>45381</v>
      </c>
      <c r="L3479">
        <f xml:space="preserve"> (交易處理資料__3[[#This Row],[售出工時]] * 60) / 5</f>
        <v>95.000000004</v>
      </c>
      <c r="M3479" t="str">
        <f>VLOOKUP(交易處理資料__3[[#This Row],[人員代號]],團隊分組!$B$1:$C$52,2,FALSE)</f>
        <v>查修團隊B</v>
      </c>
      <c r="N3479" t="str">
        <f>IF(交易處理資料__3[[#This Row],[上班時間]]=0,"否","是")</f>
        <v>是</v>
      </c>
      <c r="O3479" t="s">
        <v>76</v>
      </c>
      <c r="P3479" s="38">
        <v>1.8984812149999999</v>
      </c>
      <c r="Q3479" s="38">
        <v>0.9859</v>
      </c>
      <c r="R3479" s="38">
        <v>0.51929999999999998</v>
      </c>
    </row>
    <row r="3480" spans="1:18" hidden="1">
      <c r="A3480" t="s">
        <v>76</v>
      </c>
      <c r="B3480" t="s">
        <v>47</v>
      </c>
      <c r="C3480">
        <v>0</v>
      </c>
      <c r="D3480">
        <v>0</v>
      </c>
      <c r="E3480" s="29">
        <v>0</v>
      </c>
      <c r="F3480">
        <v>0</v>
      </c>
      <c r="G3480">
        <v>0</v>
      </c>
      <c r="H3480">
        <v>0</v>
      </c>
      <c r="I3480" s="29">
        <v>0</v>
      </c>
      <c r="J3480" s="29">
        <v>0</v>
      </c>
      <c r="K3480" s="9">
        <v>45381</v>
      </c>
      <c r="L3480">
        <f xml:space="preserve"> (交易處理資料__3[[#This Row],[售出工時]] * 60) / 5</f>
        <v>0</v>
      </c>
      <c r="M3480" t="str">
        <f>VLOOKUP(交易處理資料__3[[#This Row],[人員代號]],團隊分組!$B$1:$C$52,2,FALSE)</f>
        <v>查修團隊B</v>
      </c>
      <c r="N3480" t="str">
        <f>IF(交易處理資料__3[[#This Row],[上班時間]]=0,"否","是")</f>
        <v>否</v>
      </c>
      <c r="O3480" t="s">
        <v>76</v>
      </c>
      <c r="P3480" s="37">
        <v>0</v>
      </c>
      <c r="Q3480" s="37">
        <v>0</v>
      </c>
      <c r="R3480" s="37">
        <v>0</v>
      </c>
    </row>
    <row r="3481" spans="1:18" hidden="1">
      <c r="A3481" t="s">
        <v>76</v>
      </c>
      <c r="B3481" t="s">
        <v>49</v>
      </c>
      <c r="C3481">
        <v>0</v>
      </c>
      <c r="D3481">
        <v>0</v>
      </c>
      <c r="E3481" s="29">
        <v>0</v>
      </c>
      <c r="F3481">
        <v>0</v>
      </c>
      <c r="G3481">
        <v>0</v>
      </c>
      <c r="H3481">
        <v>0</v>
      </c>
      <c r="I3481" s="29">
        <v>0</v>
      </c>
      <c r="J3481" s="29">
        <v>0</v>
      </c>
      <c r="K3481" s="9">
        <v>45381</v>
      </c>
      <c r="L3481">
        <f xml:space="preserve"> (交易處理資料__3[[#This Row],[售出工時]] * 60) / 5</f>
        <v>0</v>
      </c>
      <c r="M3481" t="str">
        <f>VLOOKUP(交易處理資料__3[[#This Row],[人員代號]],團隊分組!$B$1:$C$52,2,FALSE)</f>
        <v>查修團隊A</v>
      </c>
      <c r="N3481" t="str">
        <f>IF(交易處理資料__3[[#This Row],[上班時間]]=0,"否","是")</f>
        <v>否</v>
      </c>
      <c r="O3481" t="s">
        <v>76</v>
      </c>
      <c r="P3481" s="38">
        <v>0</v>
      </c>
      <c r="Q3481" s="38">
        <v>0</v>
      </c>
      <c r="R3481" s="38">
        <v>0</v>
      </c>
    </row>
    <row r="3482" spans="1:18" hidden="1">
      <c r="A3482" t="s">
        <v>76</v>
      </c>
      <c r="B3482" t="s">
        <v>50</v>
      </c>
      <c r="C3482">
        <v>5.75</v>
      </c>
      <c r="D3482">
        <v>3.07</v>
      </c>
      <c r="E3482" s="29">
        <v>1.8729641690000001</v>
      </c>
      <c r="F3482">
        <v>5.68</v>
      </c>
      <c r="G3482">
        <v>2.35</v>
      </c>
      <c r="H3482">
        <v>8.0299999999999994</v>
      </c>
      <c r="I3482" s="29">
        <v>0.70730000000000004</v>
      </c>
      <c r="J3482" s="29">
        <v>0.71609999999999996</v>
      </c>
      <c r="K3482" s="9">
        <v>45381</v>
      </c>
      <c r="L3482">
        <f xml:space="preserve"> (交易處理資料__3[[#This Row],[售出工時]] * 60) / 5</f>
        <v>69</v>
      </c>
      <c r="M3482" t="str">
        <f>VLOOKUP(交易處理資料__3[[#This Row],[人員代號]],團隊分組!$B$1:$C$52,2,FALSE)</f>
        <v>快速保養團隊B</v>
      </c>
      <c r="N3482" t="str">
        <f>IF(交易處理資料__3[[#This Row],[上班時間]]=0,"否","是")</f>
        <v>是</v>
      </c>
      <c r="O3482" t="s">
        <v>76</v>
      </c>
      <c r="P3482" s="37">
        <v>1.8729641690000001</v>
      </c>
      <c r="Q3482" s="37">
        <v>0.71609999999999996</v>
      </c>
      <c r="R3482" s="37">
        <v>0.70730000000000004</v>
      </c>
    </row>
    <row r="3483" spans="1:18" hidden="1">
      <c r="A3483" t="s">
        <v>76</v>
      </c>
      <c r="B3483" t="s">
        <v>51</v>
      </c>
      <c r="C3483">
        <v>0</v>
      </c>
      <c r="D3483">
        <v>0</v>
      </c>
      <c r="E3483" s="29">
        <v>0</v>
      </c>
      <c r="F3483">
        <v>0</v>
      </c>
      <c r="G3483">
        <v>0</v>
      </c>
      <c r="H3483">
        <v>0</v>
      </c>
      <c r="I3483" s="29">
        <v>0</v>
      </c>
      <c r="J3483" s="29">
        <v>0</v>
      </c>
      <c r="K3483" s="9">
        <v>45381</v>
      </c>
      <c r="L3483">
        <f xml:space="preserve"> (交易處理資料__3[[#This Row],[售出工時]] * 60) / 5</f>
        <v>0</v>
      </c>
      <c r="M3483" t="str">
        <f>VLOOKUP(交易處理資料__3[[#This Row],[人員代號]],團隊分組!$B$1:$C$52,2,FALSE)</f>
        <v>無效數據</v>
      </c>
      <c r="N3483" t="str">
        <f>IF(交易處理資料__3[[#This Row],[上班時間]]=0,"否","是")</f>
        <v>否</v>
      </c>
      <c r="O3483" t="s">
        <v>76</v>
      </c>
      <c r="P3483" s="38">
        <v>0</v>
      </c>
      <c r="Q3483" s="38">
        <v>0</v>
      </c>
      <c r="R3483" s="38">
        <v>0</v>
      </c>
    </row>
    <row r="3484" spans="1:18" hidden="1">
      <c r="A3484" t="s">
        <v>76</v>
      </c>
      <c r="B3484" t="s">
        <v>52</v>
      </c>
      <c r="C3484">
        <v>7.5733333329999999</v>
      </c>
      <c r="D3484">
        <v>4.87</v>
      </c>
      <c r="E3484" s="29">
        <v>1.555099247</v>
      </c>
      <c r="F3484">
        <v>4.87</v>
      </c>
      <c r="G3484">
        <v>3.15</v>
      </c>
      <c r="H3484">
        <v>8.02</v>
      </c>
      <c r="I3484" s="29">
        <v>0.60719999999999996</v>
      </c>
      <c r="J3484" s="29">
        <v>0.94430000000000003</v>
      </c>
      <c r="K3484" s="9">
        <v>45381</v>
      </c>
      <c r="L3484">
        <f xml:space="preserve"> (交易處理資料__3[[#This Row],[售出工時]] * 60) / 5</f>
        <v>90.879999996000009</v>
      </c>
      <c r="M3484" t="str">
        <f>VLOOKUP(交易處理資料__3[[#This Row],[人員代號]],團隊分組!$B$1:$C$52,2,FALSE)</f>
        <v>查修團隊B</v>
      </c>
      <c r="N3484" t="str">
        <f>IF(交易處理資料__3[[#This Row],[上班時間]]=0,"否","是")</f>
        <v>是</v>
      </c>
      <c r="O3484" t="s">
        <v>76</v>
      </c>
      <c r="P3484" s="37">
        <v>1.555099247</v>
      </c>
      <c r="Q3484" s="37">
        <v>0.94430000000000003</v>
      </c>
      <c r="R3484" s="37">
        <v>0.60719999999999996</v>
      </c>
    </row>
    <row r="3485" spans="1:18" hidden="1">
      <c r="A3485" t="s">
        <v>76</v>
      </c>
      <c r="B3485" t="s">
        <v>53</v>
      </c>
      <c r="C3485">
        <v>0</v>
      </c>
      <c r="D3485">
        <v>0</v>
      </c>
      <c r="E3485" s="29">
        <v>0</v>
      </c>
      <c r="F3485">
        <v>0</v>
      </c>
      <c r="G3485">
        <v>0</v>
      </c>
      <c r="H3485">
        <v>0</v>
      </c>
      <c r="I3485" s="29">
        <v>0</v>
      </c>
      <c r="J3485" s="29">
        <v>0</v>
      </c>
      <c r="K3485" s="9">
        <v>45381</v>
      </c>
      <c r="L3485">
        <f xml:space="preserve"> (交易處理資料__3[[#This Row],[售出工時]] * 60) / 5</f>
        <v>0</v>
      </c>
      <c r="M3485" t="str">
        <f>VLOOKUP(交易處理資料__3[[#This Row],[人員代號]],團隊分組!$B$1:$C$52,2,FALSE)</f>
        <v>查修團隊A</v>
      </c>
      <c r="N3485" t="str">
        <f>IF(交易處理資料__3[[#This Row],[上班時間]]=0,"否","是")</f>
        <v>否</v>
      </c>
      <c r="O3485" t="s">
        <v>76</v>
      </c>
      <c r="P3485" s="38">
        <v>0</v>
      </c>
      <c r="Q3485" s="38">
        <v>0</v>
      </c>
      <c r="R3485" s="38">
        <v>0</v>
      </c>
    </row>
    <row r="3486" spans="1:18" hidden="1">
      <c r="A3486" s="10" t="s">
        <v>74</v>
      </c>
      <c r="B3486" t="s">
        <v>1</v>
      </c>
      <c r="C3486">
        <v>0</v>
      </c>
      <c r="D3486">
        <v>0</v>
      </c>
      <c r="E3486" s="29">
        <v>0</v>
      </c>
      <c r="F3486">
        <v>0</v>
      </c>
      <c r="G3486">
        <v>0</v>
      </c>
      <c r="H3486">
        <v>0</v>
      </c>
      <c r="I3486" s="29">
        <v>0</v>
      </c>
      <c r="J3486" s="29">
        <v>0</v>
      </c>
      <c r="K3486" s="9">
        <v>45382</v>
      </c>
      <c r="L3486">
        <f xml:space="preserve"> (交易處理資料__3[[#This Row],[售出工時]] * 60) / 5</f>
        <v>0</v>
      </c>
      <c r="M3486" t="str">
        <f>VLOOKUP(交易處理資料__3[[#This Row],[人員代號]],團隊分組!$B$1:$C$52,2,FALSE)</f>
        <v>噴漆維修組</v>
      </c>
      <c r="N3486" t="str">
        <f>IF(交易處理資料__3[[#This Row],[上班時間]]=0,"否","是")</f>
        <v>否</v>
      </c>
      <c r="O3486" s="10" t="s">
        <v>74</v>
      </c>
      <c r="P3486" s="37">
        <v>0</v>
      </c>
      <c r="Q3486" s="37">
        <v>0</v>
      </c>
      <c r="R3486" s="37">
        <v>0</v>
      </c>
    </row>
    <row r="3487" spans="1:18" hidden="1">
      <c r="A3487" s="10" t="s">
        <v>74</v>
      </c>
      <c r="B3487" t="s">
        <v>2</v>
      </c>
      <c r="C3487">
        <v>0</v>
      </c>
      <c r="D3487">
        <v>0</v>
      </c>
      <c r="E3487" s="29">
        <v>0</v>
      </c>
      <c r="F3487">
        <v>0</v>
      </c>
      <c r="G3487">
        <v>0</v>
      </c>
      <c r="H3487">
        <v>0</v>
      </c>
      <c r="I3487" s="29">
        <v>0</v>
      </c>
      <c r="J3487" s="29">
        <v>0</v>
      </c>
      <c r="K3487" s="9">
        <v>45382</v>
      </c>
      <c r="L3487">
        <f xml:space="preserve"> (交易處理資料__3[[#This Row],[售出工時]] * 60) / 5</f>
        <v>0</v>
      </c>
      <c r="M3487" t="str">
        <f>VLOOKUP(交易處理資料__3[[#This Row],[人員代號]],團隊分組!$B$1:$C$52,2,FALSE)</f>
        <v>噴漆維修組</v>
      </c>
      <c r="N3487" t="str">
        <f>IF(交易處理資料__3[[#This Row],[上班時間]]=0,"否","是")</f>
        <v>否</v>
      </c>
      <c r="O3487" s="10" t="s">
        <v>74</v>
      </c>
      <c r="P3487" s="38">
        <v>0</v>
      </c>
      <c r="Q3487" s="38">
        <v>0</v>
      </c>
      <c r="R3487" s="38">
        <v>0</v>
      </c>
    </row>
    <row r="3488" spans="1:18" hidden="1">
      <c r="A3488" s="10" t="s">
        <v>74</v>
      </c>
      <c r="B3488" t="s">
        <v>3</v>
      </c>
      <c r="C3488">
        <v>0</v>
      </c>
      <c r="D3488">
        <v>0</v>
      </c>
      <c r="E3488" s="29">
        <v>0</v>
      </c>
      <c r="F3488">
        <v>0</v>
      </c>
      <c r="G3488">
        <v>0</v>
      </c>
      <c r="H3488">
        <v>0</v>
      </c>
      <c r="I3488" s="29">
        <v>0</v>
      </c>
      <c r="J3488" s="29">
        <v>0</v>
      </c>
      <c r="K3488" s="9">
        <v>45382</v>
      </c>
      <c r="L3488">
        <f xml:space="preserve"> (交易處理資料__3[[#This Row],[售出工時]] * 60) / 5</f>
        <v>0</v>
      </c>
      <c r="M3488" t="str">
        <f>VLOOKUP(交易處理資料__3[[#This Row],[人員代號]],團隊分組!$B$1:$C$52,2,FALSE)</f>
        <v>噴漆維修組</v>
      </c>
      <c r="N3488" t="str">
        <f>IF(交易處理資料__3[[#This Row],[上班時間]]=0,"否","是")</f>
        <v>否</v>
      </c>
      <c r="O3488" s="10" t="s">
        <v>74</v>
      </c>
      <c r="P3488" s="37">
        <v>0</v>
      </c>
      <c r="Q3488" s="37">
        <v>0</v>
      </c>
      <c r="R3488" s="37">
        <v>0</v>
      </c>
    </row>
    <row r="3489" spans="1:18" hidden="1">
      <c r="A3489" s="10" t="s">
        <v>74</v>
      </c>
      <c r="B3489" t="s">
        <v>4</v>
      </c>
      <c r="C3489">
        <v>0</v>
      </c>
      <c r="D3489">
        <v>0</v>
      </c>
      <c r="E3489" s="29">
        <v>0</v>
      </c>
      <c r="F3489">
        <v>0</v>
      </c>
      <c r="G3489">
        <v>0</v>
      </c>
      <c r="H3489">
        <v>0</v>
      </c>
      <c r="I3489" s="29">
        <v>0</v>
      </c>
      <c r="J3489" s="29">
        <v>0</v>
      </c>
      <c r="K3489" s="9">
        <v>45382</v>
      </c>
      <c r="L3489">
        <f xml:space="preserve"> (交易處理資料__3[[#This Row],[售出工時]] * 60) / 5</f>
        <v>0</v>
      </c>
      <c r="M3489" t="str">
        <f>VLOOKUP(交易處理資料__3[[#This Row],[人員代號]],團隊分組!$B$1:$C$52,2,FALSE)</f>
        <v>噴漆維修組</v>
      </c>
      <c r="N3489" t="str">
        <f>IF(交易處理資料__3[[#This Row],[上班時間]]=0,"否","是")</f>
        <v>否</v>
      </c>
      <c r="O3489" s="10" t="s">
        <v>74</v>
      </c>
      <c r="P3489" s="38">
        <v>0</v>
      </c>
      <c r="Q3489" s="38">
        <v>0</v>
      </c>
      <c r="R3489" s="38">
        <v>0</v>
      </c>
    </row>
    <row r="3490" spans="1:18" hidden="1">
      <c r="A3490" s="10" t="s">
        <v>74</v>
      </c>
      <c r="B3490" t="s">
        <v>5</v>
      </c>
      <c r="C3490">
        <v>0</v>
      </c>
      <c r="D3490">
        <v>0</v>
      </c>
      <c r="E3490" s="29">
        <v>0</v>
      </c>
      <c r="F3490">
        <v>0</v>
      </c>
      <c r="G3490">
        <v>0</v>
      </c>
      <c r="H3490">
        <v>0</v>
      </c>
      <c r="I3490" s="29">
        <v>0</v>
      </c>
      <c r="J3490" s="29">
        <v>0</v>
      </c>
      <c r="K3490" s="9">
        <v>45382</v>
      </c>
      <c r="L3490">
        <f xml:space="preserve"> (交易處理資料__3[[#This Row],[售出工時]] * 60) / 5</f>
        <v>0</v>
      </c>
      <c r="M3490" t="str">
        <f>VLOOKUP(交易處理資料__3[[#This Row],[人員代號]],團隊分組!$B$1:$C$52,2,FALSE)</f>
        <v>噴漆維修組</v>
      </c>
      <c r="N3490" t="str">
        <f>IF(交易處理資料__3[[#This Row],[上班時間]]=0,"否","是")</f>
        <v>否</v>
      </c>
      <c r="O3490" s="10" t="s">
        <v>74</v>
      </c>
      <c r="P3490" s="37">
        <v>0</v>
      </c>
      <c r="Q3490" s="37">
        <v>0</v>
      </c>
      <c r="R3490" s="37">
        <v>0</v>
      </c>
    </row>
    <row r="3491" spans="1:18" hidden="1">
      <c r="A3491" s="10" t="s">
        <v>74</v>
      </c>
      <c r="B3491" t="s">
        <v>6</v>
      </c>
      <c r="C3491">
        <v>0</v>
      </c>
      <c r="D3491">
        <v>0</v>
      </c>
      <c r="E3491" s="29">
        <v>0</v>
      </c>
      <c r="F3491">
        <v>0</v>
      </c>
      <c r="G3491">
        <v>0</v>
      </c>
      <c r="H3491">
        <v>0</v>
      </c>
      <c r="I3491" s="29">
        <v>0</v>
      </c>
      <c r="J3491" s="29">
        <v>0</v>
      </c>
      <c r="K3491" s="9">
        <v>45382</v>
      </c>
      <c r="L3491">
        <f xml:space="preserve"> (交易處理資料__3[[#This Row],[售出工時]] * 60) / 5</f>
        <v>0</v>
      </c>
      <c r="M3491" t="str">
        <f>VLOOKUP(交易處理資料__3[[#This Row],[人員代號]],團隊分組!$B$1:$C$52,2,FALSE)</f>
        <v>噴漆維修組</v>
      </c>
      <c r="N3491" t="str">
        <f>IF(交易處理資料__3[[#This Row],[上班時間]]=0,"否","是")</f>
        <v>否</v>
      </c>
      <c r="O3491" s="10" t="s">
        <v>74</v>
      </c>
      <c r="P3491" s="38">
        <v>0</v>
      </c>
      <c r="Q3491" s="38">
        <v>0</v>
      </c>
      <c r="R3491" s="38">
        <v>0</v>
      </c>
    </row>
    <row r="3492" spans="1:18">
      <c r="A3492" s="10" t="s">
        <v>74</v>
      </c>
      <c r="B3492" t="s">
        <v>7</v>
      </c>
      <c r="C3492">
        <v>0</v>
      </c>
      <c r="D3492">
        <v>0</v>
      </c>
      <c r="E3492" s="29">
        <v>0</v>
      </c>
      <c r="F3492">
        <v>0</v>
      </c>
      <c r="G3492">
        <v>0</v>
      </c>
      <c r="H3492">
        <v>0</v>
      </c>
      <c r="I3492" s="29">
        <v>0</v>
      </c>
      <c r="J3492" s="29">
        <v>0</v>
      </c>
      <c r="K3492" s="9">
        <v>45382</v>
      </c>
      <c r="L3492">
        <f xml:space="preserve"> (交易處理資料__3[[#This Row],[售出工時]] * 60) / 5</f>
        <v>0</v>
      </c>
      <c r="M3492" t="str">
        <f>VLOOKUP(交易處理資料__3[[#This Row],[人員代號]],團隊分組!$B$1:$C$52,2,FALSE)</f>
        <v>噴漆維修組</v>
      </c>
      <c r="N3492" t="str">
        <f>IF(交易處理資料__3[[#This Row],[上班時間]]=0,"否","是")</f>
        <v>否</v>
      </c>
      <c r="O3492" s="10" t="s">
        <v>74</v>
      </c>
      <c r="P3492" s="37">
        <v>0</v>
      </c>
      <c r="Q3492" s="37">
        <v>0</v>
      </c>
      <c r="R3492" s="37">
        <v>0</v>
      </c>
    </row>
    <row r="3493" spans="1:18" hidden="1">
      <c r="A3493" s="10" t="s">
        <v>74</v>
      </c>
      <c r="B3493" t="s">
        <v>8</v>
      </c>
      <c r="C3493">
        <v>0</v>
      </c>
      <c r="D3493">
        <v>0</v>
      </c>
      <c r="E3493" s="29">
        <v>0</v>
      </c>
      <c r="F3493">
        <v>0</v>
      </c>
      <c r="G3493">
        <v>0</v>
      </c>
      <c r="H3493">
        <v>0</v>
      </c>
      <c r="I3493" s="29">
        <v>0</v>
      </c>
      <c r="J3493" s="29">
        <v>0</v>
      </c>
      <c r="K3493" s="9">
        <v>45382</v>
      </c>
      <c r="L3493">
        <f xml:space="preserve"> (交易處理資料__3[[#This Row],[售出工時]] * 60) / 5</f>
        <v>0</v>
      </c>
      <c r="M3493" t="str">
        <f>VLOOKUP(交易處理資料__3[[#This Row],[人員代號]],團隊分組!$B$1:$C$52,2,FALSE)</f>
        <v>噴漆維修組</v>
      </c>
      <c r="N3493" t="str">
        <f>IF(交易處理資料__3[[#This Row],[上班時間]]=0,"否","是")</f>
        <v>否</v>
      </c>
      <c r="O3493" s="10" t="s">
        <v>74</v>
      </c>
      <c r="P3493" s="38">
        <v>0</v>
      </c>
      <c r="Q3493" s="38">
        <v>0</v>
      </c>
      <c r="R3493" s="38">
        <v>0</v>
      </c>
    </row>
    <row r="3494" spans="1:18" hidden="1">
      <c r="A3494" s="10" t="s">
        <v>74</v>
      </c>
      <c r="B3494" t="s">
        <v>9</v>
      </c>
      <c r="C3494">
        <v>0</v>
      </c>
      <c r="D3494">
        <v>0</v>
      </c>
      <c r="E3494" s="29">
        <v>0</v>
      </c>
      <c r="F3494">
        <v>0</v>
      </c>
      <c r="G3494">
        <v>0</v>
      </c>
      <c r="H3494">
        <v>0</v>
      </c>
      <c r="I3494" s="29">
        <v>0</v>
      </c>
      <c r="J3494" s="29">
        <v>0</v>
      </c>
      <c r="K3494" s="9">
        <v>45382</v>
      </c>
      <c r="L3494">
        <f xml:space="preserve"> (交易處理資料__3[[#This Row],[售出工時]] * 60) / 5</f>
        <v>0</v>
      </c>
      <c r="M3494" t="str">
        <f>VLOOKUP(交易處理資料__3[[#This Row],[人員代號]],團隊分組!$B$1:$C$52,2,FALSE)</f>
        <v>噴漆維修組</v>
      </c>
      <c r="N3494" t="str">
        <f>IF(交易處理資料__3[[#This Row],[上班時間]]=0,"否","是")</f>
        <v>否</v>
      </c>
      <c r="O3494" s="10" t="s">
        <v>74</v>
      </c>
      <c r="P3494" s="37">
        <v>0</v>
      </c>
      <c r="Q3494" s="37">
        <v>0</v>
      </c>
      <c r="R3494" s="37">
        <v>0</v>
      </c>
    </row>
    <row r="3495" spans="1:18" hidden="1">
      <c r="A3495" t="s">
        <v>75</v>
      </c>
      <c r="B3495" t="s">
        <v>11</v>
      </c>
      <c r="C3495">
        <v>0</v>
      </c>
      <c r="D3495">
        <v>0</v>
      </c>
      <c r="E3495" s="29">
        <v>0</v>
      </c>
      <c r="F3495">
        <v>0</v>
      </c>
      <c r="G3495">
        <v>0</v>
      </c>
      <c r="H3495">
        <v>0</v>
      </c>
      <c r="I3495" s="29">
        <v>0</v>
      </c>
      <c r="J3495" s="29">
        <v>0</v>
      </c>
      <c r="K3495" s="9">
        <v>45382</v>
      </c>
      <c r="L3495">
        <f xml:space="preserve"> (交易處理資料__3[[#This Row],[售出工時]] * 60) / 5</f>
        <v>0</v>
      </c>
      <c r="M3495" t="str">
        <f>VLOOKUP(交易處理資料__3[[#This Row],[人員代號]],團隊分組!$B$1:$C$52,2,FALSE)</f>
        <v>鈑金維修組</v>
      </c>
      <c r="N3495" t="str">
        <f>IF(交易處理資料__3[[#This Row],[上班時間]]=0,"否","是")</f>
        <v>否</v>
      </c>
      <c r="O3495" t="s">
        <v>75</v>
      </c>
      <c r="P3495" s="38">
        <v>0</v>
      </c>
      <c r="Q3495" s="38">
        <v>0</v>
      </c>
      <c r="R3495" s="38">
        <v>0</v>
      </c>
    </row>
    <row r="3496" spans="1:18" hidden="1">
      <c r="A3496" t="s">
        <v>75</v>
      </c>
      <c r="B3496" t="s">
        <v>12</v>
      </c>
      <c r="C3496">
        <v>0</v>
      </c>
      <c r="D3496">
        <v>0</v>
      </c>
      <c r="E3496" s="29">
        <v>0</v>
      </c>
      <c r="F3496">
        <v>0</v>
      </c>
      <c r="G3496">
        <v>0</v>
      </c>
      <c r="H3496">
        <v>0</v>
      </c>
      <c r="I3496" s="29">
        <v>0</v>
      </c>
      <c r="J3496" s="29">
        <v>0</v>
      </c>
      <c r="K3496" s="9">
        <v>45382</v>
      </c>
      <c r="L3496">
        <f xml:space="preserve"> (交易處理資料__3[[#This Row],[售出工時]] * 60) / 5</f>
        <v>0</v>
      </c>
      <c r="M3496" t="str">
        <f>VLOOKUP(交易處理資料__3[[#This Row],[人員代號]],團隊分組!$B$1:$C$52,2,FALSE)</f>
        <v>鈑金維修組</v>
      </c>
      <c r="N3496" t="str">
        <f>IF(交易處理資料__3[[#This Row],[上班時間]]=0,"否","是")</f>
        <v>否</v>
      </c>
      <c r="O3496" t="s">
        <v>75</v>
      </c>
      <c r="P3496" s="37">
        <v>0</v>
      </c>
      <c r="Q3496" s="37">
        <v>0</v>
      </c>
      <c r="R3496" s="37">
        <v>0</v>
      </c>
    </row>
    <row r="3497" spans="1:18" hidden="1">
      <c r="A3497" t="s">
        <v>75</v>
      </c>
      <c r="B3497" t="s">
        <v>13</v>
      </c>
      <c r="C3497">
        <v>0</v>
      </c>
      <c r="D3497">
        <v>0</v>
      </c>
      <c r="E3497" s="29">
        <v>0</v>
      </c>
      <c r="F3497">
        <v>0</v>
      </c>
      <c r="G3497">
        <v>0</v>
      </c>
      <c r="H3497">
        <v>0</v>
      </c>
      <c r="I3497" s="29">
        <v>0</v>
      </c>
      <c r="J3497" s="29">
        <v>0</v>
      </c>
      <c r="K3497" s="9">
        <v>45382</v>
      </c>
      <c r="L3497">
        <f xml:space="preserve"> (交易處理資料__3[[#This Row],[售出工時]] * 60) / 5</f>
        <v>0</v>
      </c>
      <c r="M3497" t="str">
        <f>VLOOKUP(交易處理資料__3[[#This Row],[人員代號]],團隊分組!$B$1:$C$52,2,FALSE)</f>
        <v>鈑金維修組</v>
      </c>
      <c r="N3497" t="str">
        <f>IF(交易處理資料__3[[#This Row],[上班時間]]=0,"否","是")</f>
        <v>否</v>
      </c>
      <c r="O3497" t="s">
        <v>75</v>
      </c>
      <c r="P3497" s="38">
        <v>0</v>
      </c>
      <c r="Q3497" s="38">
        <v>0</v>
      </c>
      <c r="R3497" s="38">
        <v>0</v>
      </c>
    </row>
    <row r="3498" spans="1:18" hidden="1">
      <c r="A3498" t="s">
        <v>75</v>
      </c>
      <c r="B3498" t="s">
        <v>14</v>
      </c>
      <c r="C3498">
        <v>0</v>
      </c>
      <c r="D3498">
        <v>0</v>
      </c>
      <c r="E3498" s="29">
        <v>0</v>
      </c>
      <c r="F3498">
        <v>0</v>
      </c>
      <c r="G3498">
        <v>0</v>
      </c>
      <c r="H3498">
        <v>0</v>
      </c>
      <c r="I3498" s="29">
        <v>0</v>
      </c>
      <c r="J3498" s="29">
        <v>0</v>
      </c>
      <c r="K3498" s="9">
        <v>45382</v>
      </c>
      <c r="L3498">
        <f xml:space="preserve"> (交易處理資料__3[[#This Row],[售出工時]] * 60) / 5</f>
        <v>0</v>
      </c>
      <c r="M3498" t="str">
        <f>VLOOKUP(交易處理資料__3[[#This Row],[人員代號]],團隊分組!$B$1:$C$52,2,FALSE)</f>
        <v>鈑金維修組</v>
      </c>
      <c r="N3498" t="str">
        <f>IF(交易處理資料__3[[#This Row],[上班時間]]=0,"否","是")</f>
        <v>否</v>
      </c>
      <c r="O3498" t="s">
        <v>75</v>
      </c>
      <c r="P3498" s="37">
        <v>0</v>
      </c>
      <c r="Q3498" s="37">
        <v>0</v>
      </c>
      <c r="R3498" s="37">
        <v>0</v>
      </c>
    </row>
    <row r="3499" spans="1:18" hidden="1">
      <c r="A3499" t="s">
        <v>75</v>
      </c>
      <c r="B3499" t="s">
        <v>15</v>
      </c>
      <c r="C3499">
        <v>0</v>
      </c>
      <c r="D3499">
        <v>0</v>
      </c>
      <c r="E3499" s="29">
        <v>0</v>
      </c>
      <c r="F3499">
        <v>0</v>
      </c>
      <c r="G3499">
        <v>0</v>
      </c>
      <c r="H3499">
        <v>0</v>
      </c>
      <c r="I3499" s="29">
        <v>0</v>
      </c>
      <c r="J3499" s="29">
        <v>0</v>
      </c>
      <c r="K3499" s="9">
        <v>45382</v>
      </c>
      <c r="L3499">
        <f xml:space="preserve"> (交易處理資料__3[[#This Row],[售出工時]] * 60) / 5</f>
        <v>0</v>
      </c>
      <c r="M3499" t="str">
        <f>VLOOKUP(交易處理資料__3[[#This Row],[人員代號]],團隊分組!$B$1:$C$52,2,FALSE)</f>
        <v>鈑金維修組</v>
      </c>
      <c r="N3499" t="str">
        <f>IF(交易處理資料__3[[#This Row],[上班時間]]=0,"否","是")</f>
        <v>否</v>
      </c>
      <c r="O3499" t="s">
        <v>75</v>
      </c>
      <c r="P3499" s="38">
        <v>0</v>
      </c>
      <c r="Q3499" s="38">
        <v>0</v>
      </c>
      <c r="R3499" s="38">
        <v>0</v>
      </c>
    </row>
    <row r="3500" spans="1:18" hidden="1">
      <c r="A3500" t="s">
        <v>76</v>
      </c>
      <c r="B3500" t="s">
        <v>17</v>
      </c>
      <c r="C3500">
        <v>0</v>
      </c>
      <c r="D3500">
        <v>0</v>
      </c>
      <c r="E3500" s="29">
        <v>0</v>
      </c>
      <c r="F3500">
        <v>0</v>
      </c>
      <c r="G3500">
        <v>0</v>
      </c>
      <c r="H3500">
        <v>0</v>
      </c>
      <c r="I3500" s="29">
        <v>0</v>
      </c>
      <c r="J3500" s="29">
        <v>0</v>
      </c>
      <c r="K3500" s="9">
        <v>45382</v>
      </c>
      <c r="L3500">
        <f xml:space="preserve"> (交易處理資料__3[[#This Row],[售出工時]] * 60) / 5</f>
        <v>0</v>
      </c>
      <c r="M3500" t="str">
        <f>VLOOKUP(交易處理資料__3[[#This Row],[人員代號]],團隊分組!$B$1:$C$52,2,FALSE)</f>
        <v>快速保養團隊A</v>
      </c>
      <c r="N3500" t="str">
        <f>IF(交易處理資料__3[[#This Row],[上班時間]]=0,"否","是")</f>
        <v>否</v>
      </c>
      <c r="O3500" t="s">
        <v>76</v>
      </c>
      <c r="P3500" s="37">
        <v>0</v>
      </c>
      <c r="Q3500" s="37">
        <v>0</v>
      </c>
      <c r="R3500" s="37">
        <v>0</v>
      </c>
    </row>
    <row r="3501" spans="1:18" hidden="1">
      <c r="A3501" t="s">
        <v>76</v>
      </c>
      <c r="B3501" t="s">
        <v>18</v>
      </c>
      <c r="C3501">
        <v>0</v>
      </c>
      <c r="D3501">
        <v>0</v>
      </c>
      <c r="E3501" s="29">
        <v>0</v>
      </c>
      <c r="F3501">
        <v>0</v>
      </c>
      <c r="G3501">
        <v>0</v>
      </c>
      <c r="H3501">
        <v>0</v>
      </c>
      <c r="I3501" s="29">
        <v>0</v>
      </c>
      <c r="J3501" s="29">
        <v>0</v>
      </c>
      <c r="K3501" s="9">
        <v>45382</v>
      </c>
      <c r="L3501">
        <f xml:space="preserve"> (交易處理資料__3[[#This Row],[售出工時]] * 60) / 5</f>
        <v>0</v>
      </c>
      <c r="M3501" t="str">
        <f>VLOOKUP(交易處理資料__3[[#This Row],[人員代號]],團隊分組!$B$1:$C$52,2,FALSE)</f>
        <v>查修團隊B</v>
      </c>
      <c r="N3501" t="str">
        <f>IF(交易處理資料__3[[#This Row],[上班時間]]=0,"否","是")</f>
        <v>否</v>
      </c>
      <c r="O3501" t="s">
        <v>76</v>
      </c>
      <c r="P3501" s="38">
        <v>0</v>
      </c>
      <c r="Q3501" s="38">
        <v>0</v>
      </c>
      <c r="R3501" s="38">
        <v>0</v>
      </c>
    </row>
    <row r="3502" spans="1:18" hidden="1">
      <c r="A3502" t="s">
        <v>76</v>
      </c>
      <c r="B3502" t="s">
        <v>19</v>
      </c>
      <c r="C3502">
        <v>0</v>
      </c>
      <c r="D3502">
        <v>0</v>
      </c>
      <c r="E3502" s="29">
        <v>0</v>
      </c>
      <c r="F3502">
        <v>0</v>
      </c>
      <c r="G3502">
        <v>0</v>
      </c>
      <c r="H3502">
        <v>0</v>
      </c>
      <c r="I3502" s="29">
        <v>0</v>
      </c>
      <c r="J3502" s="29">
        <v>0</v>
      </c>
      <c r="K3502" s="9">
        <v>45382</v>
      </c>
      <c r="L3502">
        <f xml:space="preserve"> (交易處理資料__3[[#This Row],[售出工時]] * 60) / 5</f>
        <v>0</v>
      </c>
      <c r="M3502" t="str">
        <f>VLOOKUP(交易處理資料__3[[#This Row],[人員代號]],團隊分組!$B$1:$C$52,2,FALSE)</f>
        <v>查修團隊A</v>
      </c>
      <c r="N3502" t="str">
        <f>IF(交易處理資料__3[[#This Row],[上班時間]]=0,"否","是")</f>
        <v>否</v>
      </c>
      <c r="O3502" t="s">
        <v>76</v>
      </c>
      <c r="P3502" s="37">
        <v>0</v>
      </c>
      <c r="Q3502" s="37">
        <v>0</v>
      </c>
      <c r="R3502" s="37">
        <v>0</v>
      </c>
    </row>
    <row r="3503" spans="1:18" hidden="1">
      <c r="A3503" t="s">
        <v>76</v>
      </c>
      <c r="B3503" t="s">
        <v>20</v>
      </c>
      <c r="C3503">
        <v>0</v>
      </c>
      <c r="D3503">
        <v>0</v>
      </c>
      <c r="E3503" s="29">
        <v>0</v>
      </c>
      <c r="F3503">
        <v>0</v>
      </c>
      <c r="G3503">
        <v>0</v>
      </c>
      <c r="H3503">
        <v>0</v>
      </c>
      <c r="I3503" s="29">
        <v>0</v>
      </c>
      <c r="J3503" s="29">
        <v>0</v>
      </c>
      <c r="K3503" s="9">
        <v>45382</v>
      </c>
      <c r="L3503">
        <f xml:space="preserve"> (交易處理資料__3[[#This Row],[售出工時]] * 60) / 5</f>
        <v>0</v>
      </c>
      <c r="M3503" t="str">
        <f>VLOOKUP(交易處理資料__3[[#This Row],[人員代號]],團隊分組!$B$1:$C$52,2,FALSE)</f>
        <v>查修團隊B</v>
      </c>
      <c r="N3503" t="str">
        <f>IF(交易處理資料__3[[#This Row],[上班時間]]=0,"否","是")</f>
        <v>否</v>
      </c>
      <c r="O3503" t="s">
        <v>76</v>
      </c>
      <c r="P3503" s="38">
        <v>0</v>
      </c>
      <c r="Q3503" s="38">
        <v>0</v>
      </c>
      <c r="R3503" s="38">
        <v>0</v>
      </c>
    </row>
    <row r="3504" spans="1:18" hidden="1">
      <c r="A3504" t="s">
        <v>76</v>
      </c>
      <c r="B3504" t="s">
        <v>21</v>
      </c>
      <c r="C3504">
        <v>0</v>
      </c>
      <c r="D3504">
        <v>0</v>
      </c>
      <c r="E3504" s="29">
        <v>0</v>
      </c>
      <c r="F3504">
        <v>0</v>
      </c>
      <c r="G3504">
        <v>0</v>
      </c>
      <c r="H3504">
        <v>0</v>
      </c>
      <c r="I3504" s="29">
        <v>0</v>
      </c>
      <c r="J3504" s="29">
        <v>0</v>
      </c>
      <c r="K3504" s="9">
        <v>45382</v>
      </c>
      <c r="L3504">
        <f xml:space="preserve"> (交易處理資料__3[[#This Row],[售出工時]] * 60) / 5</f>
        <v>0</v>
      </c>
      <c r="M3504" t="str">
        <f>VLOOKUP(交易處理資料__3[[#This Row],[人員代號]],團隊分組!$B$1:$C$52,2,FALSE)</f>
        <v>查修團隊B</v>
      </c>
      <c r="N3504" t="str">
        <f>IF(交易處理資料__3[[#This Row],[上班時間]]=0,"否","是")</f>
        <v>否</v>
      </c>
      <c r="O3504" t="s">
        <v>76</v>
      </c>
      <c r="P3504" s="37">
        <v>0</v>
      </c>
      <c r="Q3504" s="37">
        <v>0</v>
      </c>
      <c r="R3504" s="37">
        <v>0</v>
      </c>
    </row>
    <row r="3505" spans="1:18" hidden="1">
      <c r="A3505" t="s">
        <v>76</v>
      </c>
      <c r="B3505" t="s">
        <v>22</v>
      </c>
      <c r="C3505">
        <v>0</v>
      </c>
      <c r="D3505">
        <v>0</v>
      </c>
      <c r="E3505" s="29">
        <v>0</v>
      </c>
      <c r="F3505">
        <v>0</v>
      </c>
      <c r="G3505">
        <v>0</v>
      </c>
      <c r="H3505">
        <v>0</v>
      </c>
      <c r="I3505" s="29">
        <v>0</v>
      </c>
      <c r="J3505" s="29">
        <v>0</v>
      </c>
      <c r="K3505" s="9">
        <v>45382</v>
      </c>
      <c r="L3505">
        <f xml:space="preserve"> (交易處理資料__3[[#This Row],[售出工時]] * 60) / 5</f>
        <v>0</v>
      </c>
      <c r="M3505" t="str">
        <f>VLOOKUP(交易處理資料__3[[#This Row],[人員代號]],團隊分組!$B$1:$C$52,2,FALSE)</f>
        <v>快速保養團隊A</v>
      </c>
      <c r="N3505" t="str">
        <f>IF(交易處理資料__3[[#This Row],[上班時間]]=0,"否","是")</f>
        <v>否</v>
      </c>
      <c r="O3505" t="s">
        <v>76</v>
      </c>
      <c r="P3505" s="38">
        <v>0</v>
      </c>
      <c r="Q3505" s="38">
        <v>0</v>
      </c>
      <c r="R3505" s="38">
        <v>0</v>
      </c>
    </row>
    <row r="3506" spans="1:18" hidden="1">
      <c r="A3506" t="s">
        <v>76</v>
      </c>
      <c r="B3506" t="s">
        <v>23</v>
      </c>
      <c r="C3506">
        <v>0</v>
      </c>
      <c r="D3506">
        <v>0</v>
      </c>
      <c r="E3506" s="29">
        <v>0</v>
      </c>
      <c r="F3506">
        <v>0</v>
      </c>
      <c r="G3506">
        <v>0</v>
      </c>
      <c r="H3506">
        <v>0</v>
      </c>
      <c r="I3506" s="29">
        <v>0</v>
      </c>
      <c r="J3506" s="29">
        <v>0</v>
      </c>
      <c r="K3506" s="9">
        <v>45382</v>
      </c>
      <c r="L3506">
        <f xml:space="preserve"> (交易處理資料__3[[#This Row],[售出工時]] * 60) / 5</f>
        <v>0</v>
      </c>
      <c r="M3506" t="str">
        <f>VLOOKUP(交易處理資料__3[[#This Row],[人員代號]],團隊分組!$B$1:$C$52,2,FALSE)</f>
        <v>快速保養團隊B</v>
      </c>
      <c r="N3506" t="str">
        <f>IF(交易處理資料__3[[#This Row],[上班時間]]=0,"否","是")</f>
        <v>否</v>
      </c>
      <c r="O3506" t="s">
        <v>76</v>
      </c>
      <c r="P3506" s="37">
        <v>0</v>
      </c>
      <c r="Q3506" s="37">
        <v>0</v>
      </c>
      <c r="R3506" s="37">
        <v>0</v>
      </c>
    </row>
    <row r="3507" spans="1:18" hidden="1">
      <c r="A3507" t="s">
        <v>76</v>
      </c>
      <c r="B3507" t="s">
        <v>24</v>
      </c>
      <c r="C3507">
        <v>0</v>
      </c>
      <c r="D3507">
        <v>0</v>
      </c>
      <c r="E3507" s="29">
        <v>0</v>
      </c>
      <c r="F3507">
        <v>0</v>
      </c>
      <c r="G3507">
        <v>0</v>
      </c>
      <c r="H3507">
        <v>0</v>
      </c>
      <c r="I3507" s="29">
        <v>0</v>
      </c>
      <c r="J3507" s="29">
        <v>0</v>
      </c>
      <c r="K3507" s="9">
        <v>45382</v>
      </c>
      <c r="L3507">
        <f xml:space="preserve"> (交易處理資料__3[[#This Row],[售出工時]] * 60) / 5</f>
        <v>0</v>
      </c>
      <c r="M3507" t="str">
        <f>VLOOKUP(交易處理資料__3[[#This Row],[人員代號]],團隊分組!$B$1:$C$52,2,FALSE)</f>
        <v>快速保養團隊A</v>
      </c>
      <c r="N3507" t="str">
        <f>IF(交易處理資料__3[[#This Row],[上班時間]]=0,"否","是")</f>
        <v>否</v>
      </c>
      <c r="O3507" t="s">
        <v>76</v>
      </c>
      <c r="P3507" s="38">
        <v>0</v>
      </c>
      <c r="Q3507" s="38">
        <v>0</v>
      </c>
      <c r="R3507" s="38">
        <v>0</v>
      </c>
    </row>
    <row r="3508" spans="1:18" hidden="1">
      <c r="A3508" t="s">
        <v>76</v>
      </c>
      <c r="B3508" t="s">
        <v>25</v>
      </c>
      <c r="C3508">
        <v>0</v>
      </c>
      <c r="D3508">
        <v>0</v>
      </c>
      <c r="E3508" s="29">
        <v>0</v>
      </c>
      <c r="F3508">
        <v>0</v>
      </c>
      <c r="G3508">
        <v>0</v>
      </c>
      <c r="H3508">
        <v>0</v>
      </c>
      <c r="I3508" s="29">
        <v>0</v>
      </c>
      <c r="J3508" s="29">
        <v>0</v>
      </c>
      <c r="K3508" s="9">
        <v>45382</v>
      </c>
      <c r="L3508">
        <f xml:space="preserve"> (交易處理資料__3[[#This Row],[售出工時]] * 60) / 5</f>
        <v>0</v>
      </c>
      <c r="M3508" t="str">
        <f>VLOOKUP(交易處理資料__3[[#This Row],[人員代號]],團隊分組!$B$1:$C$52,2,FALSE)</f>
        <v>查修團隊A</v>
      </c>
      <c r="N3508" t="str">
        <f>IF(交易處理資料__3[[#This Row],[上班時間]]=0,"否","是")</f>
        <v>否</v>
      </c>
      <c r="O3508" t="s">
        <v>76</v>
      </c>
      <c r="P3508" s="37">
        <v>0</v>
      </c>
      <c r="Q3508" s="37">
        <v>0</v>
      </c>
      <c r="R3508" s="37">
        <v>0</v>
      </c>
    </row>
    <row r="3509" spans="1:18" hidden="1">
      <c r="A3509" t="s">
        <v>76</v>
      </c>
      <c r="B3509" t="s">
        <v>26</v>
      </c>
      <c r="C3509">
        <v>0</v>
      </c>
      <c r="D3509">
        <v>0</v>
      </c>
      <c r="E3509" s="29">
        <v>0</v>
      </c>
      <c r="F3509">
        <v>0</v>
      </c>
      <c r="G3509">
        <v>0</v>
      </c>
      <c r="H3509">
        <v>0</v>
      </c>
      <c r="I3509" s="29">
        <v>0</v>
      </c>
      <c r="J3509" s="29">
        <v>0</v>
      </c>
      <c r="K3509" s="9">
        <v>45382</v>
      </c>
      <c r="L3509">
        <f xml:space="preserve"> (交易處理資料__3[[#This Row],[售出工時]] * 60) / 5</f>
        <v>0</v>
      </c>
      <c r="M3509" t="str">
        <f>VLOOKUP(交易處理資料__3[[#This Row],[人員代號]],團隊分組!$B$1:$C$52,2,FALSE)</f>
        <v>查修團隊B</v>
      </c>
      <c r="N3509" t="str">
        <f>IF(交易處理資料__3[[#This Row],[上班時間]]=0,"否","是")</f>
        <v>否</v>
      </c>
      <c r="O3509" t="s">
        <v>76</v>
      </c>
      <c r="P3509" s="38">
        <v>0</v>
      </c>
      <c r="Q3509" s="38">
        <v>0</v>
      </c>
      <c r="R3509" s="38">
        <v>0</v>
      </c>
    </row>
    <row r="3510" spans="1:18" hidden="1">
      <c r="A3510" t="s">
        <v>76</v>
      </c>
      <c r="B3510" t="s">
        <v>27</v>
      </c>
      <c r="C3510">
        <v>0</v>
      </c>
      <c r="D3510">
        <v>0</v>
      </c>
      <c r="E3510" s="29">
        <v>0</v>
      </c>
      <c r="F3510">
        <v>0</v>
      </c>
      <c r="G3510">
        <v>0</v>
      </c>
      <c r="H3510">
        <v>0</v>
      </c>
      <c r="I3510" s="29">
        <v>0</v>
      </c>
      <c r="J3510" s="29">
        <v>0</v>
      </c>
      <c r="K3510" s="9">
        <v>45382</v>
      </c>
      <c r="L3510">
        <f xml:space="preserve"> (交易處理資料__3[[#This Row],[售出工時]] * 60) / 5</f>
        <v>0</v>
      </c>
      <c r="M3510" t="str">
        <f>VLOOKUP(交易處理資料__3[[#This Row],[人員代號]],團隊分組!$B$1:$C$52,2,FALSE)</f>
        <v>快速保養團隊B</v>
      </c>
      <c r="N3510" t="str">
        <f>IF(交易處理資料__3[[#This Row],[上班時間]]=0,"否","是")</f>
        <v>否</v>
      </c>
      <c r="O3510" t="s">
        <v>76</v>
      </c>
      <c r="P3510" s="37">
        <v>0</v>
      </c>
      <c r="Q3510" s="37">
        <v>0</v>
      </c>
      <c r="R3510" s="37">
        <v>0</v>
      </c>
    </row>
    <row r="3511" spans="1:18" hidden="1">
      <c r="A3511" t="s">
        <v>76</v>
      </c>
      <c r="B3511" t="s">
        <v>28</v>
      </c>
      <c r="C3511">
        <v>0</v>
      </c>
      <c r="D3511">
        <v>0</v>
      </c>
      <c r="E3511" s="29">
        <v>0</v>
      </c>
      <c r="F3511">
        <v>0</v>
      </c>
      <c r="G3511">
        <v>0</v>
      </c>
      <c r="H3511">
        <v>0</v>
      </c>
      <c r="I3511" s="29">
        <v>0</v>
      </c>
      <c r="J3511" s="29">
        <v>0</v>
      </c>
      <c r="K3511" s="9">
        <v>45382</v>
      </c>
      <c r="L3511">
        <f xml:space="preserve"> (交易處理資料__3[[#This Row],[售出工時]] * 60) / 5</f>
        <v>0</v>
      </c>
      <c r="M3511" t="str">
        <f>VLOOKUP(交易處理資料__3[[#This Row],[人員代號]],團隊分組!$B$1:$C$52,2,FALSE)</f>
        <v>快速保養團隊A</v>
      </c>
      <c r="N3511" t="str">
        <f>IF(交易處理資料__3[[#This Row],[上班時間]]=0,"否","是")</f>
        <v>否</v>
      </c>
      <c r="O3511" t="s">
        <v>76</v>
      </c>
      <c r="P3511" s="38">
        <v>0</v>
      </c>
      <c r="Q3511" s="38">
        <v>0</v>
      </c>
      <c r="R3511" s="38">
        <v>0</v>
      </c>
    </row>
    <row r="3512" spans="1:18" hidden="1">
      <c r="A3512" t="s">
        <v>76</v>
      </c>
      <c r="B3512" t="s">
        <v>29</v>
      </c>
      <c r="C3512">
        <v>0</v>
      </c>
      <c r="D3512">
        <v>0</v>
      </c>
      <c r="E3512" s="29">
        <v>0</v>
      </c>
      <c r="F3512">
        <v>0</v>
      </c>
      <c r="G3512">
        <v>0</v>
      </c>
      <c r="H3512">
        <v>0</v>
      </c>
      <c r="I3512" s="29">
        <v>0</v>
      </c>
      <c r="J3512" s="29">
        <v>0</v>
      </c>
      <c r="K3512" s="9">
        <v>45382</v>
      </c>
      <c r="L3512">
        <f xml:space="preserve"> (交易處理資料__3[[#This Row],[售出工時]] * 60) / 5</f>
        <v>0</v>
      </c>
      <c r="M3512" t="str">
        <f>VLOOKUP(交易處理資料__3[[#This Row],[人員代號]],團隊分組!$B$1:$C$52,2,FALSE)</f>
        <v>查修團隊B</v>
      </c>
      <c r="N3512" t="str">
        <f>IF(交易處理資料__3[[#This Row],[上班時間]]=0,"否","是")</f>
        <v>否</v>
      </c>
      <c r="O3512" t="s">
        <v>76</v>
      </c>
      <c r="P3512" s="37">
        <v>0</v>
      </c>
      <c r="Q3512" s="37">
        <v>0</v>
      </c>
      <c r="R3512" s="37">
        <v>0</v>
      </c>
    </row>
    <row r="3513" spans="1:18" hidden="1">
      <c r="A3513" t="s">
        <v>76</v>
      </c>
      <c r="B3513" t="s">
        <v>30</v>
      </c>
      <c r="C3513">
        <v>0</v>
      </c>
      <c r="D3513">
        <v>0</v>
      </c>
      <c r="E3513" s="29">
        <v>0</v>
      </c>
      <c r="F3513">
        <v>0</v>
      </c>
      <c r="G3513">
        <v>0</v>
      </c>
      <c r="H3513">
        <v>0</v>
      </c>
      <c r="I3513" s="29">
        <v>0</v>
      </c>
      <c r="J3513" s="29">
        <v>0</v>
      </c>
      <c r="K3513" s="9">
        <v>45382</v>
      </c>
      <c r="L3513">
        <f xml:space="preserve"> (交易處理資料__3[[#This Row],[售出工時]] * 60) / 5</f>
        <v>0</v>
      </c>
      <c r="M3513" t="str">
        <f>VLOOKUP(交易處理資料__3[[#This Row],[人員代號]],團隊分組!$B$1:$C$52,2,FALSE)</f>
        <v>快速保養團隊B</v>
      </c>
      <c r="N3513" t="str">
        <f>IF(交易處理資料__3[[#This Row],[上班時間]]=0,"否","是")</f>
        <v>否</v>
      </c>
      <c r="O3513" t="s">
        <v>76</v>
      </c>
      <c r="P3513" s="38">
        <v>0</v>
      </c>
      <c r="Q3513" s="38">
        <v>0</v>
      </c>
      <c r="R3513" s="38">
        <v>0</v>
      </c>
    </row>
    <row r="3514" spans="1:18" hidden="1">
      <c r="A3514" t="s">
        <v>76</v>
      </c>
      <c r="B3514" t="s">
        <v>32</v>
      </c>
      <c r="C3514">
        <v>0</v>
      </c>
      <c r="D3514">
        <v>0</v>
      </c>
      <c r="E3514" s="29">
        <v>0</v>
      </c>
      <c r="F3514">
        <v>0</v>
      </c>
      <c r="G3514">
        <v>0</v>
      </c>
      <c r="H3514">
        <v>0</v>
      </c>
      <c r="I3514" s="29">
        <v>0</v>
      </c>
      <c r="J3514" s="29">
        <v>0</v>
      </c>
      <c r="K3514" s="9">
        <v>45382</v>
      </c>
      <c r="L3514">
        <f xml:space="preserve"> (交易處理資料__3[[#This Row],[售出工時]] * 60) / 5</f>
        <v>0</v>
      </c>
      <c r="M3514" t="str">
        <f>VLOOKUP(交易處理資料__3[[#This Row],[人員代號]],團隊分組!$B$1:$C$52,2,FALSE)</f>
        <v>快速保養團隊B</v>
      </c>
      <c r="N3514" t="str">
        <f>IF(交易處理資料__3[[#This Row],[上班時間]]=0,"否","是")</f>
        <v>否</v>
      </c>
      <c r="O3514" t="s">
        <v>76</v>
      </c>
      <c r="P3514" s="37">
        <v>0</v>
      </c>
      <c r="Q3514" s="37">
        <v>0</v>
      </c>
      <c r="R3514" s="37">
        <v>0</v>
      </c>
    </row>
    <row r="3515" spans="1:18" hidden="1">
      <c r="A3515" t="s">
        <v>76</v>
      </c>
      <c r="B3515" t="s">
        <v>33</v>
      </c>
      <c r="C3515">
        <v>0</v>
      </c>
      <c r="D3515">
        <v>0</v>
      </c>
      <c r="E3515" s="29">
        <v>0</v>
      </c>
      <c r="F3515">
        <v>0</v>
      </c>
      <c r="G3515">
        <v>0</v>
      </c>
      <c r="H3515">
        <v>0</v>
      </c>
      <c r="I3515" s="29">
        <v>0</v>
      </c>
      <c r="J3515" s="29">
        <v>0</v>
      </c>
      <c r="K3515" s="9">
        <v>45382</v>
      </c>
      <c r="L3515">
        <f xml:space="preserve"> (交易處理資料__3[[#This Row],[售出工時]] * 60) / 5</f>
        <v>0</v>
      </c>
      <c r="M3515" t="str">
        <f>VLOOKUP(交易處理資料__3[[#This Row],[人員代號]],團隊分組!$B$1:$C$52,2,FALSE)</f>
        <v>快速保養團隊B</v>
      </c>
      <c r="N3515" t="str">
        <f>IF(交易處理資料__3[[#This Row],[上班時間]]=0,"否","是")</f>
        <v>否</v>
      </c>
      <c r="O3515" t="s">
        <v>76</v>
      </c>
      <c r="P3515" s="38">
        <v>0</v>
      </c>
      <c r="Q3515" s="38">
        <v>0</v>
      </c>
      <c r="R3515" s="38">
        <v>0</v>
      </c>
    </row>
    <row r="3516" spans="1:18" hidden="1">
      <c r="A3516" t="s">
        <v>76</v>
      </c>
      <c r="B3516" t="s">
        <v>34</v>
      </c>
      <c r="C3516">
        <v>0</v>
      </c>
      <c r="D3516">
        <v>0</v>
      </c>
      <c r="E3516" s="29">
        <v>0</v>
      </c>
      <c r="F3516">
        <v>0</v>
      </c>
      <c r="G3516">
        <v>0</v>
      </c>
      <c r="H3516">
        <v>0</v>
      </c>
      <c r="I3516" s="29">
        <v>0</v>
      </c>
      <c r="J3516" s="29">
        <v>0</v>
      </c>
      <c r="K3516" s="9">
        <v>45382</v>
      </c>
      <c r="L3516">
        <f xml:space="preserve"> (交易處理資料__3[[#This Row],[售出工時]] * 60) / 5</f>
        <v>0</v>
      </c>
      <c r="M3516" t="str">
        <f>VLOOKUP(交易處理資料__3[[#This Row],[人員代號]],團隊分組!$B$1:$C$52,2,FALSE)</f>
        <v>快速保養團隊A</v>
      </c>
      <c r="N3516" t="str">
        <f>IF(交易處理資料__3[[#This Row],[上班時間]]=0,"否","是")</f>
        <v>否</v>
      </c>
      <c r="O3516" t="s">
        <v>76</v>
      </c>
      <c r="P3516" s="37">
        <v>0</v>
      </c>
      <c r="Q3516" s="37">
        <v>0</v>
      </c>
      <c r="R3516" s="37">
        <v>0</v>
      </c>
    </row>
    <row r="3517" spans="1:18" hidden="1">
      <c r="A3517" t="s">
        <v>76</v>
      </c>
      <c r="B3517" t="s">
        <v>35</v>
      </c>
      <c r="C3517">
        <v>0</v>
      </c>
      <c r="D3517">
        <v>0</v>
      </c>
      <c r="E3517" s="29">
        <v>0</v>
      </c>
      <c r="F3517">
        <v>0</v>
      </c>
      <c r="G3517">
        <v>0</v>
      </c>
      <c r="H3517">
        <v>0</v>
      </c>
      <c r="I3517" s="29">
        <v>0</v>
      </c>
      <c r="J3517" s="29">
        <v>0</v>
      </c>
      <c r="K3517" s="9">
        <v>45382</v>
      </c>
      <c r="L3517">
        <f xml:space="preserve"> (交易處理資料__3[[#This Row],[售出工時]] * 60) / 5</f>
        <v>0</v>
      </c>
      <c r="M3517" t="str">
        <f>VLOOKUP(交易處理資料__3[[#This Row],[人員代號]],團隊分組!$B$1:$C$52,2,FALSE)</f>
        <v>查修團隊B</v>
      </c>
      <c r="N3517" t="str">
        <f>IF(交易處理資料__3[[#This Row],[上班時間]]=0,"否","是")</f>
        <v>否</v>
      </c>
      <c r="O3517" t="s">
        <v>76</v>
      </c>
      <c r="P3517" s="38">
        <v>0</v>
      </c>
      <c r="Q3517" s="38">
        <v>0</v>
      </c>
      <c r="R3517" s="38">
        <v>0</v>
      </c>
    </row>
    <row r="3518" spans="1:18" hidden="1">
      <c r="A3518" t="s">
        <v>76</v>
      </c>
      <c r="B3518" t="s">
        <v>36</v>
      </c>
      <c r="C3518">
        <v>0</v>
      </c>
      <c r="D3518">
        <v>0</v>
      </c>
      <c r="E3518" s="29">
        <v>0</v>
      </c>
      <c r="F3518">
        <v>0</v>
      </c>
      <c r="G3518">
        <v>0</v>
      </c>
      <c r="H3518">
        <v>0</v>
      </c>
      <c r="I3518" s="29">
        <v>0</v>
      </c>
      <c r="J3518" s="29">
        <v>0</v>
      </c>
      <c r="K3518" s="9">
        <v>45382</v>
      </c>
      <c r="L3518">
        <f xml:space="preserve"> (交易處理資料__3[[#This Row],[售出工時]] * 60) / 5</f>
        <v>0</v>
      </c>
      <c r="M3518" t="str">
        <f>VLOOKUP(交易處理資料__3[[#This Row],[人員代號]],團隊分組!$B$1:$C$52,2,FALSE)</f>
        <v>查修團隊B</v>
      </c>
      <c r="N3518" t="str">
        <f>IF(交易處理資料__3[[#This Row],[上班時間]]=0,"否","是")</f>
        <v>否</v>
      </c>
      <c r="O3518" t="s">
        <v>76</v>
      </c>
      <c r="P3518" s="37">
        <v>0</v>
      </c>
      <c r="Q3518" s="37">
        <v>0</v>
      </c>
      <c r="R3518" s="37">
        <v>0</v>
      </c>
    </row>
    <row r="3519" spans="1:18" hidden="1">
      <c r="A3519" t="s">
        <v>76</v>
      </c>
      <c r="B3519" t="s">
        <v>37</v>
      </c>
      <c r="C3519">
        <v>0</v>
      </c>
      <c r="D3519">
        <v>0</v>
      </c>
      <c r="E3519" s="29">
        <v>0</v>
      </c>
      <c r="F3519">
        <v>0</v>
      </c>
      <c r="G3519">
        <v>0</v>
      </c>
      <c r="H3519">
        <v>0</v>
      </c>
      <c r="I3519" s="29">
        <v>0</v>
      </c>
      <c r="J3519" s="29">
        <v>0</v>
      </c>
      <c r="K3519" s="9">
        <v>45382</v>
      </c>
      <c r="L3519">
        <f xml:space="preserve"> (交易處理資料__3[[#This Row],[售出工時]] * 60) / 5</f>
        <v>0</v>
      </c>
      <c r="M3519" t="str">
        <f>VLOOKUP(交易處理資料__3[[#This Row],[人員代號]],團隊分組!$B$1:$C$52,2,FALSE)</f>
        <v>查修團隊A</v>
      </c>
      <c r="N3519" t="str">
        <f>IF(交易處理資料__3[[#This Row],[上班時間]]=0,"否","是")</f>
        <v>否</v>
      </c>
      <c r="O3519" t="s">
        <v>76</v>
      </c>
      <c r="P3519" s="38">
        <v>0</v>
      </c>
      <c r="Q3519" s="38">
        <v>0</v>
      </c>
      <c r="R3519" s="38">
        <v>0</v>
      </c>
    </row>
    <row r="3520" spans="1:18" hidden="1">
      <c r="A3520" t="s">
        <v>76</v>
      </c>
      <c r="B3520" t="s">
        <v>38</v>
      </c>
      <c r="C3520">
        <v>0</v>
      </c>
      <c r="D3520">
        <v>0</v>
      </c>
      <c r="E3520" s="29">
        <v>0</v>
      </c>
      <c r="F3520">
        <v>0</v>
      </c>
      <c r="G3520">
        <v>0</v>
      </c>
      <c r="H3520">
        <v>0</v>
      </c>
      <c r="I3520" s="29">
        <v>0</v>
      </c>
      <c r="J3520" s="29">
        <v>0</v>
      </c>
      <c r="K3520" s="9">
        <v>45382</v>
      </c>
      <c r="L3520">
        <f xml:space="preserve"> (交易處理資料__3[[#This Row],[售出工時]] * 60) / 5</f>
        <v>0</v>
      </c>
      <c r="M3520" t="str">
        <f>VLOOKUP(交易處理資料__3[[#This Row],[人員代號]],團隊分組!$B$1:$C$52,2,FALSE)</f>
        <v>快速保養團隊A</v>
      </c>
      <c r="N3520" t="str">
        <f>IF(交易處理資料__3[[#This Row],[上班時間]]=0,"否","是")</f>
        <v>否</v>
      </c>
      <c r="O3520" t="s">
        <v>76</v>
      </c>
      <c r="P3520" s="37">
        <v>0</v>
      </c>
      <c r="Q3520" s="37">
        <v>0</v>
      </c>
      <c r="R3520" s="37">
        <v>0</v>
      </c>
    </row>
    <row r="3521" spans="1:18" hidden="1">
      <c r="A3521" t="s">
        <v>76</v>
      </c>
      <c r="B3521" t="s">
        <v>39</v>
      </c>
      <c r="C3521">
        <v>0</v>
      </c>
      <c r="D3521">
        <v>0</v>
      </c>
      <c r="E3521" s="29">
        <v>0</v>
      </c>
      <c r="F3521">
        <v>0</v>
      </c>
      <c r="G3521">
        <v>0</v>
      </c>
      <c r="H3521">
        <v>0</v>
      </c>
      <c r="I3521" s="29">
        <v>0</v>
      </c>
      <c r="J3521" s="29">
        <v>0</v>
      </c>
      <c r="K3521" s="9">
        <v>45382</v>
      </c>
      <c r="L3521">
        <f xml:space="preserve"> (交易處理資料__3[[#This Row],[售出工時]] * 60) / 5</f>
        <v>0</v>
      </c>
      <c r="M3521" t="str">
        <f>VLOOKUP(交易處理資料__3[[#This Row],[人員代號]],團隊分組!$B$1:$C$52,2,FALSE)</f>
        <v>查修團隊A</v>
      </c>
      <c r="N3521" t="str">
        <f>IF(交易處理資料__3[[#This Row],[上班時間]]=0,"否","是")</f>
        <v>否</v>
      </c>
      <c r="O3521" t="s">
        <v>76</v>
      </c>
      <c r="P3521" s="38">
        <v>0</v>
      </c>
      <c r="Q3521" s="38">
        <v>0</v>
      </c>
      <c r="R3521" s="38">
        <v>0</v>
      </c>
    </row>
    <row r="3522" spans="1:18" hidden="1">
      <c r="A3522" t="s">
        <v>76</v>
      </c>
      <c r="B3522" t="s">
        <v>40</v>
      </c>
      <c r="C3522">
        <v>0</v>
      </c>
      <c r="D3522">
        <v>0</v>
      </c>
      <c r="E3522" s="29">
        <v>0</v>
      </c>
      <c r="F3522">
        <v>0</v>
      </c>
      <c r="G3522">
        <v>0</v>
      </c>
      <c r="H3522">
        <v>0</v>
      </c>
      <c r="I3522" s="29">
        <v>0</v>
      </c>
      <c r="J3522" s="29">
        <v>0</v>
      </c>
      <c r="K3522" s="9">
        <v>45382</v>
      </c>
      <c r="L3522">
        <f xml:space="preserve"> (交易處理資料__3[[#This Row],[售出工時]] * 60) / 5</f>
        <v>0</v>
      </c>
      <c r="M3522" t="str">
        <f>VLOOKUP(交易處理資料__3[[#This Row],[人員代號]],團隊分組!$B$1:$C$52,2,FALSE)</f>
        <v>查修團隊A</v>
      </c>
      <c r="N3522" t="str">
        <f>IF(交易處理資料__3[[#This Row],[上班時間]]=0,"否","是")</f>
        <v>否</v>
      </c>
      <c r="O3522" t="s">
        <v>76</v>
      </c>
      <c r="P3522" s="37">
        <v>0</v>
      </c>
      <c r="Q3522" s="37">
        <v>0</v>
      </c>
      <c r="R3522" s="37">
        <v>0</v>
      </c>
    </row>
    <row r="3523" spans="1:18" hidden="1">
      <c r="A3523" t="s">
        <v>76</v>
      </c>
      <c r="B3523" t="s">
        <v>41</v>
      </c>
      <c r="C3523">
        <v>0</v>
      </c>
      <c r="D3523">
        <v>0</v>
      </c>
      <c r="E3523" s="29">
        <v>0</v>
      </c>
      <c r="F3523">
        <v>0</v>
      </c>
      <c r="G3523">
        <v>0</v>
      </c>
      <c r="H3523">
        <v>0</v>
      </c>
      <c r="I3523" s="29">
        <v>0</v>
      </c>
      <c r="J3523" s="29">
        <v>0</v>
      </c>
      <c r="K3523" s="9">
        <v>45382</v>
      </c>
      <c r="L3523">
        <f xml:space="preserve"> (交易處理資料__3[[#This Row],[售出工時]] * 60) / 5</f>
        <v>0</v>
      </c>
      <c r="M3523" t="str">
        <f>VLOOKUP(交易處理資料__3[[#This Row],[人員代號]],團隊分組!$B$1:$C$52,2,FALSE)</f>
        <v>快速保養團隊A</v>
      </c>
      <c r="N3523" t="str">
        <f>IF(交易處理資料__3[[#This Row],[上班時間]]=0,"否","是")</f>
        <v>否</v>
      </c>
      <c r="O3523" t="s">
        <v>76</v>
      </c>
      <c r="P3523" s="38">
        <v>0</v>
      </c>
      <c r="Q3523" s="38">
        <v>0</v>
      </c>
      <c r="R3523" s="38">
        <v>0</v>
      </c>
    </row>
    <row r="3524" spans="1:18" hidden="1">
      <c r="A3524" t="s">
        <v>76</v>
      </c>
      <c r="B3524" t="s">
        <v>42</v>
      </c>
      <c r="C3524">
        <v>0</v>
      </c>
      <c r="D3524">
        <v>0</v>
      </c>
      <c r="E3524" s="29">
        <v>0</v>
      </c>
      <c r="F3524">
        <v>0</v>
      </c>
      <c r="G3524">
        <v>0</v>
      </c>
      <c r="H3524">
        <v>0</v>
      </c>
      <c r="I3524" s="29">
        <v>0</v>
      </c>
      <c r="J3524" s="29">
        <v>0</v>
      </c>
      <c r="K3524" s="9">
        <v>45382</v>
      </c>
      <c r="L3524">
        <f xml:space="preserve"> (交易處理資料__3[[#This Row],[售出工時]] * 60) / 5</f>
        <v>0</v>
      </c>
      <c r="M3524" t="str">
        <f>VLOOKUP(交易處理資料__3[[#This Row],[人員代號]],團隊分組!$B$1:$C$52,2,FALSE)</f>
        <v>快速保養團隊A</v>
      </c>
      <c r="N3524" t="str">
        <f>IF(交易處理資料__3[[#This Row],[上班時間]]=0,"否","是")</f>
        <v>否</v>
      </c>
      <c r="O3524" t="s">
        <v>76</v>
      </c>
      <c r="P3524" s="37">
        <v>0</v>
      </c>
      <c r="Q3524" s="37">
        <v>0</v>
      </c>
      <c r="R3524" s="37">
        <v>0</v>
      </c>
    </row>
    <row r="3525" spans="1:18" hidden="1">
      <c r="A3525" t="s">
        <v>76</v>
      </c>
      <c r="B3525" t="s">
        <v>43</v>
      </c>
      <c r="C3525">
        <v>0</v>
      </c>
      <c r="D3525">
        <v>0</v>
      </c>
      <c r="E3525" s="29">
        <v>0</v>
      </c>
      <c r="F3525">
        <v>0</v>
      </c>
      <c r="G3525">
        <v>0</v>
      </c>
      <c r="H3525">
        <v>0</v>
      </c>
      <c r="I3525" s="29">
        <v>0</v>
      </c>
      <c r="J3525" s="29">
        <v>0</v>
      </c>
      <c r="K3525" s="9">
        <v>45382</v>
      </c>
      <c r="L3525">
        <f xml:space="preserve"> (交易處理資料__3[[#This Row],[售出工時]] * 60) / 5</f>
        <v>0</v>
      </c>
      <c r="M3525" t="str">
        <f>VLOOKUP(交易處理資料__3[[#This Row],[人員代號]],團隊分組!$B$1:$C$52,2,FALSE)</f>
        <v>查修團隊B</v>
      </c>
      <c r="N3525" t="str">
        <f>IF(交易處理資料__3[[#This Row],[上班時間]]=0,"否","是")</f>
        <v>否</v>
      </c>
      <c r="O3525" t="s">
        <v>76</v>
      </c>
      <c r="P3525" s="38">
        <v>0</v>
      </c>
      <c r="Q3525" s="38">
        <v>0</v>
      </c>
      <c r="R3525" s="38">
        <v>0</v>
      </c>
    </row>
    <row r="3526" spans="1:18" hidden="1">
      <c r="A3526" t="s">
        <v>76</v>
      </c>
      <c r="B3526" t="s">
        <v>44</v>
      </c>
      <c r="C3526">
        <v>0</v>
      </c>
      <c r="D3526">
        <v>0</v>
      </c>
      <c r="E3526" s="29">
        <v>0</v>
      </c>
      <c r="F3526">
        <v>0</v>
      </c>
      <c r="G3526">
        <v>0</v>
      </c>
      <c r="H3526">
        <v>0</v>
      </c>
      <c r="I3526" s="29">
        <v>0</v>
      </c>
      <c r="J3526" s="29">
        <v>0</v>
      </c>
      <c r="K3526" s="9">
        <v>45382</v>
      </c>
      <c r="L3526">
        <f xml:space="preserve"> (交易處理資料__3[[#This Row],[售出工時]] * 60) / 5</f>
        <v>0</v>
      </c>
      <c r="M3526" t="str">
        <f>VLOOKUP(交易處理資料__3[[#This Row],[人員代號]],團隊分組!$B$1:$C$52,2,FALSE)</f>
        <v>快速保養團隊B</v>
      </c>
      <c r="N3526" t="str">
        <f>IF(交易處理資料__3[[#This Row],[上班時間]]=0,"否","是")</f>
        <v>否</v>
      </c>
      <c r="O3526" t="s">
        <v>76</v>
      </c>
      <c r="P3526" s="37">
        <v>0</v>
      </c>
      <c r="Q3526" s="37">
        <v>0</v>
      </c>
      <c r="R3526" s="37">
        <v>0</v>
      </c>
    </row>
    <row r="3527" spans="1:18" hidden="1">
      <c r="A3527" t="s">
        <v>76</v>
      </c>
      <c r="B3527" t="s">
        <v>45</v>
      </c>
      <c r="C3527">
        <v>0</v>
      </c>
      <c r="D3527">
        <v>0</v>
      </c>
      <c r="E3527" s="29">
        <v>0</v>
      </c>
      <c r="F3527">
        <v>0</v>
      </c>
      <c r="G3527">
        <v>0</v>
      </c>
      <c r="H3527">
        <v>0</v>
      </c>
      <c r="I3527" s="29">
        <v>0</v>
      </c>
      <c r="J3527" s="29">
        <v>0</v>
      </c>
      <c r="K3527" s="9">
        <v>45382</v>
      </c>
      <c r="L3527">
        <f xml:space="preserve"> (交易處理資料__3[[#This Row],[售出工時]] * 60) / 5</f>
        <v>0</v>
      </c>
      <c r="M3527" t="str">
        <f>VLOOKUP(交易處理資料__3[[#This Row],[人員代號]],團隊分組!$B$1:$C$52,2,FALSE)</f>
        <v>快速保養團隊A</v>
      </c>
      <c r="N3527" t="str">
        <f>IF(交易處理資料__3[[#This Row],[上班時間]]=0,"否","是")</f>
        <v>否</v>
      </c>
      <c r="O3527" t="s">
        <v>76</v>
      </c>
      <c r="P3527" s="38">
        <v>0</v>
      </c>
      <c r="Q3527" s="38">
        <v>0</v>
      </c>
      <c r="R3527" s="38">
        <v>0</v>
      </c>
    </row>
    <row r="3528" spans="1:18" hidden="1">
      <c r="A3528" t="s">
        <v>76</v>
      </c>
      <c r="B3528" t="s">
        <v>46</v>
      </c>
      <c r="C3528">
        <v>0</v>
      </c>
      <c r="D3528">
        <v>0</v>
      </c>
      <c r="E3528" s="29">
        <v>0</v>
      </c>
      <c r="F3528">
        <v>0</v>
      </c>
      <c r="G3528">
        <v>0</v>
      </c>
      <c r="H3528">
        <v>0</v>
      </c>
      <c r="I3528" s="29">
        <v>0</v>
      </c>
      <c r="J3528" s="29">
        <v>0</v>
      </c>
      <c r="K3528" s="9">
        <v>45382</v>
      </c>
      <c r="L3528">
        <f xml:space="preserve"> (交易處理資料__3[[#This Row],[售出工時]] * 60) / 5</f>
        <v>0</v>
      </c>
      <c r="M3528" t="str">
        <f>VLOOKUP(交易處理資料__3[[#This Row],[人員代號]],團隊分組!$B$1:$C$52,2,FALSE)</f>
        <v>查修團隊B</v>
      </c>
      <c r="N3528" t="str">
        <f>IF(交易處理資料__3[[#This Row],[上班時間]]=0,"否","是")</f>
        <v>否</v>
      </c>
      <c r="O3528" t="s">
        <v>76</v>
      </c>
      <c r="P3528" s="37">
        <v>0</v>
      </c>
      <c r="Q3528" s="37">
        <v>0</v>
      </c>
      <c r="R3528" s="37">
        <v>0</v>
      </c>
    </row>
    <row r="3529" spans="1:18" hidden="1">
      <c r="A3529" t="s">
        <v>76</v>
      </c>
      <c r="B3529" t="s">
        <v>47</v>
      </c>
      <c r="C3529">
        <v>0</v>
      </c>
      <c r="D3529">
        <v>0</v>
      </c>
      <c r="E3529" s="29">
        <v>0</v>
      </c>
      <c r="F3529">
        <v>0</v>
      </c>
      <c r="G3529">
        <v>0</v>
      </c>
      <c r="H3529">
        <v>0</v>
      </c>
      <c r="I3529" s="29">
        <v>0</v>
      </c>
      <c r="J3529" s="29">
        <v>0</v>
      </c>
      <c r="K3529" s="9">
        <v>45382</v>
      </c>
      <c r="L3529">
        <f xml:space="preserve"> (交易處理資料__3[[#This Row],[售出工時]] * 60) / 5</f>
        <v>0</v>
      </c>
      <c r="M3529" t="str">
        <f>VLOOKUP(交易處理資料__3[[#This Row],[人員代號]],團隊分組!$B$1:$C$52,2,FALSE)</f>
        <v>查修團隊B</v>
      </c>
      <c r="N3529" t="str">
        <f>IF(交易處理資料__3[[#This Row],[上班時間]]=0,"否","是")</f>
        <v>否</v>
      </c>
      <c r="O3529" t="s">
        <v>76</v>
      </c>
      <c r="P3529" s="38">
        <v>0</v>
      </c>
      <c r="Q3529" s="38">
        <v>0</v>
      </c>
      <c r="R3529" s="38">
        <v>0</v>
      </c>
    </row>
    <row r="3530" spans="1:18" hidden="1">
      <c r="A3530" t="s">
        <v>76</v>
      </c>
      <c r="B3530" t="s">
        <v>48</v>
      </c>
      <c r="C3530">
        <v>0</v>
      </c>
      <c r="D3530">
        <v>0</v>
      </c>
      <c r="E3530" s="29">
        <v>0</v>
      </c>
      <c r="F3530">
        <v>0</v>
      </c>
      <c r="G3530">
        <v>0</v>
      </c>
      <c r="H3530">
        <v>0</v>
      </c>
      <c r="I3530" s="29">
        <v>0</v>
      </c>
      <c r="J3530" s="29">
        <v>0</v>
      </c>
      <c r="K3530" s="9">
        <v>45382</v>
      </c>
      <c r="L3530">
        <f xml:space="preserve"> (交易處理資料__3[[#This Row],[售出工時]] * 60) / 5</f>
        <v>0</v>
      </c>
      <c r="M3530" t="str">
        <f>VLOOKUP(交易處理資料__3[[#This Row],[人員代號]],團隊分組!$B$1:$C$52,2,FALSE)</f>
        <v>查修團隊A</v>
      </c>
      <c r="N3530" t="str">
        <f>IF(交易處理資料__3[[#This Row],[上班時間]]=0,"否","是")</f>
        <v>否</v>
      </c>
      <c r="O3530" t="s">
        <v>76</v>
      </c>
      <c r="P3530" s="37">
        <v>0</v>
      </c>
      <c r="Q3530" s="37">
        <v>0</v>
      </c>
      <c r="R3530" s="37">
        <v>0</v>
      </c>
    </row>
    <row r="3531" spans="1:18" hidden="1">
      <c r="A3531" t="s">
        <v>76</v>
      </c>
      <c r="B3531" t="s">
        <v>49</v>
      </c>
      <c r="C3531">
        <v>0</v>
      </c>
      <c r="D3531">
        <v>0</v>
      </c>
      <c r="E3531" s="29">
        <v>0</v>
      </c>
      <c r="F3531">
        <v>0</v>
      </c>
      <c r="G3531">
        <v>0</v>
      </c>
      <c r="H3531">
        <v>0</v>
      </c>
      <c r="I3531" s="29">
        <v>0</v>
      </c>
      <c r="J3531" s="29">
        <v>0</v>
      </c>
      <c r="K3531" s="9">
        <v>45382</v>
      </c>
      <c r="L3531">
        <f xml:space="preserve"> (交易處理資料__3[[#This Row],[售出工時]] * 60) / 5</f>
        <v>0</v>
      </c>
      <c r="M3531" t="str">
        <f>VLOOKUP(交易處理資料__3[[#This Row],[人員代號]],團隊分組!$B$1:$C$52,2,FALSE)</f>
        <v>查修團隊A</v>
      </c>
      <c r="N3531" t="str">
        <f>IF(交易處理資料__3[[#This Row],[上班時間]]=0,"否","是")</f>
        <v>否</v>
      </c>
      <c r="O3531" t="s">
        <v>76</v>
      </c>
      <c r="P3531" s="38">
        <v>0</v>
      </c>
      <c r="Q3531" s="38">
        <v>0</v>
      </c>
      <c r="R3531" s="38">
        <v>0</v>
      </c>
    </row>
    <row r="3532" spans="1:18" hidden="1">
      <c r="A3532" t="s">
        <v>76</v>
      </c>
      <c r="B3532" t="s">
        <v>50</v>
      </c>
      <c r="C3532">
        <v>0</v>
      </c>
      <c r="D3532">
        <v>0</v>
      </c>
      <c r="E3532" s="29">
        <v>0</v>
      </c>
      <c r="F3532">
        <v>0</v>
      </c>
      <c r="G3532">
        <v>0</v>
      </c>
      <c r="H3532">
        <v>0</v>
      </c>
      <c r="I3532" s="29">
        <v>0</v>
      </c>
      <c r="J3532" s="29">
        <v>0</v>
      </c>
      <c r="K3532" s="9">
        <v>45382</v>
      </c>
      <c r="L3532">
        <f xml:space="preserve"> (交易處理資料__3[[#This Row],[售出工時]] * 60) / 5</f>
        <v>0</v>
      </c>
      <c r="M3532" t="str">
        <f>VLOOKUP(交易處理資料__3[[#This Row],[人員代號]],團隊分組!$B$1:$C$52,2,FALSE)</f>
        <v>快速保養團隊B</v>
      </c>
      <c r="N3532" t="str">
        <f>IF(交易處理資料__3[[#This Row],[上班時間]]=0,"否","是")</f>
        <v>否</v>
      </c>
      <c r="O3532" t="s">
        <v>76</v>
      </c>
      <c r="P3532" s="37">
        <v>0</v>
      </c>
      <c r="Q3532" s="37">
        <v>0</v>
      </c>
      <c r="R3532" s="37">
        <v>0</v>
      </c>
    </row>
    <row r="3533" spans="1:18" hidden="1">
      <c r="A3533" t="s">
        <v>76</v>
      </c>
      <c r="B3533" t="s">
        <v>51</v>
      </c>
      <c r="C3533">
        <v>0</v>
      </c>
      <c r="D3533">
        <v>0</v>
      </c>
      <c r="E3533" s="29">
        <v>0</v>
      </c>
      <c r="F3533">
        <v>0</v>
      </c>
      <c r="G3533">
        <v>0</v>
      </c>
      <c r="H3533">
        <v>0</v>
      </c>
      <c r="I3533" s="29">
        <v>0</v>
      </c>
      <c r="J3533" s="29">
        <v>0</v>
      </c>
      <c r="K3533" s="9">
        <v>45382</v>
      </c>
      <c r="L3533">
        <f xml:space="preserve"> (交易處理資料__3[[#This Row],[售出工時]] * 60) / 5</f>
        <v>0</v>
      </c>
      <c r="M3533" t="str">
        <f>VLOOKUP(交易處理資料__3[[#This Row],[人員代號]],團隊分組!$B$1:$C$52,2,FALSE)</f>
        <v>無效數據</v>
      </c>
      <c r="N3533" t="str">
        <f>IF(交易處理資料__3[[#This Row],[上班時間]]=0,"否","是")</f>
        <v>否</v>
      </c>
      <c r="O3533" t="s">
        <v>76</v>
      </c>
      <c r="P3533" s="38">
        <v>0</v>
      </c>
      <c r="Q3533" s="38">
        <v>0</v>
      </c>
      <c r="R3533" s="38">
        <v>0</v>
      </c>
    </row>
    <row r="3534" spans="1:18" hidden="1">
      <c r="A3534" t="s">
        <v>76</v>
      </c>
      <c r="B3534" t="s">
        <v>52</v>
      </c>
      <c r="C3534">
        <v>0</v>
      </c>
      <c r="D3534">
        <v>0</v>
      </c>
      <c r="E3534" s="29">
        <v>0</v>
      </c>
      <c r="F3534">
        <v>0</v>
      </c>
      <c r="G3534">
        <v>0</v>
      </c>
      <c r="H3534">
        <v>0</v>
      </c>
      <c r="I3534" s="29">
        <v>0</v>
      </c>
      <c r="J3534" s="29">
        <v>0</v>
      </c>
      <c r="K3534" s="9">
        <v>45382</v>
      </c>
      <c r="L3534">
        <f xml:space="preserve"> (交易處理資料__3[[#This Row],[售出工時]] * 60) / 5</f>
        <v>0</v>
      </c>
      <c r="M3534" t="str">
        <f>VLOOKUP(交易處理資料__3[[#This Row],[人員代號]],團隊分組!$B$1:$C$52,2,FALSE)</f>
        <v>查修團隊B</v>
      </c>
      <c r="N3534" t="str">
        <f>IF(交易處理資料__3[[#This Row],[上班時間]]=0,"否","是")</f>
        <v>否</v>
      </c>
      <c r="O3534" t="s">
        <v>76</v>
      </c>
      <c r="P3534" s="37">
        <v>0</v>
      </c>
      <c r="Q3534" s="37">
        <v>0</v>
      </c>
      <c r="R3534" s="37">
        <v>0</v>
      </c>
    </row>
    <row r="3535" spans="1:18" hidden="1">
      <c r="A3535" t="s">
        <v>76</v>
      </c>
      <c r="B3535" t="s">
        <v>53</v>
      </c>
      <c r="C3535">
        <v>0</v>
      </c>
      <c r="D3535">
        <v>0</v>
      </c>
      <c r="E3535" s="29">
        <v>0</v>
      </c>
      <c r="F3535">
        <v>0</v>
      </c>
      <c r="G3535">
        <v>0</v>
      </c>
      <c r="H3535">
        <v>0</v>
      </c>
      <c r="I3535" s="29">
        <v>0</v>
      </c>
      <c r="J3535" s="29">
        <v>0</v>
      </c>
      <c r="K3535" s="9">
        <v>45382</v>
      </c>
      <c r="L3535">
        <f xml:space="preserve"> (交易處理資料__3[[#This Row],[售出工時]] * 60) / 5</f>
        <v>0</v>
      </c>
      <c r="M3535" t="str">
        <f>VLOOKUP(交易處理資料__3[[#This Row],[人員代號]],團隊分組!$B$1:$C$52,2,FALSE)</f>
        <v>查修團隊A</v>
      </c>
      <c r="N3535" t="str">
        <f>IF(交易處理資料__3[[#This Row],[上班時間]]=0,"否","是")</f>
        <v>否</v>
      </c>
      <c r="O3535" t="s">
        <v>76</v>
      </c>
      <c r="P3535" s="38">
        <v>0</v>
      </c>
      <c r="Q3535" s="38">
        <v>0</v>
      </c>
      <c r="R3535" s="38">
        <v>0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6A76-35E2-4AC5-B693-B72FF6F7CF9A}">
  <dimension ref="A1:L115"/>
  <sheetViews>
    <sheetView zoomScale="85" zoomScaleNormal="85" workbookViewId="0">
      <selection activeCell="B90" sqref="B90"/>
    </sheetView>
  </sheetViews>
  <sheetFormatPr defaultRowHeight="16.2"/>
  <cols>
    <col min="1" max="1" width="10" bestFit="1" customWidth="1"/>
    <col min="2" max="2" width="18.109375" bestFit="1" customWidth="1"/>
    <col min="3" max="3" width="15.21875" bestFit="1" customWidth="1"/>
    <col min="4" max="8" width="18.109375" bestFit="1" customWidth="1"/>
    <col min="9" max="9" width="15.6640625" bestFit="1" customWidth="1"/>
    <col min="10" max="10" width="20.6640625" bestFit="1" customWidth="1"/>
  </cols>
  <sheetData>
    <row r="1" spans="1:12">
      <c r="A1" s="31" t="s">
        <v>88</v>
      </c>
      <c r="B1" t="s">
        <v>100</v>
      </c>
    </row>
    <row r="3" spans="1:12">
      <c r="B3" t="s">
        <v>91</v>
      </c>
      <c r="C3" t="s">
        <v>96</v>
      </c>
      <c r="D3" t="s">
        <v>97</v>
      </c>
      <c r="E3" t="s">
        <v>98</v>
      </c>
      <c r="F3" t="s">
        <v>92</v>
      </c>
      <c r="G3" t="s">
        <v>93</v>
      </c>
      <c r="H3" t="s">
        <v>94</v>
      </c>
      <c r="I3" t="s">
        <v>99</v>
      </c>
      <c r="J3" t="s">
        <v>95</v>
      </c>
    </row>
    <row r="4" spans="1:12">
      <c r="A4" s="32" t="s">
        <v>7</v>
      </c>
      <c r="B4" s="33">
        <v>95.766666666999996</v>
      </c>
      <c r="C4" s="33">
        <v>28.029268292780483</v>
      </c>
      <c r="D4" s="33">
        <v>0.26240731707317072</v>
      </c>
      <c r="E4" s="33">
        <v>0.88731951219512206</v>
      </c>
      <c r="F4" s="33">
        <v>364.83</v>
      </c>
      <c r="G4" s="33">
        <v>38.400000000000006</v>
      </c>
      <c r="H4" s="33">
        <v>326.43000000000006</v>
      </c>
      <c r="I4" s="33">
        <v>0.4751357034414635</v>
      </c>
      <c r="J4" s="33">
        <v>130.4</v>
      </c>
      <c r="K4" t="str">
        <f>VLOOKUP(A4,'交易處理資料 '!B:O,14)</f>
        <v>噴漆部門</v>
      </c>
      <c r="L4" t="str">
        <f>VLOOKUP(A4,'交易處理資料 '!B:O,12)</f>
        <v>噴漆維修組</v>
      </c>
    </row>
    <row r="5" spans="1:12">
      <c r="A5" s="32" t="s">
        <v>5</v>
      </c>
      <c r="B5" s="33">
        <v>87.026666666999986</v>
      </c>
      <c r="C5" s="33">
        <v>24.86476190485714</v>
      </c>
      <c r="D5" s="33">
        <v>0.22774523809523811</v>
      </c>
      <c r="E5" s="33">
        <v>0.86844999999999994</v>
      </c>
      <c r="F5" s="33">
        <v>375.80999999999995</v>
      </c>
      <c r="G5" s="33">
        <v>45.620000000000012</v>
      </c>
      <c r="H5" s="33">
        <v>330.19000000000011</v>
      </c>
      <c r="I5" s="33">
        <v>0.37955866945714284</v>
      </c>
      <c r="J5" s="33">
        <v>123.82000000000001</v>
      </c>
      <c r="K5" t="str">
        <f>VLOOKUP(A5,'交易處理資料 '!B:O,14)</f>
        <v>噴漆部門</v>
      </c>
      <c r="L5" t="str">
        <f>VLOOKUP(A5,'交易處理資料 '!B:O,12)</f>
        <v>噴漆維修組</v>
      </c>
    </row>
    <row r="6" spans="1:12">
      <c r="A6" s="32" t="s">
        <v>9</v>
      </c>
      <c r="B6" s="33">
        <v>83.766666665999978</v>
      </c>
      <c r="C6" s="33">
        <v>22.845454545272727</v>
      </c>
      <c r="D6" s="33">
        <v>0.22702954545454546</v>
      </c>
      <c r="E6" s="33">
        <v>0.82407954545454531</v>
      </c>
      <c r="F6" s="33">
        <v>378.86</v>
      </c>
      <c r="G6" s="33">
        <v>63.850000000000016</v>
      </c>
      <c r="H6" s="33">
        <v>315.01</v>
      </c>
      <c r="I6" s="33">
        <v>0.42300004090000004</v>
      </c>
      <c r="J6" s="33">
        <v>113.90000000000002</v>
      </c>
      <c r="K6" t="str">
        <f>VLOOKUP(A6,'交易處理資料 '!B:O,14)</f>
        <v>噴漆部門</v>
      </c>
      <c r="L6" t="str">
        <f>VLOOKUP(A6,'交易處理資料 '!B:O,12)</f>
        <v>噴漆維修組</v>
      </c>
    </row>
    <row r="7" spans="1:12">
      <c r="A7" s="32" t="s">
        <v>1</v>
      </c>
      <c r="B7" s="33">
        <v>37.186666666999997</v>
      </c>
      <c r="C7" s="33">
        <v>11.156000000099999</v>
      </c>
      <c r="D7" s="33">
        <v>0.11192250000000001</v>
      </c>
      <c r="E7" s="33">
        <v>0.80313749999999984</v>
      </c>
      <c r="F7" s="33">
        <v>327.08</v>
      </c>
      <c r="G7" s="33">
        <v>63.759999999999991</v>
      </c>
      <c r="H7" s="33">
        <v>263.32</v>
      </c>
      <c r="I7" s="33">
        <v>0.14553193934999997</v>
      </c>
      <c r="J7" s="33">
        <v>65.33</v>
      </c>
      <c r="K7" t="str">
        <f>VLOOKUP(A7,'交易處理資料 '!B:O,14)</f>
        <v>噴漆部門</v>
      </c>
      <c r="L7" t="str">
        <f>VLOOKUP(A7,'交易處理資料 '!B:O,12)</f>
        <v>噴漆維修組</v>
      </c>
    </row>
    <row r="8" spans="1:12">
      <c r="A8" s="32" t="s">
        <v>4</v>
      </c>
      <c r="B8" s="33">
        <v>28.260000000000005</v>
      </c>
      <c r="C8" s="33">
        <v>8.4779999999999998</v>
      </c>
      <c r="D8" s="33">
        <v>8.4014999999999992E-2</v>
      </c>
      <c r="E8" s="33">
        <v>0.73539999999999972</v>
      </c>
      <c r="F8" s="33">
        <v>329.8499999999998</v>
      </c>
      <c r="G8" s="33">
        <v>85.940000000000012</v>
      </c>
      <c r="H8" s="33">
        <v>243.90999999999997</v>
      </c>
      <c r="I8" s="33">
        <v>0.15915414735924999</v>
      </c>
      <c r="J8" s="33">
        <v>85.96</v>
      </c>
      <c r="K8" t="str">
        <f>VLOOKUP(A8,'交易處理資料 '!B:O,14)</f>
        <v>噴漆部門</v>
      </c>
      <c r="L8" t="str">
        <f>VLOOKUP(A8,'交易處理資料 '!B:O,12)</f>
        <v>噴漆維修組</v>
      </c>
    </row>
    <row r="9" spans="1:12">
      <c r="A9" s="32" t="s">
        <v>3</v>
      </c>
      <c r="B9" s="33">
        <v>26.940000000000005</v>
      </c>
      <c r="C9" s="33">
        <v>8.2892307692307696</v>
      </c>
      <c r="D9" s="33">
        <v>7.2520512820512806E-2</v>
      </c>
      <c r="E9" s="33">
        <v>0.85135384615384624</v>
      </c>
      <c r="F9" s="33">
        <v>359.26000000000005</v>
      </c>
      <c r="G9" s="33">
        <v>47.889999999999993</v>
      </c>
      <c r="H9" s="33">
        <v>311.37000000000006</v>
      </c>
      <c r="I9" s="33">
        <v>0.44438420322307681</v>
      </c>
      <c r="J9" s="33">
        <v>105.82000000000001</v>
      </c>
      <c r="K9" t="str">
        <f>VLOOKUP(A9,'交易處理資料 '!B:O,14)</f>
        <v>噴漆部門</v>
      </c>
      <c r="L9" t="str">
        <f>VLOOKUP(A9,'交易處理資料 '!B:O,12)</f>
        <v>噴漆維修組</v>
      </c>
    </row>
    <row r="10" spans="1:12">
      <c r="A10" s="32" t="s">
        <v>2</v>
      </c>
      <c r="B10" s="33">
        <v>30.233333333000008</v>
      </c>
      <c r="C10" s="33">
        <v>9.5473684209473682</v>
      </c>
      <c r="D10" s="33">
        <v>8.1021052631578952E-2</v>
      </c>
      <c r="E10" s="33">
        <v>0.86032368421052619</v>
      </c>
      <c r="F10" s="33">
        <v>353.74</v>
      </c>
      <c r="G10" s="33">
        <v>43.780000000000008</v>
      </c>
      <c r="H10" s="33">
        <v>309.96000000000004</v>
      </c>
      <c r="I10" s="33">
        <v>0.17856505961052629</v>
      </c>
      <c r="J10" s="33">
        <v>116.03</v>
      </c>
      <c r="K10" t="str">
        <f>VLOOKUP(A10,'交易處理資料 '!B:O,14)</f>
        <v>噴漆部門</v>
      </c>
      <c r="L10" t="str">
        <f>VLOOKUP(A10,'交易處理資料 '!B:O,12)</f>
        <v>噴漆維修組</v>
      </c>
    </row>
    <row r="11" spans="1:12">
      <c r="A11" s="32" t="s">
        <v>8</v>
      </c>
      <c r="B11" s="33">
        <v>35.636666666000004</v>
      </c>
      <c r="C11" s="33">
        <v>10.430243902243904</v>
      </c>
      <c r="D11" s="33">
        <v>0.10568536585365854</v>
      </c>
      <c r="E11" s="33">
        <v>0.79190487804878029</v>
      </c>
      <c r="F11" s="33">
        <v>339.79</v>
      </c>
      <c r="G11" s="33">
        <v>69.12</v>
      </c>
      <c r="H11" s="33">
        <v>270.67</v>
      </c>
      <c r="I11" s="33">
        <v>0.16869031382317071</v>
      </c>
      <c r="J11" s="33">
        <v>94.289999999999992</v>
      </c>
      <c r="K11" t="str">
        <f>VLOOKUP(A11,'交易處理資料 '!B:O,14)</f>
        <v>噴漆部門</v>
      </c>
      <c r="L11" t="str">
        <f>VLOOKUP(A11,'交易處理資料 '!B:O,12)</f>
        <v>噴漆維修組</v>
      </c>
    </row>
    <row r="12" spans="1:12">
      <c r="A12" s="32" t="s">
        <v>6</v>
      </c>
      <c r="B12" s="33">
        <v>26.060000000000006</v>
      </c>
      <c r="C12" s="33">
        <v>8.0184615384615388</v>
      </c>
      <c r="D12" s="33">
        <v>7.4638461538461529E-2</v>
      </c>
      <c r="E12" s="33">
        <v>0.85297948717948735</v>
      </c>
      <c r="F12" s="33">
        <v>347.79</v>
      </c>
      <c r="G12" s="33">
        <v>46.129999999999988</v>
      </c>
      <c r="H12" s="33">
        <v>301.66000000000003</v>
      </c>
      <c r="I12" s="33">
        <v>0.10967692607692306</v>
      </c>
      <c r="J12" s="33">
        <v>107.12</v>
      </c>
      <c r="K12" t="str">
        <f>VLOOKUP(A12,'交易處理資料 '!B:O,14)</f>
        <v>噴漆部門</v>
      </c>
      <c r="L12" t="str">
        <f>VLOOKUP(A12,'交易處理資料 '!B:O,12)</f>
        <v>噴漆維修組</v>
      </c>
    </row>
    <row r="13" spans="1:12">
      <c r="A13" s="32" t="s">
        <v>12</v>
      </c>
      <c r="B13" s="33">
        <v>185.63333333900007</v>
      </c>
      <c r="C13" s="33">
        <v>49.502222223733334</v>
      </c>
      <c r="D13" s="33">
        <v>0.47194888888888875</v>
      </c>
      <c r="E13" s="33">
        <v>0.71126222222222235</v>
      </c>
      <c r="F13" s="33">
        <v>385.86000000000007</v>
      </c>
      <c r="G13" s="33">
        <v>108.72999999999999</v>
      </c>
      <c r="H13" s="33">
        <v>277.12999999999994</v>
      </c>
      <c r="I13" s="33">
        <v>1.5907659444444444</v>
      </c>
      <c r="J13" s="33">
        <v>127.04999999999998</v>
      </c>
      <c r="K13" t="str">
        <f>VLOOKUP(A13,'交易處理資料 '!B:O,14)</f>
        <v>板金部門</v>
      </c>
      <c r="L13" t="str">
        <f>VLOOKUP(A13,'交易處理資料 '!B:O,12)</f>
        <v>鈑金維修組</v>
      </c>
    </row>
    <row r="14" spans="1:12">
      <c r="A14" s="32" t="s">
        <v>13</v>
      </c>
      <c r="B14" s="33">
        <v>145.49999999999997</v>
      </c>
      <c r="C14" s="33">
        <v>47.189189189189193</v>
      </c>
      <c r="D14" s="33">
        <v>0.48718918918918919</v>
      </c>
      <c r="E14" s="33">
        <v>0.66581081081081095</v>
      </c>
      <c r="F14" s="33">
        <v>299.65999999999997</v>
      </c>
      <c r="G14" s="33">
        <v>99.899999999999991</v>
      </c>
      <c r="H14" s="33">
        <v>199.76</v>
      </c>
      <c r="I14" s="33">
        <v>1.3038032633567567</v>
      </c>
      <c r="J14" s="33">
        <v>93.57</v>
      </c>
      <c r="K14" t="str">
        <f>VLOOKUP(A14,'交易處理資料 '!B:O,14)</f>
        <v>板金部門</v>
      </c>
      <c r="L14" t="str">
        <f>VLOOKUP(A14,'交易處理資料 '!B:O,12)</f>
        <v>鈑金維修組</v>
      </c>
    </row>
    <row r="15" spans="1:12">
      <c r="A15" s="32" t="s">
        <v>11</v>
      </c>
      <c r="B15" s="33">
        <v>125.00666666399999</v>
      </c>
      <c r="C15" s="33">
        <v>35.716190475428576</v>
      </c>
      <c r="D15" s="33">
        <v>0.36761190476190481</v>
      </c>
      <c r="E15" s="33">
        <v>0.60415952380952387</v>
      </c>
      <c r="F15" s="33">
        <v>332.25000000000006</v>
      </c>
      <c r="G15" s="33">
        <v>125.91999999999999</v>
      </c>
      <c r="H15" s="33">
        <v>206.32999999999996</v>
      </c>
      <c r="I15" s="33">
        <v>1.0173779740714284</v>
      </c>
      <c r="J15" s="33">
        <v>69.41</v>
      </c>
      <c r="K15" t="str">
        <f>VLOOKUP(A15,'交易處理資料 '!B:O,14)</f>
        <v>板金部門</v>
      </c>
      <c r="L15" t="str">
        <f>VLOOKUP(A15,'交易處理資料 '!B:O,12)</f>
        <v>鈑金維修組</v>
      </c>
    </row>
    <row r="16" spans="1:12">
      <c r="A16" s="32" t="s">
        <v>15</v>
      </c>
      <c r="B16" s="33">
        <v>88.416666669999998</v>
      </c>
      <c r="C16" s="33">
        <v>26.525000000999995</v>
      </c>
      <c r="D16" s="33">
        <v>0.27287500000000003</v>
      </c>
      <c r="E16" s="33">
        <v>0.61153750000000007</v>
      </c>
      <c r="F16" s="33">
        <v>317.90000000000003</v>
      </c>
      <c r="G16" s="33">
        <v>118.55999999999999</v>
      </c>
      <c r="H16" s="33">
        <v>199.34000000000003</v>
      </c>
      <c r="I16" s="33">
        <v>0.72392307893749996</v>
      </c>
      <c r="J16" s="33">
        <v>91.929999999999993</v>
      </c>
      <c r="K16" t="str">
        <f>VLOOKUP(A16,'交易處理資料 '!B:O,14)</f>
        <v>板金部門</v>
      </c>
      <c r="L16" t="str">
        <f>VLOOKUP(A16,'交易處理資料 '!B:O,12)</f>
        <v>鈑金維修組</v>
      </c>
    </row>
    <row r="17" spans="1:12">
      <c r="A17" s="32" t="s">
        <v>14</v>
      </c>
      <c r="B17" s="33">
        <v>163.12666666999999</v>
      </c>
      <c r="C17" s="33">
        <v>39.949387755918366</v>
      </c>
      <c r="D17" s="33">
        <v>0.40597755102040817</v>
      </c>
      <c r="E17" s="33">
        <v>0.59890204081632648</v>
      </c>
      <c r="F17" s="33">
        <v>400.94000000000017</v>
      </c>
      <c r="G17" s="33">
        <v>160.21</v>
      </c>
      <c r="H17" s="33">
        <v>240.72999999999996</v>
      </c>
      <c r="I17" s="33">
        <v>0.86714518444285726</v>
      </c>
      <c r="J17" s="33">
        <v>167.24999999999994</v>
      </c>
      <c r="K17" t="str">
        <f>VLOOKUP(A17,'交易處理資料 '!B:O,14)</f>
        <v>板金部門</v>
      </c>
      <c r="L17" t="str">
        <f>VLOOKUP(A17,'交易處理資料 '!B:O,12)</f>
        <v>鈑金維修組</v>
      </c>
    </row>
    <row r="18" spans="1:12">
      <c r="A18" s="32" t="s">
        <v>20</v>
      </c>
      <c r="B18" s="33">
        <v>47.596666664999994</v>
      </c>
      <c r="C18" s="33">
        <v>10.384727272363635</v>
      </c>
      <c r="D18" s="33">
        <v>0.10288000000000003</v>
      </c>
      <c r="E18" s="33">
        <v>0.38453999999999999</v>
      </c>
      <c r="F18" s="33">
        <v>485.76999999999992</v>
      </c>
      <c r="G18" s="33">
        <v>297.78999999999996</v>
      </c>
      <c r="H18" s="33">
        <v>187.98</v>
      </c>
      <c r="I18" s="33">
        <v>0.39183828724545461</v>
      </c>
      <c r="J18" s="33">
        <v>98.88</v>
      </c>
      <c r="K18" t="str">
        <f>VLOOKUP(A18,'交易處理資料 '!B:O,14)</f>
        <v>引電部門</v>
      </c>
      <c r="L18" t="str">
        <f>VLOOKUP(A18,'交易處理資料 '!B:O,12)</f>
        <v>查修團隊B</v>
      </c>
    </row>
    <row r="19" spans="1:12">
      <c r="A19" s="32" t="s">
        <v>21</v>
      </c>
      <c r="B19" s="33">
        <v>164.47000000099999</v>
      </c>
      <c r="C19" s="33">
        <v>41.992340425787233</v>
      </c>
      <c r="D19" s="33">
        <v>0.41315744680851074</v>
      </c>
      <c r="E19" s="33">
        <v>0.72672340425531923</v>
      </c>
      <c r="F19" s="33">
        <v>400.74000000000012</v>
      </c>
      <c r="G19" s="33">
        <v>109.17</v>
      </c>
      <c r="H19" s="33">
        <v>291.57000000000005</v>
      </c>
      <c r="I19" s="33">
        <v>1.2352743624797875</v>
      </c>
      <c r="J19" s="33">
        <v>174.80000000000007</v>
      </c>
      <c r="K19" t="str">
        <f>VLOOKUP(A19,'交易處理資料 '!B:O,14)</f>
        <v>引電部門</v>
      </c>
      <c r="L19" t="str">
        <f>VLOOKUP(A19,'交易處理資料 '!B:O,12)</f>
        <v>查修團隊B</v>
      </c>
    </row>
    <row r="20" spans="1:12">
      <c r="A20" s="32" t="s">
        <v>26</v>
      </c>
      <c r="B20" s="33">
        <v>67.79333333400001</v>
      </c>
      <c r="C20" s="33">
        <v>14.527142857285712</v>
      </c>
      <c r="D20" s="33">
        <v>0.13256607142857146</v>
      </c>
      <c r="E20" s="33">
        <v>0.38859999999999995</v>
      </c>
      <c r="F20" s="33">
        <v>505.62000000000012</v>
      </c>
      <c r="G20" s="33">
        <v>300.43000000000006</v>
      </c>
      <c r="H20" s="33">
        <v>205.19</v>
      </c>
      <c r="I20" s="33">
        <v>2.519238895408928</v>
      </c>
      <c r="J20" s="33">
        <v>126.52000000000001</v>
      </c>
      <c r="K20" t="str">
        <f>VLOOKUP(A20,'交易處理資料 '!B:O,14)</f>
        <v>引電部門</v>
      </c>
      <c r="L20" t="str">
        <f>VLOOKUP(A20,'交易處理資料 '!B:O,12)</f>
        <v>查修團隊B</v>
      </c>
    </row>
    <row r="21" spans="1:12">
      <c r="A21" s="32" t="s">
        <v>30</v>
      </c>
      <c r="B21" s="33">
        <v>318.11333331999992</v>
      </c>
      <c r="C21" s="33">
        <v>100.45684210105263</v>
      </c>
      <c r="D21" s="33">
        <v>0.93568684210526298</v>
      </c>
      <c r="E21" s="33">
        <v>0.87082105263157916</v>
      </c>
      <c r="F21" s="33">
        <v>342.06999999999994</v>
      </c>
      <c r="G21" s="33">
        <v>42.069999999999993</v>
      </c>
      <c r="H21" s="33">
        <v>300</v>
      </c>
      <c r="I21" s="33">
        <v>1.5515215789736845</v>
      </c>
      <c r="J21" s="33">
        <v>210.02999999999994</v>
      </c>
      <c r="K21" t="str">
        <f>VLOOKUP(A21,'交易處理資料 '!B:O,14)</f>
        <v>引電部門</v>
      </c>
      <c r="L21" t="str">
        <f>VLOOKUP(A21,'交易處理資料 '!B:O,12)</f>
        <v>查修團隊B</v>
      </c>
    </row>
    <row r="22" spans="1:12">
      <c r="A22" s="32" t="s">
        <v>46</v>
      </c>
      <c r="B22" s="33">
        <v>130.76999999999998</v>
      </c>
      <c r="C22" s="33">
        <v>35.664545454545454</v>
      </c>
      <c r="D22" s="33">
        <v>0.34478863636363638</v>
      </c>
      <c r="E22" s="33">
        <v>0.7351545454545455</v>
      </c>
      <c r="F22" s="33">
        <v>375.86000000000007</v>
      </c>
      <c r="G22" s="33">
        <v>98.65</v>
      </c>
      <c r="H22" s="33">
        <v>277.20999999999998</v>
      </c>
      <c r="I22" s="33">
        <v>0.91331898352727281</v>
      </c>
      <c r="J22" s="33">
        <v>140.16999999999999</v>
      </c>
      <c r="K22" t="str">
        <f>VLOOKUP(A22,'交易處理資料 '!B:O,14)</f>
        <v>引電部門</v>
      </c>
      <c r="L22" t="str">
        <f>VLOOKUP(A22,'交易處理資料 '!B:O,12)</f>
        <v>查修團隊B</v>
      </c>
    </row>
    <row r="23" spans="1:12">
      <c r="A23" s="32" t="s">
        <v>17</v>
      </c>
      <c r="B23" s="33">
        <v>469.90000000199996</v>
      </c>
      <c r="C23" s="33">
        <v>122.58260869617393</v>
      </c>
      <c r="D23" s="33">
        <v>1.1934304347826086</v>
      </c>
      <c r="E23" s="33">
        <v>0.83319782608695636</v>
      </c>
      <c r="F23" s="33">
        <v>391.96999999999997</v>
      </c>
      <c r="G23" s="33">
        <v>63.559999999999995</v>
      </c>
      <c r="H23" s="33">
        <v>328.40999999999997</v>
      </c>
      <c r="I23" s="33">
        <v>1.7058415794630437</v>
      </c>
      <c r="J23" s="33">
        <v>274.92999999999995</v>
      </c>
      <c r="K23" t="str">
        <f>VLOOKUP(A23,'交易處理資料 '!B:O,14)</f>
        <v>引電部門</v>
      </c>
      <c r="L23" t="str">
        <f>VLOOKUP(A23,'交易處理資料 '!B:O,12)</f>
        <v>查修團隊B</v>
      </c>
    </row>
    <row r="24" spans="1:12">
      <c r="A24" s="32" t="s">
        <v>18</v>
      </c>
      <c r="B24" s="33">
        <v>75.443333332999998</v>
      </c>
      <c r="C24" s="33">
        <v>22.632999999900001</v>
      </c>
      <c r="D24" s="33">
        <v>0.22510000000000002</v>
      </c>
      <c r="E24" s="33">
        <v>0.87341999999999975</v>
      </c>
      <c r="F24" s="33">
        <v>343.31</v>
      </c>
      <c r="G24" s="33">
        <v>42.480000000000004</v>
      </c>
      <c r="H24" s="33">
        <v>300.83</v>
      </c>
      <c r="I24" s="33">
        <v>0.54578006126</v>
      </c>
      <c r="J24" s="33">
        <v>123.57</v>
      </c>
      <c r="K24" t="str">
        <f>VLOOKUP(A24,'交易處理資料 '!B:O,14)</f>
        <v>引電部門</v>
      </c>
      <c r="L24" t="str">
        <f>VLOOKUP(A24,'交易處理資料 '!B:O,12)</f>
        <v>查修團隊B</v>
      </c>
    </row>
    <row r="25" spans="1:12">
      <c r="A25" s="32" t="s">
        <v>23</v>
      </c>
      <c r="B25" s="33">
        <v>320.31666667800005</v>
      </c>
      <c r="C25" s="33">
        <v>93.751219515512204</v>
      </c>
      <c r="D25" s="33">
        <v>0.85835853658536554</v>
      </c>
      <c r="E25" s="33">
        <v>0.86043170731707319</v>
      </c>
      <c r="F25" s="33">
        <v>379.40000000000003</v>
      </c>
      <c r="G25" s="33">
        <v>51.74</v>
      </c>
      <c r="H25" s="33">
        <v>327.65999999999997</v>
      </c>
      <c r="I25" s="33">
        <v>1.6144306133878048</v>
      </c>
      <c r="J25" s="33">
        <v>214.48</v>
      </c>
      <c r="K25" t="str">
        <f>VLOOKUP(A25,'交易處理資料 '!B:O,14)</f>
        <v>引電部門</v>
      </c>
      <c r="L25" t="str">
        <f>VLOOKUP(A25,'交易處理資料 '!B:O,12)</f>
        <v>快速保養團隊B</v>
      </c>
    </row>
    <row r="26" spans="1:12">
      <c r="A26" s="32" t="s">
        <v>37</v>
      </c>
      <c r="B26" s="33">
        <v>161.34666666700002</v>
      </c>
      <c r="C26" s="33">
        <v>41.194893617106381</v>
      </c>
      <c r="D26" s="33">
        <v>0.38419787234042557</v>
      </c>
      <c r="E26" s="33">
        <v>0.75484468085106382</v>
      </c>
      <c r="F26" s="33">
        <v>432.2999999999999</v>
      </c>
      <c r="G26" s="33">
        <v>101.77</v>
      </c>
      <c r="H26" s="33">
        <v>330.53</v>
      </c>
      <c r="I26" s="33">
        <v>0.87004619258297888</v>
      </c>
      <c r="J26" s="33">
        <v>192.82</v>
      </c>
      <c r="K26" t="str">
        <f>VLOOKUP(A26,'交易處理資料 '!B:O,14)</f>
        <v>引電部門</v>
      </c>
      <c r="L26" t="str">
        <f>VLOOKUP(A26,'交易處理資料 '!B:O,12)</f>
        <v>快速保養團隊B</v>
      </c>
    </row>
    <row r="27" spans="1:12">
      <c r="A27" s="32" t="s">
        <v>43</v>
      </c>
      <c r="B27" s="33">
        <v>115.14</v>
      </c>
      <c r="C27" s="33">
        <v>29.39744680851064</v>
      </c>
      <c r="D27" s="33">
        <v>0.30002553191489356</v>
      </c>
      <c r="E27" s="33">
        <v>0.77616808510638302</v>
      </c>
      <c r="F27" s="33">
        <v>392.76999999999992</v>
      </c>
      <c r="G27" s="33">
        <v>87.999999999999986</v>
      </c>
      <c r="H27" s="33">
        <v>304.76999999999992</v>
      </c>
      <c r="I27" s="33">
        <v>0.61131607655744691</v>
      </c>
      <c r="J27" s="33">
        <v>173.21000000000004</v>
      </c>
      <c r="K27" t="str">
        <f>VLOOKUP(A27,'交易處理資料 '!B:O,14)</f>
        <v>引電部門</v>
      </c>
      <c r="L27" t="str">
        <f>VLOOKUP(A27,'交易處理資料 '!B:O,12)</f>
        <v>快速保養團隊B</v>
      </c>
    </row>
    <row r="28" spans="1:12">
      <c r="A28" s="32" t="s">
        <v>50</v>
      </c>
      <c r="B28" s="33">
        <v>289.39333335200007</v>
      </c>
      <c r="C28" s="33">
        <v>91.387368426947347</v>
      </c>
      <c r="D28" s="33">
        <v>0.91824210526315786</v>
      </c>
      <c r="E28" s="33">
        <v>0.92034210526315763</v>
      </c>
      <c r="F28" s="33">
        <v>312.61999999999995</v>
      </c>
      <c r="G28" s="33">
        <v>24.62</v>
      </c>
      <c r="H28" s="33">
        <v>288.00000000000006</v>
      </c>
      <c r="I28" s="33">
        <v>1.4855496036157894</v>
      </c>
      <c r="J28" s="33">
        <v>191.73</v>
      </c>
      <c r="K28" t="str">
        <f>VLOOKUP(A28,'交易處理資料 '!B:O,14)</f>
        <v>引電部門</v>
      </c>
      <c r="L28" t="str">
        <f>VLOOKUP(A28,'交易處理資料 '!B:O,12)</f>
        <v>快速保養團隊B</v>
      </c>
    </row>
    <row r="29" spans="1:12">
      <c r="A29" s="32" t="s">
        <v>52</v>
      </c>
      <c r="B29" s="33">
        <v>122.60000000499998</v>
      </c>
      <c r="C29" s="33">
        <v>34.213953489767441</v>
      </c>
      <c r="D29" s="33">
        <v>0.34868604651162788</v>
      </c>
      <c r="E29" s="33">
        <v>0.84962558139534861</v>
      </c>
      <c r="F29" s="33">
        <v>354.86</v>
      </c>
      <c r="G29" s="33">
        <v>53.379999999999995</v>
      </c>
      <c r="H29" s="33">
        <v>301.4799999999999</v>
      </c>
      <c r="I29" s="33">
        <v>2.2097543335534882</v>
      </c>
      <c r="J29" s="33">
        <v>155.97000000000003</v>
      </c>
      <c r="K29" t="str">
        <f>VLOOKUP(A29,'交易處理資料 '!B:O,14)</f>
        <v>引電部門</v>
      </c>
      <c r="L29" t="str">
        <f>VLOOKUP(A29,'交易處理資料 '!B:O,12)</f>
        <v>快速保養團隊B</v>
      </c>
    </row>
    <row r="30" spans="1:12">
      <c r="A30" s="32" t="s">
        <v>41</v>
      </c>
      <c r="B30" s="33">
        <v>526.57999998500009</v>
      </c>
      <c r="C30" s="33">
        <v>150.45142856714284</v>
      </c>
      <c r="D30" s="33">
        <v>1.3880761904761905</v>
      </c>
      <c r="E30" s="33">
        <v>0.86005238095238123</v>
      </c>
      <c r="F30" s="33">
        <v>378.2</v>
      </c>
      <c r="G30" s="33">
        <v>51.150000000000013</v>
      </c>
      <c r="H30" s="33">
        <v>327.05000000000013</v>
      </c>
      <c r="I30" s="33">
        <v>1.9766522897619045</v>
      </c>
      <c r="J30" s="33">
        <v>268.11</v>
      </c>
      <c r="K30" t="str">
        <f>VLOOKUP(A30,'交易處理資料 '!B:O,14)</f>
        <v>引電部門</v>
      </c>
      <c r="L30" t="str">
        <f>VLOOKUP(A30,'交易處理資料 '!B:O,12)</f>
        <v>快速保養團隊B</v>
      </c>
    </row>
    <row r="31" spans="1:12">
      <c r="A31" s="32" t="s">
        <v>47</v>
      </c>
      <c r="B31" s="33">
        <v>143.09333333999999</v>
      </c>
      <c r="C31" s="33">
        <v>31.220363637818178</v>
      </c>
      <c r="D31" s="33">
        <v>0.31569090909090908</v>
      </c>
      <c r="E31" s="33">
        <v>0.65745090909090886</v>
      </c>
      <c r="F31" s="33">
        <v>454.03999999999996</v>
      </c>
      <c r="G31" s="33">
        <v>155.85000000000002</v>
      </c>
      <c r="H31" s="33">
        <v>298.19000000000005</v>
      </c>
      <c r="I31" s="33">
        <v>0.67578972595818187</v>
      </c>
      <c r="J31" s="33">
        <v>176.54</v>
      </c>
      <c r="K31" t="str">
        <f>VLOOKUP(A31,'交易處理資料 '!B:O,14)</f>
        <v>引電部門</v>
      </c>
      <c r="L31" t="str">
        <f>VLOOKUP(A31,'交易處理資料 '!B:O,12)</f>
        <v>快速保養團隊B</v>
      </c>
    </row>
    <row r="32" spans="1:12">
      <c r="A32" s="32" t="s">
        <v>48</v>
      </c>
      <c r="B32" s="33">
        <v>80.653333332000003</v>
      </c>
      <c r="C32" s="33">
        <v>21.507555555200003</v>
      </c>
      <c r="D32" s="33">
        <v>0.21751777777777775</v>
      </c>
      <c r="E32" s="33">
        <v>0.66001777777777759</v>
      </c>
      <c r="F32" s="33">
        <v>372.27000000000004</v>
      </c>
      <c r="G32" s="33">
        <v>125.69999999999999</v>
      </c>
      <c r="H32" s="33">
        <v>246.56999999999996</v>
      </c>
      <c r="I32" s="33">
        <v>2.882848235644444</v>
      </c>
      <c r="J32" s="33">
        <v>104.05000000000001</v>
      </c>
      <c r="K32" t="str">
        <f>VLOOKUP(A32,'交易處理資料 '!B:O,14)</f>
        <v>引電部門</v>
      </c>
      <c r="L32" t="str">
        <f>VLOOKUP(A32,'交易處理資料 '!B:O,12)</f>
        <v>快速保養團隊B</v>
      </c>
    </row>
    <row r="33" spans="1:12">
      <c r="A33" s="32" t="s">
        <v>35</v>
      </c>
      <c r="B33" s="33">
        <v>97.926666666999992</v>
      </c>
      <c r="C33" s="33">
        <v>23.982040816408166</v>
      </c>
      <c r="D33" s="33">
        <v>0.22475918367346934</v>
      </c>
      <c r="E33" s="33">
        <v>0.68951632653061201</v>
      </c>
      <c r="F33" s="33">
        <v>453.0200000000001</v>
      </c>
      <c r="G33" s="33">
        <v>138.35000000000002</v>
      </c>
      <c r="H33" s="33">
        <v>314.6699999999999</v>
      </c>
      <c r="I33" s="33">
        <v>0.53583855736040809</v>
      </c>
      <c r="J33" s="33">
        <v>165.50999999999996</v>
      </c>
      <c r="K33" t="str">
        <f>VLOOKUP(A33,'交易處理資料 '!B:O,14)</f>
        <v>引電部門</v>
      </c>
      <c r="L33" t="str">
        <f>VLOOKUP(A33,'交易處理資料 '!B:O,12)</f>
        <v>查修團隊B</v>
      </c>
    </row>
    <row r="34" spans="1:12">
      <c r="A34" s="32" t="s">
        <v>53</v>
      </c>
      <c r="B34" s="33">
        <v>170.36666666299999</v>
      </c>
      <c r="C34" s="33">
        <v>49.863414633073177</v>
      </c>
      <c r="D34" s="33">
        <v>0.46059512195121943</v>
      </c>
      <c r="E34" s="33">
        <v>0.88744390243902471</v>
      </c>
      <c r="F34" s="33">
        <v>369.99</v>
      </c>
      <c r="G34" s="33">
        <v>40.680000000000007</v>
      </c>
      <c r="H34" s="33">
        <v>329.31</v>
      </c>
      <c r="I34" s="33">
        <v>0.8319142574463414</v>
      </c>
      <c r="J34" s="33">
        <v>180.98</v>
      </c>
      <c r="K34" t="str">
        <f>VLOOKUP(A34,'交易處理資料 '!B:O,14)</f>
        <v>引電部門</v>
      </c>
      <c r="L34" t="str">
        <f>VLOOKUP(A34,'交易處理資料 '!B:O,12)</f>
        <v>查修團隊A</v>
      </c>
    </row>
    <row r="35" spans="1:12">
      <c r="A35" s="32" t="s">
        <v>40</v>
      </c>
      <c r="B35" s="33">
        <v>89.486666665999991</v>
      </c>
      <c r="C35" s="33">
        <v>27.534358974153854</v>
      </c>
      <c r="D35" s="33">
        <v>0.28581025641025642</v>
      </c>
      <c r="E35" s="33">
        <v>0.81016666666666659</v>
      </c>
      <c r="F35" s="33">
        <v>320.54000000000008</v>
      </c>
      <c r="G35" s="33">
        <v>51.840000000000018</v>
      </c>
      <c r="H35" s="33">
        <v>268.7</v>
      </c>
      <c r="I35" s="33">
        <v>0.71302163734102553</v>
      </c>
      <c r="J35" s="33">
        <v>110.13</v>
      </c>
      <c r="K35" t="str">
        <f>VLOOKUP(A35,'交易處理資料 '!B:O,14)</f>
        <v>引電部門</v>
      </c>
      <c r="L35" t="str">
        <f>VLOOKUP(A35,'交易處理資料 '!B:O,12)</f>
        <v>查修團隊A</v>
      </c>
    </row>
    <row r="36" spans="1:12">
      <c r="A36" s="32" t="s">
        <v>19</v>
      </c>
      <c r="B36" s="33">
        <v>82.586666665999999</v>
      </c>
      <c r="C36" s="33">
        <v>30.969999999749998</v>
      </c>
      <c r="D36" s="33">
        <v>0.31571250000000012</v>
      </c>
      <c r="E36" s="33">
        <v>0.85441874999999989</v>
      </c>
      <c r="F36" s="33">
        <v>259.32</v>
      </c>
      <c r="G36" s="33">
        <v>37.760000000000005</v>
      </c>
      <c r="H36" s="33">
        <v>221.56000000000006</v>
      </c>
      <c r="I36" s="33">
        <v>0.77645888091875004</v>
      </c>
      <c r="J36" s="33">
        <v>105.87</v>
      </c>
      <c r="K36" t="str">
        <f>VLOOKUP(A36,'交易處理資料 '!B:O,14)</f>
        <v>引電部門</v>
      </c>
      <c r="L36" t="str">
        <f>VLOOKUP(A36,'交易處理資料 '!B:O,12)</f>
        <v>查修團隊A</v>
      </c>
    </row>
    <row r="37" spans="1:12">
      <c r="A37" s="32" t="s">
        <v>25</v>
      </c>
      <c r="B37" s="33">
        <v>135.69666666800003</v>
      </c>
      <c r="C37" s="33">
        <v>37.86883720967441</v>
      </c>
      <c r="D37" s="33">
        <v>0.37247209302325585</v>
      </c>
      <c r="E37" s="33">
        <v>0.79380465116279086</v>
      </c>
      <c r="F37" s="33">
        <v>376</v>
      </c>
      <c r="G37" s="33">
        <v>74.290000000000006</v>
      </c>
      <c r="H37" s="33">
        <v>301.71000000000004</v>
      </c>
      <c r="I37" s="33">
        <v>1.9568145238186043</v>
      </c>
      <c r="J37" s="33">
        <v>166.87</v>
      </c>
      <c r="K37" t="str">
        <f>VLOOKUP(A37,'交易處理資料 '!B:O,14)</f>
        <v>引電部門</v>
      </c>
      <c r="L37" t="str">
        <f>VLOOKUP(A37,'交易處理資料 '!B:O,12)</f>
        <v>查修團隊A</v>
      </c>
    </row>
    <row r="38" spans="1:12">
      <c r="A38" s="32" t="s">
        <v>29</v>
      </c>
      <c r="B38" s="33">
        <v>109.966666668</v>
      </c>
      <c r="C38" s="33">
        <v>31.419047619428571</v>
      </c>
      <c r="D38" s="33">
        <v>0.32519523809523809</v>
      </c>
      <c r="E38" s="33">
        <v>0.78933809523809539</v>
      </c>
      <c r="F38" s="33">
        <v>346.57999999999993</v>
      </c>
      <c r="G38" s="33">
        <v>70.789999999999992</v>
      </c>
      <c r="H38" s="33">
        <v>275.78999999999996</v>
      </c>
      <c r="I38" s="33">
        <v>0.74036785895000001</v>
      </c>
      <c r="J38" s="33">
        <v>114.90000000000002</v>
      </c>
      <c r="K38" t="str">
        <f>VLOOKUP(A38,'交易處理資料 '!B:O,14)</f>
        <v>引電部門</v>
      </c>
      <c r="L38" t="str">
        <f>VLOOKUP(A38,'交易處理資料 '!B:O,12)</f>
        <v>查修團隊A</v>
      </c>
    </row>
    <row r="39" spans="1:12">
      <c r="A39" s="32" t="s">
        <v>36</v>
      </c>
      <c r="B39" s="33">
        <v>126.78999999900002</v>
      </c>
      <c r="C39" s="33">
        <v>29.832941176235291</v>
      </c>
      <c r="D39" s="33">
        <v>0.28721568627450988</v>
      </c>
      <c r="E39" s="33">
        <v>0.7419568627450982</v>
      </c>
      <c r="F39" s="33">
        <v>448.47000000000008</v>
      </c>
      <c r="G39" s="33">
        <v>111.8</v>
      </c>
      <c r="H39" s="33">
        <v>336.66999999999996</v>
      </c>
      <c r="I39" s="33">
        <v>2.1272571603235293</v>
      </c>
      <c r="J39" s="33">
        <v>192.52000000000004</v>
      </c>
      <c r="K39" t="str">
        <f>VLOOKUP(A39,'交易處理資料 '!B:O,14)</f>
        <v>引電部門</v>
      </c>
      <c r="L39" t="str">
        <f>VLOOKUP(A39,'交易處理資料 '!B:O,12)</f>
        <v>查修團隊A</v>
      </c>
    </row>
    <row r="40" spans="1:12">
      <c r="A40" s="32" t="s">
        <v>45</v>
      </c>
      <c r="B40" s="33">
        <v>395.46666665599997</v>
      </c>
      <c r="C40" s="33">
        <v>118.6399999968</v>
      </c>
      <c r="D40" s="33">
        <v>1.1513999999999998</v>
      </c>
      <c r="E40" s="33">
        <v>0.83755749999999995</v>
      </c>
      <c r="F40" s="33">
        <v>340.61999999999989</v>
      </c>
      <c r="G40" s="33">
        <v>54.519999999999982</v>
      </c>
      <c r="H40" s="33">
        <v>286.09999999999997</v>
      </c>
      <c r="I40" s="33">
        <v>1.7079034981425003</v>
      </c>
      <c r="J40" s="33">
        <v>231.92000000000004</v>
      </c>
      <c r="K40" t="str">
        <f>VLOOKUP(A40,'交易處理資料 '!B:O,14)</f>
        <v>引電部門</v>
      </c>
      <c r="L40" t="str">
        <f>VLOOKUP(A40,'交易處理資料 '!B:O,12)</f>
        <v>查修團隊A</v>
      </c>
    </row>
    <row r="41" spans="1:12">
      <c r="A41" s="32" t="s">
        <v>33</v>
      </c>
      <c r="B41" s="33">
        <v>135.543333335</v>
      </c>
      <c r="C41" s="33">
        <v>85.60631579052631</v>
      </c>
      <c r="D41" s="33">
        <v>0.83358421052631559</v>
      </c>
      <c r="E41" s="33">
        <v>0.83509473684210511</v>
      </c>
      <c r="F41" s="33">
        <v>162.04</v>
      </c>
      <c r="G41" s="33">
        <v>26.150000000000002</v>
      </c>
      <c r="H41" s="33">
        <v>135.88999999999999</v>
      </c>
      <c r="I41" s="33">
        <v>1.2584998453842104</v>
      </c>
      <c r="J41" s="33">
        <v>102.79000000000003</v>
      </c>
      <c r="K41" t="str">
        <f>VLOOKUP(A41,'交易處理資料 '!B:O,14)</f>
        <v>引電部門</v>
      </c>
      <c r="L41" t="str">
        <f>VLOOKUP(A41,'交易處理資料 '!B:O,12)</f>
        <v>查修團隊A</v>
      </c>
    </row>
    <row r="42" spans="1:12">
      <c r="A42" s="32" t="s">
        <v>39</v>
      </c>
      <c r="B42" s="33">
        <v>84.176666667999996</v>
      </c>
      <c r="C42" s="33">
        <v>24.637073171121948</v>
      </c>
      <c r="D42" s="33">
        <v>0.221819512195122</v>
      </c>
      <c r="E42" s="33">
        <v>0.75665609756097552</v>
      </c>
      <c r="F42" s="33">
        <v>378.45000000000005</v>
      </c>
      <c r="G42" s="33">
        <v>90.36</v>
      </c>
      <c r="H42" s="33">
        <v>288.09000000000009</v>
      </c>
      <c r="I42" s="33">
        <v>1.8466268143390248</v>
      </c>
      <c r="J42" s="33">
        <v>107.68999999999998</v>
      </c>
      <c r="K42" t="str">
        <f>VLOOKUP(A42,'交易處理資料 '!B:O,14)</f>
        <v>引電部門</v>
      </c>
      <c r="L42" t="str">
        <f>VLOOKUP(A42,'交易處理資料 '!B:O,12)</f>
        <v>查修團隊A</v>
      </c>
    </row>
    <row r="43" spans="1:12">
      <c r="A43" s="32" t="s">
        <v>44</v>
      </c>
      <c r="B43" s="33">
        <v>174.32333333300002</v>
      </c>
      <c r="C43" s="33">
        <v>59.767999999885703</v>
      </c>
      <c r="D43" s="33">
        <v>0.57901428571428559</v>
      </c>
      <c r="E43" s="33">
        <v>0.86699428571428583</v>
      </c>
      <c r="F43" s="33">
        <v>306.39000000000004</v>
      </c>
      <c r="G43" s="33">
        <v>39.590000000000003</v>
      </c>
      <c r="H43" s="33">
        <v>266.79999999999995</v>
      </c>
      <c r="I43" s="33">
        <v>1.1886125520628572</v>
      </c>
      <c r="J43" s="33">
        <v>157.19000000000003</v>
      </c>
      <c r="K43" t="str">
        <f>VLOOKUP(A43,'交易處理資料 '!B:O,14)</f>
        <v>引電部門</v>
      </c>
      <c r="L43" t="str">
        <f>VLOOKUP(A43,'交易處理資料 '!B:O,12)</f>
        <v>查修團隊A</v>
      </c>
    </row>
    <row r="44" spans="1:12">
      <c r="A44" s="32" t="s">
        <v>34</v>
      </c>
      <c r="B44" s="33">
        <v>359.453333348</v>
      </c>
      <c r="C44" s="33">
        <v>95.854222226133345</v>
      </c>
      <c r="D44" s="33">
        <v>0.92350444444444457</v>
      </c>
      <c r="E44" s="33">
        <v>0.84145333333333316</v>
      </c>
      <c r="F44" s="33">
        <v>388.84999999999991</v>
      </c>
      <c r="G44" s="33">
        <v>59.970000000000006</v>
      </c>
      <c r="H44" s="33">
        <v>328.87999999999994</v>
      </c>
      <c r="I44" s="33">
        <v>1.4192471130288886</v>
      </c>
      <c r="J44" s="33">
        <v>254.84000000000003</v>
      </c>
      <c r="K44" t="str">
        <f>VLOOKUP(A44,'交易處理資料 '!B:O,14)</f>
        <v>引電部門</v>
      </c>
      <c r="L44" t="str">
        <f>VLOOKUP(A44,'交易處理資料 '!B:O,12)</f>
        <v>查修團隊A</v>
      </c>
    </row>
    <row r="45" spans="1:12">
      <c r="A45" s="32" t="s">
        <v>49</v>
      </c>
      <c r="B45" s="33">
        <v>96.553333334000001</v>
      </c>
      <c r="C45" s="33">
        <v>32.184444444666667</v>
      </c>
      <c r="D45" s="33">
        <v>0.32361944444444435</v>
      </c>
      <c r="E45" s="33">
        <v>0.90797499999999987</v>
      </c>
      <c r="F45" s="33">
        <v>297.83000000000004</v>
      </c>
      <c r="G45" s="33">
        <v>27.34</v>
      </c>
      <c r="H45" s="33">
        <v>270.49000000000007</v>
      </c>
      <c r="I45" s="33">
        <v>0.74556616700555578</v>
      </c>
      <c r="J45" s="33">
        <v>123.42000000000003</v>
      </c>
      <c r="K45" t="str">
        <f>VLOOKUP(A45,'交易處理資料 '!B:O,14)</f>
        <v>引電部門</v>
      </c>
      <c r="L45" t="str">
        <f>VLOOKUP(A45,'交易處理資料 '!B:O,12)</f>
        <v>查修團隊A</v>
      </c>
    </row>
    <row r="46" spans="1:12">
      <c r="A46" s="32" t="s">
        <v>42</v>
      </c>
      <c r="B46" s="33">
        <v>343.07000000599999</v>
      </c>
      <c r="C46" s="33">
        <v>87.592340427063831</v>
      </c>
      <c r="D46" s="33">
        <v>0.9159382978723406</v>
      </c>
      <c r="E46" s="33">
        <v>0.74265319148936149</v>
      </c>
      <c r="F46" s="33">
        <v>381.57</v>
      </c>
      <c r="G46" s="33">
        <v>97.850000000000009</v>
      </c>
      <c r="H46" s="33">
        <v>283.72000000000003</v>
      </c>
      <c r="I46" s="33">
        <v>1.4113517902255324</v>
      </c>
      <c r="J46" s="33">
        <v>246.60000000000005</v>
      </c>
      <c r="K46" t="str">
        <f>VLOOKUP(A46,'交易處理資料 '!B:O,14)</f>
        <v>引電部門</v>
      </c>
      <c r="L46" t="str">
        <f>VLOOKUP(A46,'交易處理資料 '!B:O,12)</f>
        <v>快速保養團隊B</v>
      </c>
    </row>
    <row r="47" spans="1:12">
      <c r="A47" s="32" t="s">
        <v>32</v>
      </c>
      <c r="B47" s="33">
        <v>299.62333335100004</v>
      </c>
      <c r="C47" s="33">
        <v>97.175135140864896</v>
      </c>
      <c r="D47" s="33">
        <v>0.91636486486486479</v>
      </c>
      <c r="E47" s="33">
        <v>0.84346486486486472</v>
      </c>
      <c r="F47" s="33">
        <v>333.21000000000004</v>
      </c>
      <c r="G47" s="33">
        <v>49.679999999999986</v>
      </c>
      <c r="H47" s="33">
        <v>283.52999999999997</v>
      </c>
      <c r="I47" s="33">
        <v>1.5412515408783778</v>
      </c>
      <c r="J47" s="33">
        <v>198.03</v>
      </c>
      <c r="K47" t="str">
        <f>VLOOKUP(A47,'交易處理資料 '!B:O,14)</f>
        <v>引電部門</v>
      </c>
      <c r="L47" t="str">
        <f>VLOOKUP(A47,'交易處理資料 '!B:O,12)</f>
        <v>快速保養團隊B</v>
      </c>
    </row>
    <row r="48" spans="1:12">
      <c r="A48" s="32" t="s">
        <v>27</v>
      </c>
      <c r="B48" s="33">
        <v>216.96999999699997</v>
      </c>
      <c r="C48" s="33">
        <v>66.759999999076939</v>
      </c>
      <c r="D48" s="33">
        <v>0.63891282051282039</v>
      </c>
      <c r="E48" s="33">
        <v>0.8720256410256414</v>
      </c>
      <c r="F48" s="33">
        <v>344.11</v>
      </c>
      <c r="G48" s="33">
        <v>42.260000000000005</v>
      </c>
      <c r="H48" s="33">
        <v>301.84999999999997</v>
      </c>
      <c r="I48" s="33">
        <v>1.1341926984230766</v>
      </c>
      <c r="J48" s="33">
        <v>190.04000000000005</v>
      </c>
      <c r="K48" t="str">
        <f>VLOOKUP(A48,'交易處理資料 '!B:O,14)</f>
        <v>引電部門</v>
      </c>
      <c r="L48" t="str">
        <f>VLOOKUP(A48,'交易處理資料 '!B:O,12)</f>
        <v>快速保養團隊B</v>
      </c>
    </row>
    <row r="49" spans="1:12">
      <c r="A49" s="32" t="s">
        <v>38</v>
      </c>
      <c r="B49" s="33">
        <v>483.52000001299996</v>
      </c>
      <c r="C49" s="33">
        <v>152.69052631989473</v>
      </c>
      <c r="D49" s="33">
        <v>1.3100657894736845</v>
      </c>
      <c r="E49" s="33">
        <v>0.86902894736842107</v>
      </c>
      <c r="F49" s="33">
        <v>364.78</v>
      </c>
      <c r="G49" s="33">
        <v>43.570000000000007</v>
      </c>
      <c r="H49" s="33">
        <v>321.21000000000004</v>
      </c>
      <c r="I49" s="33">
        <v>1.935261078942105</v>
      </c>
      <c r="J49" s="33">
        <v>246.76000000000002</v>
      </c>
      <c r="K49" t="str">
        <f>VLOOKUP(A49,'交易處理資料 '!B:O,14)</f>
        <v>引電部門</v>
      </c>
      <c r="L49" t="str">
        <f>VLOOKUP(A49,'交易處理資料 '!B:O,12)</f>
        <v>快速保養團隊A</v>
      </c>
    </row>
    <row r="50" spans="1:12">
      <c r="A50" s="32" t="s">
        <v>28</v>
      </c>
      <c r="B50" s="33">
        <v>401.1333333299998</v>
      </c>
      <c r="C50" s="33">
        <v>96.27199999920002</v>
      </c>
      <c r="D50" s="33">
        <v>0.93623400000000023</v>
      </c>
      <c r="E50" s="33">
        <v>0.8309740000000001</v>
      </c>
      <c r="F50" s="33">
        <v>428.91000000000008</v>
      </c>
      <c r="G50" s="33">
        <v>70.839999999999989</v>
      </c>
      <c r="H50" s="33">
        <v>358.07000000000005</v>
      </c>
      <c r="I50" s="33">
        <v>1.3342703005200003</v>
      </c>
      <c r="J50" s="33">
        <v>301.23000000000008</v>
      </c>
      <c r="K50" t="str">
        <f>VLOOKUP(A50,'交易處理資料 '!B:O,14)</f>
        <v>引電部門</v>
      </c>
      <c r="L50" t="str">
        <f>VLOOKUP(A50,'交易處理資料 '!B:O,12)</f>
        <v>查修團隊A</v>
      </c>
    </row>
    <row r="51" spans="1:12">
      <c r="A51" s="32" t="s">
        <v>22</v>
      </c>
      <c r="B51" s="33">
        <v>267.61999998799996</v>
      </c>
      <c r="C51" s="33">
        <v>110.73931033986206</v>
      </c>
      <c r="D51" s="33">
        <v>1.101248275862069</v>
      </c>
      <c r="E51" s="33">
        <v>0.87143448275862079</v>
      </c>
      <c r="F51" s="33">
        <v>244.82000000000002</v>
      </c>
      <c r="G51" s="33">
        <v>30.599999999999998</v>
      </c>
      <c r="H51" s="33">
        <v>214.22</v>
      </c>
      <c r="I51" s="33">
        <v>1.6622423430517237</v>
      </c>
      <c r="J51" s="33">
        <v>164.63000000000002</v>
      </c>
      <c r="K51" t="str">
        <f>VLOOKUP(A51,'交易處理資料 '!B:O,14)</f>
        <v>引電部門</v>
      </c>
      <c r="L51" t="str">
        <f>VLOOKUP(A51,'交易處理資料 '!B:O,12)</f>
        <v>查修團隊A</v>
      </c>
    </row>
    <row r="52" spans="1:12">
      <c r="A52" s="32" t="s">
        <v>24</v>
      </c>
      <c r="B52" s="33">
        <v>435.06333332399998</v>
      </c>
      <c r="C52" s="33">
        <v>108.765833331</v>
      </c>
      <c r="D52" s="33">
        <v>1.0523020833333334</v>
      </c>
      <c r="E52" s="33">
        <v>0.84277916666666686</v>
      </c>
      <c r="F52" s="33">
        <v>412.75000000000006</v>
      </c>
      <c r="G52" s="33">
        <v>63.550000000000004</v>
      </c>
      <c r="H52" s="33">
        <v>349.19999999999993</v>
      </c>
      <c r="I52" s="33">
        <v>1.5358204262958333</v>
      </c>
      <c r="J52" s="33">
        <v>282.40999999999997</v>
      </c>
      <c r="K52" t="str">
        <f>VLOOKUP(A52,'交易處理資料 '!B:O,14)</f>
        <v>引電部門</v>
      </c>
      <c r="L52" t="str">
        <f>VLOOKUP(A52,'交易處理資料 '!B:O,12)</f>
        <v>查修團隊A</v>
      </c>
    </row>
    <row r="53" spans="1:12">
      <c r="A53" s="32" t="s">
        <v>90</v>
      </c>
      <c r="B53" s="33">
        <v>8697.1066667029827</v>
      </c>
      <c r="C53" s="33">
        <v>50.6136178469622</v>
      </c>
      <c r="D53" s="33">
        <v>0.48859141610087214</v>
      </c>
      <c r="E53" s="33">
        <v>0.77136120271580877</v>
      </c>
      <c r="F53" s="33">
        <v>17793.66999999998</v>
      </c>
      <c r="G53" s="33">
        <v>3945.9600000000046</v>
      </c>
      <c r="H53" s="33">
        <v>13847.709999999992</v>
      </c>
      <c r="I53" s="33">
        <v>1.1443414438431307</v>
      </c>
      <c r="J53" s="33">
        <v>7762.0199999999859</v>
      </c>
    </row>
    <row r="65" spans="1:3">
      <c r="A65" s="34"/>
      <c r="B65" s="34" t="s">
        <v>96</v>
      </c>
      <c r="C65" s="34" t="s">
        <v>98</v>
      </c>
    </row>
    <row r="66" spans="1:3">
      <c r="A66" s="32" t="s">
        <v>7</v>
      </c>
      <c r="B66" s="33">
        <v>28.029268292780483</v>
      </c>
      <c r="C66" s="33">
        <v>0.88731951219512206</v>
      </c>
    </row>
    <row r="67" spans="1:3">
      <c r="A67" s="32" t="s">
        <v>5</v>
      </c>
      <c r="B67" s="33">
        <v>24.86476190485714</v>
      </c>
      <c r="C67" s="33">
        <v>0.86844999999999994</v>
      </c>
    </row>
    <row r="68" spans="1:3">
      <c r="A68" s="32" t="s">
        <v>9</v>
      </c>
      <c r="B68" s="33">
        <v>22.845454545272727</v>
      </c>
      <c r="C68" s="33">
        <v>0.82407954545454531</v>
      </c>
    </row>
    <row r="69" spans="1:3">
      <c r="A69" s="32" t="s">
        <v>1</v>
      </c>
      <c r="B69" s="33">
        <v>11.156000000099999</v>
      </c>
      <c r="C69" s="33">
        <v>0.80313749999999984</v>
      </c>
    </row>
    <row r="70" spans="1:3">
      <c r="A70" s="32" t="s">
        <v>4</v>
      </c>
      <c r="B70" s="33">
        <v>8.4779999999999998</v>
      </c>
      <c r="C70" s="33">
        <v>0.73539999999999972</v>
      </c>
    </row>
    <row r="71" spans="1:3">
      <c r="A71" s="32" t="s">
        <v>3</v>
      </c>
      <c r="B71" s="33">
        <v>8.2892307692307696</v>
      </c>
      <c r="C71" s="33">
        <v>0.85135384615384624</v>
      </c>
    </row>
    <row r="72" spans="1:3">
      <c r="A72" s="32" t="s">
        <v>2</v>
      </c>
      <c r="B72" s="33">
        <v>9.5473684209473682</v>
      </c>
      <c r="C72" s="33">
        <v>0.86032368421052619</v>
      </c>
    </row>
    <row r="73" spans="1:3">
      <c r="A73" s="32" t="s">
        <v>8</v>
      </c>
      <c r="B73" s="33">
        <v>10.430243902243904</v>
      </c>
      <c r="C73" s="33">
        <v>0.79190487804878029</v>
      </c>
    </row>
    <row r="74" spans="1:3">
      <c r="A74" s="32" t="s">
        <v>6</v>
      </c>
      <c r="B74" s="33">
        <v>8.0184615384615388</v>
      </c>
      <c r="C74" s="33">
        <v>0.85297948717948735</v>
      </c>
    </row>
    <row r="75" spans="1:3">
      <c r="A75" s="32" t="s">
        <v>12</v>
      </c>
      <c r="B75" s="33">
        <v>49.502222223733334</v>
      </c>
      <c r="C75" s="33">
        <v>0.71126222222222235</v>
      </c>
    </row>
    <row r="76" spans="1:3">
      <c r="A76" s="32" t="s">
        <v>13</v>
      </c>
      <c r="B76" s="33">
        <v>47.189189189189193</v>
      </c>
      <c r="C76" s="33">
        <v>0.66581081081081095</v>
      </c>
    </row>
    <row r="77" spans="1:3">
      <c r="A77" s="32" t="s">
        <v>11</v>
      </c>
      <c r="B77" s="33">
        <v>35.716190475428576</v>
      </c>
      <c r="C77" s="33">
        <v>0.60415952380952387</v>
      </c>
    </row>
    <row r="78" spans="1:3">
      <c r="A78" s="32" t="s">
        <v>15</v>
      </c>
      <c r="B78" s="33">
        <v>26.525000000999995</v>
      </c>
      <c r="C78" s="33">
        <v>0.61153750000000007</v>
      </c>
    </row>
    <row r="79" spans="1:3">
      <c r="A79" s="32" t="s">
        <v>14</v>
      </c>
      <c r="B79" s="33">
        <v>39.949387755918366</v>
      </c>
      <c r="C79" s="33">
        <v>0.59890204081632648</v>
      </c>
    </row>
    <row r="80" spans="1:3">
      <c r="A80" s="32" t="s">
        <v>20</v>
      </c>
      <c r="B80" s="33">
        <v>10.384727272363635</v>
      </c>
      <c r="C80" s="33">
        <v>0.38453999999999999</v>
      </c>
    </row>
    <row r="81" spans="1:3">
      <c r="A81" s="32" t="s">
        <v>21</v>
      </c>
      <c r="B81" s="33">
        <v>41.992340425787233</v>
      </c>
      <c r="C81" s="33">
        <v>0.72672340425531923</v>
      </c>
    </row>
    <row r="82" spans="1:3">
      <c r="A82" s="32" t="s">
        <v>26</v>
      </c>
      <c r="B82" s="33">
        <v>14.527142857285712</v>
      </c>
      <c r="C82" s="33">
        <v>0.38859999999999995</v>
      </c>
    </row>
    <row r="83" spans="1:3">
      <c r="A83" s="32" t="s">
        <v>30</v>
      </c>
      <c r="B83" s="33">
        <v>100.45684210105263</v>
      </c>
      <c r="C83" s="33">
        <v>0.87082105263157916</v>
      </c>
    </row>
    <row r="84" spans="1:3">
      <c r="A84" s="32" t="s">
        <v>46</v>
      </c>
      <c r="B84" s="33">
        <v>35.664545454545454</v>
      </c>
      <c r="C84" s="33">
        <v>0.7351545454545455</v>
      </c>
    </row>
    <row r="85" spans="1:3">
      <c r="A85" s="32" t="s">
        <v>17</v>
      </c>
      <c r="B85" s="33">
        <v>122.58260869617393</v>
      </c>
      <c r="C85" s="33">
        <v>0.83319782608695636</v>
      </c>
    </row>
    <row r="86" spans="1:3">
      <c r="A86" s="32" t="s">
        <v>18</v>
      </c>
      <c r="B86" s="33">
        <v>22.632999999900001</v>
      </c>
      <c r="C86" s="33">
        <v>0.87341999999999975</v>
      </c>
    </row>
    <row r="87" spans="1:3">
      <c r="A87" s="32" t="s">
        <v>23</v>
      </c>
      <c r="B87" s="33">
        <v>93.751219515512204</v>
      </c>
      <c r="C87" s="33">
        <v>0.86043170731707319</v>
      </c>
    </row>
    <row r="88" spans="1:3">
      <c r="A88" s="32" t="s">
        <v>37</v>
      </c>
      <c r="B88" s="33">
        <v>41.194893617106381</v>
      </c>
      <c r="C88" s="33">
        <v>0.75484468085106382</v>
      </c>
    </row>
    <row r="89" spans="1:3">
      <c r="A89" s="32" t="s">
        <v>43</v>
      </c>
      <c r="B89" s="33">
        <v>29.39744680851064</v>
      </c>
      <c r="C89" s="33">
        <v>0.77616808510638302</v>
      </c>
    </row>
    <row r="90" spans="1:3">
      <c r="A90" s="32" t="s">
        <v>50</v>
      </c>
      <c r="B90" s="33">
        <v>91.387368426947347</v>
      </c>
      <c r="C90" s="33">
        <v>0.92034210526315763</v>
      </c>
    </row>
    <row r="91" spans="1:3">
      <c r="A91" s="32" t="s">
        <v>52</v>
      </c>
      <c r="B91" s="33">
        <v>34.213953489767441</v>
      </c>
      <c r="C91" s="33">
        <v>0.84962558139534861</v>
      </c>
    </row>
    <row r="92" spans="1:3">
      <c r="A92" s="32" t="s">
        <v>41</v>
      </c>
      <c r="B92" s="33">
        <v>150.45142856714284</v>
      </c>
      <c r="C92" s="33">
        <v>0.86005238095238123</v>
      </c>
    </row>
    <row r="93" spans="1:3">
      <c r="A93" s="32" t="s">
        <v>47</v>
      </c>
      <c r="B93" s="33">
        <v>31.220363637818178</v>
      </c>
      <c r="C93" s="33">
        <v>0.65745090909090886</v>
      </c>
    </row>
    <row r="94" spans="1:3">
      <c r="A94" s="32" t="s">
        <v>48</v>
      </c>
      <c r="B94" s="33">
        <v>21.507555555200003</v>
      </c>
      <c r="C94" s="33">
        <v>0.66001777777777759</v>
      </c>
    </row>
    <row r="95" spans="1:3">
      <c r="A95" s="32" t="s">
        <v>35</v>
      </c>
      <c r="B95" s="33">
        <v>23.982040816408166</v>
      </c>
      <c r="C95" s="33">
        <v>0.68951632653061201</v>
      </c>
    </row>
    <row r="96" spans="1:3">
      <c r="A96" s="32" t="s">
        <v>53</v>
      </c>
      <c r="B96" s="33">
        <v>49.863414633073177</v>
      </c>
      <c r="C96" s="33">
        <v>0.88744390243902471</v>
      </c>
    </row>
    <row r="97" spans="1:3">
      <c r="A97" s="32" t="s">
        <v>40</v>
      </c>
      <c r="B97" s="33">
        <v>27.534358974153854</v>
      </c>
      <c r="C97" s="33">
        <v>0.81016666666666659</v>
      </c>
    </row>
    <row r="98" spans="1:3">
      <c r="A98" s="32" t="s">
        <v>19</v>
      </c>
      <c r="B98" s="33">
        <v>30.969999999749998</v>
      </c>
      <c r="C98" s="33">
        <v>0.85441874999999989</v>
      </c>
    </row>
    <row r="99" spans="1:3">
      <c r="A99" s="32" t="s">
        <v>25</v>
      </c>
      <c r="B99" s="33">
        <v>37.86883720967441</v>
      </c>
      <c r="C99" s="33">
        <v>0.79380465116279086</v>
      </c>
    </row>
    <row r="100" spans="1:3">
      <c r="A100" s="32" t="s">
        <v>29</v>
      </c>
      <c r="B100" s="33">
        <v>31.419047619428571</v>
      </c>
      <c r="C100" s="33">
        <v>0.78933809523809539</v>
      </c>
    </row>
    <row r="101" spans="1:3">
      <c r="A101" s="32" t="s">
        <v>36</v>
      </c>
      <c r="B101" s="33">
        <v>29.832941176235291</v>
      </c>
      <c r="C101" s="33">
        <v>0.7419568627450982</v>
      </c>
    </row>
    <row r="102" spans="1:3">
      <c r="A102" s="32" t="s">
        <v>45</v>
      </c>
      <c r="B102" s="33">
        <v>118.6399999968</v>
      </c>
      <c r="C102" s="33">
        <v>0.83755749999999995</v>
      </c>
    </row>
    <row r="103" spans="1:3">
      <c r="A103" s="32" t="s">
        <v>33</v>
      </c>
      <c r="B103" s="33">
        <v>85.60631579052631</v>
      </c>
      <c r="C103" s="33">
        <v>0.83509473684210511</v>
      </c>
    </row>
    <row r="104" spans="1:3">
      <c r="A104" s="32" t="s">
        <v>39</v>
      </c>
      <c r="B104" s="33">
        <v>24.637073171121948</v>
      </c>
      <c r="C104" s="33">
        <v>0.75665609756097552</v>
      </c>
    </row>
    <row r="105" spans="1:3">
      <c r="A105" s="32" t="s">
        <v>44</v>
      </c>
      <c r="B105" s="33">
        <v>59.767999999885703</v>
      </c>
      <c r="C105" s="33">
        <v>0.86699428571428583</v>
      </c>
    </row>
    <row r="106" spans="1:3">
      <c r="A106" s="32" t="s">
        <v>34</v>
      </c>
      <c r="B106" s="33">
        <v>95.854222226133345</v>
      </c>
      <c r="C106" s="33">
        <v>0.84145333333333316</v>
      </c>
    </row>
    <row r="107" spans="1:3">
      <c r="A107" s="32" t="s">
        <v>49</v>
      </c>
      <c r="B107" s="33">
        <v>32.184444444666667</v>
      </c>
      <c r="C107" s="33">
        <v>0.90797499999999987</v>
      </c>
    </row>
    <row r="108" spans="1:3">
      <c r="A108" s="32" t="s">
        <v>42</v>
      </c>
      <c r="B108" s="33">
        <v>87.592340427063831</v>
      </c>
      <c r="C108" s="33">
        <v>0.74265319148936149</v>
      </c>
    </row>
    <row r="109" spans="1:3">
      <c r="A109" s="32" t="s">
        <v>32</v>
      </c>
      <c r="B109" s="33">
        <v>97.175135140864896</v>
      </c>
      <c r="C109" s="33">
        <v>0.84346486486486472</v>
      </c>
    </row>
    <row r="110" spans="1:3">
      <c r="A110" s="32" t="s">
        <v>27</v>
      </c>
      <c r="B110" s="33">
        <v>66.759999999076939</v>
      </c>
      <c r="C110" s="33">
        <v>0.8720256410256414</v>
      </c>
    </row>
    <row r="111" spans="1:3">
      <c r="A111" s="32" t="s">
        <v>38</v>
      </c>
      <c r="B111" s="33">
        <v>152.69052631989473</v>
      </c>
      <c r="C111" s="33">
        <v>0.86902894736842107</v>
      </c>
    </row>
    <row r="112" spans="1:3">
      <c r="A112" s="32" t="s">
        <v>28</v>
      </c>
      <c r="B112" s="33">
        <v>96.27199999920002</v>
      </c>
      <c r="C112" s="33">
        <v>0.8309740000000001</v>
      </c>
    </row>
    <row r="113" spans="1:3">
      <c r="A113" s="32" t="s">
        <v>22</v>
      </c>
      <c r="B113" s="33">
        <v>110.73931033986206</v>
      </c>
      <c r="C113" s="33">
        <v>0.87143448275862079</v>
      </c>
    </row>
    <row r="114" spans="1:3">
      <c r="A114" s="32" t="s">
        <v>24</v>
      </c>
      <c r="B114" s="33">
        <v>108.765833331</v>
      </c>
      <c r="C114" s="33">
        <v>0.84277916666666686</v>
      </c>
    </row>
    <row r="115" spans="1:3">
      <c r="A115" s="39" t="s">
        <v>90</v>
      </c>
      <c r="B115" s="40">
        <v>50.6136178469622</v>
      </c>
      <c r="C115" s="40">
        <v>0.77136120271580877</v>
      </c>
    </row>
  </sheetData>
  <phoneticPr fontId="18" type="noConversion"/>
  <conditionalFormatting pivot="1" sqref="B4:B52">
    <cfRule type="colorScale" priority="13">
      <colorScale>
        <cfvo type="min"/>
        <cfvo type="max"/>
        <color rgb="FFFCFCFF"/>
        <color rgb="FFF8696B"/>
      </colorScale>
    </cfRule>
  </conditionalFormatting>
  <conditionalFormatting pivot="1" sqref="C4:C52">
    <cfRule type="colorScale" priority="12">
      <colorScale>
        <cfvo type="min"/>
        <cfvo type="max"/>
        <color rgb="FFFCFCFF"/>
        <color rgb="FFF8696B"/>
      </colorScale>
    </cfRule>
  </conditionalFormatting>
  <conditionalFormatting pivot="1" sqref="D4:D52">
    <cfRule type="colorScale" priority="11">
      <colorScale>
        <cfvo type="min"/>
        <cfvo type="max"/>
        <color rgb="FFFCFCFF"/>
        <color rgb="FFF8696B"/>
      </colorScale>
    </cfRule>
  </conditionalFormatting>
  <conditionalFormatting pivot="1" sqref="E4:E52">
    <cfRule type="colorScale" priority="10">
      <colorScale>
        <cfvo type="min"/>
        <cfvo type="max"/>
        <color rgb="FFFCFCFF"/>
        <color rgb="FFF8696B"/>
      </colorScale>
    </cfRule>
  </conditionalFormatting>
  <conditionalFormatting pivot="1" sqref="F4:F52">
    <cfRule type="colorScale" priority="9">
      <colorScale>
        <cfvo type="min"/>
        <cfvo type="max"/>
        <color rgb="FFFCFCFF"/>
        <color rgb="FFF8696B"/>
      </colorScale>
    </cfRule>
  </conditionalFormatting>
  <conditionalFormatting pivot="1" sqref="G4:G52">
    <cfRule type="colorScale" priority="8">
      <colorScale>
        <cfvo type="min"/>
        <cfvo type="max"/>
        <color rgb="FFFCFCFF"/>
        <color rgb="FFF8696B"/>
      </colorScale>
    </cfRule>
  </conditionalFormatting>
  <conditionalFormatting pivot="1" sqref="H4:H52">
    <cfRule type="colorScale" priority="7">
      <colorScale>
        <cfvo type="min"/>
        <cfvo type="max"/>
        <color rgb="FFFCFCFF"/>
        <color rgb="FFF8696B"/>
      </colorScale>
    </cfRule>
  </conditionalFormatting>
  <conditionalFormatting pivot="1" sqref="I4:I52">
    <cfRule type="colorScale" priority="6">
      <colorScale>
        <cfvo type="min"/>
        <cfvo type="max"/>
        <color rgb="FFFCFCFF"/>
        <color rgb="FFF8696B"/>
      </colorScale>
    </cfRule>
  </conditionalFormatting>
  <conditionalFormatting pivot="1" sqref="J4:J52">
    <cfRule type="colorScale" priority="5">
      <colorScale>
        <cfvo type="min"/>
        <cfvo type="max"/>
        <color rgb="FFFCFCFF"/>
        <color rgb="FFF8696B"/>
      </colorScale>
    </cfRule>
  </conditionalFormatting>
  <conditionalFormatting sqref="B66:B114">
    <cfRule type="colorScale" priority="3">
      <colorScale>
        <cfvo type="min"/>
        <cfvo type="max"/>
        <color rgb="FFFCFCFF"/>
        <color rgb="FFF8696B"/>
      </colorScale>
    </cfRule>
  </conditionalFormatting>
  <conditionalFormatting sqref="C66:C11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3E7-71D9-48FD-8D73-72B60E43E751}">
  <dimension ref="A1:Z76"/>
  <sheetViews>
    <sheetView zoomScale="70" zoomScaleNormal="70" workbookViewId="0">
      <selection activeCell="Z4" sqref="Z4"/>
    </sheetView>
  </sheetViews>
  <sheetFormatPr defaultRowHeight="16.2"/>
  <cols>
    <col min="1" max="1" width="12.21875" bestFit="1" customWidth="1"/>
    <col min="2" max="3" width="19.44140625" bestFit="1" customWidth="1"/>
    <col min="4" max="4" width="10.109375" bestFit="1" customWidth="1"/>
    <col min="5" max="5" width="17.21875" bestFit="1" customWidth="1"/>
    <col min="6" max="7" width="19.44140625" bestFit="1" customWidth="1"/>
    <col min="8" max="8" width="16.77734375" bestFit="1" customWidth="1"/>
    <col min="9" max="9" width="14.88671875" bestFit="1" customWidth="1"/>
    <col min="10" max="10" width="11.33203125" bestFit="1" customWidth="1"/>
    <col min="11" max="11" width="15.88671875" bestFit="1" customWidth="1"/>
    <col min="12" max="12" width="14.88671875" bestFit="1" customWidth="1"/>
    <col min="13" max="13" width="17.21875" bestFit="1" customWidth="1"/>
    <col min="14" max="14" width="16.44140625" bestFit="1" customWidth="1"/>
    <col min="15" max="15" width="14.88671875" bestFit="1" customWidth="1"/>
    <col min="16" max="16" width="12.21875" bestFit="1" customWidth="1"/>
    <col min="17" max="17" width="19.44140625" bestFit="1" customWidth="1"/>
    <col min="18" max="18" width="14.88671875" bestFit="1" customWidth="1"/>
    <col min="19" max="19" width="12.21875" bestFit="1" customWidth="1"/>
    <col min="20" max="20" width="19.44140625" bestFit="1" customWidth="1"/>
    <col min="21" max="21" width="14.88671875" bestFit="1" customWidth="1"/>
    <col min="22" max="22" width="17.21875" bestFit="1" customWidth="1"/>
    <col min="23" max="24" width="19.44140625" bestFit="1" customWidth="1"/>
    <col min="25" max="25" width="14.88671875" bestFit="1" customWidth="1"/>
    <col min="26" max="26" width="16.6640625" bestFit="1" customWidth="1"/>
    <col min="27" max="3113" width="14.88671875" bestFit="1" customWidth="1"/>
    <col min="3114" max="3115" width="22.6640625" bestFit="1" customWidth="1"/>
    <col min="3116" max="3116" width="9.77734375" bestFit="1" customWidth="1"/>
    <col min="3117" max="3117" width="15.109375" bestFit="1" customWidth="1"/>
    <col min="3118" max="3118" width="9.77734375" bestFit="1" customWidth="1"/>
    <col min="3119" max="3119" width="15.109375" bestFit="1" customWidth="1"/>
    <col min="3120" max="3120" width="9.77734375" bestFit="1" customWidth="1"/>
    <col min="3121" max="3121" width="15.109375" bestFit="1" customWidth="1"/>
    <col min="3122" max="3122" width="9.77734375" bestFit="1" customWidth="1"/>
    <col min="3123" max="3123" width="15.109375" bestFit="1" customWidth="1"/>
    <col min="3124" max="3124" width="9.77734375" bestFit="1" customWidth="1"/>
    <col min="3125" max="3125" width="15.109375" bestFit="1" customWidth="1"/>
    <col min="3126" max="3126" width="9.77734375" bestFit="1" customWidth="1"/>
    <col min="3127" max="3127" width="15.109375" bestFit="1" customWidth="1"/>
    <col min="3128" max="3128" width="9.77734375" bestFit="1" customWidth="1"/>
    <col min="3129" max="3129" width="15.109375" bestFit="1" customWidth="1"/>
    <col min="3130" max="3130" width="9.77734375" bestFit="1" customWidth="1"/>
    <col min="3131" max="3131" width="15.109375" bestFit="1" customWidth="1"/>
    <col min="3132" max="3132" width="9.77734375" bestFit="1" customWidth="1"/>
    <col min="3133" max="3133" width="15.109375" bestFit="1" customWidth="1"/>
    <col min="3134" max="3134" width="12" bestFit="1" customWidth="1"/>
    <col min="3135" max="3135" width="13.88671875" bestFit="1" customWidth="1"/>
    <col min="3136" max="3136" width="8.6640625" bestFit="1" customWidth="1"/>
    <col min="3137" max="3137" width="13.88671875" bestFit="1" customWidth="1"/>
    <col min="3138" max="3138" width="9.77734375" bestFit="1" customWidth="1"/>
    <col min="3139" max="3139" width="15.109375" bestFit="1" customWidth="1"/>
    <col min="3140" max="3140" width="13.88671875" bestFit="1" customWidth="1"/>
    <col min="3141" max="3141" width="8.6640625" bestFit="1" customWidth="1"/>
    <col min="3142" max="3143" width="13.88671875" bestFit="1" customWidth="1"/>
    <col min="3144" max="3144" width="8.6640625" bestFit="1" customWidth="1"/>
    <col min="3145" max="3145" width="12.6640625" bestFit="1" customWidth="1"/>
    <col min="3146" max="3146" width="13.88671875" bestFit="1" customWidth="1"/>
    <col min="3147" max="3147" width="8.6640625" bestFit="1" customWidth="1"/>
    <col min="3148" max="3149" width="13.88671875" bestFit="1" customWidth="1"/>
    <col min="3150" max="3150" width="9.77734375" bestFit="1" customWidth="1"/>
    <col min="3151" max="3151" width="15.109375" bestFit="1" customWidth="1"/>
    <col min="3152" max="3152" width="13.88671875" bestFit="1" customWidth="1"/>
    <col min="3153" max="3153" width="8.6640625" bestFit="1" customWidth="1"/>
    <col min="3154" max="3155" width="13.88671875" bestFit="1" customWidth="1"/>
    <col min="3156" max="3156" width="8.6640625" bestFit="1" customWidth="1"/>
    <col min="3157" max="3157" width="12.6640625" bestFit="1" customWidth="1"/>
    <col min="3158" max="3158" width="8.6640625" bestFit="1" customWidth="1"/>
    <col min="3159" max="3160" width="13.88671875" bestFit="1" customWidth="1"/>
    <col min="3161" max="3161" width="9.77734375" bestFit="1" customWidth="1"/>
    <col min="3162" max="3162" width="15.109375" bestFit="1" customWidth="1"/>
    <col min="3163" max="3163" width="13.88671875" bestFit="1" customWidth="1"/>
    <col min="3164" max="3164" width="9.77734375" bestFit="1" customWidth="1"/>
    <col min="3165" max="3166" width="13.88671875" bestFit="1" customWidth="1"/>
    <col min="3167" max="3167" width="8.6640625" bestFit="1" customWidth="1"/>
    <col min="3168" max="3168" width="12.6640625" bestFit="1" customWidth="1"/>
    <col min="3169" max="3169" width="13.88671875" bestFit="1" customWidth="1"/>
    <col min="3170" max="3170" width="10.88671875" bestFit="1" customWidth="1"/>
    <col min="3171" max="3171" width="12.6640625" bestFit="1" customWidth="1"/>
    <col min="3172" max="3172" width="9.77734375" bestFit="1" customWidth="1"/>
    <col min="3173" max="3173" width="15.109375" bestFit="1" customWidth="1"/>
    <col min="3174" max="3174" width="13.88671875" bestFit="1" customWidth="1"/>
    <col min="3175" max="3175" width="9.77734375" bestFit="1" customWidth="1"/>
    <col min="3176" max="3177" width="13.88671875" bestFit="1" customWidth="1"/>
    <col min="3178" max="3178" width="9.77734375" bestFit="1" customWidth="1"/>
    <col min="3179" max="3179" width="15.109375" bestFit="1" customWidth="1"/>
    <col min="3180" max="3180" width="13.88671875" bestFit="1" customWidth="1"/>
    <col min="3181" max="3181" width="8.6640625" bestFit="1" customWidth="1"/>
    <col min="3182" max="3183" width="13.88671875" bestFit="1" customWidth="1"/>
    <col min="3184" max="3184" width="8.6640625" bestFit="1" customWidth="1"/>
    <col min="3185" max="3185" width="12.6640625" bestFit="1" customWidth="1"/>
    <col min="3186" max="3186" width="9.77734375" bestFit="1" customWidth="1"/>
    <col min="3187" max="3188" width="13.88671875" bestFit="1" customWidth="1"/>
    <col min="3189" max="3189" width="9.77734375" bestFit="1" customWidth="1"/>
    <col min="3190" max="3190" width="13.88671875" bestFit="1" customWidth="1"/>
    <col min="3191" max="3191" width="9.77734375" bestFit="1" customWidth="1"/>
    <col min="3192" max="3192" width="15.109375" bestFit="1" customWidth="1"/>
    <col min="3193" max="3193" width="13.88671875" bestFit="1" customWidth="1"/>
    <col min="3194" max="3194" width="8.6640625" bestFit="1" customWidth="1"/>
    <col min="3195" max="3195" width="12.6640625" bestFit="1" customWidth="1"/>
    <col min="3196" max="3196" width="13.88671875" bestFit="1" customWidth="1"/>
    <col min="3197" max="3197" width="9.77734375" bestFit="1" customWidth="1"/>
    <col min="3198" max="3199" width="13.88671875" bestFit="1" customWidth="1"/>
    <col min="3200" max="3200" width="8.6640625" bestFit="1" customWidth="1"/>
    <col min="3201" max="3202" width="13.88671875" bestFit="1" customWidth="1"/>
    <col min="3203" max="3203" width="9.77734375" bestFit="1" customWidth="1"/>
    <col min="3204" max="3204" width="15.109375" bestFit="1" customWidth="1"/>
    <col min="3205" max="3205" width="13.88671875" bestFit="1" customWidth="1"/>
    <col min="3206" max="3206" width="9.77734375" bestFit="1" customWidth="1"/>
    <col min="3207" max="3207" width="15.109375" bestFit="1" customWidth="1"/>
    <col min="3208" max="3208" width="13.88671875" bestFit="1" customWidth="1"/>
    <col min="3209" max="3209" width="8.6640625" bestFit="1" customWidth="1"/>
    <col min="3210" max="3210" width="12.6640625" bestFit="1" customWidth="1"/>
    <col min="3211" max="3211" width="13.88671875" bestFit="1" customWidth="1"/>
    <col min="3212" max="3212" width="8.6640625" bestFit="1" customWidth="1"/>
    <col min="3213" max="3214" width="13.88671875" bestFit="1" customWidth="1"/>
    <col min="3215" max="3215" width="8.6640625" bestFit="1" customWidth="1"/>
    <col min="3216" max="3217" width="13.88671875" bestFit="1" customWidth="1"/>
    <col min="3218" max="3218" width="8.6640625" bestFit="1" customWidth="1"/>
    <col min="3219" max="3220" width="13.88671875" bestFit="1" customWidth="1"/>
    <col min="3221" max="3221" width="9.77734375" bestFit="1" customWidth="1"/>
    <col min="3222" max="3223" width="13.88671875" bestFit="1" customWidth="1"/>
    <col min="3224" max="3224" width="8.6640625" bestFit="1" customWidth="1"/>
    <col min="3225" max="3226" width="13.88671875" bestFit="1" customWidth="1"/>
    <col min="3227" max="3227" width="8.6640625" bestFit="1" customWidth="1"/>
    <col min="3228" max="3229" width="13.88671875" bestFit="1" customWidth="1"/>
    <col min="3230" max="3230" width="8.6640625" bestFit="1" customWidth="1"/>
    <col min="3231" max="3231" width="12.6640625" bestFit="1" customWidth="1"/>
    <col min="3232" max="3232" width="13.88671875" bestFit="1" customWidth="1"/>
    <col min="3233" max="3233" width="9.77734375" bestFit="1" customWidth="1"/>
    <col min="3234" max="3234" width="13.88671875" bestFit="1" customWidth="1"/>
    <col min="3235" max="3235" width="10.88671875" bestFit="1" customWidth="1"/>
    <col min="3236" max="3237" width="13.88671875" bestFit="1" customWidth="1"/>
    <col min="3238" max="3238" width="8.6640625" bestFit="1" customWidth="1"/>
    <col min="3239" max="3239" width="13.88671875" bestFit="1" customWidth="1"/>
    <col min="3240" max="3240" width="8.6640625" bestFit="1" customWidth="1"/>
    <col min="3241" max="3242" width="13.88671875" bestFit="1" customWidth="1"/>
    <col min="3243" max="3243" width="8.6640625" bestFit="1" customWidth="1"/>
    <col min="3244" max="3244" width="12.6640625" bestFit="1" customWidth="1"/>
    <col min="3245" max="3245" width="13.88671875" bestFit="1" customWidth="1"/>
    <col min="3246" max="3246" width="9.77734375" bestFit="1" customWidth="1"/>
    <col min="3247" max="3248" width="13.88671875" bestFit="1" customWidth="1"/>
    <col min="3249" max="3249" width="9.77734375" bestFit="1" customWidth="1"/>
    <col min="3250" max="3250" width="15.109375" bestFit="1" customWidth="1"/>
    <col min="3251" max="3251" width="13.88671875" bestFit="1" customWidth="1"/>
    <col min="3252" max="3252" width="9.77734375" bestFit="1" customWidth="1"/>
    <col min="3253" max="3254" width="13.88671875" bestFit="1" customWidth="1"/>
    <col min="3255" max="3255" width="8.6640625" bestFit="1" customWidth="1"/>
    <col min="3256" max="3256" width="12.6640625" bestFit="1" customWidth="1"/>
    <col min="3257" max="3257" width="13.88671875" bestFit="1" customWidth="1"/>
    <col min="3258" max="3258" width="8.6640625" bestFit="1" customWidth="1"/>
    <col min="3259" max="3259" width="12.6640625" bestFit="1" customWidth="1"/>
    <col min="3260" max="3260" width="13.88671875" bestFit="1" customWidth="1"/>
    <col min="3261" max="3261" width="8.6640625" bestFit="1" customWidth="1"/>
    <col min="3262" max="3262" width="12.6640625" bestFit="1" customWidth="1"/>
    <col min="3263" max="3263" width="13.88671875" bestFit="1" customWidth="1"/>
    <col min="3264" max="3264" width="8.6640625" bestFit="1" customWidth="1"/>
    <col min="3265" max="3265" width="12.6640625" bestFit="1" customWidth="1"/>
    <col min="3266" max="3266" width="9.77734375" bestFit="1" customWidth="1"/>
    <col min="3267" max="3267" width="13.88671875" bestFit="1" customWidth="1"/>
    <col min="3268" max="3268" width="9.77734375" bestFit="1" customWidth="1"/>
    <col min="3269" max="3269" width="15.109375" bestFit="1" customWidth="1"/>
    <col min="3270" max="3270" width="13.88671875" bestFit="1" customWidth="1"/>
    <col min="3271" max="3271" width="8.6640625" bestFit="1" customWidth="1"/>
    <col min="3272" max="3272" width="12.6640625" bestFit="1" customWidth="1"/>
    <col min="3273" max="3273" width="8.6640625" bestFit="1" customWidth="1"/>
    <col min="3274" max="3275" width="13.88671875" bestFit="1" customWidth="1"/>
    <col min="3276" max="3276" width="8.6640625" bestFit="1" customWidth="1"/>
    <col min="3277" max="3277" width="12.6640625" bestFit="1" customWidth="1"/>
    <col min="3278" max="3278" width="9.77734375" bestFit="1" customWidth="1"/>
    <col min="3279" max="3280" width="13.88671875" bestFit="1" customWidth="1"/>
    <col min="3281" max="3281" width="8.6640625" bestFit="1" customWidth="1"/>
    <col min="3282" max="3282" width="12.6640625" bestFit="1" customWidth="1"/>
    <col min="3283" max="3283" width="8.6640625" bestFit="1" customWidth="1"/>
    <col min="3284" max="3284" width="13.88671875" bestFit="1" customWidth="1"/>
    <col min="3285" max="3285" width="9.77734375" bestFit="1" customWidth="1"/>
    <col min="3286" max="3287" width="13.88671875" bestFit="1" customWidth="1"/>
    <col min="3288" max="3288" width="9.77734375" bestFit="1" customWidth="1"/>
    <col min="3289" max="3289" width="15.109375" bestFit="1" customWidth="1"/>
    <col min="3290" max="3290" width="13.88671875" bestFit="1" customWidth="1"/>
    <col min="3291" max="3291" width="8.6640625" bestFit="1" customWidth="1"/>
    <col min="3292" max="3292" width="12.6640625" bestFit="1" customWidth="1"/>
    <col min="3293" max="3293" width="13.88671875" bestFit="1" customWidth="1"/>
    <col min="3294" max="3294" width="8.6640625" bestFit="1" customWidth="1"/>
    <col min="3295" max="3295" width="13.88671875" bestFit="1" customWidth="1"/>
    <col min="3296" max="3296" width="9.77734375" bestFit="1" customWidth="1"/>
    <col min="3297" max="3297" width="15.109375" bestFit="1" customWidth="1"/>
    <col min="3298" max="3298" width="13.88671875" bestFit="1" customWidth="1"/>
    <col min="3299" max="3299" width="8.6640625" bestFit="1" customWidth="1"/>
    <col min="3300" max="3301" width="13.88671875" bestFit="1" customWidth="1"/>
    <col min="3302" max="3302" width="8.6640625" bestFit="1" customWidth="1"/>
    <col min="3303" max="3303" width="12.6640625" bestFit="1" customWidth="1"/>
    <col min="3304" max="3304" width="13.88671875" bestFit="1" customWidth="1"/>
    <col min="3305" max="3305" width="8.6640625" bestFit="1" customWidth="1"/>
    <col min="3306" max="3306" width="12.6640625" bestFit="1" customWidth="1"/>
    <col min="3307" max="3307" width="8.6640625" bestFit="1" customWidth="1"/>
    <col min="3308" max="3308" width="13.88671875" bestFit="1" customWidth="1"/>
    <col min="3309" max="3309" width="9.77734375" bestFit="1" customWidth="1"/>
    <col min="3310" max="3310" width="15.109375" bestFit="1" customWidth="1"/>
    <col min="3311" max="3311" width="13.88671875" bestFit="1" customWidth="1"/>
    <col min="3312" max="3312" width="8.6640625" bestFit="1" customWidth="1"/>
    <col min="3313" max="3314" width="13.88671875" bestFit="1" customWidth="1"/>
    <col min="3315" max="3315" width="8.6640625" bestFit="1" customWidth="1"/>
    <col min="3316" max="3316" width="12.6640625" bestFit="1" customWidth="1"/>
    <col min="3317" max="3317" width="8.6640625" bestFit="1" customWidth="1"/>
    <col min="3318" max="3318" width="12.6640625" bestFit="1" customWidth="1"/>
    <col min="3319" max="3319" width="13.88671875" bestFit="1" customWidth="1"/>
    <col min="3320" max="3320" width="8.6640625" bestFit="1" customWidth="1"/>
    <col min="3321" max="3321" width="13.88671875" bestFit="1" customWidth="1"/>
    <col min="3322" max="3322" width="9.77734375" bestFit="1" customWidth="1"/>
    <col min="3323" max="3323" width="13.88671875" bestFit="1" customWidth="1"/>
    <col min="3324" max="3324" width="9.77734375" bestFit="1" customWidth="1"/>
    <col min="3325" max="3325" width="15.109375" bestFit="1" customWidth="1"/>
    <col min="3326" max="3326" width="13.88671875" bestFit="1" customWidth="1"/>
    <col min="3327" max="3327" width="8.6640625" bestFit="1" customWidth="1"/>
    <col min="3328" max="3328" width="12.6640625" bestFit="1" customWidth="1"/>
    <col min="3329" max="3329" width="13.88671875" bestFit="1" customWidth="1"/>
    <col min="3330" max="3330" width="9.77734375" bestFit="1" customWidth="1"/>
    <col min="3331" max="3331" width="15.109375" bestFit="1" customWidth="1"/>
    <col min="3332" max="3332" width="9.77734375" bestFit="1" customWidth="1"/>
    <col min="3333" max="3333" width="15.109375" bestFit="1" customWidth="1"/>
    <col min="3334" max="3334" width="13.88671875" bestFit="1" customWidth="1"/>
    <col min="3335" max="3335" width="8.6640625" bestFit="1" customWidth="1"/>
    <col min="3336" max="3336" width="12.6640625" bestFit="1" customWidth="1"/>
    <col min="3337" max="3337" width="13.88671875" bestFit="1" customWidth="1"/>
    <col min="3338" max="3338" width="8.6640625" bestFit="1" customWidth="1"/>
    <col min="3339" max="3340" width="13.88671875" bestFit="1" customWidth="1"/>
    <col min="3341" max="3341" width="8.6640625" bestFit="1" customWidth="1"/>
    <col min="3342" max="3343" width="13.88671875" bestFit="1" customWidth="1"/>
    <col min="3344" max="3344" width="9.77734375" bestFit="1" customWidth="1"/>
    <col min="3345" max="3346" width="13.88671875" bestFit="1" customWidth="1"/>
    <col min="3347" max="3347" width="8.6640625" bestFit="1" customWidth="1"/>
    <col min="3348" max="3348" width="12.6640625" bestFit="1" customWidth="1"/>
    <col min="3349" max="3349" width="13.88671875" bestFit="1" customWidth="1"/>
    <col min="3350" max="3350" width="8.6640625" bestFit="1" customWidth="1"/>
    <col min="3351" max="3351" width="12.6640625" bestFit="1" customWidth="1"/>
    <col min="3352" max="3352" width="9.77734375" bestFit="1" customWidth="1"/>
    <col min="3353" max="3353" width="15.109375" bestFit="1" customWidth="1"/>
    <col min="3354" max="3354" width="13.88671875" bestFit="1" customWidth="1"/>
    <col min="3355" max="3355" width="9.77734375" bestFit="1" customWidth="1"/>
    <col min="3356" max="3356" width="15.109375" bestFit="1" customWidth="1"/>
    <col min="3357" max="3357" width="13.88671875" bestFit="1" customWidth="1"/>
    <col min="3358" max="3358" width="9.77734375" bestFit="1" customWidth="1"/>
    <col min="3359" max="3359" width="15.109375" bestFit="1" customWidth="1"/>
    <col min="3360" max="3360" width="13.88671875" bestFit="1" customWidth="1"/>
    <col min="3361" max="3361" width="8.6640625" bestFit="1" customWidth="1"/>
    <col min="3362" max="3363" width="13.88671875" bestFit="1" customWidth="1"/>
    <col min="3364" max="3364" width="9.77734375" bestFit="1" customWidth="1"/>
    <col min="3365" max="3365" width="15.109375" bestFit="1" customWidth="1"/>
    <col min="3366" max="3366" width="13.88671875" bestFit="1" customWidth="1"/>
    <col min="3367" max="3367" width="8.6640625" bestFit="1" customWidth="1"/>
    <col min="3368" max="3369" width="13.88671875" bestFit="1" customWidth="1"/>
    <col min="3370" max="3370" width="9.77734375" bestFit="1" customWidth="1"/>
    <col min="3371" max="3372" width="13.88671875" bestFit="1" customWidth="1"/>
    <col min="3373" max="3373" width="8.6640625" bestFit="1" customWidth="1"/>
    <col min="3374" max="3375" width="13.88671875" bestFit="1" customWidth="1"/>
    <col min="3376" max="3376" width="8.6640625" bestFit="1" customWidth="1"/>
    <col min="3377" max="3377" width="12.6640625" bestFit="1" customWidth="1"/>
    <col min="3378" max="3378" width="9.77734375" bestFit="1" customWidth="1"/>
    <col min="3379" max="3380" width="13.88671875" bestFit="1" customWidth="1"/>
    <col min="3381" max="3381" width="9.77734375" bestFit="1" customWidth="1"/>
    <col min="3382" max="3382" width="15.109375" bestFit="1" customWidth="1"/>
    <col min="3383" max="3383" width="13.88671875" bestFit="1" customWidth="1"/>
    <col min="3384" max="3384" width="8.6640625" bestFit="1" customWidth="1"/>
    <col min="3385" max="3386" width="13.88671875" bestFit="1" customWidth="1"/>
    <col min="3387" max="3387" width="9.77734375" bestFit="1" customWidth="1"/>
    <col min="3388" max="3389" width="13.88671875" bestFit="1" customWidth="1"/>
    <col min="3390" max="3390" width="8.6640625" bestFit="1" customWidth="1"/>
    <col min="3391" max="3391" width="12.6640625" bestFit="1" customWidth="1"/>
    <col min="3392" max="3392" width="8.6640625" bestFit="1" customWidth="1"/>
    <col min="3393" max="3393" width="13.88671875" bestFit="1" customWidth="1"/>
    <col min="3394" max="3394" width="9.77734375" bestFit="1" customWidth="1"/>
    <col min="3395" max="3396" width="13.88671875" bestFit="1" customWidth="1"/>
    <col min="3397" max="3397" width="8.6640625" bestFit="1" customWidth="1"/>
    <col min="3398" max="3399" width="13.88671875" bestFit="1" customWidth="1"/>
    <col min="3400" max="3400" width="8.6640625" bestFit="1" customWidth="1"/>
    <col min="3401" max="3402" width="13.88671875" bestFit="1" customWidth="1"/>
    <col min="3403" max="3403" width="8.6640625" bestFit="1" customWidth="1"/>
    <col min="3404" max="3404" width="13.88671875" bestFit="1" customWidth="1"/>
    <col min="3405" max="3405" width="8.6640625" bestFit="1" customWidth="1"/>
    <col min="3406" max="3407" width="13.88671875" bestFit="1" customWidth="1"/>
    <col min="3408" max="3408" width="9.77734375" bestFit="1" customWidth="1"/>
    <col min="3409" max="3409" width="13.88671875" bestFit="1" customWidth="1"/>
    <col min="3410" max="3410" width="9.77734375" bestFit="1" customWidth="1"/>
    <col min="3411" max="3411" width="15.109375" bestFit="1" customWidth="1"/>
    <col min="3412" max="3412" width="13.88671875" bestFit="1" customWidth="1"/>
    <col min="3413" max="3413" width="8.6640625" bestFit="1" customWidth="1"/>
    <col min="3414" max="3415" width="13.88671875" bestFit="1" customWidth="1"/>
    <col min="3416" max="3416" width="9.77734375" bestFit="1" customWidth="1"/>
    <col min="3417" max="3418" width="13.88671875" bestFit="1" customWidth="1"/>
    <col min="3419" max="3419" width="8.6640625" bestFit="1" customWidth="1"/>
    <col min="3420" max="3420" width="13.88671875" bestFit="1" customWidth="1"/>
    <col min="3421" max="3421" width="9.77734375" bestFit="1" customWidth="1"/>
    <col min="3422" max="3422" width="13.88671875" bestFit="1" customWidth="1"/>
    <col min="3423" max="3423" width="9.77734375" bestFit="1" customWidth="1"/>
    <col min="3424" max="3424" width="15.109375" bestFit="1" customWidth="1"/>
    <col min="3425" max="3425" width="13.88671875" bestFit="1" customWidth="1"/>
    <col min="3426" max="3426" width="9.77734375" bestFit="1" customWidth="1"/>
    <col min="3427" max="3428" width="13.88671875" bestFit="1" customWidth="1"/>
    <col min="3429" max="3429" width="9.77734375" bestFit="1" customWidth="1"/>
    <col min="3430" max="3430" width="15.109375" bestFit="1" customWidth="1"/>
    <col min="3431" max="3431" width="13.88671875" bestFit="1" customWidth="1"/>
    <col min="3432" max="3432" width="9.77734375" bestFit="1" customWidth="1"/>
    <col min="3433" max="3433" width="15.109375" bestFit="1" customWidth="1"/>
    <col min="3434" max="3434" width="13.88671875" bestFit="1" customWidth="1"/>
    <col min="3435" max="3435" width="8.6640625" bestFit="1" customWidth="1"/>
    <col min="3436" max="3436" width="13.88671875" bestFit="1" customWidth="1"/>
    <col min="3437" max="3437" width="8.6640625" bestFit="1" customWidth="1"/>
    <col min="3438" max="3439" width="13.88671875" bestFit="1" customWidth="1"/>
    <col min="3440" max="3440" width="8.6640625" bestFit="1" customWidth="1"/>
    <col min="3441" max="3441" width="12.6640625" bestFit="1" customWidth="1"/>
    <col min="3442" max="3442" width="13.88671875" bestFit="1" customWidth="1"/>
    <col min="3443" max="3443" width="8.6640625" bestFit="1" customWidth="1"/>
    <col min="3444" max="3444" width="12.6640625" bestFit="1" customWidth="1"/>
    <col min="3445" max="3445" width="9.77734375" bestFit="1" customWidth="1"/>
    <col min="3446" max="3446" width="15.109375" bestFit="1" customWidth="1"/>
    <col min="3447" max="3447" width="13.88671875" bestFit="1" customWidth="1"/>
    <col min="3448" max="3448" width="8.6640625" bestFit="1" customWidth="1"/>
    <col min="3449" max="3449" width="12.6640625" bestFit="1" customWidth="1"/>
    <col min="3450" max="3450" width="9.77734375" bestFit="1" customWidth="1"/>
    <col min="3451" max="3451" width="15.109375" bestFit="1" customWidth="1"/>
    <col min="3452" max="3452" width="13.88671875" bestFit="1" customWidth="1"/>
    <col min="3453" max="3453" width="9.77734375" bestFit="1" customWidth="1"/>
    <col min="3454" max="3454" width="15.109375" bestFit="1" customWidth="1"/>
    <col min="3455" max="3455" width="13.88671875" bestFit="1" customWidth="1"/>
    <col min="3456" max="3456" width="8.6640625" bestFit="1" customWidth="1"/>
    <col min="3457" max="3458" width="13.88671875" bestFit="1" customWidth="1"/>
    <col min="3459" max="3459" width="8.6640625" bestFit="1" customWidth="1"/>
    <col min="3460" max="3460" width="12.6640625" bestFit="1" customWidth="1"/>
    <col min="3461" max="3461" width="9.77734375" bestFit="1" customWidth="1"/>
    <col min="3462" max="3462" width="15.109375" bestFit="1" customWidth="1"/>
    <col min="3463" max="3463" width="13.88671875" bestFit="1" customWidth="1"/>
    <col min="3464" max="3464" width="8.6640625" bestFit="1" customWidth="1"/>
    <col min="3465" max="3465" width="12.6640625" bestFit="1" customWidth="1"/>
    <col min="3466" max="3466" width="9.77734375" bestFit="1" customWidth="1"/>
    <col min="3467" max="3467" width="15.109375" bestFit="1" customWidth="1"/>
    <col min="3468" max="3468" width="13.88671875" bestFit="1" customWidth="1"/>
    <col min="3469" max="3469" width="8.6640625" bestFit="1" customWidth="1"/>
    <col min="3470" max="3470" width="13.88671875" bestFit="1" customWidth="1"/>
    <col min="3471" max="3471" width="8.6640625" bestFit="1" customWidth="1"/>
    <col min="3472" max="3473" width="13.88671875" bestFit="1" customWidth="1"/>
    <col min="3474" max="3474" width="9.77734375" bestFit="1" customWidth="1"/>
    <col min="3475" max="3476" width="13.88671875" bestFit="1" customWidth="1"/>
    <col min="3477" max="3477" width="8.6640625" bestFit="1" customWidth="1"/>
    <col min="3478" max="3478" width="12.6640625" bestFit="1" customWidth="1"/>
    <col min="3479" max="3479" width="9.77734375" bestFit="1" customWidth="1"/>
    <col min="3480" max="3481" width="13.88671875" bestFit="1" customWidth="1"/>
    <col min="3482" max="3482" width="8.6640625" bestFit="1" customWidth="1"/>
    <col min="3483" max="3483" width="12.6640625" bestFit="1" customWidth="1"/>
    <col min="3484" max="3484" width="9.77734375" bestFit="1" customWidth="1"/>
    <col min="3485" max="3485" width="15.109375" bestFit="1" customWidth="1"/>
    <col min="3486" max="3486" width="13.88671875" bestFit="1" customWidth="1"/>
    <col min="3487" max="3487" width="9.77734375" bestFit="1" customWidth="1"/>
    <col min="3488" max="3488" width="15.109375" bestFit="1" customWidth="1"/>
    <col min="3489" max="3489" width="13.88671875" bestFit="1" customWidth="1"/>
    <col min="3490" max="3490" width="9.77734375" bestFit="1" customWidth="1"/>
    <col min="3491" max="3492" width="13.88671875" bestFit="1" customWidth="1"/>
    <col min="3493" max="3493" width="8.6640625" bestFit="1" customWidth="1"/>
    <col min="3494" max="3495" width="13.88671875" bestFit="1" customWidth="1"/>
    <col min="3496" max="3496" width="8.6640625" bestFit="1" customWidth="1"/>
    <col min="3497" max="3497" width="13.88671875" bestFit="1" customWidth="1"/>
    <col min="3498" max="3498" width="9.77734375" bestFit="1" customWidth="1"/>
    <col min="3499" max="3499" width="13.88671875" bestFit="1" customWidth="1"/>
    <col min="3500" max="3500" width="8.6640625" bestFit="1" customWidth="1"/>
    <col min="3501" max="3502" width="13.88671875" bestFit="1" customWidth="1"/>
    <col min="3503" max="3503" width="9.77734375" bestFit="1" customWidth="1"/>
    <col min="3504" max="3504" width="15.109375" bestFit="1" customWidth="1"/>
    <col min="3505" max="3505" width="9.77734375" bestFit="1" customWidth="1"/>
    <col min="3506" max="3506" width="15.109375" bestFit="1" customWidth="1"/>
    <col min="3507" max="3507" width="13.88671875" bestFit="1" customWidth="1"/>
    <col min="3508" max="3508" width="8.6640625" bestFit="1" customWidth="1"/>
    <col min="3509" max="3510" width="13.88671875" bestFit="1" customWidth="1"/>
    <col min="3511" max="3511" width="9.77734375" bestFit="1" customWidth="1"/>
    <col min="3512" max="3512" width="15.109375" bestFit="1" customWidth="1"/>
    <col min="3513" max="3513" width="13.88671875" bestFit="1" customWidth="1"/>
    <col min="3514" max="3514" width="8.6640625" bestFit="1" customWidth="1"/>
    <col min="3515" max="3515" width="13.88671875" bestFit="1" customWidth="1"/>
    <col min="3516" max="3516" width="8.6640625" bestFit="1" customWidth="1"/>
    <col min="3517" max="3518" width="13.88671875" bestFit="1" customWidth="1"/>
    <col min="3519" max="3519" width="8.6640625" bestFit="1" customWidth="1"/>
    <col min="3520" max="3521" width="13.88671875" bestFit="1" customWidth="1"/>
    <col min="3522" max="3522" width="8.6640625" bestFit="1" customWidth="1"/>
    <col min="3523" max="3523" width="12.6640625" bestFit="1" customWidth="1"/>
    <col min="3524" max="3524" width="9.77734375" bestFit="1" customWidth="1"/>
    <col min="3525" max="3526" width="13.88671875" bestFit="1" customWidth="1"/>
    <col min="3527" max="3527" width="9.77734375" bestFit="1" customWidth="1"/>
    <col min="3528" max="3528" width="13.88671875" bestFit="1" customWidth="1"/>
    <col min="3529" max="3529" width="9.77734375" bestFit="1" customWidth="1"/>
    <col min="3530" max="3530" width="13.88671875" bestFit="1" customWidth="1"/>
    <col min="3531" max="3531" width="9.77734375" bestFit="1" customWidth="1"/>
    <col min="3532" max="3533" width="13.88671875" bestFit="1" customWidth="1"/>
    <col min="3534" max="3534" width="8.6640625" bestFit="1" customWidth="1"/>
    <col min="3535" max="3536" width="13.88671875" bestFit="1" customWidth="1"/>
    <col min="3537" max="3537" width="8.6640625" bestFit="1" customWidth="1"/>
    <col min="3538" max="3538" width="13.88671875" bestFit="1" customWidth="1"/>
    <col min="3539" max="3539" width="8.6640625" bestFit="1" customWidth="1"/>
    <col min="3540" max="3541" width="13.88671875" bestFit="1" customWidth="1"/>
    <col min="3542" max="3542" width="8.6640625" bestFit="1" customWidth="1"/>
    <col min="3543" max="3543" width="12.6640625" bestFit="1" customWidth="1"/>
    <col min="3544" max="3544" width="13.88671875" bestFit="1" customWidth="1"/>
    <col min="3545" max="3545" width="8.6640625" bestFit="1" customWidth="1"/>
    <col min="3546" max="3547" width="13.88671875" bestFit="1" customWidth="1"/>
    <col min="3548" max="3548" width="8.6640625" bestFit="1" customWidth="1"/>
    <col min="3549" max="3549" width="12.6640625" bestFit="1" customWidth="1"/>
    <col min="3550" max="3550" width="9.77734375" bestFit="1" customWidth="1"/>
    <col min="3551" max="3551" width="15.109375" bestFit="1" customWidth="1"/>
    <col min="3552" max="3552" width="13.88671875" bestFit="1" customWidth="1"/>
    <col min="3553" max="3553" width="9.77734375" bestFit="1" customWidth="1"/>
    <col min="3554" max="3554" width="15.109375" bestFit="1" customWidth="1"/>
    <col min="3555" max="3555" width="13.88671875" bestFit="1" customWidth="1"/>
    <col min="3556" max="3556" width="8.6640625" bestFit="1" customWidth="1"/>
    <col min="3557" max="3557" width="13.88671875" bestFit="1" customWidth="1"/>
    <col min="3558" max="3558" width="8.6640625" bestFit="1" customWidth="1"/>
    <col min="3559" max="3560" width="13.88671875" bestFit="1" customWidth="1"/>
    <col min="3561" max="3561" width="9.77734375" bestFit="1" customWidth="1"/>
    <col min="3562" max="3563" width="13.88671875" bestFit="1" customWidth="1"/>
    <col min="3564" max="3564" width="9.77734375" bestFit="1" customWidth="1"/>
    <col min="3565" max="3565" width="15.109375" bestFit="1" customWidth="1"/>
    <col min="3566" max="3566" width="13.88671875" bestFit="1" customWidth="1"/>
    <col min="3567" max="3567" width="9.77734375" bestFit="1" customWidth="1"/>
    <col min="3568" max="3568" width="15.109375" bestFit="1" customWidth="1"/>
    <col min="3569" max="3569" width="13.88671875" bestFit="1" customWidth="1"/>
    <col min="3570" max="3570" width="8.6640625" bestFit="1" customWidth="1"/>
    <col min="3571" max="3571" width="12.6640625" bestFit="1" customWidth="1"/>
    <col min="3572" max="3572" width="9.77734375" bestFit="1" customWidth="1"/>
    <col min="3573" max="3573" width="13.88671875" bestFit="1" customWidth="1"/>
    <col min="3574" max="3574" width="9.77734375" bestFit="1" customWidth="1"/>
    <col min="3575" max="3575" width="13.88671875" bestFit="1" customWidth="1"/>
    <col min="3576" max="3576" width="9.77734375" bestFit="1" customWidth="1"/>
    <col min="3577" max="3577" width="15.109375" bestFit="1" customWidth="1"/>
    <col min="3578" max="3578" width="9.77734375" bestFit="1" customWidth="1"/>
    <col min="3579" max="3579" width="15.109375" bestFit="1" customWidth="1"/>
    <col min="3580" max="3580" width="13.88671875" bestFit="1" customWidth="1"/>
    <col min="3581" max="3581" width="8.6640625" bestFit="1" customWidth="1"/>
    <col min="3582" max="3582" width="12.6640625" bestFit="1" customWidth="1"/>
    <col min="3583" max="3583" width="13.88671875" bestFit="1" customWidth="1"/>
    <col min="3584" max="3584" width="9.77734375" bestFit="1" customWidth="1"/>
    <col min="3585" max="3585" width="15.109375" bestFit="1" customWidth="1"/>
    <col min="3586" max="3586" width="13.88671875" bestFit="1" customWidth="1"/>
    <col min="3587" max="3587" width="8.6640625" bestFit="1" customWidth="1"/>
    <col min="3588" max="3588" width="12.6640625" bestFit="1" customWidth="1"/>
    <col min="3589" max="3589" width="13.88671875" bestFit="1" customWidth="1"/>
    <col min="3590" max="3590" width="8.6640625" bestFit="1" customWidth="1"/>
    <col min="3591" max="3591" width="12.6640625" bestFit="1" customWidth="1"/>
    <col min="3592" max="3592" width="9.77734375" bestFit="1" customWidth="1"/>
    <col min="3593" max="3594" width="13.88671875" bestFit="1" customWidth="1"/>
    <col min="3595" max="3595" width="8.6640625" bestFit="1" customWidth="1"/>
    <col min="3596" max="3596" width="12.6640625" bestFit="1" customWidth="1"/>
    <col min="3597" max="3597" width="13.88671875" bestFit="1" customWidth="1"/>
    <col min="3598" max="3598" width="8.6640625" bestFit="1" customWidth="1"/>
    <col min="3599" max="3599" width="12.6640625" bestFit="1" customWidth="1"/>
    <col min="3600" max="3600" width="13.88671875" bestFit="1" customWidth="1"/>
    <col min="3601" max="3601" width="8.6640625" bestFit="1" customWidth="1"/>
    <col min="3602" max="3603" width="13.88671875" bestFit="1" customWidth="1"/>
    <col min="3604" max="3604" width="9.77734375" bestFit="1" customWidth="1"/>
    <col min="3605" max="3605" width="15.109375" bestFit="1" customWidth="1"/>
    <col min="3606" max="3606" width="13.88671875" bestFit="1" customWidth="1"/>
    <col min="3607" max="3607" width="9.77734375" bestFit="1" customWidth="1"/>
    <col min="3608" max="3608" width="13.88671875" bestFit="1" customWidth="1"/>
    <col min="3609" max="3609" width="8.6640625" bestFit="1" customWidth="1"/>
    <col min="3610" max="3611" width="13.88671875" bestFit="1" customWidth="1"/>
    <col min="3612" max="3612" width="9.77734375" bestFit="1" customWidth="1"/>
    <col min="3613" max="3614" width="13.88671875" bestFit="1" customWidth="1"/>
    <col min="3615" max="3615" width="9.77734375" bestFit="1" customWidth="1"/>
    <col min="3616" max="3617" width="13.88671875" bestFit="1" customWidth="1"/>
    <col min="3618" max="3618" width="8.6640625" bestFit="1" customWidth="1"/>
    <col min="3619" max="3619" width="12.6640625" bestFit="1" customWidth="1"/>
    <col min="3620" max="3620" width="13.88671875" bestFit="1" customWidth="1"/>
    <col min="3621" max="3621" width="8.6640625" bestFit="1" customWidth="1"/>
    <col min="3622" max="3623" width="13.88671875" bestFit="1" customWidth="1"/>
    <col min="3624" max="3624" width="8.6640625" bestFit="1" customWidth="1"/>
    <col min="3625" max="3626" width="13.88671875" bestFit="1" customWidth="1"/>
    <col min="3627" max="3627" width="8.6640625" bestFit="1" customWidth="1"/>
    <col min="3628" max="3628" width="12.6640625" bestFit="1" customWidth="1"/>
    <col min="3629" max="3629" width="13.88671875" bestFit="1" customWidth="1"/>
    <col min="3630" max="3630" width="9.77734375" bestFit="1" customWidth="1"/>
    <col min="3631" max="3632" width="13.88671875" bestFit="1" customWidth="1"/>
    <col min="3633" max="3633" width="8.6640625" bestFit="1" customWidth="1"/>
    <col min="3634" max="3635" width="13.88671875" bestFit="1" customWidth="1"/>
    <col min="3636" max="3636" width="9.77734375" bestFit="1" customWidth="1"/>
    <col min="3637" max="3638" width="13.88671875" bestFit="1" customWidth="1"/>
    <col min="3639" max="3639" width="8.6640625" bestFit="1" customWidth="1"/>
    <col min="3640" max="3640" width="12.6640625" bestFit="1" customWidth="1"/>
    <col min="3641" max="3641" width="13.88671875" bestFit="1" customWidth="1"/>
    <col min="3642" max="3642" width="8.6640625" bestFit="1" customWidth="1"/>
    <col min="3643" max="3644" width="13.88671875" bestFit="1" customWidth="1"/>
    <col min="3645" max="3645" width="8.6640625" bestFit="1" customWidth="1"/>
    <col min="3646" max="3646" width="13.88671875" bestFit="1" customWidth="1"/>
    <col min="3647" max="3647" width="9.77734375" bestFit="1" customWidth="1"/>
    <col min="3648" max="3649" width="13.88671875" bestFit="1" customWidth="1"/>
    <col min="3650" max="3650" width="9.77734375" bestFit="1" customWidth="1"/>
    <col min="3651" max="3651" width="13.88671875" bestFit="1" customWidth="1"/>
    <col min="3652" max="3652" width="9.77734375" bestFit="1" customWidth="1"/>
    <col min="3653" max="3653" width="15.109375" bestFit="1" customWidth="1"/>
    <col min="3654" max="3654" width="13.88671875" bestFit="1" customWidth="1"/>
    <col min="3655" max="3655" width="8.6640625" bestFit="1" customWidth="1"/>
    <col min="3656" max="3656" width="12.6640625" bestFit="1" customWidth="1"/>
    <col min="3657" max="3657" width="13.88671875" bestFit="1" customWidth="1"/>
    <col min="3658" max="3658" width="8.6640625" bestFit="1" customWidth="1"/>
    <col min="3659" max="3659" width="13.88671875" bestFit="1" customWidth="1"/>
    <col min="3660" max="3660" width="9.77734375" bestFit="1" customWidth="1"/>
    <col min="3661" max="3661" width="15.109375" bestFit="1" customWidth="1"/>
    <col min="3662" max="3662" width="13.88671875" bestFit="1" customWidth="1"/>
    <col min="3663" max="3663" width="9.77734375" bestFit="1" customWidth="1"/>
    <col min="3664" max="3665" width="13.88671875" bestFit="1" customWidth="1"/>
    <col min="3666" max="3666" width="8.6640625" bestFit="1" customWidth="1"/>
    <col min="3667" max="3667" width="12.6640625" bestFit="1" customWidth="1"/>
    <col min="3668" max="3668" width="13.88671875" bestFit="1" customWidth="1"/>
    <col min="3669" max="3669" width="8.6640625" bestFit="1" customWidth="1"/>
    <col min="3670" max="3670" width="13.88671875" bestFit="1" customWidth="1"/>
    <col min="3671" max="3671" width="9.77734375" bestFit="1" customWidth="1"/>
    <col min="3672" max="3673" width="13.88671875" bestFit="1" customWidth="1"/>
    <col min="3674" max="3674" width="8.6640625" bestFit="1" customWidth="1"/>
    <col min="3675" max="3675" width="12.6640625" bestFit="1" customWidth="1"/>
    <col min="3676" max="3676" width="8.6640625" bestFit="1" customWidth="1"/>
    <col min="3677" max="3678" width="13.88671875" bestFit="1" customWidth="1"/>
    <col min="3679" max="3679" width="8.6640625" bestFit="1" customWidth="1"/>
    <col min="3680" max="3681" width="13.88671875" bestFit="1" customWidth="1"/>
    <col min="3682" max="3682" width="9.77734375" bestFit="1" customWidth="1"/>
    <col min="3683" max="3683" width="15.109375" bestFit="1" customWidth="1"/>
    <col min="3684" max="3684" width="13.88671875" bestFit="1" customWidth="1"/>
    <col min="3685" max="3685" width="8.6640625" bestFit="1" customWidth="1"/>
    <col min="3686" max="3686" width="12.6640625" bestFit="1" customWidth="1"/>
    <col min="3687" max="3687" width="13.88671875" bestFit="1" customWidth="1"/>
    <col min="3688" max="3688" width="8.6640625" bestFit="1" customWidth="1"/>
    <col min="3689" max="3689" width="12.6640625" bestFit="1" customWidth="1"/>
    <col min="3690" max="3690" width="13.88671875" bestFit="1" customWidth="1"/>
    <col min="3691" max="3691" width="9.77734375" bestFit="1" customWidth="1"/>
    <col min="3692" max="3693" width="13.88671875" bestFit="1" customWidth="1"/>
    <col min="3694" max="3694" width="8.6640625" bestFit="1" customWidth="1"/>
    <col min="3695" max="3695" width="12.6640625" bestFit="1" customWidth="1"/>
    <col min="3696" max="3696" width="8.6640625" bestFit="1" customWidth="1"/>
    <col min="3697" max="3697" width="13.88671875" bestFit="1" customWidth="1"/>
    <col min="3698" max="3698" width="9.77734375" bestFit="1" customWidth="1"/>
    <col min="3699" max="3699" width="15.109375" bestFit="1" customWidth="1"/>
    <col min="3700" max="3700" width="13.88671875" bestFit="1" customWidth="1"/>
    <col min="3701" max="3701" width="9.77734375" bestFit="1" customWidth="1"/>
    <col min="3702" max="3703" width="13.88671875" bestFit="1" customWidth="1"/>
    <col min="3704" max="3704" width="9.77734375" bestFit="1" customWidth="1"/>
    <col min="3705" max="3705" width="15.109375" bestFit="1" customWidth="1"/>
    <col min="3706" max="3706" width="13.88671875" bestFit="1" customWidth="1"/>
    <col min="3707" max="3707" width="9.77734375" bestFit="1" customWidth="1"/>
    <col min="3708" max="3709" width="13.88671875" bestFit="1" customWidth="1"/>
    <col min="3710" max="3710" width="9.77734375" bestFit="1" customWidth="1"/>
    <col min="3711" max="3711" width="13.88671875" bestFit="1" customWidth="1"/>
    <col min="3712" max="3712" width="8.6640625" bestFit="1" customWidth="1"/>
    <col min="3713" max="3714" width="13.88671875" bestFit="1" customWidth="1"/>
    <col min="3715" max="3715" width="8.6640625" bestFit="1" customWidth="1"/>
    <col min="3716" max="3716" width="13.88671875" bestFit="1" customWidth="1"/>
    <col min="3717" max="3717" width="9.77734375" bestFit="1" customWidth="1"/>
    <col min="3718" max="3718" width="15.109375" bestFit="1" customWidth="1"/>
    <col min="3719" max="3719" width="13.88671875" bestFit="1" customWidth="1"/>
    <col min="3720" max="3720" width="8.6640625" bestFit="1" customWidth="1"/>
    <col min="3721" max="3722" width="13.88671875" bestFit="1" customWidth="1"/>
    <col min="3723" max="3723" width="8.6640625" bestFit="1" customWidth="1"/>
    <col min="3724" max="3725" width="13.88671875" bestFit="1" customWidth="1"/>
    <col min="3726" max="3726" width="9.77734375" bestFit="1" customWidth="1"/>
    <col min="3727" max="3727" width="15.109375" bestFit="1" customWidth="1"/>
    <col min="3728" max="3728" width="13.88671875" bestFit="1" customWidth="1"/>
    <col min="3729" max="3729" width="9.77734375" bestFit="1" customWidth="1"/>
    <col min="3730" max="3731" width="13.88671875" bestFit="1" customWidth="1"/>
    <col min="3732" max="3732" width="9.77734375" bestFit="1" customWidth="1"/>
    <col min="3733" max="3733" width="13.88671875" bestFit="1" customWidth="1"/>
    <col min="3734" max="3734" width="9.77734375" bestFit="1" customWidth="1"/>
    <col min="3735" max="3736" width="13.88671875" bestFit="1" customWidth="1"/>
    <col min="3737" max="3737" width="8.6640625" bestFit="1" customWidth="1"/>
    <col min="3738" max="3739" width="13.88671875" bestFit="1" customWidth="1"/>
    <col min="3740" max="3740" width="9.77734375" bestFit="1" customWidth="1"/>
    <col min="3741" max="3741" width="13.88671875" bestFit="1" customWidth="1"/>
    <col min="3742" max="3742" width="9.77734375" bestFit="1" customWidth="1"/>
    <col min="3743" max="3744" width="13.88671875" bestFit="1" customWidth="1"/>
    <col min="3745" max="3745" width="9.77734375" bestFit="1" customWidth="1"/>
    <col min="3746" max="3746" width="15.109375" bestFit="1" customWidth="1"/>
    <col min="3747" max="3747" width="13.88671875" bestFit="1" customWidth="1"/>
    <col min="3748" max="3748" width="8.6640625" bestFit="1" customWidth="1"/>
    <col min="3749" max="3749" width="12.6640625" bestFit="1" customWidth="1"/>
    <col min="3750" max="3750" width="9.77734375" bestFit="1" customWidth="1"/>
    <col min="3751" max="3752" width="13.88671875" bestFit="1" customWidth="1"/>
    <col min="3753" max="3753" width="8.6640625" bestFit="1" customWidth="1"/>
    <col min="3754" max="3755" width="13.88671875" bestFit="1" customWidth="1"/>
    <col min="3756" max="3756" width="8.6640625" bestFit="1" customWidth="1"/>
    <col min="3757" max="3757" width="12.6640625" bestFit="1" customWidth="1"/>
    <col min="3758" max="3758" width="8.6640625" bestFit="1" customWidth="1"/>
    <col min="3759" max="3760" width="13.88671875" bestFit="1" customWidth="1"/>
    <col min="3761" max="3761" width="9.77734375" bestFit="1" customWidth="1"/>
    <col min="3762" max="3762" width="15.109375" bestFit="1" customWidth="1"/>
    <col min="3763" max="3763" width="13.88671875" bestFit="1" customWidth="1"/>
    <col min="3764" max="3764" width="8.6640625" bestFit="1" customWidth="1"/>
    <col min="3765" max="3766" width="13.88671875" bestFit="1" customWidth="1"/>
    <col min="3767" max="3767" width="8.6640625" bestFit="1" customWidth="1"/>
    <col min="3768" max="3769" width="13.88671875" bestFit="1" customWidth="1"/>
    <col min="3770" max="3770" width="9.77734375" bestFit="1" customWidth="1"/>
    <col min="3771" max="3772" width="13.88671875" bestFit="1" customWidth="1"/>
    <col min="3773" max="3773" width="8.6640625" bestFit="1" customWidth="1"/>
    <col min="3774" max="3775" width="13.88671875" bestFit="1" customWidth="1"/>
    <col min="3776" max="3776" width="8.6640625" bestFit="1" customWidth="1"/>
    <col min="3777" max="3778" width="13.88671875" bestFit="1" customWidth="1"/>
    <col min="3779" max="3779" width="9.77734375" bestFit="1" customWidth="1"/>
    <col min="3780" max="3780" width="15.109375" bestFit="1" customWidth="1"/>
    <col min="3781" max="3781" width="13.88671875" bestFit="1" customWidth="1"/>
    <col min="3782" max="3782" width="9.77734375" bestFit="1" customWidth="1"/>
    <col min="3783" max="3783" width="15.109375" bestFit="1" customWidth="1"/>
    <col min="3784" max="3784" width="13.88671875" bestFit="1" customWidth="1"/>
    <col min="3785" max="3785" width="9.77734375" bestFit="1" customWidth="1"/>
    <col min="3786" max="3787" width="13.88671875" bestFit="1" customWidth="1"/>
    <col min="3788" max="3788" width="9.77734375" bestFit="1" customWidth="1"/>
    <col min="3789" max="3790" width="13.88671875" bestFit="1" customWidth="1"/>
    <col min="3791" max="3791" width="8.6640625" bestFit="1" customWidth="1"/>
    <col min="3792" max="3793" width="13.88671875" bestFit="1" customWidth="1"/>
    <col min="3794" max="3794" width="9.77734375" bestFit="1" customWidth="1"/>
    <col min="3795" max="3795" width="15.109375" bestFit="1" customWidth="1"/>
    <col min="3796" max="3796" width="13.88671875" bestFit="1" customWidth="1"/>
    <col min="3797" max="3797" width="8.6640625" bestFit="1" customWidth="1"/>
    <col min="3798" max="3798" width="12.6640625" bestFit="1" customWidth="1"/>
    <col min="3799" max="3799" width="13.88671875" bestFit="1" customWidth="1"/>
    <col min="3800" max="3800" width="8.6640625" bestFit="1" customWidth="1"/>
    <col min="3801" max="3801" width="12.6640625" bestFit="1" customWidth="1"/>
    <col min="3802" max="3802" width="9.77734375" bestFit="1" customWidth="1"/>
    <col min="3803" max="3804" width="13.88671875" bestFit="1" customWidth="1"/>
    <col min="3805" max="3805" width="9.77734375" bestFit="1" customWidth="1"/>
    <col min="3806" max="3806" width="15.109375" bestFit="1" customWidth="1"/>
    <col min="3807" max="3807" width="13.88671875" bestFit="1" customWidth="1"/>
    <col min="3808" max="3808" width="8.6640625" bestFit="1" customWidth="1"/>
    <col min="3809" max="3809" width="12.6640625" bestFit="1" customWidth="1"/>
    <col min="3810" max="3810" width="9.77734375" bestFit="1" customWidth="1"/>
    <col min="3811" max="3811" width="15.109375" bestFit="1" customWidth="1"/>
    <col min="3812" max="3812" width="13.88671875" bestFit="1" customWidth="1"/>
    <col min="3813" max="3813" width="9.77734375" bestFit="1" customWidth="1"/>
    <col min="3814" max="3814" width="15.109375" bestFit="1" customWidth="1"/>
    <col min="3815" max="3815" width="13.88671875" bestFit="1" customWidth="1"/>
    <col min="3816" max="3816" width="9.77734375" bestFit="1" customWidth="1"/>
    <col min="3817" max="3818" width="13.88671875" bestFit="1" customWidth="1"/>
    <col min="3819" max="3819" width="8.6640625" bestFit="1" customWidth="1"/>
    <col min="3820" max="3820" width="13.88671875" bestFit="1" customWidth="1"/>
    <col min="3821" max="3821" width="8.6640625" bestFit="1" customWidth="1"/>
    <col min="3822" max="3823" width="13.88671875" bestFit="1" customWidth="1"/>
    <col min="3824" max="3824" width="9.77734375" bestFit="1" customWidth="1"/>
    <col min="3825" max="3825" width="15.109375" bestFit="1" customWidth="1"/>
    <col min="3826" max="3826" width="13.88671875" bestFit="1" customWidth="1"/>
    <col min="3827" max="3827" width="8.6640625" bestFit="1" customWidth="1"/>
    <col min="3828" max="3829" width="13.88671875" bestFit="1" customWidth="1"/>
    <col min="3830" max="3830" width="9.77734375" bestFit="1" customWidth="1"/>
    <col min="3831" max="3832" width="13.88671875" bestFit="1" customWidth="1"/>
    <col min="3833" max="3833" width="9.77734375" bestFit="1" customWidth="1"/>
    <col min="3834" max="3834" width="15.109375" bestFit="1" customWidth="1"/>
    <col min="3835" max="3835" width="13.88671875" bestFit="1" customWidth="1"/>
    <col min="3836" max="3836" width="8.6640625" bestFit="1" customWidth="1"/>
    <col min="3837" max="3837" width="13.88671875" bestFit="1" customWidth="1"/>
    <col min="3838" max="3838" width="9.77734375" bestFit="1" customWidth="1"/>
    <col min="3839" max="3840" width="13.88671875" bestFit="1" customWidth="1"/>
    <col min="3841" max="3841" width="8.6640625" bestFit="1" customWidth="1"/>
    <col min="3842" max="3842" width="13.88671875" bestFit="1" customWidth="1"/>
    <col min="3843" max="3843" width="9.77734375" bestFit="1" customWidth="1"/>
    <col min="3844" max="3845" width="13.88671875" bestFit="1" customWidth="1"/>
    <col min="3846" max="3846" width="9.77734375" bestFit="1" customWidth="1"/>
    <col min="3847" max="3847" width="15.109375" bestFit="1" customWidth="1"/>
    <col min="3848" max="3848" width="13.88671875" bestFit="1" customWidth="1"/>
    <col min="3849" max="3849" width="8.6640625" bestFit="1" customWidth="1"/>
    <col min="3850" max="3850" width="12.6640625" bestFit="1" customWidth="1"/>
    <col min="3851" max="3851" width="13.88671875" bestFit="1" customWidth="1"/>
    <col min="3852" max="3852" width="9.77734375" bestFit="1" customWidth="1"/>
    <col min="3853" max="3854" width="13.88671875" bestFit="1" customWidth="1"/>
    <col min="3855" max="3855" width="9.77734375" bestFit="1" customWidth="1"/>
    <col min="3856" max="3856" width="15.109375" bestFit="1" customWidth="1"/>
    <col min="3857" max="3857" width="9.77734375" bestFit="1" customWidth="1"/>
    <col min="3858" max="3858" width="15.109375" bestFit="1" customWidth="1"/>
    <col min="3859" max="3859" width="13.88671875" bestFit="1" customWidth="1"/>
    <col min="3860" max="3860" width="9.77734375" bestFit="1" customWidth="1"/>
    <col min="3861" max="3861" width="15.109375" bestFit="1" customWidth="1"/>
    <col min="3862" max="3862" width="9.77734375" bestFit="1" customWidth="1"/>
    <col min="3863" max="3863" width="15.109375" bestFit="1" customWidth="1"/>
    <col min="3864" max="3864" width="13.88671875" bestFit="1" customWidth="1"/>
    <col min="3865" max="3865" width="8.6640625" bestFit="1" customWidth="1"/>
    <col min="3866" max="3866" width="12.6640625" bestFit="1" customWidth="1"/>
    <col min="3867" max="3867" width="9.77734375" bestFit="1" customWidth="1"/>
    <col min="3868" max="3868" width="15.109375" bestFit="1" customWidth="1"/>
    <col min="3869" max="3869" width="13.88671875" bestFit="1" customWidth="1"/>
    <col min="3870" max="3870" width="8.6640625" bestFit="1" customWidth="1"/>
    <col min="3871" max="3871" width="12.6640625" bestFit="1" customWidth="1"/>
    <col min="3872" max="3872" width="9.77734375" bestFit="1" customWidth="1"/>
    <col min="3873" max="3873" width="15.109375" bestFit="1" customWidth="1"/>
    <col min="3874" max="3874" width="13.88671875" bestFit="1" customWidth="1"/>
    <col min="3875" max="3875" width="8.6640625" bestFit="1" customWidth="1"/>
    <col min="3876" max="3876" width="13.88671875" bestFit="1" customWidth="1"/>
    <col min="3877" max="3877" width="9.77734375" bestFit="1" customWidth="1"/>
    <col min="3878" max="3878" width="15.109375" bestFit="1" customWidth="1"/>
    <col min="3879" max="3879" width="13.88671875" bestFit="1" customWidth="1"/>
    <col min="3880" max="3880" width="9.77734375" bestFit="1" customWidth="1"/>
    <col min="3881" max="3881" width="15.109375" bestFit="1" customWidth="1"/>
    <col min="3882" max="3882" width="13.88671875" bestFit="1" customWidth="1"/>
    <col min="3883" max="3883" width="9.77734375" bestFit="1" customWidth="1"/>
    <col min="3884" max="3885" width="13.88671875" bestFit="1" customWidth="1"/>
    <col min="3886" max="3886" width="10.88671875" bestFit="1" customWidth="1"/>
    <col min="3887" max="3887" width="12.6640625" bestFit="1" customWidth="1"/>
    <col min="3888" max="3888" width="8.6640625" bestFit="1" customWidth="1"/>
    <col min="3889" max="3890" width="13.88671875" bestFit="1" customWidth="1"/>
    <col min="3891" max="3891" width="9.77734375" bestFit="1" customWidth="1"/>
    <col min="3892" max="3892" width="15.109375" bestFit="1" customWidth="1"/>
    <col min="3893" max="3893" width="13.88671875" bestFit="1" customWidth="1"/>
    <col min="3894" max="3894" width="9.77734375" bestFit="1" customWidth="1"/>
    <col min="3895" max="3895" width="15.109375" bestFit="1" customWidth="1"/>
    <col min="3896" max="3896" width="13.88671875" bestFit="1" customWidth="1"/>
    <col min="3897" max="3897" width="9.77734375" bestFit="1" customWidth="1"/>
    <col min="3898" max="3898" width="15.109375" bestFit="1" customWidth="1"/>
    <col min="3899" max="3899" width="13.88671875" bestFit="1" customWidth="1"/>
    <col min="3900" max="3900" width="9.77734375" bestFit="1" customWidth="1"/>
    <col min="3901" max="3901" width="13.88671875" bestFit="1" customWidth="1"/>
    <col min="3902" max="3902" width="9.77734375" bestFit="1" customWidth="1"/>
    <col min="3903" max="3903" width="15.109375" bestFit="1" customWidth="1"/>
    <col min="3904" max="3904" width="13.88671875" bestFit="1" customWidth="1"/>
    <col min="3905" max="3905" width="8.6640625" bestFit="1" customWidth="1"/>
    <col min="3906" max="3907" width="13.88671875" bestFit="1" customWidth="1"/>
    <col min="3908" max="3908" width="9.77734375" bestFit="1" customWidth="1"/>
    <col min="3909" max="3910" width="13.88671875" bestFit="1" customWidth="1"/>
    <col min="3911" max="3911" width="9.77734375" bestFit="1" customWidth="1"/>
    <col min="3912" max="3912" width="15.109375" bestFit="1" customWidth="1"/>
    <col min="3913" max="3913" width="13.88671875" bestFit="1" customWidth="1"/>
    <col min="3914" max="3914" width="8.6640625" bestFit="1" customWidth="1"/>
    <col min="3915" max="3916" width="13.88671875" bestFit="1" customWidth="1"/>
    <col min="3917" max="3917" width="9.77734375" bestFit="1" customWidth="1"/>
    <col min="3918" max="3918" width="12.6640625" bestFit="1" customWidth="1"/>
    <col min="3919" max="3919" width="9.77734375" bestFit="1" customWidth="1"/>
    <col min="3920" max="3920" width="15.109375" bestFit="1" customWidth="1"/>
    <col min="3921" max="3921" width="13.88671875" bestFit="1" customWidth="1"/>
    <col min="3922" max="3922" width="9.77734375" bestFit="1" customWidth="1"/>
    <col min="3923" max="3923" width="15.109375" bestFit="1" customWidth="1"/>
    <col min="3924" max="3924" width="13.88671875" bestFit="1" customWidth="1"/>
    <col min="3925" max="3925" width="9.77734375" bestFit="1" customWidth="1"/>
    <col min="3926" max="3926" width="15.109375" bestFit="1" customWidth="1"/>
    <col min="3927" max="3927" width="13.88671875" bestFit="1" customWidth="1"/>
    <col min="3928" max="3928" width="8.6640625" bestFit="1" customWidth="1"/>
    <col min="3929" max="3929" width="12.6640625" bestFit="1" customWidth="1"/>
    <col min="3930" max="3930" width="13.88671875" bestFit="1" customWidth="1"/>
    <col min="3931" max="3931" width="8.6640625" bestFit="1" customWidth="1"/>
    <col min="3932" max="3933" width="13.88671875" bestFit="1" customWidth="1"/>
    <col min="3934" max="3934" width="9.77734375" bestFit="1" customWidth="1"/>
    <col min="3935" max="3935" width="15.109375" bestFit="1" customWidth="1"/>
    <col min="3936" max="3936" width="13.88671875" bestFit="1" customWidth="1"/>
    <col min="3937" max="3937" width="9.77734375" bestFit="1" customWidth="1"/>
    <col min="3938" max="3938" width="13.88671875" bestFit="1" customWidth="1"/>
    <col min="3939" max="3939" width="9.77734375" bestFit="1" customWidth="1"/>
    <col min="3940" max="3941" width="13.88671875" bestFit="1" customWidth="1"/>
    <col min="3942" max="3942" width="8.6640625" bestFit="1" customWidth="1"/>
    <col min="3943" max="3944" width="13.88671875" bestFit="1" customWidth="1"/>
    <col min="3945" max="3945" width="9.77734375" bestFit="1" customWidth="1"/>
    <col min="3946" max="3946" width="13.88671875" bestFit="1" customWidth="1"/>
    <col min="3947" max="3947" width="9.77734375" bestFit="1" customWidth="1"/>
    <col min="3948" max="3948" width="15.109375" bestFit="1" customWidth="1"/>
    <col min="3949" max="3949" width="13.88671875" bestFit="1" customWidth="1"/>
    <col min="3950" max="3950" width="9.77734375" bestFit="1" customWidth="1"/>
    <col min="3951" max="3951" width="12.6640625" bestFit="1" customWidth="1"/>
    <col min="3952" max="3952" width="13.88671875" bestFit="1" customWidth="1"/>
    <col min="3953" max="3953" width="9.77734375" bestFit="1" customWidth="1"/>
    <col min="3954" max="3955" width="13.88671875" bestFit="1" customWidth="1"/>
    <col min="3956" max="3956" width="8.6640625" bestFit="1" customWidth="1"/>
    <col min="3957" max="3957" width="12.6640625" bestFit="1" customWidth="1"/>
    <col min="3958" max="3958" width="13.88671875" bestFit="1" customWidth="1"/>
    <col min="3959" max="3959" width="8.6640625" bestFit="1" customWidth="1"/>
    <col min="3960" max="3960" width="13.88671875" bestFit="1" customWidth="1"/>
    <col min="3961" max="3961" width="9.77734375" bestFit="1" customWidth="1"/>
    <col min="3962" max="3963" width="13.88671875" bestFit="1" customWidth="1"/>
    <col min="3964" max="3964" width="9.77734375" bestFit="1" customWidth="1"/>
    <col min="3965" max="3965" width="15.109375" bestFit="1" customWidth="1"/>
    <col min="3966" max="3966" width="13.88671875" bestFit="1" customWidth="1"/>
    <col min="3967" max="3967" width="9.77734375" bestFit="1" customWidth="1"/>
    <col min="3968" max="3968" width="15.109375" bestFit="1" customWidth="1"/>
    <col min="3969" max="3969" width="13.88671875" bestFit="1" customWidth="1"/>
    <col min="3970" max="3970" width="8.6640625" bestFit="1" customWidth="1"/>
    <col min="3971" max="3971" width="12.6640625" bestFit="1" customWidth="1"/>
    <col min="3972" max="3972" width="9.77734375" bestFit="1" customWidth="1"/>
    <col min="3973" max="3973" width="15.109375" bestFit="1" customWidth="1"/>
    <col min="3974" max="3974" width="13.88671875" bestFit="1" customWidth="1"/>
    <col min="3975" max="3975" width="9.77734375" bestFit="1" customWidth="1"/>
    <col min="3976" max="3976" width="15.109375" bestFit="1" customWidth="1"/>
    <col min="3977" max="3977" width="13.88671875" bestFit="1" customWidth="1"/>
    <col min="3978" max="3978" width="8.6640625" bestFit="1" customWidth="1"/>
    <col min="3979" max="3979" width="12.6640625" bestFit="1" customWidth="1"/>
    <col min="3980" max="3980" width="13.88671875" bestFit="1" customWidth="1"/>
    <col min="3981" max="3981" width="9.77734375" bestFit="1" customWidth="1"/>
    <col min="3982" max="3982" width="15.109375" bestFit="1" customWidth="1"/>
    <col min="3983" max="3983" width="13.88671875" bestFit="1" customWidth="1"/>
    <col min="3984" max="3984" width="8.6640625" bestFit="1" customWidth="1"/>
    <col min="3985" max="3985" width="13.88671875" bestFit="1" customWidth="1"/>
    <col min="3986" max="3986" width="9.77734375" bestFit="1" customWidth="1"/>
    <col min="3987" max="3988" width="13.88671875" bestFit="1" customWidth="1"/>
    <col min="3989" max="3989" width="9.77734375" bestFit="1" customWidth="1"/>
    <col min="3990" max="3991" width="13.88671875" bestFit="1" customWidth="1"/>
    <col min="3992" max="3992" width="8.6640625" bestFit="1" customWidth="1"/>
    <col min="3993" max="3993" width="13.88671875" bestFit="1" customWidth="1"/>
    <col min="3994" max="3994" width="8.6640625" bestFit="1" customWidth="1"/>
    <col min="3995" max="3996" width="13.88671875" bestFit="1" customWidth="1"/>
    <col min="3997" max="3997" width="8.6640625" bestFit="1" customWidth="1"/>
    <col min="3998" max="3999" width="13.88671875" bestFit="1" customWidth="1"/>
    <col min="4000" max="4000" width="9.77734375" bestFit="1" customWidth="1"/>
    <col min="4001" max="4002" width="13.88671875" bestFit="1" customWidth="1"/>
    <col min="4003" max="4003" width="8.6640625" bestFit="1" customWidth="1"/>
    <col min="4004" max="4004" width="12.6640625" bestFit="1" customWidth="1"/>
    <col min="4005" max="4005" width="13.88671875" bestFit="1" customWidth="1"/>
    <col min="4006" max="4006" width="8.6640625" bestFit="1" customWidth="1"/>
    <col min="4007" max="4007" width="12.6640625" bestFit="1" customWidth="1"/>
    <col min="4008" max="4008" width="9.77734375" bestFit="1" customWidth="1"/>
    <col min="4009" max="4009" width="15.109375" bestFit="1" customWidth="1"/>
    <col min="4010" max="4010" width="13.88671875" bestFit="1" customWidth="1"/>
    <col min="4011" max="4011" width="9.77734375" bestFit="1" customWidth="1"/>
    <col min="4012" max="4012" width="15.109375" bestFit="1" customWidth="1"/>
    <col min="4013" max="4013" width="13.88671875" bestFit="1" customWidth="1"/>
    <col min="4014" max="4014" width="8.6640625" bestFit="1" customWidth="1"/>
    <col min="4015" max="4015" width="13.88671875" bestFit="1" customWidth="1"/>
    <col min="4016" max="4016" width="8.6640625" bestFit="1" customWidth="1"/>
    <col min="4017" max="4018" width="13.88671875" bestFit="1" customWidth="1"/>
    <col min="4019" max="4019" width="9.77734375" bestFit="1" customWidth="1"/>
    <col min="4020" max="4020" width="15.109375" bestFit="1" customWidth="1"/>
    <col min="4021" max="4021" width="13.88671875" bestFit="1" customWidth="1"/>
    <col min="4022" max="4022" width="9.77734375" bestFit="1" customWidth="1"/>
    <col min="4023" max="4024" width="13.88671875" bestFit="1" customWidth="1"/>
    <col min="4025" max="4025" width="8.6640625" bestFit="1" customWidth="1"/>
    <col min="4026" max="4026" width="12.6640625" bestFit="1" customWidth="1"/>
    <col min="4027" max="4027" width="8.6640625" bestFit="1" customWidth="1"/>
    <col min="4028" max="4029" width="13.88671875" bestFit="1" customWidth="1"/>
    <col min="4030" max="4030" width="9.77734375" bestFit="1" customWidth="1"/>
    <col min="4031" max="4032" width="13.88671875" bestFit="1" customWidth="1"/>
    <col min="4033" max="4033" width="9.77734375" bestFit="1" customWidth="1"/>
    <col min="4034" max="4034" width="15.109375" bestFit="1" customWidth="1"/>
    <col min="4035" max="4035" width="13.88671875" bestFit="1" customWidth="1"/>
    <col min="4036" max="4036" width="8.6640625" bestFit="1" customWidth="1"/>
    <col min="4037" max="4037" width="12.6640625" bestFit="1" customWidth="1"/>
    <col min="4038" max="4038" width="13.88671875" bestFit="1" customWidth="1"/>
    <col min="4039" max="4039" width="9.77734375" bestFit="1" customWidth="1"/>
    <col min="4040" max="4041" width="13.88671875" bestFit="1" customWidth="1"/>
    <col min="4042" max="4042" width="8.6640625" bestFit="1" customWidth="1"/>
    <col min="4043" max="4044" width="13.88671875" bestFit="1" customWidth="1"/>
    <col min="4045" max="4045" width="9.77734375" bestFit="1" customWidth="1"/>
    <col min="4046" max="4046" width="13.88671875" bestFit="1" customWidth="1"/>
    <col min="4047" max="4047" width="8.6640625" bestFit="1" customWidth="1"/>
    <col min="4048" max="4048" width="13.88671875" bestFit="1" customWidth="1"/>
    <col min="4049" max="4049" width="9.77734375" bestFit="1" customWidth="1"/>
    <col min="4050" max="4051" width="13.88671875" bestFit="1" customWidth="1"/>
    <col min="4052" max="4052" width="8.6640625" bestFit="1" customWidth="1"/>
    <col min="4053" max="4054" width="13.88671875" bestFit="1" customWidth="1"/>
    <col min="4055" max="4055" width="8.6640625" bestFit="1" customWidth="1"/>
    <col min="4056" max="4057" width="13.88671875" bestFit="1" customWidth="1"/>
    <col min="4058" max="4058" width="8.6640625" bestFit="1" customWidth="1"/>
    <col min="4059" max="4060" width="13.88671875" bestFit="1" customWidth="1"/>
    <col min="4061" max="4061" width="9.77734375" bestFit="1" customWidth="1"/>
    <col min="4062" max="4063" width="13.88671875" bestFit="1" customWidth="1"/>
    <col min="4064" max="4064" width="8.6640625" bestFit="1" customWidth="1"/>
    <col min="4065" max="4066" width="13.88671875" bestFit="1" customWidth="1"/>
    <col min="4067" max="4067" width="8.6640625" bestFit="1" customWidth="1"/>
    <col min="4068" max="4068" width="13.88671875" bestFit="1" customWidth="1"/>
    <col min="4069" max="4069" width="8.6640625" bestFit="1" customWidth="1"/>
    <col min="4070" max="4071" width="13.88671875" bestFit="1" customWidth="1"/>
    <col min="4072" max="4072" width="9.77734375" bestFit="1" customWidth="1"/>
    <col min="4073" max="4074" width="13.88671875" bestFit="1" customWidth="1"/>
    <col min="4075" max="4075" width="9.77734375" bestFit="1" customWidth="1"/>
    <col min="4076" max="4076" width="13.88671875" bestFit="1" customWidth="1"/>
    <col min="4077" max="4077" width="9.77734375" bestFit="1" customWidth="1"/>
    <col min="4078" max="4078" width="15.109375" bestFit="1" customWidth="1"/>
    <col min="4079" max="4079" width="9.77734375" bestFit="1" customWidth="1"/>
    <col min="4080" max="4080" width="15.109375" bestFit="1" customWidth="1"/>
    <col min="4081" max="4081" width="13.88671875" bestFit="1" customWidth="1"/>
    <col min="4082" max="4082" width="8.6640625" bestFit="1" customWidth="1"/>
    <col min="4083" max="4084" width="13.88671875" bestFit="1" customWidth="1"/>
    <col min="4085" max="4085" width="8.6640625" bestFit="1" customWidth="1"/>
    <col min="4086" max="4086" width="13.88671875" bestFit="1" customWidth="1"/>
    <col min="4087" max="4087" width="9.77734375" bestFit="1" customWidth="1"/>
    <col min="4088" max="4088" width="15.109375" bestFit="1" customWidth="1"/>
    <col min="4089" max="4089" width="13.88671875" bestFit="1" customWidth="1"/>
    <col min="4090" max="4090" width="8.6640625" bestFit="1" customWidth="1"/>
    <col min="4091" max="4091" width="13.88671875" bestFit="1" customWidth="1"/>
    <col min="4092" max="4092" width="8.6640625" bestFit="1" customWidth="1"/>
    <col min="4093" max="4093" width="13.88671875" bestFit="1" customWidth="1"/>
    <col min="4094" max="4094" width="9.77734375" bestFit="1" customWidth="1"/>
    <col min="4095" max="4095" width="15.109375" bestFit="1" customWidth="1"/>
    <col min="4096" max="4096" width="13.88671875" bestFit="1" customWidth="1"/>
    <col min="4097" max="4097" width="8.6640625" bestFit="1" customWidth="1"/>
    <col min="4098" max="4098" width="12.6640625" bestFit="1" customWidth="1"/>
    <col min="4099" max="4099" width="9.77734375" bestFit="1" customWidth="1"/>
    <col min="4100" max="4101" width="13.88671875" bestFit="1" customWidth="1"/>
    <col min="4102" max="4102" width="8.6640625" bestFit="1" customWidth="1"/>
    <col min="4103" max="4103" width="12.6640625" bestFit="1" customWidth="1"/>
    <col min="4104" max="4104" width="13.88671875" bestFit="1" customWidth="1"/>
    <col min="4105" max="4105" width="9.77734375" bestFit="1" customWidth="1"/>
    <col min="4106" max="4106" width="13.88671875" bestFit="1" customWidth="1"/>
    <col min="4107" max="4107" width="9.77734375" bestFit="1" customWidth="1"/>
    <col min="4108" max="4108" width="15.109375" bestFit="1" customWidth="1"/>
    <col min="4109" max="4109" width="13.88671875" bestFit="1" customWidth="1"/>
    <col min="4110" max="4110" width="9.77734375" bestFit="1" customWidth="1"/>
    <col min="4111" max="4111" width="15.109375" bestFit="1" customWidth="1"/>
    <col min="4112" max="4112" width="13.88671875" bestFit="1" customWidth="1"/>
    <col min="4113" max="4113" width="9.77734375" bestFit="1" customWidth="1"/>
    <col min="4114" max="4114" width="13.88671875" bestFit="1" customWidth="1"/>
    <col min="4115" max="4115" width="9.77734375" bestFit="1" customWidth="1"/>
    <col min="4116" max="4116" width="15.109375" bestFit="1" customWidth="1"/>
    <col min="4117" max="4117" width="13.88671875" bestFit="1" customWidth="1"/>
    <col min="4118" max="4118" width="9.77734375" bestFit="1" customWidth="1"/>
    <col min="4119" max="4119" width="15.109375" bestFit="1" customWidth="1"/>
    <col min="4120" max="4120" width="13.88671875" bestFit="1" customWidth="1"/>
    <col min="4121" max="4121" width="8.6640625" bestFit="1" customWidth="1"/>
    <col min="4122" max="4122" width="12.6640625" bestFit="1" customWidth="1"/>
    <col min="4123" max="4123" width="13.88671875" bestFit="1" customWidth="1"/>
    <col min="4124" max="4124" width="8.6640625" bestFit="1" customWidth="1"/>
    <col min="4125" max="4125" width="12.6640625" bestFit="1" customWidth="1"/>
    <col min="4126" max="4126" width="9.77734375" bestFit="1" customWidth="1"/>
    <col min="4127" max="4127" width="12.6640625" bestFit="1" customWidth="1"/>
    <col min="4128" max="4128" width="13.88671875" bestFit="1" customWidth="1"/>
    <col min="4129" max="4129" width="8.6640625" bestFit="1" customWidth="1"/>
    <col min="4130" max="4131" width="13.88671875" bestFit="1" customWidth="1"/>
    <col min="4132" max="4132" width="8.6640625" bestFit="1" customWidth="1"/>
    <col min="4133" max="4134" width="13.88671875" bestFit="1" customWidth="1"/>
    <col min="4135" max="4135" width="9.77734375" bestFit="1" customWidth="1"/>
    <col min="4136" max="4137" width="13.88671875" bestFit="1" customWidth="1"/>
    <col min="4138" max="4138" width="9.77734375" bestFit="1" customWidth="1"/>
    <col min="4139" max="4140" width="13.88671875" bestFit="1" customWidth="1"/>
    <col min="4141" max="4141" width="8.6640625" bestFit="1" customWidth="1"/>
    <col min="4142" max="4142" width="12.6640625" bestFit="1" customWidth="1"/>
    <col min="4143" max="4143" width="9.77734375" bestFit="1" customWidth="1"/>
    <col min="4144" max="4144" width="15.109375" bestFit="1" customWidth="1"/>
    <col min="4145" max="4145" width="13.88671875" bestFit="1" customWidth="1"/>
    <col min="4146" max="4146" width="9.77734375" bestFit="1" customWidth="1"/>
    <col min="4147" max="4147" width="15.109375" bestFit="1" customWidth="1"/>
    <col min="4148" max="4148" width="13.88671875" bestFit="1" customWidth="1"/>
    <col min="4149" max="4149" width="9.77734375" bestFit="1" customWidth="1"/>
    <col min="4150" max="4151" width="13.88671875" bestFit="1" customWidth="1"/>
    <col min="4152" max="4152" width="9.77734375" bestFit="1" customWidth="1"/>
    <col min="4153" max="4153" width="15.109375" bestFit="1" customWidth="1"/>
    <col min="4154" max="4154" width="13.88671875" bestFit="1" customWidth="1"/>
    <col min="4155" max="4155" width="9.77734375" bestFit="1" customWidth="1"/>
    <col min="4156" max="4157" width="13.88671875" bestFit="1" customWidth="1"/>
    <col min="4158" max="4158" width="9.77734375" bestFit="1" customWidth="1"/>
    <col min="4159" max="4159" width="15.109375" bestFit="1" customWidth="1"/>
    <col min="4160" max="4160" width="13.88671875" bestFit="1" customWidth="1"/>
    <col min="4161" max="4161" width="9.77734375" bestFit="1" customWidth="1"/>
    <col min="4162" max="4162" width="15.109375" bestFit="1" customWidth="1"/>
    <col min="4163" max="4163" width="13.88671875" bestFit="1" customWidth="1"/>
    <col min="4164" max="4164" width="9.77734375" bestFit="1" customWidth="1"/>
    <col min="4165" max="4166" width="13.88671875" bestFit="1" customWidth="1"/>
    <col min="4167" max="4167" width="9.77734375" bestFit="1" customWidth="1"/>
    <col min="4168" max="4169" width="13.88671875" bestFit="1" customWidth="1"/>
    <col min="4170" max="4170" width="9.77734375" bestFit="1" customWidth="1"/>
    <col min="4171" max="4171" width="13.88671875" bestFit="1" customWidth="1"/>
    <col min="4172" max="4172" width="9.77734375" bestFit="1" customWidth="1"/>
    <col min="4173" max="4174" width="13.88671875" bestFit="1" customWidth="1"/>
    <col min="4175" max="4175" width="9.77734375" bestFit="1" customWidth="1"/>
    <col min="4176" max="4177" width="13.88671875" bestFit="1" customWidth="1"/>
    <col min="4178" max="4178" width="8.6640625" bestFit="1" customWidth="1"/>
    <col min="4179" max="4180" width="13.88671875" bestFit="1" customWidth="1"/>
    <col min="4181" max="4181" width="8.6640625" bestFit="1" customWidth="1"/>
    <col min="4182" max="4183" width="13.88671875" bestFit="1" customWidth="1"/>
    <col min="4184" max="4184" width="9.77734375" bestFit="1" customWidth="1"/>
    <col min="4185" max="4185" width="13.88671875" bestFit="1" customWidth="1"/>
    <col min="4186" max="4186" width="9.77734375" bestFit="1" customWidth="1"/>
    <col min="4187" max="4188" width="13.88671875" bestFit="1" customWidth="1"/>
    <col min="4189" max="4189" width="8.6640625" bestFit="1" customWidth="1"/>
    <col min="4190" max="4190" width="13.88671875" bestFit="1" customWidth="1"/>
    <col min="4191" max="4191" width="9.77734375" bestFit="1" customWidth="1"/>
    <col min="4192" max="4193" width="13.88671875" bestFit="1" customWidth="1"/>
    <col min="4194" max="4194" width="8.6640625" bestFit="1" customWidth="1"/>
    <col min="4195" max="4195" width="12.6640625" bestFit="1" customWidth="1"/>
    <col min="4196" max="4196" width="13.88671875" bestFit="1" customWidth="1"/>
    <col min="4197" max="4197" width="8.6640625" bestFit="1" customWidth="1"/>
    <col min="4198" max="4199" width="13.88671875" bestFit="1" customWidth="1"/>
    <col min="4200" max="4200" width="8.6640625" bestFit="1" customWidth="1"/>
    <col min="4201" max="4202" width="13.88671875" bestFit="1" customWidth="1"/>
    <col min="4203" max="4203" width="9.77734375" bestFit="1" customWidth="1"/>
    <col min="4204" max="4205" width="13.88671875" bestFit="1" customWidth="1"/>
    <col min="4206" max="4206" width="9.77734375" bestFit="1" customWidth="1"/>
    <col min="4207" max="4207" width="15.109375" bestFit="1" customWidth="1"/>
    <col min="4208" max="4208" width="9.77734375" bestFit="1" customWidth="1"/>
    <col min="4209" max="4209" width="15.109375" bestFit="1" customWidth="1"/>
    <col min="4210" max="4210" width="13.88671875" bestFit="1" customWidth="1"/>
    <col min="4211" max="4211" width="8.6640625" bestFit="1" customWidth="1"/>
    <col min="4212" max="4212" width="12.6640625" bestFit="1" customWidth="1"/>
    <col min="4213" max="4213" width="8.6640625" bestFit="1" customWidth="1"/>
    <col min="4214" max="4215" width="13.88671875" bestFit="1" customWidth="1"/>
    <col min="4216" max="4216" width="9.77734375" bestFit="1" customWidth="1"/>
    <col min="4217" max="4217" width="15.109375" bestFit="1" customWidth="1"/>
    <col min="4218" max="4218" width="13.88671875" bestFit="1" customWidth="1"/>
    <col min="4219" max="4219" width="8.6640625" bestFit="1" customWidth="1"/>
    <col min="4220" max="4221" width="13.88671875" bestFit="1" customWidth="1"/>
    <col min="4222" max="4222" width="9.77734375" bestFit="1" customWidth="1"/>
    <col min="4223" max="4223" width="15.109375" bestFit="1" customWidth="1"/>
    <col min="4224" max="4224" width="13.88671875" bestFit="1" customWidth="1"/>
    <col min="4225" max="4225" width="8.6640625" bestFit="1" customWidth="1"/>
    <col min="4226" max="4226" width="12.6640625" bestFit="1" customWidth="1"/>
    <col min="4227" max="4227" width="13.88671875" bestFit="1" customWidth="1"/>
    <col min="4228" max="4228" width="8.6640625" bestFit="1" customWidth="1"/>
    <col min="4229" max="4229" width="12.6640625" bestFit="1" customWidth="1"/>
    <col min="4230" max="4230" width="8.6640625" bestFit="1" customWidth="1"/>
    <col min="4231" max="4232" width="13.88671875" bestFit="1" customWidth="1"/>
    <col min="4233" max="4233" width="8.6640625" bestFit="1" customWidth="1"/>
    <col min="4234" max="4235" width="13.88671875" bestFit="1" customWidth="1"/>
    <col min="4236" max="4236" width="8.6640625" bestFit="1" customWidth="1"/>
    <col min="4237" max="4237" width="12.6640625" bestFit="1" customWidth="1"/>
    <col min="4238" max="4238" width="8.6640625" bestFit="1" customWidth="1"/>
    <col min="4239" max="4239" width="13.88671875" bestFit="1" customWidth="1"/>
    <col min="4240" max="4240" width="8.6640625" bestFit="1" customWidth="1"/>
    <col min="4241" max="4242" width="13.88671875" bestFit="1" customWidth="1"/>
    <col min="4243" max="4243" width="8.6640625" bestFit="1" customWidth="1"/>
    <col min="4244" max="4244" width="12.6640625" bestFit="1" customWidth="1"/>
    <col min="4245" max="4245" width="13.88671875" bestFit="1" customWidth="1"/>
    <col min="4246" max="4246" width="9.77734375" bestFit="1" customWidth="1"/>
    <col min="4247" max="4247" width="13.88671875" bestFit="1" customWidth="1"/>
    <col min="4248" max="4248" width="9.77734375" bestFit="1" customWidth="1"/>
    <col min="4249" max="4249" width="15.109375" bestFit="1" customWidth="1"/>
    <col min="4250" max="4250" width="13.88671875" bestFit="1" customWidth="1"/>
    <col min="4251" max="4251" width="8.6640625" bestFit="1" customWidth="1"/>
    <col min="4252" max="4252" width="12.6640625" bestFit="1" customWidth="1"/>
    <col min="4253" max="4253" width="8.6640625" bestFit="1" customWidth="1"/>
    <col min="4254" max="4255" width="13.88671875" bestFit="1" customWidth="1"/>
    <col min="4256" max="4256" width="8.6640625" bestFit="1" customWidth="1"/>
    <col min="4257" max="4257" width="12.6640625" bestFit="1" customWidth="1"/>
    <col min="4258" max="4258" width="13.88671875" bestFit="1" customWidth="1"/>
    <col min="4259" max="4259" width="9.77734375" bestFit="1" customWidth="1"/>
    <col min="4260" max="4260" width="15.109375" bestFit="1" customWidth="1"/>
    <col min="4261" max="4261" width="13.88671875" bestFit="1" customWidth="1"/>
    <col min="4262" max="4262" width="8.6640625" bestFit="1" customWidth="1"/>
    <col min="4263" max="4263" width="12.6640625" bestFit="1" customWidth="1"/>
    <col min="4264" max="4264" width="13.88671875" bestFit="1" customWidth="1"/>
    <col min="4265" max="4265" width="8.6640625" bestFit="1" customWidth="1"/>
    <col min="4266" max="4266" width="12.6640625" bestFit="1" customWidth="1"/>
    <col min="4267" max="4267" width="13.88671875" bestFit="1" customWidth="1"/>
    <col min="4268" max="4268" width="8.6640625" bestFit="1" customWidth="1"/>
    <col min="4269" max="4270" width="13.88671875" bestFit="1" customWidth="1"/>
    <col min="4271" max="4271" width="9.77734375" bestFit="1" customWidth="1"/>
    <col min="4272" max="4273" width="13.88671875" bestFit="1" customWidth="1"/>
    <col min="4274" max="4274" width="9.77734375" bestFit="1" customWidth="1"/>
    <col min="4275" max="4276" width="13.88671875" bestFit="1" customWidth="1"/>
    <col min="4277" max="4277" width="8.6640625" bestFit="1" customWidth="1"/>
    <col min="4278" max="4278" width="12.6640625" bestFit="1" customWidth="1"/>
    <col min="4279" max="4279" width="13.88671875" bestFit="1" customWidth="1"/>
    <col min="4280" max="4280" width="8.6640625" bestFit="1" customWidth="1"/>
    <col min="4281" max="4282" width="13.88671875" bestFit="1" customWidth="1"/>
    <col min="4283" max="4283" width="8.6640625" bestFit="1" customWidth="1"/>
    <col min="4284" max="4284" width="12.6640625" bestFit="1" customWidth="1"/>
    <col min="4285" max="4285" width="13.88671875" bestFit="1" customWidth="1"/>
    <col min="4286" max="4286" width="9.77734375" bestFit="1" customWidth="1"/>
    <col min="4287" max="4287" width="13.88671875" bestFit="1" customWidth="1"/>
    <col min="4288" max="4288" width="9.77734375" bestFit="1" customWidth="1"/>
    <col min="4289" max="4290" width="13.88671875" bestFit="1" customWidth="1"/>
    <col min="4291" max="4291" width="8.6640625" bestFit="1" customWidth="1"/>
    <col min="4292" max="4292" width="12.6640625" bestFit="1" customWidth="1"/>
    <col min="4293" max="4293" width="13.88671875" bestFit="1" customWidth="1"/>
    <col min="4294" max="4294" width="8.6640625" bestFit="1" customWidth="1"/>
    <col min="4295" max="4295" width="12.6640625" bestFit="1" customWidth="1"/>
    <col min="4296" max="4296" width="8.6640625" bestFit="1" customWidth="1"/>
    <col min="4297" max="4298" width="13.88671875" bestFit="1" customWidth="1"/>
    <col min="4299" max="4299" width="8.6640625" bestFit="1" customWidth="1"/>
    <col min="4300" max="4300" width="12.6640625" bestFit="1" customWidth="1"/>
    <col min="4301" max="4301" width="13.88671875" bestFit="1" customWidth="1"/>
    <col min="4302" max="4302" width="8.6640625" bestFit="1" customWidth="1"/>
    <col min="4303" max="4303" width="12.6640625" bestFit="1" customWidth="1"/>
    <col min="4304" max="4304" width="13.88671875" bestFit="1" customWidth="1"/>
    <col min="4305" max="4305" width="8.6640625" bestFit="1" customWidth="1"/>
    <col min="4306" max="4307" width="13.88671875" bestFit="1" customWidth="1"/>
    <col min="4308" max="4308" width="9.77734375" bestFit="1" customWidth="1"/>
    <col min="4309" max="4309" width="15.109375" bestFit="1" customWidth="1"/>
    <col min="4310" max="4310" width="13.88671875" bestFit="1" customWidth="1"/>
    <col min="4311" max="4311" width="8.6640625" bestFit="1" customWidth="1"/>
    <col min="4312" max="4313" width="13.88671875" bestFit="1" customWidth="1"/>
    <col min="4314" max="4314" width="9.77734375" bestFit="1" customWidth="1"/>
    <col min="4315" max="4315" width="15.109375" bestFit="1" customWidth="1"/>
    <col min="4316" max="4316" width="13.88671875" bestFit="1" customWidth="1"/>
    <col min="4317" max="4317" width="8.6640625" bestFit="1" customWidth="1"/>
    <col min="4318" max="4319" width="13.88671875" bestFit="1" customWidth="1"/>
    <col min="4320" max="4320" width="9.77734375" bestFit="1" customWidth="1"/>
    <col min="4321" max="4322" width="13.88671875" bestFit="1" customWidth="1"/>
    <col min="4323" max="4323" width="9.77734375" bestFit="1" customWidth="1"/>
    <col min="4324" max="4325" width="13.88671875" bestFit="1" customWidth="1"/>
    <col min="4326" max="4326" width="8.6640625" bestFit="1" customWidth="1"/>
    <col min="4327" max="4327" width="12.6640625" bestFit="1" customWidth="1"/>
    <col min="4328" max="4328" width="8.6640625" bestFit="1" customWidth="1"/>
    <col min="4329" max="4330" width="13.88671875" bestFit="1" customWidth="1"/>
    <col min="4331" max="4331" width="8.6640625" bestFit="1" customWidth="1"/>
    <col min="4332" max="4332" width="12.6640625" bestFit="1" customWidth="1"/>
    <col min="4333" max="4333" width="13.88671875" bestFit="1" customWidth="1"/>
    <col min="4334" max="4334" width="8.6640625" bestFit="1" customWidth="1"/>
    <col min="4335" max="4335" width="12.6640625" bestFit="1" customWidth="1"/>
    <col min="4336" max="4336" width="8.6640625" bestFit="1" customWidth="1"/>
    <col min="4337" max="4338" width="13.88671875" bestFit="1" customWidth="1"/>
    <col min="4339" max="4339" width="8.6640625" bestFit="1" customWidth="1"/>
    <col min="4340" max="4340" width="12.6640625" bestFit="1" customWidth="1"/>
    <col min="4341" max="4341" width="9.77734375" bestFit="1" customWidth="1"/>
    <col min="4342" max="4343" width="13.88671875" bestFit="1" customWidth="1"/>
    <col min="4344" max="4344" width="8.6640625" bestFit="1" customWidth="1"/>
    <col min="4345" max="4345" width="13.88671875" bestFit="1" customWidth="1"/>
    <col min="4346" max="4346" width="9.77734375" bestFit="1" customWidth="1"/>
    <col min="4347" max="4347" width="13.88671875" bestFit="1" customWidth="1"/>
    <col min="4348" max="4348" width="9.77734375" bestFit="1" customWidth="1"/>
    <col min="4349" max="4350" width="13.88671875" bestFit="1" customWidth="1"/>
    <col min="4351" max="4351" width="9.77734375" bestFit="1" customWidth="1"/>
    <col min="4352" max="4352" width="15.109375" bestFit="1" customWidth="1"/>
    <col min="4353" max="4353" width="13.88671875" bestFit="1" customWidth="1"/>
    <col min="4354" max="4354" width="8.6640625" bestFit="1" customWidth="1"/>
    <col min="4355" max="4355" width="13.88671875" bestFit="1" customWidth="1"/>
    <col min="4356" max="4356" width="9.77734375" bestFit="1" customWidth="1"/>
    <col min="4357" max="4357" width="15.109375" bestFit="1" customWidth="1"/>
    <col min="4358" max="4358" width="13.88671875" bestFit="1" customWidth="1"/>
    <col min="4359" max="4359" width="8.6640625" bestFit="1" customWidth="1"/>
    <col min="4360" max="4360" width="12.6640625" bestFit="1" customWidth="1"/>
    <col min="4361" max="4361" width="13.88671875" bestFit="1" customWidth="1"/>
    <col min="4362" max="4362" width="9.77734375" bestFit="1" customWidth="1"/>
    <col min="4363" max="4364" width="13.88671875" bestFit="1" customWidth="1"/>
    <col min="4365" max="4365" width="8.6640625" bestFit="1" customWidth="1"/>
    <col min="4366" max="4367" width="13.88671875" bestFit="1" customWidth="1"/>
    <col min="4368" max="4368" width="9.77734375" bestFit="1" customWidth="1"/>
    <col min="4369" max="4370" width="13.88671875" bestFit="1" customWidth="1"/>
    <col min="4371" max="4371" width="8.6640625" bestFit="1" customWidth="1"/>
    <col min="4372" max="4373" width="13.88671875" bestFit="1" customWidth="1"/>
    <col min="4374" max="4374" width="9.77734375" bestFit="1" customWidth="1"/>
    <col min="4375" max="4375" width="15.109375" bestFit="1" customWidth="1"/>
    <col min="4376" max="4376" width="13.88671875" bestFit="1" customWidth="1"/>
    <col min="4377" max="4377" width="9.77734375" bestFit="1" customWidth="1"/>
    <col min="4378" max="4378" width="15.109375" bestFit="1" customWidth="1"/>
    <col min="4379" max="4379" width="13.88671875" bestFit="1" customWidth="1"/>
    <col min="4380" max="4380" width="8.6640625" bestFit="1" customWidth="1"/>
    <col min="4381" max="4381" width="12.6640625" bestFit="1" customWidth="1"/>
    <col min="4382" max="4382" width="13.88671875" bestFit="1" customWidth="1"/>
    <col min="4383" max="4383" width="9.77734375" bestFit="1" customWidth="1"/>
    <col min="4384" max="4384" width="15.109375" bestFit="1" customWidth="1"/>
    <col min="4385" max="4385" width="13.88671875" bestFit="1" customWidth="1"/>
    <col min="4386" max="4386" width="8.6640625" bestFit="1" customWidth="1"/>
    <col min="4387" max="4388" width="13.88671875" bestFit="1" customWidth="1"/>
    <col min="4389" max="4389" width="8.6640625" bestFit="1" customWidth="1"/>
    <col min="4390" max="4390" width="12.6640625" bestFit="1" customWidth="1"/>
    <col min="4391" max="4391" width="13.88671875" bestFit="1" customWidth="1"/>
    <col min="4392" max="4392" width="8.6640625" bestFit="1" customWidth="1"/>
    <col min="4393" max="4394" width="13.88671875" bestFit="1" customWidth="1"/>
    <col min="4395" max="4395" width="9.77734375" bestFit="1" customWidth="1"/>
    <col min="4396" max="4396" width="15.109375" bestFit="1" customWidth="1"/>
    <col min="4397" max="4397" width="13.88671875" bestFit="1" customWidth="1"/>
    <col min="4398" max="4398" width="8.6640625" bestFit="1" customWidth="1"/>
    <col min="4399" max="4399" width="13.88671875" bestFit="1" customWidth="1"/>
    <col min="4400" max="4400" width="9.77734375" bestFit="1" customWidth="1"/>
    <col min="4401" max="4401" width="13.88671875" bestFit="1" customWidth="1"/>
    <col min="4402" max="4402" width="9.77734375" bestFit="1" customWidth="1"/>
    <col min="4403" max="4404" width="13.88671875" bestFit="1" customWidth="1"/>
    <col min="4405" max="4405" width="8.6640625" bestFit="1" customWidth="1"/>
    <col min="4406" max="4406" width="12.6640625" bestFit="1" customWidth="1"/>
    <col min="4407" max="4407" width="9.77734375" bestFit="1" customWidth="1"/>
    <col min="4408" max="4409" width="13.88671875" bestFit="1" customWidth="1"/>
    <col min="4410" max="4410" width="8.6640625" bestFit="1" customWidth="1"/>
    <col min="4411" max="4411" width="12.6640625" bestFit="1" customWidth="1"/>
    <col min="4412" max="4412" width="13.88671875" bestFit="1" customWidth="1"/>
    <col min="4413" max="4413" width="8.6640625" bestFit="1" customWidth="1"/>
    <col min="4414" max="4414" width="12.6640625" bestFit="1" customWidth="1"/>
    <col min="4415" max="4415" width="13.88671875" bestFit="1" customWidth="1"/>
    <col min="4416" max="4416" width="9.77734375" bestFit="1" customWidth="1"/>
    <col min="4417" max="4417" width="15.109375" bestFit="1" customWidth="1"/>
    <col min="4418" max="4418" width="13.88671875" bestFit="1" customWidth="1"/>
    <col min="4419" max="4419" width="8.6640625" bestFit="1" customWidth="1"/>
    <col min="4420" max="4420" width="12.6640625" bestFit="1" customWidth="1"/>
    <col min="4421" max="4421" width="13.88671875" bestFit="1" customWidth="1"/>
    <col min="4422" max="4422" width="8.6640625" bestFit="1" customWidth="1"/>
    <col min="4423" max="4423" width="13.88671875" bestFit="1" customWidth="1"/>
    <col min="4424" max="4424" width="8.6640625" bestFit="1" customWidth="1"/>
    <col min="4425" max="4426" width="13.88671875" bestFit="1" customWidth="1"/>
    <col min="4427" max="4427" width="9.77734375" bestFit="1" customWidth="1"/>
    <col min="4428" max="4429" width="13.88671875" bestFit="1" customWidth="1"/>
    <col min="4430" max="4430" width="9.77734375" bestFit="1" customWidth="1"/>
    <col min="4431" max="4432" width="13.88671875" bestFit="1" customWidth="1"/>
    <col min="4433" max="4433" width="9.77734375" bestFit="1" customWidth="1"/>
    <col min="4434" max="4434" width="15.109375" bestFit="1" customWidth="1"/>
    <col min="4435" max="4435" width="13.88671875" bestFit="1" customWidth="1"/>
    <col min="4436" max="4436" width="9.77734375" bestFit="1" customWidth="1"/>
    <col min="4437" max="4437" width="15.109375" bestFit="1" customWidth="1"/>
    <col min="4438" max="4438" width="13.88671875" bestFit="1" customWidth="1"/>
    <col min="4439" max="4439" width="9.77734375" bestFit="1" customWidth="1"/>
    <col min="4440" max="4440" width="15.109375" bestFit="1" customWidth="1"/>
    <col min="4441" max="4441" width="13.88671875" bestFit="1" customWidth="1"/>
    <col min="4442" max="4442" width="9.77734375" bestFit="1" customWidth="1"/>
    <col min="4443" max="4443" width="15.109375" bestFit="1" customWidth="1"/>
    <col min="4444" max="4444" width="13.88671875" bestFit="1" customWidth="1"/>
    <col min="4445" max="4445" width="8.6640625" bestFit="1" customWidth="1"/>
    <col min="4446" max="4446" width="13.88671875" bestFit="1" customWidth="1"/>
    <col min="4447" max="4447" width="8.6640625" bestFit="1" customWidth="1"/>
    <col min="4448" max="4449" width="13.88671875" bestFit="1" customWidth="1"/>
    <col min="4450" max="4450" width="8.6640625" bestFit="1" customWidth="1"/>
    <col min="4451" max="4451" width="12.6640625" bestFit="1" customWidth="1"/>
    <col min="4452" max="4452" width="13.88671875" bestFit="1" customWidth="1"/>
    <col min="4453" max="4453" width="8.6640625" bestFit="1" customWidth="1"/>
    <col min="4454" max="4454" width="12.6640625" bestFit="1" customWidth="1"/>
    <col min="4455" max="4455" width="9.77734375" bestFit="1" customWidth="1"/>
    <col min="4456" max="4457" width="13.88671875" bestFit="1" customWidth="1"/>
    <col min="4458" max="4458" width="8.6640625" bestFit="1" customWidth="1"/>
    <col min="4459" max="4460" width="13.88671875" bestFit="1" customWidth="1"/>
    <col min="4461" max="4461" width="8.6640625" bestFit="1" customWidth="1"/>
    <col min="4462" max="4462" width="12.6640625" bestFit="1" customWidth="1"/>
    <col min="4463" max="4463" width="13.88671875" bestFit="1" customWidth="1"/>
    <col min="4464" max="4464" width="8.6640625" bestFit="1" customWidth="1"/>
    <col min="4465" max="4465" width="12.6640625" bestFit="1" customWidth="1"/>
    <col min="4466" max="4466" width="13.88671875" bestFit="1" customWidth="1"/>
    <col min="4467" max="4467" width="8.6640625" bestFit="1" customWidth="1"/>
    <col min="4468" max="4469" width="13.88671875" bestFit="1" customWidth="1"/>
    <col min="4470" max="4470" width="8.6640625" bestFit="1" customWidth="1"/>
    <col min="4471" max="4472" width="13.88671875" bestFit="1" customWidth="1"/>
    <col min="4473" max="4473" width="8.6640625" bestFit="1" customWidth="1"/>
    <col min="4474" max="4474" width="12.6640625" bestFit="1" customWidth="1"/>
    <col min="4475" max="4475" width="9.77734375" bestFit="1" customWidth="1"/>
    <col min="4476" max="4477" width="13.88671875" bestFit="1" customWidth="1"/>
    <col min="4478" max="4478" width="8.6640625" bestFit="1" customWidth="1"/>
    <col min="4479" max="4480" width="13.88671875" bestFit="1" customWidth="1"/>
    <col min="4481" max="4481" width="8.6640625" bestFit="1" customWidth="1"/>
    <col min="4482" max="4482" width="12.6640625" bestFit="1" customWidth="1"/>
    <col min="4483" max="4483" width="8.6640625" bestFit="1" customWidth="1"/>
    <col min="4484" max="4485" width="13.88671875" bestFit="1" customWidth="1"/>
    <col min="4486" max="4486" width="8.6640625" bestFit="1" customWidth="1"/>
    <col min="4487" max="4487" width="13.88671875" bestFit="1" customWidth="1"/>
    <col min="4488" max="4488" width="9.77734375" bestFit="1" customWidth="1"/>
    <col min="4489" max="4490" width="13.88671875" bestFit="1" customWidth="1"/>
    <col min="4491" max="4491" width="9.77734375" bestFit="1" customWidth="1"/>
    <col min="4492" max="4493" width="13.88671875" bestFit="1" customWidth="1"/>
    <col min="4494" max="4494" width="9.77734375" bestFit="1" customWidth="1"/>
    <col min="4495" max="4496" width="13.88671875" bestFit="1" customWidth="1"/>
    <col min="4497" max="4497" width="8.6640625" bestFit="1" customWidth="1"/>
    <col min="4498" max="4498" width="12.6640625" bestFit="1" customWidth="1"/>
    <col min="4499" max="4499" width="8.6640625" bestFit="1" customWidth="1"/>
    <col min="4500" max="4501" width="13.88671875" bestFit="1" customWidth="1"/>
    <col min="4502" max="4502" width="9.77734375" bestFit="1" customWidth="1"/>
    <col min="4503" max="4503" width="13.88671875" bestFit="1" customWidth="1"/>
    <col min="4504" max="4504" width="9.77734375" bestFit="1" customWidth="1"/>
    <col min="4505" max="4505" width="13.88671875" bestFit="1" customWidth="1"/>
    <col min="4506" max="4506" width="9.77734375" bestFit="1" customWidth="1"/>
    <col min="4507" max="4507" width="15.109375" bestFit="1" customWidth="1"/>
    <col min="4508" max="4508" width="13.88671875" bestFit="1" customWidth="1"/>
    <col min="4509" max="4509" width="9.77734375" bestFit="1" customWidth="1"/>
    <col min="4510" max="4511" width="13.88671875" bestFit="1" customWidth="1"/>
    <col min="4512" max="4512" width="8.6640625" bestFit="1" customWidth="1"/>
    <col min="4513" max="4513" width="12.6640625" bestFit="1" customWidth="1"/>
    <col min="4514" max="4514" width="13.88671875" bestFit="1" customWidth="1"/>
    <col min="4515" max="4515" width="8.6640625" bestFit="1" customWidth="1"/>
    <col min="4516" max="4516" width="12.6640625" bestFit="1" customWidth="1"/>
    <col min="4517" max="4517" width="8.6640625" bestFit="1" customWidth="1"/>
    <col min="4518" max="4519" width="13.88671875" bestFit="1" customWidth="1"/>
    <col min="4520" max="4520" width="8.6640625" bestFit="1" customWidth="1"/>
    <col min="4521" max="4521" width="12.6640625" bestFit="1" customWidth="1"/>
    <col min="4522" max="4522" width="9.77734375" bestFit="1" customWidth="1"/>
    <col min="4523" max="4523" width="15.109375" bestFit="1" customWidth="1"/>
    <col min="4524" max="4524" width="13.88671875" bestFit="1" customWidth="1"/>
    <col min="4525" max="4525" width="8.6640625" bestFit="1" customWidth="1"/>
    <col min="4526" max="4527" width="13.88671875" bestFit="1" customWidth="1"/>
    <col min="4528" max="4528" width="8.6640625" bestFit="1" customWidth="1"/>
    <col min="4529" max="4529" width="13.88671875" bestFit="1" customWidth="1"/>
    <col min="4530" max="4530" width="9.77734375" bestFit="1" customWidth="1"/>
    <col min="4531" max="4531" width="13.88671875" bestFit="1" customWidth="1"/>
    <col min="4532" max="4532" width="9.77734375" bestFit="1" customWidth="1"/>
    <col min="4533" max="4533" width="15.109375" bestFit="1" customWidth="1"/>
    <col min="4534" max="4534" width="13.88671875" bestFit="1" customWidth="1"/>
    <col min="4535" max="4535" width="8.6640625" bestFit="1" customWidth="1"/>
    <col min="4536" max="4537" width="13.88671875" bestFit="1" customWidth="1"/>
    <col min="4538" max="4538" width="8.6640625" bestFit="1" customWidth="1"/>
    <col min="4539" max="4539" width="12.6640625" bestFit="1" customWidth="1"/>
    <col min="4540" max="4540" width="8.6640625" bestFit="1" customWidth="1"/>
    <col min="4541" max="4541" width="12.6640625" bestFit="1" customWidth="1"/>
    <col min="4542" max="4542" width="8.6640625" bestFit="1" customWidth="1"/>
    <col min="4543" max="4544" width="13.88671875" bestFit="1" customWidth="1"/>
    <col min="4545" max="4545" width="8.6640625" bestFit="1" customWidth="1"/>
    <col min="4546" max="4547" width="13.88671875" bestFit="1" customWidth="1"/>
    <col min="4548" max="4548" width="9.77734375" bestFit="1" customWidth="1"/>
    <col min="4549" max="4550" width="13.88671875" bestFit="1" customWidth="1"/>
    <col min="4551" max="4551" width="9.77734375" bestFit="1" customWidth="1"/>
    <col min="4552" max="4553" width="13.88671875" bestFit="1" customWidth="1"/>
    <col min="4554" max="4554" width="8.6640625" bestFit="1" customWidth="1"/>
    <col min="4555" max="4555" width="12.6640625" bestFit="1" customWidth="1"/>
    <col min="4556" max="4556" width="9.77734375" bestFit="1" customWidth="1"/>
    <col min="4557" max="4557" width="15.109375" bestFit="1" customWidth="1"/>
    <col min="4558" max="4558" width="13.88671875" bestFit="1" customWidth="1"/>
    <col min="4559" max="4559" width="9.77734375" bestFit="1" customWidth="1"/>
    <col min="4560" max="4560" width="13.88671875" bestFit="1" customWidth="1"/>
    <col min="4561" max="4561" width="9.77734375" bestFit="1" customWidth="1"/>
    <col min="4562" max="4562" width="15.109375" bestFit="1" customWidth="1"/>
    <col min="4563" max="4563" width="13.88671875" bestFit="1" customWidth="1"/>
    <col min="4564" max="4564" width="9.77734375" bestFit="1" customWidth="1"/>
    <col min="4565" max="4565" width="15.109375" bestFit="1" customWidth="1"/>
    <col min="4566" max="4566" width="13.88671875" bestFit="1" customWidth="1"/>
    <col min="4567" max="4567" width="8.6640625" bestFit="1" customWidth="1"/>
    <col min="4568" max="4569" width="13.88671875" bestFit="1" customWidth="1"/>
    <col min="4570" max="4570" width="8.6640625" bestFit="1" customWidth="1"/>
    <col min="4571" max="4571" width="12.6640625" bestFit="1" customWidth="1"/>
    <col min="4572" max="4572" width="13.88671875" bestFit="1" customWidth="1"/>
    <col min="4573" max="4573" width="9.77734375" bestFit="1" customWidth="1"/>
    <col min="4574" max="4575" width="13.88671875" bestFit="1" customWidth="1"/>
    <col min="4576" max="4576" width="9.77734375" bestFit="1" customWidth="1"/>
    <col min="4577" max="4578" width="13.88671875" bestFit="1" customWidth="1"/>
    <col min="4579" max="4579" width="8.6640625" bestFit="1" customWidth="1"/>
    <col min="4580" max="4581" width="13.88671875" bestFit="1" customWidth="1"/>
    <col min="4582" max="4582" width="8.6640625" bestFit="1" customWidth="1"/>
    <col min="4583" max="4583" width="12.6640625" bestFit="1" customWidth="1"/>
    <col min="4584" max="4584" width="13.88671875" bestFit="1" customWidth="1"/>
    <col min="4585" max="4585" width="8.6640625" bestFit="1" customWidth="1"/>
    <col min="4586" max="4586" width="12.6640625" bestFit="1" customWidth="1"/>
    <col min="4587" max="4587" width="13.88671875" bestFit="1" customWidth="1"/>
    <col min="4588" max="4588" width="8.6640625" bestFit="1" customWidth="1"/>
    <col min="4589" max="4589" width="13.88671875" bestFit="1" customWidth="1"/>
    <col min="4590" max="4590" width="8.6640625" bestFit="1" customWidth="1"/>
    <col min="4591" max="4591" width="13.88671875" bestFit="1" customWidth="1"/>
    <col min="4592" max="4592" width="9.77734375" bestFit="1" customWidth="1"/>
    <col min="4593" max="4593" width="15.109375" bestFit="1" customWidth="1"/>
    <col min="4594" max="4594" width="13.88671875" bestFit="1" customWidth="1"/>
    <col min="4595" max="4595" width="9.77734375" bestFit="1" customWidth="1"/>
    <col min="4596" max="4596" width="15.109375" bestFit="1" customWidth="1"/>
    <col min="4597" max="4597" width="13.88671875" bestFit="1" customWidth="1"/>
    <col min="4598" max="4598" width="9.77734375" bestFit="1" customWidth="1"/>
    <col min="4599" max="4600" width="13.88671875" bestFit="1" customWidth="1"/>
    <col min="4601" max="4601" width="8.6640625" bestFit="1" customWidth="1"/>
    <col min="4602" max="4602" width="12.6640625" bestFit="1" customWidth="1"/>
    <col min="4603" max="4603" width="7.44140625" bestFit="1" customWidth="1"/>
    <col min="4604" max="4604" width="12.6640625" bestFit="1" customWidth="1"/>
    <col min="4605" max="4605" width="13.88671875" bestFit="1" customWidth="1"/>
    <col min="4606" max="4606" width="8.6640625" bestFit="1" customWidth="1"/>
    <col min="4607" max="4607" width="12.6640625" bestFit="1" customWidth="1"/>
    <col min="4608" max="4608" width="9.77734375" bestFit="1" customWidth="1"/>
    <col min="4609" max="4610" width="13.88671875" bestFit="1" customWidth="1"/>
    <col min="4611" max="4611" width="9.77734375" bestFit="1" customWidth="1"/>
    <col min="4612" max="4612" width="13.88671875" bestFit="1" customWidth="1"/>
    <col min="4613" max="4613" width="9.77734375" bestFit="1" customWidth="1"/>
    <col min="4614" max="4614" width="15.109375" bestFit="1" customWidth="1"/>
    <col min="4615" max="4615" width="13.88671875" bestFit="1" customWidth="1"/>
    <col min="4616" max="4616" width="9.77734375" bestFit="1" customWidth="1"/>
    <col min="4617" max="4618" width="13.88671875" bestFit="1" customWidth="1"/>
    <col min="4619" max="4619" width="9.77734375" bestFit="1" customWidth="1"/>
    <col min="4620" max="4620" width="13.88671875" bestFit="1" customWidth="1"/>
    <col min="4621" max="4621" width="9.77734375" bestFit="1" customWidth="1"/>
    <col min="4622" max="4622" width="15.109375" bestFit="1" customWidth="1"/>
    <col min="4623" max="4623" width="13.88671875" bestFit="1" customWidth="1"/>
    <col min="4624" max="4624" width="9.77734375" bestFit="1" customWidth="1"/>
    <col min="4625" max="4625" width="13.88671875" bestFit="1" customWidth="1"/>
    <col min="4626" max="4626" width="9.77734375" bestFit="1" customWidth="1"/>
    <col min="4627" max="4628" width="13.88671875" bestFit="1" customWidth="1"/>
    <col min="4629" max="4629" width="8.6640625" bestFit="1" customWidth="1"/>
    <col min="4630" max="4630" width="13.88671875" bestFit="1" customWidth="1"/>
    <col min="4631" max="4631" width="9.77734375" bestFit="1" customWidth="1"/>
    <col min="4632" max="4632" width="15.109375" bestFit="1" customWidth="1"/>
    <col min="4633" max="4633" width="13.88671875" bestFit="1" customWidth="1"/>
    <col min="4634" max="4634" width="8.6640625" bestFit="1" customWidth="1"/>
    <col min="4635" max="4636" width="13.88671875" bestFit="1" customWidth="1"/>
    <col min="4637" max="4637" width="8.6640625" bestFit="1" customWidth="1"/>
    <col min="4638" max="4638" width="12.6640625" bestFit="1" customWidth="1"/>
    <col min="4639" max="4639" width="9.77734375" bestFit="1" customWidth="1"/>
    <col min="4640" max="4640" width="13.88671875" bestFit="1" customWidth="1"/>
    <col min="4641" max="4641" width="9.77734375" bestFit="1" customWidth="1"/>
    <col min="4642" max="4642" width="15.109375" bestFit="1" customWidth="1"/>
    <col min="4643" max="4643" width="13.88671875" bestFit="1" customWidth="1"/>
    <col min="4644" max="4644" width="8.6640625" bestFit="1" customWidth="1"/>
    <col min="4645" max="4646" width="13.88671875" bestFit="1" customWidth="1"/>
    <col min="4647" max="4647" width="8.6640625" bestFit="1" customWidth="1"/>
    <col min="4648" max="4649" width="13.88671875" bestFit="1" customWidth="1"/>
    <col min="4650" max="4650" width="8.6640625" bestFit="1" customWidth="1"/>
    <col min="4651" max="4651" width="12.6640625" bestFit="1" customWidth="1"/>
    <col min="4652" max="4652" width="13.88671875" bestFit="1" customWidth="1"/>
    <col min="4653" max="4653" width="8.6640625" bestFit="1" customWidth="1"/>
    <col min="4654" max="4654" width="13.88671875" bestFit="1" customWidth="1"/>
    <col min="4655" max="4655" width="9.77734375" bestFit="1" customWidth="1"/>
    <col min="4656" max="4657" width="13.88671875" bestFit="1" customWidth="1"/>
    <col min="4658" max="4658" width="8.6640625" bestFit="1" customWidth="1"/>
    <col min="4659" max="4660" width="13.88671875" bestFit="1" customWidth="1"/>
    <col min="4661" max="4661" width="8.6640625" bestFit="1" customWidth="1"/>
    <col min="4662" max="4663" width="13.88671875" bestFit="1" customWidth="1"/>
    <col min="4664" max="4664" width="8.6640625" bestFit="1" customWidth="1"/>
    <col min="4665" max="4666" width="13.88671875" bestFit="1" customWidth="1"/>
    <col min="4667" max="4667" width="9.77734375" bestFit="1" customWidth="1"/>
    <col min="4668" max="4668" width="13.88671875" bestFit="1" customWidth="1"/>
    <col min="4669" max="4669" width="9.77734375" bestFit="1" customWidth="1"/>
    <col min="4670" max="4670" width="15.109375" bestFit="1" customWidth="1"/>
    <col min="4671" max="4671" width="13.88671875" bestFit="1" customWidth="1"/>
    <col min="4672" max="4672" width="9.77734375" bestFit="1" customWidth="1"/>
    <col min="4673" max="4673" width="15.109375" bestFit="1" customWidth="1"/>
    <col min="4674" max="4674" width="9.77734375" bestFit="1" customWidth="1"/>
    <col min="4675" max="4675" width="15.109375" bestFit="1" customWidth="1"/>
    <col min="4676" max="4676" width="13.88671875" bestFit="1" customWidth="1"/>
    <col min="4677" max="4677" width="9.77734375" bestFit="1" customWidth="1"/>
    <col min="4678" max="4679" width="13.88671875" bestFit="1" customWidth="1"/>
    <col min="4680" max="4680" width="9.77734375" bestFit="1" customWidth="1"/>
    <col min="4681" max="4682" width="13.88671875" bestFit="1" customWidth="1"/>
    <col min="4683" max="4683" width="9.77734375" bestFit="1" customWidth="1"/>
    <col min="4684" max="4685" width="13.88671875" bestFit="1" customWidth="1"/>
    <col min="4686" max="4686" width="9.77734375" bestFit="1" customWidth="1"/>
    <col min="4687" max="4687" width="12.6640625" bestFit="1" customWidth="1"/>
    <col min="4688" max="4688" width="13.88671875" bestFit="1" customWidth="1"/>
    <col min="4689" max="4689" width="8.6640625" bestFit="1" customWidth="1"/>
    <col min="4690" max="4691" width="13.88671875" bestFit="1" customWidth="1"/>
    <col min="4692" max="4692" width="8.6640625" bestFit="1" customWidth="1"/>
    <col min="4693" max="4694" width="13.88671875" bestFit="1" customWidth="1"/>
    <col min="4695" max="4695" width="8.6640625" bestFit="1" customWidth="1"/>
    <col min="4696" max="4697" width="13.88671875" bestFit="1" customWidth="1"/>
    <col min="4698" max="4698" width="8.6640625" bestFit="1" customWidth="1"/>
    <col min="4699" max="4699" width="13.88671875" bestFit="1" customWidth="1"/>
    <col min="4700" max="4700" width="9.77734375" bestFit="1" customWidth="1"/>
    <col min="4701" max="4702" width="13.88671875" bestFit="1" customWidth="1"/>
    <col min="4703" max="4703" width="8.6640625" bestFit="1" customWidth="1"/>
    <col min="4704" max="4704" width="13.88671875" bestFit="1" customWidth="1"/>
    <col min="4705" max="4705" width="8.6640625" bestFit="1" customWidth="1"/>
    <col min="4706" max="4707" width="13.88671875" bestFit="1" customWidth="1"/>
    <col min="4708" max="4708" width="8.6640625" bestFit="1" customWidth="1"/>
    <col min="4709" max="4709" width="12.6640625" bestFit="1" customWidth="1"/>
    <col min="4710" max="4710" width="13.88671875" bestFit="1" customWidth="1"/>
    <col min="4711" max="4711" width="8.6640625" bestFit="1" customWidth="1"/>
    <col min="4712" max="4712" width="13.88671875" bestFit="1" customWidth="1"/>
    <col min="4713" max="4713" width="9.77734375" bestFit="1" customWidth="1"/>
    <col min="4714" max="4714" width="13.88671875" bestFit="1" customWidth="1"/>
    <col min="4715" max="4715" width="9.77734375" bestFit="1" customWidth="1"/>
    <col min="4716" max="4716" width="15.109375" bestFit="1" customWidth="1"/>
    <col min="4717" max="4717" width="13.88671875" bestFit="1" customWidth="1"/>
    <col min="4718" max="4718" width="8.6640625" bestFit="1" customWidth="1"/>
    <col min="4719" max="4719" width="13.88671875" bestFit="1" customWidth="1"/>
    <col min="4720" max="4720" width="8.6640625" bestFit="1" customWidth="1"/>
    <col min="4721" max="4722" width="13.88671875" bestFit="1" customWidth="1"/>
    <col min="4723" max="4723" width="9.77734375" bestFit="1" customWidth="1"/>
    <col min="4724" max="4725" width="13.88671875" bestFit="1" customWidth="1"/>
    <col min="4726" max="4726" width="9.77734375" bestFit="1" customWidth="1"/>
    <col min="4727" max="4727" width="15.109375" bestFit="1" customWidth="1"/>
    <col min="4728" max="4728" width="13.88671875" bestFit="1" customWidth="1"/>
    <col min="4729" max="4729" width="9.77734375" bestFit="1" customWidth="1"/>
    <col min="4730" max="4730" width="15.109375" bestFit="1" customWidth="1"/>
    <col min="4731" max="4731" width="9.77734375" bestFit="1" customWidth="1"/>
    <col min="4732" max="4732" width="15.109375" bestFit="1" customWidth="1"/>
    <col min="4733" max="4733" width="13.88671875" bestFit="1" customWidth="1"/>
    <col min="4734" max="4734" width="8.6640625" bestFit="1" customWidth="1"/>
    <col min="4735" max="4736" width="13.88671875" bestFit="1" customWidth="1"/>
    <col min="4737" max="4737" width="9.77734375" bestFit="1" customWidth="1"/>
    <col min="4738" max="4738" width="13.88671875" bestFit="1" customWidth="1"/>
    <col min="4739" max="4739" width="9.77734375" bestFit="1" customWidth="1"/>
    <col min="4740" max="4740" width="15.109375" bestFit="1" customWidth="1"/>
    <col min="4741" max="4741" width="13.88671875" bestFit="1" customWidth="1"/>
    <col min="4742" max="4742" width="8.6640625" bestFit="1" customWidth="1"/>
    <col min="4743" max="4744" width="13.88671875" bestFit="1" customWidth="1"/>
    <col min="4745" max="4745" width="9.77734375" bestFit="1" customWidth="1"/>
    <col min="4746" max="4746" width="15.109375" bestFit="1" customWidth="1"/>
    <col min="4747" max="4747" width="13.88671875" bestFit="1" customWidth="1"/>
    <col min="4748" max="4748" width="8.6640625" bestFit="1" customWidth="1"/>
    <col min="4749" max="4750" width="13.88671875" bestFit="1" customWidth="1"/>
    <col min="4751" max="4751" width="9.77734375" bestFit="1" customWidth="1"/>
    <col min="4752" max="4752" width="13.88671875" bestFit="1" customWidth="1"/>
    <col min="4753" max="4753" width="8.6640625" bestFit="1" customWidth="1"/>
    <col min="4754" max="4755" width="13.88671875" bestFit="1" customWidth="1"/>
    <col min="4756" max="4756" width="8.6640625" bestFit="1" customWidth="1"/>
    <col min="4757" max="4757" width="12.6640625" bestFit="1" customWidth="1"/>
    <col min="4758" max="4758" width="8.6640625" bestFit="1" customWidth="1"/>
    <col min="4759" max="4760" width="13.88671875" bestFit="1" customWidth="1"/>
    <col min="4761" max="4761" width="8.6640625" bestFit="1" customWidth="1"/>
    <col min="4762" max="4762" width="12.6640625" bestFit="1" customWidth="1"/>
    <col min="4763" max="4763" width="13.88671875" bestFit="1" customWidth="1"/>
    <col min="4764" max="4764" width="8.6640625" bestFit="1" customWidth="1"/>
    <col min="4765" max="4765" width="12.6640625" bestFit="1" customWidth="1"/>
    <col min="4766" max="4766" width="13.88671875" bestFit="1" customWidth="1"/>
    <col min="4767" max="4767" width="8.6640625" bestFit="1" customWidth="1"/>
    <col min="4768" max="4768" width="12.6640625" bestFit="1" customWidth="1"/>
    <col min="4769" max="4769" width="13.88671875" bestFit="1" customWidth="1"/>
    <col min="4770" max="4770" width="9.77734375" bestFit="1" customWidth="1"/>
    <col min="4771" max="4771" width="15.109375" bestFit="1" customWidth="1"/>
    <col min="4772" max="4772" width="13.88671875" bestFit="1" customWidth="1"/>
    <col min="4773" max="4773" width="9.77734375" bestFit="1" customWidth="1"/>
    <col min="4774" max="4774" width="15.109375" bestFit="1" customWidth="1"/>
    <col min="4775" max="4775" width="13.88671875" bestFit="1" customWidth="1"/>
    <col min="4776" max="4776" width="8.6640625" bestFit="1" customWidth="1"/>
    <col min="4777" max="4778" width="13.88671875" bestFit="1" customWidth="1"/>
    <col min="4779" max="4779" width="8.6640625" bestFit="1" customWidth="1"/>
    <col min="4780" max="4780" width="13.88671875" bestFit="1" customWidth="1"/>
    <col min="4781" max="4781" width="8.6640625" bestFit="1" customWidth="1"/>
    <col min="4782" max="4783" width="13.88671875" bestFit="1" customWidth="1"/>
    <col min="4784" max="4784" width="8.6640625" bestFit="1" customWidth="1"/>
    <col min="4785" max="4785" width="12.6640625" bestFit="1" customWidth="1"/>
    <col min="4786" max="4786" width="13.88671875" bestFit="1" customWidth="1"/>
    <col min="4787" max="4787" width="8.6640625" bestFit="1" customWidth="1"/>
    <col min="4788" max="4788" width="12.6640625" bestFit="1" customWidth="1"/>
    <col min="4789" max="4789" width="13.88671875" bestFit="1" customWidth="1"/>
    <col min="4790" max="4790" width="8.6640625" bestFit="1" customWidth="1"/>
    <col min="4791" max="4792" width="13.88671875" bestFit="1" customWidth="1"/>
    <col min="4793" max="4793" width="8.6640625" bestFit="1" customWidth="1"/>
    <col min="4794" max="4794" width="12.6640625" bestFit="1" customWidth="1"/>
    <col min="4795" max="4795" width="13.88671875" bestFit="1" customWidth="1"/>
    <col min="4796" max="4796" width="8.6640625" bestFit="1" customWidth="1"/>
    <col min="4797" max="4798" width="13.88671875" bestFit="1" customWidth="1"/>
    <col min="4799" max="4799" width="8.6640625" bestFit="1" customWidth="1"/>
    <col min="4800" max="4801" width="13.88671875" bestFit="1" customWidth="1"/>
    <col min="4802" max="4802" width="8.6640625" bestFit="1" customWidth="1"/>
    <col min="4803" max="4803" width="13.88671875" bestFit="1" customWidth="1"/>
    <col min="4804" max="4804" width="9.77734375" bestFit="1" customWidth="1"/>
    <col min="4805" max="4805" width="15.109375" bestFit="1" customWidth="1"/>
    <col min="4806" max="4806" width="13.88671875" bestFit="1" customWidth="1"/>
    <col min="4807" max="4807" width="8.6640625" bestFit="1" customWidth="1"/>
    <col min="4808" max="4809" width="13.88671875" bestFit="1" customWidth="1"/>
    <col min="4810" max="4810" width="8.6640625" bestFit="1" customWidth="1"/>
    <col min="4811" max="4812" width="13.88671875" bestFit="1" customWidth="1"/>
    <col min="4813" max="4813" width="8.6640625" bestFit="1" customWidth="1"/>
    <col min="4814" max="4814" width="12.6640625" bestFit="1" customWidth="1"/>
    <col min="4815" max="4815" width="9.77734375" bestFit="1" customWidth="1"/>
    <col min="4816" max="4816" width="15.109375" bestFit="1" customWidth="1"/>
    <col min="4817" max="4817" width="13.88671875" bestFit="1" customWidth="1"/>
    <col min="4818" max="4818" width="8.6640625" bestFit="1" customWidth="1"/>
    <col min="4819" max="4819" width="12.6640625" bestFit="1" customWidth="1"/>
    <col min="4820" max="4820" width="13.88671875" bestFit="1" customWidth="1"/>
    <col min="4821" max="4821" width="9.77734375" bestFit="1" customWidth="1"/>
    <col min="4822" max="4822" width="15.109375" bestFit="1" customWidth="1"/>
    <col min="4823" max="4823" width="13.88671875" bestFit="1" customWidth="1"/>
    <col min="4824" max="4824" width="8.6640625" bestFit="1" customWidth="1"/>
    <col min="4825" max="4826" width="13.88671875" bestFit="1" customWidth="1"/>
    <col min="4827" max="4827" width="8.6640625" bestFit="1" customWidth="1"/>
    <col min="4828" max="4828" width="13.88671875" bestFit="1" customWidth="1"/>
    <col min="4829" max="4829" width="8.6640625" bestFit="1" customWidth="1"/>
    <col min="4830" max="4831" width="13.88671875" bestFit="1" customWidth="1"/>
    <col min="4832" max="4832" width="9.77734375" bestFit="1" customWidth="1"/>
    <col min="4833" max="4833" width="15.109375" bestFit="1" customWidth="1"/>
    <col min="4834" max="4834" width="13.88671875" bestFit="1" customWidth="1"/>
    <col min="4835" max="4835" width="8.6640625" bestFit="1" customWidth="1"/>
    <col min="4836" max="4837" width="13.88671875" bestFit="1" customWidth="1"/>
    <col min="4838" max="4838" width="8.6640625" bestFit="1" customWidth="1"/>
    <col min="4839" max="4840" width="13.88671875" bestFit="1" customWidth="1"/>
    <col min="4841" max="4841" width="8.6640625" bestFit="1" customWidth="1"/>
    <col min="4842" max="4842" width="12.6640625" bestFit="1" customWidth="1"/>
    <col min="4843" max="4843" width="8.6640625" bestFit="1" customWidth="1"/>
    <col min="4844" max="4844" width="12.6640625" bestFit="1" customWidth="1"/>
    <col min="4845" max="4845" width="9.77734375" bestFit="1" customWidth="1"/>
    <col min="4846" max="4847" width="13.88671875" bestFit="1" customWidth="1"/>
    <col min="4848" max="4848" width="9.77734375" bestFit="1" customWidth="1"/>
    <col min="4849" max="4849" width="13.88671875" bestFit="1" customWidth="1"/>
    <col min="4850" max="4850" width="8.6640625" bestFit="1" customWidth="1"/>
    <col min="4851" max="4851" width="13.88671875" bestFit="1" customWidth="1"/>
    <col min="4852" max="4852" width="8.6640625" bestFit="1" customWidth="1"/>
    <col min="4853" max="4854" width="13.88671875" bestFit="1" customWidth="1"/>
    <col min="4855" max="4855" width="8.6640625" bestFit="1" customWidth="1"/>
    <col min="4856" max="4856" width="13.88671875" bestFit="1" customWidth="1"/>
    <col min="4857" max="4857" width="8.6640625" bestFit="1" customWidth="1"/>
    <col min="4858" max="4859" width="13.88671875" bestFit="1" customWidth="1"/>
    <col min="4860" max="4860" width="8.6640625" bestFit="1" customWidth="1"/>
    <col min="4861" max="4861" width="12.6640625" bestFit="1" customWidth="1"/>
    <col min="4862" max="4862" width="9.77734375" bestFit="1" customWidth="1"/>
    <col min="4863" max="4864" width="13.88671875" bestFit="1" customWidth="1"/>
    <col min="4865" max="4865" width="8.6640625" bestFit="1" customWidth="1"/>
    <col min="4866" max="4867" width="13.88671875" bestFit="1" customWidth="1"/>
    <col min="4868" max="4868" width="8.6640625" bestFit="1" customWidth="1"/>
    <col min="4869" max="4869" width="12.6640625" bestFit="1" customWidth="1"/>
    <col min="4870" max="4870" width="13.88671875" bestFit="1" customWidth="1"/>
    <col min="4871" max="4871" width="8.6640625" bestFit="1" customWidth="1"/>
    <col min="4872" max="4872" width="13.88671875" bestFit="1" customWidth="1"/>
    <col min="4873" max="4873" width="8.6640625" bestFit="1" customWidth="1"/>
    <col min="4874" max="4875" width="13.88671875" bestFit="1" customWidth="1"/>
    <col min="4876" max="4876" width="8.6640625" bestFit="1" customWidth="1"/>
    <col min="4877" max="4878" width="13.88671875" bestFit="1" customWidth="1"/>
    <col min="4879" max="4879" width="9.77734375" bestFit="1" customWidth="1"/>
    <col min="4880" max="4881" width="13.88671875" bestFit="1" customWidth="1"/>
    <col min="4882" max="4882" width="8.6640625" bestFit="1" customWidth="1"/>
    <col min="4883" max="4884" width="13.88671875" bestFit="1" customWidth="1"/>
    <col min="4885" max="4885" width="8.6640625" bestFit="1" customWidth="1"/>
    <col min="4886" max="4886" width="13.88671875" bestFit="1" customWidth="1"/>
    <col min="4887" max="4887" width="9.77734375" bestFit="1" customWidth="1"/>
    <col min="4888" max="4889" width="13.88671875" bestFit="1" customWidth="1"/>
    <col min="4890" max="4890" width="8.6640625" bestFit="1" customWidth="1"/>
    <col min="4891" max="4891" width="13.88671875" bestFit="1" customWidth="1"/>
    <col min="4892" max="4892" width="9.77734375" bestFit="1" customWidth="1"/>
    <col min="4893" max="4894" width="13.88671875" bestFit="1" customWidth="1"/>
    <col min="4895" max="4895" width="9.77734375" bestFit="1" customWidth="1"/>
    <col min="4896" max="4896" width="15.109375" bestFit="1" customWidth="1"/>
    <col min="4897" max="4897" width="13.88671875" bestFit="1" customWidth="1"/>
    <col min="4898" max="4898" width="9.77734375" bestFit="1" customWidth="1"/>
    <col min="4899" max="4900" width="13.88671875" bestFit="1" customWidth="1"/>
    <col min="4901" max="4901" width="9.77734375" bestFit="1" customWidth="1"/>
    <col min="4902" max="4903" width="13.88671875" bestFit="1" customWidth="1"/>
    <col min="4904" max="4904" width="9.77734375" bestFit="1" customWidth="1"/>
    <col min="4905" max="4906" width="13.88671875" bestFit="1" customWidth="1"/>
    <col min="4907" max="4907" width="8.6640625" bestFit="1" customWidth="1"/>
    <col min="4908" max="4908" width="12.6640625" bestFit="1" customWidth="1"/>
    <col min="4909" max="4909" width="13.88671875" bestFit="1" customWidth="1"/>
    <col min="4910" max="4910" width="8.6640625" bestFit="1" customWidth="1"/>
    <col min="4911" max="4912" width="13.88671875" bestFit="1" customWidth="1"/>
    <col min="4913" max="4913" width="8.6640625" bestFit="1" customWidth="1"/>
    <col min="4914" max="4914" width="12.6640625" bestFit="1" customWidth="1"/>
    <col min="4915" max="4915" width="13.88671875" bestFit="1" customWidth="1"/>
    <col min="4916" max="4916" width="9.77734375" bestFit="1" customWidth="1"/>
    <col min="4917" max="4917" width="13.88671875" bestFit="1" customWidth="1"/>
    <col min="4918" max="4918" width="8.6640625" bestFit="1" customWidth="1"/>
    <col min="4919" max="4920" width="13.88671875" bestFit="1" customWidth="1"/>
    <col min="4921" max="4921" width="9.77734375" bestFit="1" customWidth="1"/>
    <col min="4922" max="4922" width="13.88671875" bestFit="1" customWidth="1"/>
    <col min="4923" max="4923" width="8.6640625" bestFit="1" customWidth="1"/>
    <col min="4924" max="4925" width="13.88671875" bestFit="1" customWidth="1"/>
    <col min="4926" max="4926" width="8.6640625" bestFit="1" customWidth="1"/>
    <col min="4927" max="4927" width="12.6640625" bestFit="1" customWidth="1"/>
    <col min="4928" max="4928" width="13.88671875" bestFit="1" customWidth="1"/>
    <col min="4929" max="4929" width="9.77734375" bestFit="1" customWidth="1"/>
    <col min="4930" max="4930" width="15.109375" bestFit="1" customWidth="1"/>
    <col min="4931" max="4931" width="13.88671875" bestFit="1" customWidth="1"/>
    <col min="4932" max="4932" width="8.6640625" bestFit="1" customWidth="1"/>
    <col min="4933" max="4933" width="12.6640625" bestFit="1" customWidth="1"/>
    <col min="4934" max="4934" width="9.77734375" bestFit="1" customWidth="1"/>
    <col min="4935" max="4935" width="15.109375" bestFit="1" customWidth="1"/>
    <col min="4936" max="4936" width="13.88671875" bestFit="1" customWidth="1"/>
    <col min="4937" max="4937" width="8.6640625" bestFit="1" customWidth="1"/>
    <col min="4938" max="4938" width="12.6640625" bestFit="1" customWidth="1"/>
    <col min="4939" max="4939" width="13.88671875" bestFit="1" customWidth="1"/>
    <col min="4940" max="4940" width="8.6640625" bestFit="1" customWidth="1"/>
    <col min="4941" max="4941" width="12.6640625" bestFit="1" customWidth="1"/>
    <col min="4942" max="4942" width="13.88671875" bestFit="1" customWidth="1"/>
    <col min="4943" max="4943" width="8.6640625" bestFit="1" customWidth="1"/>
    <col min="4944" max="4945" width="13.88671875" bestFit="1" customWidth="1"/>
    <col min="4946" max="4946" width="8.6640625" bestFit="1" customWidth="1"/>
    <col min="4947" max="4947" width="12.6640625" bestFit="1" customWidth="1"/>
    <col min="4948" max="4948" width="8.6640625" bestFit="1" customWidth="1"/>
    <col min="4949" max="4950" width="13.88671875" bestFit="1" customWidth="1"/>
    <col min="4951" max="4951" width="8.6640625" bestFit="1" customWidth="1"/>
    <col min="4952" max="4952" width="12.6640625" bestFit="1" customWidth="1"/>
    <col min="4953" max="4953" width="13.88671875" bestFit="1" customWidth="1"/>
    <col min="4954" max="4954" width="8.6640625" bestFit="1" customWidth="1"/>
    <col min="4955" max="4955" width="12.6640625" bestFit="1" customWidth="1"/>
    <col min="4956" max="4956" width="13.88671875" bestFit="1" customWidth="1"/>
    <col min="4957" max="4957" width="9.77734375" bestFit="1" customWidth="1"/>
    <col min="4958" max="4958" width="15.109375" bestFit="1" customWidth="1"/>
    <col min="4959" max="4959" width="13.88671875" bestFit="1" customWidth="1"/>
    <col min="4960" max="4960" width="8.6640625" bestFit="1" customWidth="1"/>
    <col min="4961" max="4961" width="12.6640625" bestFit="1" customWidth="1"/>
    <col min="4962" max="4962" width="8.6640625" bestFit="1" customWidth="1"/>
    <col min="4963" max="4963" width="13.88671875" bestFit="1" customWidth="1"/>
    <col min="4964" max="4964" width="8.6640625" bestFit="1" customWidth="1"/>
    <col min="4965" max="4965" width="13.88671875" bestFit="1" customWidth="1"/>
    <col min="4966" max="4966" width="9.77734375" bestFit="1" customWidth="1"/>
    <col min="4967" max="4968" width="13.88671875" bestFit="1" customWidth="1"/>
    <col min="4969" max="4969" width="8.6640625" bestFit="1" customWidth="1"/>
    <col min="4970" max="4971" width="13.88671875" bestFit="1" customWidth="1"/>
    <col min="4972" max="4972" width="9.77734375" bestFit="1" customWidth="1"/>
    <col min="4973" max="4973" width="13.88671875" bestFit="1" customWidth="1"/>
    <col min="4974" max="4974" width="9.77734375" bestFit="1" customWidth="1"/>
    <col min="4975" max="4976" width="13.88671875" bestFit="1" customWidth="1"/>
    <col min="4977" max="4977" width="9.77734375" bestFit="1" customWidth="1"/>
    <col min="4978" max="4978" width="13.88671875" bestFit="1" customWidth="1"/>
    <col min="4979" max="4979" width="8.6640625" bestFit="1" customWidth="1"/>
    <col min="4980" max="4981" width="13.88671875" bestFit="1" customWidth="1"/>
    <col min="4982" max="4982" width="9.77734375" bestFit="1" customWidth="1"/>
    <col min="4983" max="4983" width="15.109375" bestFit="1" customWidth="1"/>
    <col min="4984" max="4984" width="13.88671875" bestFit="1" customWidth="1"/>
    <col min="4985" max="4985" width="9.77734375" bestFit="1" customWidth="1"/>
    <col min="4986" max="4987" width="13.88671875" bestFit="1" customWidth="1"/>
    <col min="4988" max="4988" width="8.6640625" bestFit="1" customWidth="1"/>
    <col min="4989" max="4989" width="12.6640625" bestFit="1" customWidth="1"/>
    <col min="4990" max="4990" width="9.77734375" bestFit="1" customWidth="1"/>
    <col min="4991" max="4991" width="13.88671875" bestFit="1" customWidth="1"/>
    <col min="4992" max="4992" width="9.77734375" bestFit="1" customWidth="1"/>
    <col min="4993" max="4993" width="15.109375" bestFit="1" customWidth="1"/>
    <col min="4994" max="4994" width="13.88671875" bestFit="1" customWidth="1"/>
    <col min="4995" max="4995" width="9.77734375" bestFit="1" customWidth="1"/>
    <col min="4996" max="4996" width="15.109375" bestFit="1" customWidth="1"/>
    <col min="4997" max="4997" width="13.88671875" bestFit="1" customWidth="1"/>
    <col min="4998" max="4998" width="8.6640625" bestFit="1" customWidth="1"/>
    <col min="4999" max="4999" width="12.6640625" bestFit="1" customWidth="1"/>
    <col min="5000" max="5000" width="13.88671875" bestFit="1" customWidth="1"/>
    <col min="5001" max="5001" width="8.6640625" bestFit="1" customWidth="1"/>
    <col min="5002" max="5002" width="12.6640625" bestFit="1" customWidth="1"/>
    <col min="5003" max="5003" width="8.6640625" bestFit="1" customWidth="1"/>
    <col min="5004" max="5005" width="13.88671875" bestFit="1" customWidth="1"/>
    <col min="5006" max="5006" width="8.6640625" bestFit="1" customWidth="1"/>
    <col min="5007" max="5007" width="12.6640625" bestFit="1" customWidth="1"/>
    <col min="5008" max="5008" width="8.6640625" bestFit="1" customWidth="1"/>
    <col min="5009" max="5010" width="13.88671875" bestFit="1" customWidth="1"/>
    <col min="5011" max="5011" width="8.6640625" bestFit="1" customWidth="1"/>
    <col min="5012" max="5013" width="13.88671875" bestFit="1" customWidth="1"/>
    <col min="5014" max="5014" width="9.77734375" bestFit="1" customWidth="1"/>
    <col min="5015" max="5016" width="13.88671875" bestFit="1" customWidth="1"/>
    <col min="5017" max="5017" width="8.6640625" bestFit="1" customWidth="1"/>
    <col min="5018" max="5019" width="13.88671875" bestFit="1" customWidth="1"/>
    <col min="5020" max="5020" width="8.6640625" bestFit="1" customWidth="1"/>
    <col min="5021" max="5021" width="12.6640625" bestFit="1" customWidth="1"/>
    <col min="5022" max="5022" width="13.88671875" bestFit="1" customWidth="1"/>
    <col min="5023" max="5023" width="8.6640625" bestFit="1" customWidth="1"/>
    <col min="5024" max="5024" width="12.6640625" bestFit="1" customWidth="1"/>
    <col min="5025" max="5025" width="13.88671875" bestFit="1" customWidth="1"/>
    <col min="5026" max="5026" width="8.6640625" bestFit="1" customWidth="1"/>
    <col min="5027" max="5027" width="12.6640625" bestFit="1" customWidth="1"/>
    <col min="5028" max="5028" width="8.6640625" bestFit="1" customWidth="1"/>
    <col min="5029" max="5030" width="13.88671875" bestFit="1" customWidth="1"/>
    <col min="5031" max="5031" width="8.6640625" bestFit="1" customWidth="1"/>
    <col min="5032" max="5033" width="13.88671875" bestFit="1" customWidth="1"/>
    <col min="5034" max="5034" width="9.77734375" bestFit="1" customWidth="1"/>
    <col min="5035" max="5035" width="15.109375" bestFit="1" customWidth="1"/>
    <col min="5036" max="5036" width="13.88671875" bestFit="1" customWidth="1"/>
    <col min="5037" max="5037" width="8.6640625" bestFit="1" customWidth="1"/>
    <col min="5038" max="5039" width="13.88671875" bestFit="1" customWidth="1"/>
    <col min="5040" max="5040" width="9.77734375" bestFit="1" customWidth="1"/>
    <col min="5041" max="5042" width="13.88671875" bestFit="1" customWidth="1"/>
    <col min="5043" max="5043" width="8.6640625" bestFit="1" customWidth="1"/>
    <col min="5044" max="5044" width="12.6640625" bestFit="1" customWidth="1"/>
    <col min="5045" max="5045" width="9.77734375" bestFit="1" customWidth="1"/>
    <col min="5046" max="5046" width="15.109375" bestFit="1" customWidth="1"/>
    <col min="5047" max="5047" width="13.88671875" bestFit="1" customWidth="1"/>
    <col min="5048" max="5048" width="9.77734375" bestFit="1" customWidth="1"/>
    <col min="5049" max="5049" width="12.6640625" bestFit="1" customWidth="1"/>
    <col min="5050" max="5050" width="13.88671875" bestFit="1" customWidth="1"/>
    <col min="5051" max="5051" width="9.77734375" bestFit="1" customWidth="1"/>
    <col min="5052" max="5053" width="13.88671875" bestFit="1" customWidth="1"/>
    <col min="5054" max="5054" width="8.6640625" bestFit="1" customWidth="1"/>
    <col min="5055" max="5055" width="13.88671875" bestFit="1" customWidth="1"/>
    <col min="5056" max="5056" width="9.77734375" bestFit="1" customWidth="1"/>
    <col min="5057" max="5058" width="13.88671875" bestFit="1" customWidth="1"/>
    <col min="5059" max="5059" width="8.6640625" bestFit="1" customWidth="1"/>
    <col min="5060" max="5060" width="12.6640625" bestFit="1" customWidth="1"/>
    <col min="5061" max="5061" width="13.88671875" bestFit="1" customWidth="1"/>
    <col min="5062" max="5062" width="8.6640625" bestFit="1" customWidth="1"/>
    <col min="5063" max="5063" width="12.6640625" bestFit="1" customWidth="1"/>
    <col min="5064" max="5064" width="13.88671875" bestFit="1" customWidth="1"/>
    <col min="5065" max="5065" width="8.6640625" bestFit="1" customWidth="1"/>
    <col min="5066" max="5067" width="13.88671875" bestFit="1" customWidth="1"/>
    <col min="5068" max="5068" width="9.77734375" bestFit="1" customWidth="1"/>
    <col min="5069" max="5069" width="15.109375" bestFit="1" customWidth="1"/>
    <col min="5070" max="5070" width="13.88671875" bestFit="1" customWidth="1"/>
    <col min="5071" max="5071" width="9.77734375" bestFit="1" customWidth="1"/>
    <col min="5072" max="5072" width="13.88671875" bestFit="1" customWidth="1"/>
    <col min="5073" max="5073" width="9.77734375" bestFit="1" customWidth="1"/>
    <col min="5074" max="5075" width="13.88671875" bestFit="1" customWidth="1"/>
    <col min="5076" max="5076" width="8.6640625" bestFit="1" customWidth="1"/>
    <col min="5077" max="5077" width="12.6640625" bestFit="1" customWidth="1"/>
    <col min="5078" max="5078" width="8.6640625" bestFit="1" customWidth="1"/>
    <col min="5079" max="5079" width="13.88671875" bestFit="1" customWidth="1"/>
    <col min="5080" max="5080" width="8.6640625" bestFit="1" customWidth="1"/>
    <col min="5081" max="5081" width="13.88671875" bestFit="1" customWidth="1"/>
    <col min="5082" max="5082" width="9.77734375" bestFit="1" customWidth="1"/>
    <col min="5083" max="5084" width="13.88671875" bestFit="1" customWidth="1"/>
    <col min="5085" max="5085" width="8.6640625" bestFit="1" customWidth="1"/>
    <col min="5086" max="5086" width="13.88671875" bestFit="1" customWidth="1"/>
    <col min="5087" max="5087" width="9.77734375" bestFit="1" customWidth="1"/>
    <col min="5088" max="5088" width="15.109375" bestFit="1" customWidth="1"/>
    <col min="5089" max="5089" width="13.88671875" bestFit="1" customWidth="1"/>
    <col min="5090" max="5090" width="8.6640625" bestFit="1" customWidth="1"/>
    <col min="5091" max="5092" width="13.88671875" bestFit="1" customWidth="1"/>
    <col min="5093" max="5093" width="8.6640625" bestFit="1" customWidth="1"/>
    <col min="5094" max="5094" width="12.6640625" bestFit="1" customWidth="1"/>
    <col min="5095" max="5095" width="8.6640625" bestFit="1" customWidth="1"/>
    <col min="5096" max="5096" width="13.88671875" bestFit="1" customWidth="1"/>
    <col min="5097" max="5097" width="9.77734375" bestFit="1" customWidth="1"/>
    <col min="5098" max="5099" width="13.88671875" bestFit="1" customWidth="1"/>
    <col min="5100" max="5100" width="9.77734375" bestFit="1" customWidth="1"/>
    <col min="5101" max="5101" width="15.109375" bestFit="1" customWidth="1"/>
    <col min="5102" max="5102" width="13.88671875" bestFit="1" customWidth="1"/>
    <col min="5103" max="5103" width="8.6640625" bestFit="1" customWidth="1"/>
    <col min="5104" max="5104" width="13.88671875" bestFit="1" customWidth="1"/>
    <col min="5105" max="5105" width="9.77734375" bestFit="1" customWidth="1"/>
    <col min="5106" max="5106" width="15.109375" bestFit="1" customWidth="1"/>
    <col min="5107" max="5107" width="13.88671875" bestFit="1" customWidth="1"/>
    <col min="5108" max="5108" width="9.77734375" bestFit="1" customWidth="1"/>
    <col min="5109" max="5110" width="13.88671875" bestFit="1" customWidth="1"/>
    <col min="5111" max="5111" width="9.77734375" bestFit="1" customWidth="1"/>
    <col min="5112" max="5112" width="15.109375" bestFit="1" customWidth="1"/>
    <col min="5113" max="5113" width="13.88671875" bestFit="1" customWidth="1"/>
    <col min="5114" max="5114" width="9.77734375" bestFit="1" customWidth="1"/>
    <col min="5115" max="5116" width="13.88671875" bestFit="1" customWidth="1"/>
    <col min="5117" max="5117" width="8.6640625" bestFit="1" customWidth="1"/>
    <col min="5118" max="5119" width="13.88671875" bestFit="1" customWidth="1"/>
    <col min="5120" max="5120" width="9.77734375" bestFit="1" customWidth="1"/>
    <col min="5121" max="5122" width="13.88671875" bestFit="1" customWidth="1"/>
    <col min="5123" max="5123" width="9.77734375" bestFit="1" customWidth="1"/>
    <col min="5124" max="5124" width="15.109375" bestFit="1" customWidth="1"/>
    <col min="5125" max="5125" width="9.77734375" bestFit="1" customWidth="1"/>
    <col min="5126" max="5126" width="15.109375" bestFit="1" customWidth="1"/>
    <col min="5127" max="5127" width="13.88671875" bestFit="1" customWidth="1"/>
    <col min="5128" max="5128" width="9.77734375" bestFit="1" customWidth="1"/>
    <col min="5129" max="5130" width="13.88671875" bestFit="1" customWidth="1"/>
    <col min="5131" max="5131" width="8.6640625" bestFit="1" customWidth="1"/>
    <col min="5132" max="5133" width="13.88671875" bestFit="1" customWidth="1"/>
    <col min="5134" max="5134" width="9.77734375" bestFit="1" customWidth="1"/>
    <col min="5135" max="5136" width="13.88671875" bestFit="1" customWidth="1"/>
    <col min="5137" max="5137" width="9.77734375" bestFit="1" customWidth="1"/>
    <col min="5138" max="5138" width="15.109375" bestFit="1" customWidth="1"/>
    <col min="5139" max="5139" width="13.88671875" bestFit="1" customWidth="1"/>
    <col min="5140" max="5140" width="8.6640625" bestFit="1" customWidth="1"/>
    <col min="5141" max="5142" width="13.88671875" bestFit="1" customWidth="1"/>
    <col min="5143" max="5143" width="8.6640625" bestFit="1" customWidth="1"/>
    <col min="5144" max="5144" width="12.6640625" bestFit="1" customWidth="1"/>
    <col min="5145" max="5145" width="13.88671875" bestFit="1" customWidth="1"/>
    <col min="5146" max="5146" width="9.77734375" bestFit="1" customWidth="1"/>
    <col min="5147" max="5147" width="13.88671875" bestFit="1" customWidth="1"/>
    <col min="5148" max="5148" width="9.77734375" bestFit="1" customWidth="1"/>
    <col min="5149" max="5150" width="13.88671875" bestFit="1" customWidth="1"/>
    <col min="5151" max="5151" width="8.6640625" bestFit="1" customWidth="1"/>
    <col min="5152" max="5152" width="13.88671875" bestFit="1" customWidth="1"/>
    <col min="5153" max="5153" width="8.6640625" bestFit="1" customWidth="1"/>
    <col min="5154" max="5155" width="13.88671875" bestFit="1" customWidth="1"/>
    <col min="5156" max="5156" width="8.6640625" bestFit="1" customWidth="1"/>
    <col min="5157" max="5157" width="12.6640625" bestFit="1" customWidth="1"/>
    <col min="5158" max="5158" width="8.6640625" bestFit="1" customWidth="1"/>
    <col min="5159" max="5159" width="13.88671875" bestFit="1" customWidth="1"/>
    <col min="5160" max="5160" width="8.6640625" bestFit="1" customWidth="1"/>
    <col min="5161" max="5162" width="13.88671875" bestFit="1" customWidth="1"/>
    <col min="5163" max="5163" width="8.6640625" bestFit="1" customWidth="1"/>
    <col min="5164" max="5164" width="12.6640625" bestFit="1" customWidth="1"/>
    <col min="5165" max="5165" width="9.77734375" bestFit="1" customWidth="1"/>
    <col min="5166" max="5166" width="12.6640625" bestFit="1" customWidth="1"/>
    <col min="5167" max="5167" width="8.6640625" bestFit="1" customWidth="1"/>
    <col min="5168" max="5169" width="13.88671875" bestFit="1" customWidth="1"/>
    <col min="5170" max="5170" width="8.6640625" bestFit="1" customWidth="1"/>
    <col min="5171" max="5172" width="13.88671875" bestFit="1" customWidth="1"/>
    <col min="5173" max="5173" width="8.6640625" bestFit="1" customWidth="1"/>
    <col min="5174" max="5174" width="12.6640625" bestFit="1" customWidth="1"/>
    <col min="5175" max="5175" width="13.88671875" bestFit="1" customWidth="1"/>
    <col min="5176" max="5176" width="9.77734375" bestFit="1" customWidth="1"/>
    <col min="5177" max="5178" width="13.88671875" bestFit="1" customWidth="1"/>
    <col min="5179" max="5179" width="8.6640625" bestFit="1" customWidth="1"/>
    <col min="5180" max="5181" width="13.88671875" bestFit="1" customWidth="1"/>
    <col min="5182" max="5182" width="8.6640625" bestFit="1" customWidth="1"/>
    <col min="5183" max="5183" width="12.6640625" bestFit="1" customWidth="1"/>
    <col min="5184" max="5184" width="9.77734375" bestFit="1" customWidth="1"/>
    <col min="5185" max="5185" width="15.109375" bestFit="1" customWidth="1"/>
    <col min="5186" max="5186" width="13.88671875" bestFit="1" customWidth="1"/>
    <col min="5187" max="5187" width="8.6640625" bestFit="1" customWidth="1"/>
    <col min="5188" max="5188" width="12.6640625" bestFit="1" customWidth="1"/>
    <col min="5189" max="5189" width="8.6640625" bestFit="1" customWidth="1"/>
    <col min="5190" max="5191" width="13.88671875" bestFit="1" customWidth="1"/>
    <col min="5192" max="5192" width="8.6640625" bestFit="1" customWidth="1"/>
    <col min="5193" max="5193" width="12.6640625" bestFit="1" customWidth="1"/>
    <col min="5194" max="5194" width="8.6640625" bestFit="1" customWidth="1"/>
    <col min="5195" max="5196" width="13.88671875" bestFit="1" customWidth="1"/>
    <col min="5197" max="5197" width="8.6640625" bestFit="1" customWidth="1"/>
    <col min="5198" max="5198" width="13.88671875" bestFit="1" customWidth="1"/>
    <col min="5199" max="5199" width="9.77734375" bestFit="1" customWidth="1"/>
    <col min="5200" max="5201" width="13.88671875" bestFit="1" customWidth="1"/>
    <col min="5202" max="5202" width="8.6640625" bestFit="1" customWidth="1"/>
    <col min="5203" max="5204" width="13.88671875" bestFit="1" customWidth="1"/>
    <col min="5205" max="5205" width="9.77734375" bestFit="1" customWidth="1"/>
    <col min="5206" max="5207" width="13.88671875" bestFit="1" customWidth="1"/>
    <col min="5208" max="5208" width="8.6640625" bestFit="1" customWidth="1"/>
    <col min="5209" max="5210" width="13.88671875" bestFit="1" customWidth="1"/>
    <col min="5211" max="5211" width="8.6640625" bestFit="1" customWidth="1"/>
    <col min="5212" max="5213" width="13.88671875" bestFit="1" customWidth="1"/>
    <col min="5214" max="5214" width="9.77734375" bestFit="1" customWidth="1"/>
    <col min="5215" max="5215" width="15.109375" bestFit="1" customWidth="1"/>
    <col min="5216" max="5216" width="13.88671875" bestFit="1" customWidth="1"/>
    <col min="5217" max="5217" width="8.6640625" bestFit="1" customWidth="1"/>
    <col min="5218" max="5218" width="12.6640625" bestFit="1" customWidth="1"/>
    <col min="5219" max="5219" width="13.88671875" bestFit="1" customWidth="1"/>
    <col min="5220" max="5220" width="9.77734375" bestFit="1" customWidth="1"/>
    <col min="5221" max="5222" width="13.88671875" bestFit="1" customWidth="1"/>
    <col min="5223" max="5223" width="8.6640625" bestFit="1" customWidth="1"/>
    <col min="5224" max="5224" width="12.6640625" bestFit="1" customWidth="1"/>
    <col min="5225" max="5225" width="8.6640625" bestFit="1" customWidth="1"/>
    <col min="5226" max="5227" width="13.88671875" bestFit="1" customWidth="1"/>
    <col min="5228" max="5228" width="8.6640625" bestFit="1" customWidth="1"/>
    <col min="5229" max="5229" width="12.6640625" bestFit="1" customWidth="1"/>
    <col min="5230" max="5230" width="8.6640625" bestFit="1" customWidth="1"/>
    <col min="5231" max="5232" width="13.88671875" bestFit="1" customWidth="1"/>
    <col min="5233" max="5233" width="8.6640625" bestFit="1" customWidth="1"/>
    <col min="5234" max="5234" width="12.6640625" bestFit="1" customWidth="1"/>
    <col min="5235" max="5235" width="8.6640625" bestFit="1" customWidth="1"/>
    <col min="5236" max="5236" width="13.88671875" bestFit="1" customWidth="1"/>
    <col min="5237" max="5237" width="8.6640625" bestFit="1" customWidth="1"/>
    <col min="5238" max="5238" width="13.88671875" bestFit="1" customWidth="1"/>
    <col min="5239" max="5239" width="8.6640625" bestFit="1" customWidth="1"/>
    <col min="5240" max="5240" width="13.88671875" bestFit="1" customWidth="1"/>
    <col min="5241" max="5241" width="9.77734375" bestFit="1" customWidth="1"/>
    <col min="5242" max="5242" width="13.88671875" bestFit="1" customWidth="1"/>
    <col min="5243" max="5243" width="9.77734375" bestFit="1" customWidth="1"/>
    <col min="5244" max="5244" width="13.88671875" bestFit="1" customWidth="1"/>
    <col min="5245" max="5245" width="9.77734375" bestFit="1" customWidth="1"/>
    <col min="5246" max="5247" width="13.88671875" bestFit="1" customWidth="1"/>
    <col min="5248" max="5248" width="8.6640625" bestFit="1" customWidth="1"/>
    <col min="5249" max="5249" width="12.6640625" bestFit="1" customWidth="1"/>
    <col min="5250" max="5250" width="13.88671875" bestFit="1" customWidth="1"/>
    <col min="5251" max="5251" width="8.6640625" bestFit="1" customWidth="1"/>
    <col min="5252" max="5252" width="12.6640625" bestFit="1" customWidth="1"/>
    <col min="5253" max="5253" width="8.6640625" bestFit="1" customWidth="1"/>
    <col min="5254" max="5255" width="13.88671875" bestFit="1" customWidth="1"/>
    <col min="5256" max="5256" width="9.77734375" bestFit="1" customWidth="1"/>
    <col min="5257" max="5257" width="15.109375" bestFit="1" customWidth="1"/>
    <col min="5258" max="5258" width="13.88671875" bestFit="1" customWidth="1"/>
    <col min="5259" max="5259" width="8.6640625" bestFit="1" customWidth="1"/>
    <col min="5260" max="5260" width="12.6640625" bestFit="1" customWidth="1"/>
    <col min="5261" max="5261" width="9.77734375" bestFit="1" customWidth="1"/>
    <col min="5262" max="5263" width="13.88671875" bestFit="1" customWidth="1"/>
    <col min="5264" max="5264" width="9.77734375" bestFit="1" customWidth="1"/>
    <col min="5265" max="5266" width="13.88671875" bestFit="1" customWidth="1"/>
    <col min="5267" max="5267" width="8.6640625" bestFit="1" customWidth="1"/>
    <col min="5268" max="5268" width="12.6640625" bestFit="1" customWidth="1"/>
    <col min="5269" max="5269" width="9.77734375" bestFit="1" customWidth="1"/>
    <col min="5270" max="5271" width="13.88671875" bestFit="1" customWidth="1"/>
    <col min="5272" max="5272" width="8.6640625" bestFit="1" customWidth="1"/>
    <col min="5273" max="5273" width="13.88671875" bestFit="1" customWidth="1"/>
    <col min="5274" max="5274" width="9.77734375" bestFit="1" customWidth="1"/>
    <col min="5275" max="5275" width="13.88671875" bestFit="1" customWidth="1"/>
    <col min="5276" max="5276" width="9.77734375" bestFit="1" customWidth="1"/>
    <col min="5277" max="5278" width="13.88671875" bestFit="1" customWidth="1"/>
    <col min="5279" max="5279" width="8.6640625" bestFit="1" customWidth="1"/>
    <col min="5280" max="5280" width="12.6640625" bestFit="1" customWidth="1"/>
    <col min="5281" max="5281" width="8.6640625" bestFit="1" customWidth="1"/>
    <col min="5282" max="5283" width="13.88671875" bestFit="1" customWidth="1"/>
    <col min="5284" max="5284" width="9.77734375" bestFit="1" customWidth="1"/>
    <col min="5285" max="5285" width="13.88671875" bestFit="1" customWidth="1"/>
    <col min="5286" max="5286" width="8.6640625" bestFit="1" customWidth="1"/>
    <col min="5287" max="5288" width="13.88671875" bestFit="1" customWidth="1"/>
    <col min="5289" max="5289" width="8.6640625" bestFit="1" customWidth="1"/>
    <col min="5290" max="5290" width="12.6640625" bestFit="1" customWidth="1"/>
    <col min="5291" max="5291" width="8.6640625" bestFit="1" customWidth="1"/>
    <col min="5292" max="5293" width="13.88671875" bestFit="1" customWidth="1"/>
    <col min="5294" max="5294" width="8.6640625" bestFit="1" customWidth="1"/>
    <col min="5295" max="5295" width="12.6640625" bestFit="1" customWidth="1"/>
    <col min="5296" max="5296" width="13.88671875" bestFit="1" customWidth="1"/>
    <col min="5297" max="5297" width="8.6640625" bestFit="1" customWidth="1"/>
    <col min="5298" max="5298" width="13.88671875" bestFit="1" customWidth="1"/>
    <col min="5299" max="5299" width="8.6640625" bestFit="1" customWidth="1"/>
    <col min="5300" max="5301" width="13.88671875" bestFit="1" customWidth="1"/>
    <col min="5302" max="5302" width="8.6640625" bestFit="1" customWidth="1"/>
    <col min="5303" max="5303" width="12.6640625" bestFit="1" customWidth="1"/>
    <col min="5304" max="5304" width="8.6640625" bestFit="1" customWidth="1"/>
    <col min="5305" max="5305" width="12.6640625" bestFit="1" customWidth="1"/>
    <col min="5306" max="5306" width="13.88671875" bestFit="1" customWidth="1"/>
    <col min="5307" max="5307" width="8.6640625" bestFit="1" customWidth="1"/>
    <col min="5308" max="5308" width="12.6640625" bestFit="1" customWidth="1"/>
    <col min="5309" max="5309" width="8.6640625" bestFit="1" customWidth="1"/>
    <col min="5310" max="5311" width="13.88671875" bestFit="1" customWidth="1"/>
    <col min="5312" max="5312" width="9.77734375" bestFit="1" customWidth="1"/>
    <col min="5313" max="5313" width="15.109375" bestFit="1" customWidth="1"/>
    <col min="5314" max="5314" width="13.88671875" bestFit="1" customWidth="1"/>
    <col min="5315" max="5315" width="9.77734375" bestFit="1" customWidth="1"/>
    <col min="5316" max="5316" width="15.109375" bestFit="1" customWidth="1"/>
    <col min="5317" max="5317" width="13.88671875" bestFit="1" customWidth="1"/>
    <col min="5318" max="5318" width="8.6640625" bestFit="1" customWidth="1"/>
    <col min="5319" max="5319" width="12.6640625" bestFit="1" customWidth="1"/>
    <col min="5320" max="5320" width="8.6640625" bestFit="1" customWidth="1"/>
    <col min="5321" max="5322" width="13.88671875" bestFit="1" customWidth="1"/>
    <col min="5323" max="5323" width="8.6640625" bestFit="1" customWidth="1"/>
    <col min="5324" max="5324" width="12.6640625" bestFit="1" customWidth="1"/>
    <col min="5325" max="5325" width="13.88671875" bestFit="1" customWidth="1"/>
    <col min="5326" max="5326" width="9.77734375" bestFit="1" customWidth="1"/>
    <col min="5327" max="5327" width="15.109375" bestFit="1" customWidth="1"/>
    <col min="5328" max="5328" width="9.77734375" bestFit="1" customWidth="1"/>
    <col min="5329" max="5329" width="15.109375" bestFit="1" customWidth="1"/>
    <col min="5330" max="5330" width="13.88671875" bestFit="1" customWidth="1"/>
    <col min="5331" max="5331" width="9.77734375" bestFit="1" customWidth="1"/>
    <col min="5332" max="5333" width="13.88671875" bestFit="1" customWidth="1"/>
    <col min="5334" max="5334" width="9.77734375" bestFit="1" customWidth="1"/>
    <col min="5335" max="5335" width="15.109375" bestFit="1" customWidth="1"/>
    <col min="5336" max="5336" width="13.88671875" bestFit="1" customWidth="1"/>
    <col min="5337" max="5337" width="8.6640625" bestFit="1" customWidth="1"/>
    <col min="5338" max="5339" width="13.88671875" bestFit="1" customWidth="1"/>
    <col min="5340" max="5340" width="9.77734375" bestFit="1" customWidth="1"/>
    <col min="5341" max="5342" width="13.88671875" bestFit="1" customWidth="1"/>
    <col min="5343" max="5343" width="9.77734375" bestFit="1" customWidth="1"/>
    <col min="5344" max="5344" width="15.109375" bestFit="1" customWidth="1"/>
    <col min="5345" max="5345" width="13.88671875" bestFit="1" customWidth="1"/>
    <col min="5346" max="5346" width="8.6640625" bestFit="1" customWidth="1"/>
    <col min="5347" max="5347" width="12.6640625" bestFit="1" customWidth="1"/>
    <col min="5348" max="5348" width="8.6640625" bestFit="1" customWidth="1"/>
    <col min="5349" max="5350" width="13.88671875" bestFit="1" customWidth="1"/>
    <col min="5351" max="5351" width="8.6640625" bestFit="1" customWidth="1"/>
    <col min="5352" max="5352" width="12.6640625" bestFit="1" customWidth="1"/>
    <col min="5353" max="5353" width="8.6640625" bestFit="1" customWidth="1"/>
    <col min="5354" max="5354" width="13.88671875" bestFit="1" customWidth="1"/>
    <col min="5355" max="5355" width="9.77734375" bestFit="1" customWidth="1"/>
    <col min="5356" max="5356" width="15.109375" bestFit="1" customWidth="1"/>
    <col min="5357" max="5357" width="13.88671875" bestFit="1" customWidth="1"/>
    <col min="5358" max="5358" width="9.77734375" bestFit="1" customWidth="1"/>
    <col min="5359" max="5360" width="13.88671875" bestFit="1" customWidth="1"/>
    <col min="5361" max="5361" width="8.6640625" bestFit="1" customWidth="1"/>
    <col min="5362" max="5362" width="12.6640625" bestFit="1" customWidth="1"/>
    <col min="5363" max="5363" width="8.6640625" bestFit="1" customWidth="1"/>
    <col min="5364" max="5365" width="13.88671875" bestFit="1" customWidth="1"/>
    <col min="5366" max="5367" width="8.6640625" bestFit="1" customWidth="1"/>
    <col min="5368" max="5369" width="13.88671875" bestFit="1" customWidth="1"/>
    <col min="5370" max="5370" width="9.77734375" bestFit="1" customWidth="1"/>
    <col min="5371" max="5372" width="13.88671875" bestFit="1" customWidth="1"/>
    <col min="5373" max="5373" width="9.77734375" bestFit="1" customWidth="1"/>
    <col min="5374" max="5374" width="15.109375" bestFit="1" customWidth="1"/>
    <col min="5375" max="5375" width="13.88671875" bestFit="1" customWidth="1"/>
    <col min="5376" max="5376" width="8.6640625" bestFit="1" customWidth="1"/>
    <col min="5377" max="5377" width="12.6640625" bestFit="1" customWidth="1"/>
    <col min="5378" max="5378" width="13.88671875" bestFit="1" customWidth="1"/>
    <col min="5379" max="5379" width="8.6640625" bestFit="1" customWidth="1"/>
    <col min="5380" max="5380" width="13.88671875" bestFit="1" customWidth="1"/>
    <col min="5381" max="5381" width="8.6640625" bestFit="1" customWidth="1"/>
    <col min="5382" max="5382" width="13.88671875" bestFit="1" customWidth="1"/>
    <col min="5383" max="5383" width="8.6640625" bestFit="1" customWidth="1"/>
    <col min="5384" max="5385" width="13.88671875" bestFit="1" customWidth="1"/>
    <col min="5386" max="5386" width="9.77734375" bestFit="1" customWidth="1"/>
    <col min="5387" max="5387" width="15.109375" bestFit="1" customWidth="1"/>
    <col min="5388" max="5388" width="13.88671875" bestFit="1" customWidth="1"/>
    <col min="5389" max="5389" width="8.6640625" bestFit="1" customWidth="1"/>
    <col min="5390" max="5390" width="13.88671875" bestFit="1" customWidth="1"/>
    <col min="5391" max="5391" width="8.6640625" bestFit="1" customWidth="1"/>
    <col min="5392" max="5393" width="13.88671875" bestFit="1" customWidth="1"/>
    <col min="5394" max="5394" width="9.77734375" bestFit="1" customWidth="1"/>
    <col min="5395" max="5396" width="13.88671875" bestFit="1" customWidth="1"/>
    <col min="5397" max="5397" width="8.6640625" bestFit="1" customWidth="1"/>
    <col min="5398" max="5399" width="13.88671875" bestFit="1" customWidth="1"/>
    <col min="5400" max="5400" width="8.6640625" bestFit="1" customWidth="1"/>
    <col min="5401" max="5402" width="13.88671875" bestFit="1" customWidth="1"/>
    <col min="5403" max="5403" width="9.77734375" bestFit="1" customWidth="1"/>
    <col min="5404" max="5404" width="13.88671875" bestFit="1" customWidth="1"/>
    <col min="5405" max="5405" width="8.6640625" bestFit="1" customWidth="1"/>
    <col min="5406" max="5407" width="13.88671875" bestFit="1" customWidth="1"/>
    <col min="5408" max="5408" width="8.6640625" bestFit="1" customWidth="1"/>
    <col min="5409" max="5409" width="12.6640625" bestFit="1" customWidth="1"/>
    <col min="5410" max="5410" width="13.88671875" bestFit="1" customWidth="1"/>
    <col min="5411" max="5411" width="8.6640625" bestFit="1" customWidth="1"/>
    <col min="5412" max="5412" width="12.6640625" bestFit="1" customWidth="1"/>
    <col min="5413" max="5413" width="13.88671875" bestFit="1" customWidth="1"/>
    <col min="5414" max="5414" width="8.6640625" bestFit="1" customWidth="1"/>
    <col min="5415" max="5415" width="13.88671875" bestFit="1" customWidth="1"/>
    <col min="5416" max="5416" width="8.6640625" bestFit="1" customWidth="1"/>
    <col min="5417" max="5417" width="13.88671875" bestFit="1" customWidth="1"/>
    <col min="5418" max="5418" width="9.77734375" bestFit="1" customWidth="1"/>
    <col min="5419" max="5420" width="13.88671875" bestFit="1" customWidth="1"/>
    <col min="5421" max="5421" width="9.77734375" bestFit="1" customWidth="1"/>
    <col min="5422" max="5423" width="13.88671875" bestFit="1" customWidth="1"/>
    <col min="5424" max="5424" width="8.6640625" bestFit="1" customWidth="1"/>
    <col min="5425" max="5426" width="13.88671875" bestFit="1" customWidth="1"/>
    <col min="5427" max="5427" width="8.6640625" bestFit="1" customWidth="1"/>
    <col min="5428" max="5428" width="12.6640625" bestFit="1" customWidth="1"/>
    <col min="5429" max="5429" width="13.88671875" bestFit="1" customWidth="1"/>
    <col min="5430" max="5430" width="9.77734375" bestFit="1" customWidth="1"/>
    <col min="5431" max="5431" width="13.88671875" bestFit="1" customWidth="1"/>
    <col min="5432" max="5432" width="9.77734375" bestFit="1" customWidth="1"/>
    <col min="5433" max="5433" width="15.109375" bestFit="1" customWidth="1"/>
    <col min="5434" max="5434" width="13.88671875" bestFit="1" customWidth="1"/>
    <col min="5435" max="5435" width="9.77734375" bestFit="1" customWidth="1"/>
    <col min="5436" max="5436" width="15.109375" bestFit="1" customWidth="1"/>
    <col min="5437" max="5437" width="13.88671875" bestFit="1" customWidth="1"/>
    <col min="5438" max="5438" width="9.77734375" bestFit="1" customWidth="1"/>
    <col min="5439" max="5440" width="13.88671875" bestFit="1" customWidth="1"/>
    <col min="5441" max="5441" width="8.6640625" bestFit="1" customWidth="1"/>
    <col min="5442" max="5442" width="12.6640625" bestFit="1" customWidth="1"/>
    <col min="5443" max="5443" width="13.88671875" bestFit="1" customWidth="1"/>
    <col min="5444" max="5444" width="8.6640625" bestFit="1" customWidth="1"/>
    <col min="5445" max="5445" width="13.88671875" bestFit="1" customWidth="1"/>
    <col min="5446" max="5446" width="9.77734375" bestFit="1" customWidth="1"/>
    <col min="5447" max="5447" width="15.109375" bestFit="1" customWidth="1"/>
    <col min="5448" max="5448" width="9.77734375" bestFit="1" customWidth="1"/>
    <col min="5449" max="5449" width="15.109375" bestFit="1" customWidth="1"/>
    <col min="5450" max="5450" width="9.77734375" bestFit="1" customWidth="1"/>
    <col min="5451" max="5451" width="15.109375" bestFit="1" customWidth="1"/>
    <col min="5452" max="5452" width="13.88671875" bestFit="1" customWidth="1"/>
    <col min="5453" max="5453" width="8.6640625" bestFit="1" customWidth="1"/>
    <col min="5454" max="5454" width="12.6640625" bestFit="1" customWidth="1"/>
    <col min="5455" max="5455" width="10.88671875" bestFit="1" customWidth="1"/>
    <col min="5456" max="5456" width="13.88671875" bestFit="1" customWidth="1"/>
    <col min="5457" max="5457" width="8.6640625" bestFit="1" customWidth="1"/>
    <col min="5458" max="5459" width="13.88671875" bestFit="1" customWidth="1"/>
    <col min="5460" max="5460" width="8.6640625" bestFit="1" customWidth="1"/>
    <col min="5461" max="5461" width="12.6640625" bestFit="1" customWidth="1"/>
    <col min="5462" max="5462" width="13.88671875" bestFit="1" customWidth="1"/>
    <col min="5463" max="5463" width="8.6640625" bestFit="1" customWidth="1"/>
    <col min="5464" max="5464" width="12.6640625" bestFit="1" customWidth="1"/>
    <col min="5465" max="5465" width="13.88671875" bestFit="1" customWidth="1"/>
    <col min="5466" max="5466" width="9.77734375" bestFit="1" customWidth="1"/>
    <col min="5467" max="5467" width="15.109375" bestFit="1" customWidth="1"/>
    <col min="5468" max="5468" width="13.88671875" bestFit="1" customWidth="1"/>
    <col min="5469" max="5469" width="8.6640625" bestFit="1" customWidth="1"/>
    <col min="5470" max="5471" width="13.88671875" bestFit="1" customWidth="1"/>
    <col min="5472" max="5472" width="8.6640625" bestFit="1" customWidth="1"/>
    <col min="5473" max="5474" width="13.88671875" bestFit="1" customWidth="1"/>
    <col min="5475" max="5475" width="9.77734375" bestFit="1" customWidth="1"/>
    <col min="5476" max="5477" width="13.88671875" bestFit="1" customWidth="1"/>
    <col min="5478" max="5478" width="8.6640625" bestFit="1" customWidth="1"/>
    <col min="5479" max="5480" width="13.88671875" bestFit="1" customWidth="1"/>
    <col min="5481" max="5481" width="8.6640625" bestFit="1" customWidth="1"/>
    <col min="5482" max="5482" width="12.6640625" bestFit="1" customWidth="1"/>
    <col min="5483" max="5483" width="13.88671875" bestFit="1" customWidth="1"/>
    <col min="5484" max="5484" width="8.6640625" bestFit="1" customWidth="1"/>
    <col min="5485" max="5486" width="13.88671875" bestFit="1" customWidth="1"/>
    <col min="5487" max="5487" width="9.77734375" bestFit="1" customWidth="1"/>
    <col min="5488" max="5489" width="13.88671875" bestFit="1" customWidth="1"/>
    <col min="5490" max="5490" width="8.6640625" bestFit="1" customWidth="1"/>
    <col min="5491" max="5492" width="13.88671875" bestFit="1" customWidth="1"/>
    <col min="5493" max="5493" width="9.77734375" bestFit="1" customWidth="1"/>
    <col min="5494" max="5495" width="13.88671875" bestFit="1" customWidth="1"/>
    <col min="5496" max="5496" width="8.6640625" bestFit="1" customWidth="1"/>
    <col min="5497" max="5497" width="12.6640625" bestFit="1" customWidth="1"/>
    <col min="5498" max="5498" width="13.88671875" bestFit="1" customWidth="1"/>
    <col min="5499" max="5499" width="8.6640625" bestFit="1" customWidth="1"/>
    <col min="5500" max="5500" width="12.6640625" bestFit="1" customWidth="1"/>
    <col min="5501" max="5501" width="8.6640625" bestFit="1" customWidth="1"/>
    <col min="5502" max="5502" width="13.88671875" bestFit="1" customWidth="1"/>
    <col min="5503" max="5503" width="9.77734375" bestFit="1" customWidth="1"/>
    <col min="5504" max="5505" width="13.88671875" bestFit="1" customWidth="1"/>
    <col min="5506" max="5506" width="8.6640625" bestFit="1" customWidth="1"/>
    <col min="5507" max="5507" width="12.6640625" bestFit="1" customWidth="1"/>
    <col min="5508" max="5508" width="8.6640625" bestFit="1" customWidth="1"/>
    <col min="5509" max="5509" width="13.88671875" bestFit="1" customWidth="1"/>
    <col min="5510" max="5510" width="9.77734375" bestFit="1" customWidth="1"/>
    <col min="5511" max="5511" width="13.88671875" bestFit="1" customWidth="1"/>
    <col min="5512" max="5512" width="9.77734375" bestFit="1" customWidth="1"/>
    <col min="5513" max="5513" width="15.109375" bestFit="1" customWidth="1"/>
    <col min="5514" max="5514" width="13.88671875" bestFit="1" customWidth="1"/>
    <col min="5515" max="5515" width="8.6640625" bestFit="1" customWidth="1"/>
    <col min="5516" max="5517" width="13.88671875" bestFit="1" customWidth="1"/>
    <col min="5518" max="5518" width="9.77734375" bestFit="1" customWidth="1"/>
    <col min="5519" max="5520" width="13.88671875" bestFit="1" customWidth="1"/>
    <col min="5521" max="5521" width="8.6640625" bestFit="1" customWidth="1"/>
    <col min="5522" max="5522" width="12.6640625" bestFit="1" customWidth="1"/>
    <col min="5523" max="5523" width="13.88671875" bestFit="1" customWidth="1"/>
    <col min="5524" max="5524" width="8.6640625" bestFit="1" customWidth="1"/>
    <col min="5525" max="5526" width="13.88671875" bestFit="1" customWidth="1"/>
    <col min="5527" max="5527" width="9.77734375" bestFit="1" customWidth="1"/>
    <col min="5528" max="5528" width="15.109375" bestFit="1" customWidth="1"/>
    <col min="5529" max="5529" width="13.88671875" bestFit="1" customWidth="1"/>
    <col min="5530" max="5530" width="9.77734375" bestFit="1" customWidth="1"/>
    <col min="5531" max="5532" width="13.88671875" bestFit="1" customWidth="1"/>
    <col min="5533" max="5534" width="8.6640625" bestFit="1" customWidth="1"/>
    <col min="5535" max="5536" width="13.88671875" bestFit="1" customWidth="1"/>
    <col min="5537" max="5537" width="8.6640625" bestFit="1" customWidth="1"/>
    <col min="5538" max="5538" width="13.88671875" bestFit="1" customWidth="1"/>
    <col min="5539" max="5539" width="8.6640625" bestFit="1" customWidth="1"/>
    <col min="5540" max="5541" width="13.88671875" bestFit="1" customWidth="1"/>
    <col min="5542" max="5542" width="8.6640625" bestFit="1" customWidth="1"/>
    <col min="5543" max="5543" width="13.88671875" bestFit="1" customWidth="1"/>
    <col min="5544" max="5544" width="9.77734375" bestFit="1" customWidth="1"/>
    <col min="5545" max="5545" width="15.109375" bestFit="1" customWidth="1"/>
    <col min="5546" max="5546" width="13.88671875" bestFit="1" customWidth="1"/>
    <col min="5547" max="5547" width="9.77734375" bestFit="1" customWidth="1"/>
    <col min="5548" max="5548" width="15.109375" bestFit="1" customWidth="1"/>
    <col min="5549" max="5549" width="13.88671875" bestFit="1" customWidth="1"/>
    <col min="5550" max="5550" width="8.6640625" bestFit="1" customWidth="1"/>
    <col min="5551" max="5552" width="13.88671875" bestFit="1" customWidth="1"/>
    <col min="5553" max="5553" width="6" bestFit="1" customWidth="1"/>
  </cols>
  <sheetData>
    <row r="1" spans="1:26">
      <c r="A1" s="31" t="s">
        <v>88</v>
      </c>
      <c r="B1" t="s">
        <v>100</v>
      </c>
      <c r="E1" s="31" t="s">
        <v>88</v>
      </c>
      <c r="F1" t="s">
        <v>100</v>
      </c>
      <c r="J1" s="31" t="s">
        <v>88</v>
      </c>
      <c r="K1" t="s">
        <v>100</v>
      </c>
      <c r="M1" s="31" t="s">
        <v>88</v>
      </c>
      <c r="N1" t="s">
        <v>100</v>
      </c>
      <c r="P1" s="31" t="s">
        <v>88</v>
      </c>
      <c r="Q1" t="s">
        <v>100</v>
      </c>
      <c r="S1" s="31" t="s">
        <v>88</v>
      </c>
      <c r="T1" t="s">
        <v>100</v>
      </c>
      <c r="V1" s="31" t="s">
        <v>89</v>
      </c>
      <c r="W1" t="s">
        <v>93</v>
      </c>
      <c r="X1" t="s">
        <v>92</v>
      </c>
    </row>
    <row r="2" spans="1:26">
      <c r="V2" s="32" t="s">
        <v>174</v>
      </c>
      <c r="W2" s="33">
        <v>535.61000000000024</v>
      </c>
      <c r="X2" s="33">
        <v>3332.4700000000021</v>
      </c>
      <c r="Z2">
        <f>GETPIVOTDATA("計數 - 上班與否",$A$3)</f>
        <v>2062</v>
      </c>
    </row>
    <row r="3" spans="1:26">
      <c r="A3" s="31" t="s">
        <v>89</v>
      </c>
      <c r="B3" t="s">
        <v>181</v>
      </c>
      <c r="C3" t="s">
        <v>91</v>
      </c>
      <c r="E3" s="31" t="s">
        <v>89</v>
      </c>
      <c r="F3" t="s">
        <v>98</v>
      </c>
      <c r="G3" t="s">
        <v>97</v>
      </c>
      <c r="H3" t="s">
        <v>99</v>
      </c>
      <c r="J3" s="31" t="s">
        <v>89</v>
      </c>
      <c r="K3" t="s">
        <v>99</v>
      </c>
      <c r="M3" s="31" t="s">
        <v>89</v>
      </c>
      <c r="N3" t="s">
        <v>96</v>
      </c>
      <c r="P3" s="31" t="s">
        <v>89</v>
      </c>
      <c r="Q3" t="s">
        <v>91</v>
      </c>
      <c r="S3" s="31" t="s">
        <v>89</v>
      </c>
      <c r="T3" t="s">
        <v>97</v>
      </c>
      <c r="V3" s="32" t="s">
        <v>175</v>
      </c>
      <c r="W3" s="33">
        <v>276.1100000000003</v>
      </c>
      <c r="X3" s="33">
        <v>2179.8399999999997</v>
      </c>
      <c r="Z3" s="43">
        <f>GETPIVOTDATA("加總 - 售出工時",$A$3)</f>
        <v>8697.1066667029827</v>
      </c>
    </row>
    <row r="4" spans="1:26">
      <c r="A4" s="32" t="s">
        <v>7</v>
      </c>
      <c r="B4" s="33">
        <v>41</v>
      </c>
      <c r="C4" s="33">
        <v>95.766666666999996</v>
      </c>
      <c r="E4" s="32" t="s">
        <v>174</v>
      </c>
      <c r="F4" s="33">
        <v>0.83381428571428517</v>
      </c>
      <c r="G4" s="33">
        <v>1.0984433766233759</v>
      </c>
      <c r="H4" s="33">
        <v>1.6160564867906495</v>
      </c>
      <c r="J4" s="32" t="s">
        <v>7</v>
      </c>
      <c r="K4" s="33">
        <v>0.4751357034414635</v>
      </c>
      <c r="M4" s="32" t="s">
        <v>174</v>
      </c>
      <c r="N4" s="33">
        <v>114.7576103891532</v>
      </c>
      <c r="P4" s="32" t="s">
        <v>171</v>
      </c>
      <c r="Q4" s="33">
        <v>9.5500000000000007</v>
      </c>
      <c r="S4" s="32" t="s">
        <v>80</v>
      </c>
      <c r="T4" s="33">
        <v>0.58630457912457934</v>
      </c>
      <c r="V4" s="32" t="s">
        <v>176</v>
      </c>
      <c r="W4" s="33">
        <v>549.73999999999967</v>
      </c>
      <c r="X4" s="33">
        <v>2806.6999999999994</v>
      </c>
      <c r="Z4" s="43">
        <f>GETPIVOTDATA("加總 - 上班時間",$V$1)</f>
        <v>17793.669999999998</v>
      </c>
    </row>
    <row r="5" spans="1:26">
      <c r="A5" s="32" t="s">
        <v>5</v>
      </c>
      <c r="B5" s="33">
        <v>42</v>
      </c>
      <c r="C5" s="33">
        <v>87.026666666999986</v>
      </c>
      <c r="E5" s="32" t="s">
        <v>175</v>
      </c>
      <c r="F5" s="33">
        <v>0.86951700404858256</v>
      </c>
      <c r="G5" s="33">
        <v>0.81201902834008055</v>
      </c>
      <c r="H5" s="33">
        <v>1.4104174847076913</v>
      </c>
      <c r="J5" s="32" t="s">
        <v>5</v>
      </c>
      <c r="K5" s="33">
        <v>0.37955866945714284</v>
      </c>
      <c r="M5" s="32" t="s">
        <v>175</v>
      </c>
      <c r="N5" s="33">
        <v>85.228340082558674</v>
      </c>
      <c r="P5" s="32" t="s">
        <v>101</v>
      </c>
      <c r="Q5" s="33">
        <v>131.55999999999997</v>
      </c>
      <c r="S5" s="32" t="s">
        <v>81</v>
      </c>
      <c r="T5" s="33">
        <v>0.40146150234741784</v>
      </c>
      <c r="V5" s="32" t="s">
        <v>177</v>
      </c>
      <c r="W5" s="33">
        <v>1466.690000000001</v>
      </c>
      <c r="X5" s="33">
        <v>4561.04</v>
      </c>
      <c r="Z5">
        <f>GETPIVOTDATA("加總 - 怠工時間",$V$1)</f>
        <v>3945.9600000000009</v>
      </c>
    </row>
    <row r="6" spans="1:26">
      <c r="A6" s="32" t="s">
        <v>9</v>
      </c>
      <c r="B6" s="33">
        <v>44</v>
      </c>
      <c r="C6" s="33">
        <v>83.766666665999978</v>
      </c>
      <c r="E6" s="32" t="s">
        <v>176</v>
      </c>
      <c r="F6" s="33">
        <v>0.79736172839506125</v>
      </c>
      <c r="G6" s="33">
        <v>0.32327345679012309</v>
      </c>
      <c r="H6" s="33">
        <v>1.3706125314219131</v>
      </c>
      <c r="J6" s="32" t="s">
        <v>9</v>
      </c>
      <c r="K6" s="33">
        <v>0.42300004090000004</v>
      </c>
      <c r="M6" s="32" t="s">
        <v>176</v>
      </c>
      <c r="N6" s="33">
        <v>33.36543209866668</v>
      </c>
      <c r="P6" s="32" t="s">
        <v>150</v>
      </c>
      <c r="Q6" s="33">
        <v>164.13</v>
      </c>
      <c r="S6" s="32" t="s">
        <v>82</v>
      </c>
      <c r="T6" s="33">
        <v>0.14093928571428563</v>
      </c>
      <c r="V6" s="32" t="s">
        <v>178</v>
      </c>
      <c r="W6" s="33">
        <v>0</v>
      </c>
      <c r="X6" s="33">
        <v>0</v>
      </c>
    </row>
    <row r="7" spans="1:26">
      <c r="A7" s="32" t="s">
        <v>1</v>
      </c>
      <c r="B7" s="33">
        <v>40</v>
      </c>
      <c r="C7" s="33">
        <v>37.186666666999997</v>
      </c>
      <c r="E7" s="32" t="s">
        <v>177</v>
      </c>
      <c r="F7" s="33">
        <v>0.67732098298676768</v>
      </c>
      <c r="G7" s="33">
        <v>0.26928601134215513</v>
      </c>
      <c r="H7" s="33">
        <v>1.1521077469476557</v>
      </c>
      <c r="J7" s="32" t="s">
        <v>1</v>
      </c>
      <c r="K7" s="33">
        <v>0.14553193934999997</v>
      </c>
      <c r="M7" s="32" t="s">
        <v>177</v>
      </c>
      <c r="N7" s="33">
        <v>27.257240075886582</v>
      </c>
      <c r="P7" s="32" t="s">
        <v>142</v>
      </c>
      <c r="Q7" s="33">
        <v>144.31000000000003</v>
      </c>
      <c r="S7" s="32" t="s">
        <v>90</v>
      </c>
      <c r="T7" s="33">
        <v>0.48859141610087325</v>
      </c>
      <c r="V7" s="32" t="s">
        <v>179</v>
      </c>
      <c r="W7" s="33">
        <v>613.32000000000028</v>
      </c>
      <c r="X7" s="33">
        <v>1736.6099999999983</v>
      </c>
    </row>
    <row r="8" spans="1:26">
      <c r="A8" s="32" t="s">
        <v>4</v>
      </c>
      <c r="B8" s="33">
        <v>40</v>
      </c>
      <c r="C8" s="33">
        <v>28.260000000000005</v>
      </c>
      <c r="E8" s="32" t="s">
        <v>179</v>
      </c>
      <c r="F8" s="33">
        <v>0.63767230046948331</v>
      </c>
      <c r="G8" s="33">
        <v>0.40146150234741784</v>
      </c>
      <c r="H8" s="33">
        <v>1.0986014100957746</v>
      </c>
      <c r="J8" s="32" t="s">
        <v>4</v>
      </c>
      <c r="K8" s="33">
        <v>0.15915414735924999</v>
      </c>
      <c r="M8" s="32" t="s">
        <v>179</v>
      </c>
      <c r="N8" s="33">
        <v>39.869483568619707</v>
      </c>
      <c r="P8" s="32" t="s">
        <v>102</v>
      </c>
      <c r="Q8" s="33">
        <v>132.43</v>
      </c>
      <c r="V8" s="32" t="s">
        <v>173</v>
      </c>
      <c r="W8" s="33">
        <v>504.48999999999978</v>
      </c>
      <c r="X8" s="33">
        <v>3177.01</v>
      </c>
    </row>
    <row r="9" spans="1:26">
      <c r="A9" s="32" t="s">
        <v>3</v>
      </c>
      <c r="B9" s="33">
        <v>39</v>
      </c>
      <c r="C9" s="33">
        <v>26.940000000000005</v>
      </c>
      <c r="E9" s="32" t="s">
        <v>173</v>
      </c>
      <c r="F9" s="33">
        <v>0.83045439560439638</v>
      </c>
      <c r="G9" s="33">
        <v>0.14093928571428563</v>
      </c>
      <c r="H9" s="33">
        <v>0.27893305604648327</v>
      </c>
      <c r="J9" s="32" t="s">
        <v>3</v>
      </c>
      <c r="K9" s="33">
        <v>0.44438420322307681</v>
      </c>
      <c r="M9" s="32" t="s">
        <v>173</v>
      </c>
      <c r="N9" s="33">
        <v>14.864065934043962</v>
      </c>
      <c r="P9" s="32" t="s">
        <v>143</v>
      </c>
      <c r="Q9" s="33">
        <v>66.569999999999993</v>
      </c>
      <c r="V9" s="32" t="s">
        <v>90</v>
      </c>
      <c r="W9" s="33">
        <v>3945.9600000000009</v>
      </c>
      <c r="X9" s="33">
        <v>17793.669999999998</v>
      </c>
    </row>
    <row r="10" spans="1:26">
      <c r="A10" s="32" t="s">
        <v>2</v>
      </c>
      <c r="B10" s="33">
        <v>38</v>
      </c>
      <c r="C10" s="33">
        <v>30.233333333000008</v>
      </c>
      <c r="E10" s="32" t="s">
        <v>90</v>
      </c>
      <c r="F10" s="33">
        <v>0.77136120271580766</v>
      </c>
      <c r="G10" s="33">
        <v>0.48859141610087259</v>
      </c>
      <c r="H10" s="33">
        <v>1.1443414438431287</v>
      </c>
      <c r="J10" s="32" t="s">
        <v>2</v>
      </c>
      <c r="K10" s="33">
        <v>0.17856505961052629</v>
      </c>
      <c r="M10" s="32" t="s">
        <v>90</v>
      </c>
      <c r="N10" s="33">
        <v>50.613617846962313</v>
      </c>
      <c r="P10" s="32" t="s">
        <v>103</v>
      </c>
      <c r="Q10" s="33">
        <v>140.60999999999999</v>
      </c>
    </row>
    <row r="11" spans="1:26">
      <c r="A11" s="32" t="s">
        <v>8</v>
      </c>
      <c r="B11" s="33">
        <v>41</v>
      </c>
      <c r="C11" s="33">
        <v>35.636666666000004</v>
      </c>
      <c r="J11" s="32" t="s">
        <v>8</v>
      </c>
      <c r="K11" s="33">
        <v>0.16869031382317071</v>
      </c>
      <c r="P11" s="32" t="s">
        <v>104</v>
      </c>
      <c r="Q11" s="33">
        <v>112.76999999999998</v>
      </c>
    </row>
    <row r="12" spans="1:26">
      <c r="A12" s="32" t="s">
        <v>6</v>
      </c>
      <c r="B12" s="33">
        <v>39</v>
      </c>
      <c r="C12" s="33">
        <v>26.060000000000006</v>
      </c>
      <c r="J12" s="32" t="s">
        <v>6</v>
      </c>
      <c r="K12" s="33">
        <v>0.10967692607692306</v>
      </c>
      <c r="P12" s="32" t="s">
        <v>168</v>
      </c>
      <c r="Q12" s="33">
        <v>113.82000000000001</v>
      </c>
    </row>
    <row r="13" spans="1:26">
      <c r="A13" s="32" t="s">
        <v>12</v>
      </c>
      <c r="B13" s="33">
        <v>45</v>
      </c>
      <c r="C13" s="33">
        <v>185.63333333900007</v>
      </c>
      <c r="J13" s="32" t="s">
        <v>12</v>
      </c>
      <c r="K13" s="33">
        <v>1.5907659444444444</v>
      </c>
      <c r="P13" s="32" t="s">
        <v>144</v>
      </c>
      <c r="Q13" s="33">
        <v>133.66</v>
      </c>
    </row>
    <row r="14" spans="1:26">
      <c r="A14" s="32" t="s">
        <v>13</v>
      </c>
      <c r="B14" s="33">
        <v>37</v>
      </c>
      <c r="C14" s="33">
        <v>145.49999999999997</v>
      </c>
      <c r="J14" s="32" t="s">
        <v>13</v>
      </c>
      <c r="K14" s="33">
        <v>1.3038032633567567</v>
      </c>
      <c r="P14" s="32" t="s">
        <v>105</v>
      </c>
      <c r="Q14" s="33">
        <v>93.11999999999999</v>
      </c>
    </row>
    <row r="15" spans="1:26">
      <c r="A15" s="32" t="s">
        <v>11</v>
      </c>
      <c r="B15" s="33">
        <v>42</v>
      </c>
      <c r="C15" s="33">
        <v>125.00666666399999</v>
      </c>
      <c r="J15" s="32" t="s">
        <v>11</v>
      </c>
      <c r="K15" s="33">
        <v>1.0173779740714284</v>
      </c>
      <c r="P15" s="32" t="s">
        <v>106</v>
      </c>
      <c r="Q15" s="33">
        <v>24.75</v>
      </c>
    </row>
    <row r="16" spans="1:26">
      <c r="A16" s="32" t="s">
        <v>15</v>
      </c>
      <c r="B16" s="33">
        <v>40</v>
      </c>
      <c r="C16" s="33">
        <v>88.416666669999998</v>
      </c>
      <c r="J16" s="32" t="s">
        <v>15</v>
      </c>
      <c r="K16" s="33">
        <v>0.72392307893749996</v>
      </c>
      <c r="P16" s="32" t="s">
        <v>107</v>
      </c>
      <c r="Q16" s="33">
        <v>110.74999999999999</v>
      </c>
    </row>
    <row r="17" spans="1:17">
      <c r="A17" s="32" t="s">
        <v>14</v>
      </c>
      <c r="B17" s="33">
        <v>49</v>
      </c>
      <c r="C17" s="33">
        <v>163.12666666999999</v>
      </c>
      <c r="J17" s="32" t="s">
        <v>14</v>
      </c>
      <c r="K17" s="33">
        <v>0.86714518444285726</v>
      </c>
      <c r="P17" s="32" t="s">
        <v>108</v>
      </c>
      <c r="Q17" s="33">
        <v>117.33999999999997</v>
      </c>
    </row>
    <row r="18" spans="1:17">
      <c r="A18" s="32" t="s">
        <v>20</v>
      </c>
      <c r="B18" s="33">
        <v>55</v>
      </c>
      <c r="C18" s="33">
        <v>47.596666664999994</v>
      </c>
      <c r="J18" s="32" t="s">
        <v>20</v>
      </c>
      <c r="K18" s="33">
        <v>0.39183828724545461</v>
      </c>
      <c r="P18" s="32" t="s">
        <v>109</v>
      </c>
      <c r="Q18" s="33">
        <v>151.78</v>
      </c>
    </row>
    <row r="19" spans="1:17">
      <c r="A19" s="32" t="s">
        <v>21</v>
      </c>
      <c r="B19" s="33">
        <v>47</v>
      </c>
      <c r="C19" s="33">
        <v>164.47000000099999</v>
      </c>
      <c r="J19" s="32" t="s">
        <v>21</v>
      </c>
      <c r="K19" s="33">
        <v>1.2352743624797875</v>
      </c>
      <c r="P19" s="32" t="s">
        <v>110</v>
      </c>
      <c r="Q19" s="33">
        <v>125.29999999999997</v>
      </c>
    </row>
    <row r="20" spans="1:17">
      <c r="A20" s="32" t="s">
        <v>26</v>
      </c>
      <c r="B20" s="33">
        <v>56</v>
      </c>
      <c r="C20" s="33">
        <v>67.79333333400001</v>
      </c>
      <c r="J20" s="32" t="s">
        <v>26</v>
      </c>
      <c r="K20" s="33">
        <v>2.519238895408928</v>
      </c>
      <c r="P20" s="32" t="s">
        <v>111</v>
      </c>
      <c r="Q20" s="33">
        <v>110.42999999999998</v>
      </c>
    </row>
    <row r="21" spans="1:17">
      <c r="A21" s="32" t="s">
        <v>30</v>
      </c>
      <c r="B21" s="33">
        <v>38</v>
      </c>
      <c r="C21" s="33">
        <v>318.11333331999992</v>
      </c>
      <c r="J21" s="32" t="s">
        <v>30</v>
      </c>
      <c r="K21" s="33">
        <v>1.5515215789736845</v>
      </c>
      <c r="P21" s="32" t="s">
        <v>112</v>
      </c>
      <c r="Q21" s="33">
        <v>113.94999999999999</v>
      </c>
    </row>
    <row r="22" spans="1:17">
      <c r="A22" s="32" t="s">
        <v>46</v>
      </c>
      <c r="B22" s="33">
        <v>44</v>
      </c>
      <c r="C22" s="33">
        <v>130.76999999999998</v>
      </c>
      <c r="J22" s="32" t="s">
        <v>46</v>
      </c>
      <c r="K22" s="33">
        <v>0.91331898352727281</v>
      </c>
      <c r="P22" s="32" t="s">
        <v>113</v>
      </c>
      <c r="Q22" s="33">
        <v>146.92000000000004</v>
      </c>
    </row>
    <row r="23" spans="1:17">
      <c r="A23" s="32" t="s">
        <v>17</v>
      </c>
      <c r="B23" s="33">
        <v>46</v>
      </c>
      <c r="C23" s="33">
        <v>469.90000000199996</v>
      </c>
      <c r="J23" s="32" t="s">
        <v>17</v>
      </c>
      <c r="K23" s="33">
        <v>1.7058415794630437</v>
      </c>
      <c r="P23" s="32" t="s">
        <v>145</v>
      </c>
      <c r="Q23" s="33">
        <v>146.350000005</v>
      </c>
    </row>
    <row r="24" spans="1:17">
      <c r="A24" s="32" t="s">
        <v>18</v>
      </c>
      <c r="B24" s="33">
        <v>40</v>
      </c>
      <c r="C24" s="33">
        <v>75.443333332999998</v>
      </c>
      <c r="J24" s="32" t="s">
        <v>18</v>
      </c>
      <c r="K24" s="33">
        <v>0.54578006126</v>
      </c>
      <c r="P24" s="32" t="s">
        <v>146</v>
      </c>
      <c r="Q24" s="33">
        <v>114.92666666999999</v>
      </c>
    </row>
    <row r="25" spans="1:17">
      <c r="A25" s="32" t="s">
        <v>23</v>
      </c>
      <c r="B25" s="33">
        <v>41</v>
      </c>
      <c r="C25" s="33">
        <v>320.31666667800005</v>
      </c>
      <c r="J25" s="32" t="s">
        <v>23</v>
      </c>
      <c r="K25" s="33">
        <v>1.6144306133878048</v>
      </c>
      <c r="P25" s="32" t="s">
        <v>151</v>
      </c>
      <c r="Q25" s="33">
        <v>127.45333333400001</v>
      </c>
    </row>
    <row r="26" spans="1:17">
      <c r="A26" s="32" t="s">
        <v>37</v>
      </c>
      <c r="B26" s="33">
        <v>47</v>
      </c>
      <c r="C26" s="33">
        <v>161.34666666700002</v>
      </c>
      <c r="J26" s="32" t="s">
        <v>37</v>
      </c>
      <c r="K26" s="33">
        <v>0.87004619258297888</v>
      </c>
      <c r="P26" s="32" t="s">
        <v>114</v>
      </c>
      <c r="Q26" s="33">
        <v>82.139999997000004</v>
      </c>
    </row>
    <row r="27" spans="1:17">
      <c r="A27" s="32" t="s">
        <v>43</v>
      </c>
      <c r="B27" s="33">
        <v>47</v>
      </c>
      <c r="C27" s="33">
        <v>115.14</v>
      </c>
      <c r="J27" s="32" t="s">
        <v>43</v>
      </c>
      <c r="K27" s="33">
        <v>0.61131607655744691</v>
      </c>
      <c r="P27" s="32" t="s">
        <v>115</v>
      </c>
      <c r="Q27" s="33">
        <v>132.106666668</v>
      </c>
    </row>
    <row r="28" spans="1:17">
      <c r="A28" s="32" t="s">
        <v>50</v>
      </c>
      <c r="B28" s="33">
        <v>38</v>
      </c>
      <c r="C28" s="33">
        <v>289.39333335200007</v>
      </c>
      <c r="J28" s="32" t="s">
        <v>50</v>
      </c>
      <c r="K28" s="33">
        <v>1.4855496036157894</v>
      </c>
      <c r="P28" s="32" t="s">
        <v>166</v>
      </c>
      <c r="Q28" s="33">
        <v>146.30666666400001</v>
      </c>
    </row>
    <row r="29" spans="1:17">
      <c r="A29" s="32" t="s">
        <v>52</v>
      </c>
      <c r="B29" s="33">
        <v>43</v>
      </c>
      <c r="C29" s="33">
        <v>122.60000000499998</v>
      </c>
      <c r="J29" s="32" t="s">
        <v>52</v>
      </c>
      <c r="K29" s="33">
        <v>2.2097543335534882</v>
      </c>
      <c r="P29" s="32" t="s">
        <v>163</v>
      </c>
      <c r="Q29" s="33">
        <v>94.703333342999997</v>
      </c>
    </row>
    <row r="30" spans="1:17">
      <c r="A30" s="32" t="s">
        <v>41</v>
      </c>
      <c r="B30" s="33">
        <v>42</v>
      </c>
      <c r="C30" s="33">
        <v>526.57999998500009</v>
      </c>
      <c r="J30" s="32" t="s">
        <v>41</v>
      </c>
      <c r="K30" s="33">
        <v>1.9766522897619045</v>
      </c>
      <c r="P30" s="32" t="s">
        <v>152</v>
      </c>
      <c r="Q30" s="33">
        <v>106.58333333400002</v>
      </c>
    </row>
    <row r="31" spans="1:17">
      <c r="A31" s="32" t="s">
        <v>47</v>
      </c>
      <c r="B31" s="33">
        <v>55</v>
      </c>
      <c r="C31" s="33">
        <v>143.09333333999999</v>
      </c>
      <c r="J31" s="32" t="s">
        <v>47</v>
      </c>
      <c r="K31" s="33">
        <v>0.67578972595818187</v>
      </c>
      <c r="P31" s="32" t="s">
        <v>116</v>
      </c>
      <c r="Q31" s="33">
        <v>130.42333333100001</v>
      </c>
    </row>
    <row r="32" spans="1:17">
      <c r="A32" s="32" t="s">
        <v>48</v>
      </c>
      <c r="B32" s="33">
        <v>45</v>
      </c>
      <c r="C32" s="33">
        <v>80.653333332000003</v>
      </c>
      <c r="J32" s="32" t="s">
        <v>48</v>
      </c>
      <c r="K32" s="33">
        <v>2.882848235644444</v>
      </c>
      <c r="P32" s="32" t="s">
        <v>117</v>
      </c>
      <c r="Q32" s="33">
        <v>72.256666670000001</v>
      </c>
    </row>
    <row r="33" spans="1:17">
      <c r="A33" s="32" t="s">
        <v>35</v>
      </c>
      <c r="B33" s="33">
        <v>49</v>
      </c>
      <c r="C33" s="33">
        <v>97.926666666999992</v>
      </c>
      <c r="J33" s="32" t="s">
        <v>35</v>
      </c>
      <c r="K33" s="33">
        <v>0.53583855736040809</v>
      </c>
      <c r="P33" s="32" t="s">
        <v>118</v>
      </c>
      <c r="Q33" s="33">
        <v>138.15666666400003</v>
      </c>
    </row>
    <row r="34" spans="1:17">
      <c r="A34" s="32" t="s">
        <v>53</v>
      </c>
      <c r="B34" s="33">
        <v>41</v>
      </c>
      <c r="C34" s="33">
        <v>170.36666666299999</v>
      </c>
      <c r="J34" s="32" t="s">
        <v>53</v>
      </c>
      <c r="K34" s="33">
        <v>0.8319142574463414</v>
      </c>
      <c r="P34" s="32" t="s">
        <v>153</v>
      </c>
      <c r="Q34" s="33">
        <v>133.29666666800003</v>
      </c>
    </row>
    <row r="35" spans="1:17">
      <c r="A35" s="32" t="s">
        <v>40</v>
      </c>
      <c r="B35" s="33">
        <v>39</v>
      </c>
      <c r="C35" s="33">
        <v>89.486666665999991</v>
      </c>
      <c r="J35" s="32" t="s">
        <v>40</v>
      </c>
      <c r="K35" s="33">
        <v>0.71302163734102553</v>
      </c>
      <c r="P35" s="32" t="s">
        <v>154</v>
      </c>
      <c r="Q35" s="33">
        <v>112.17666666299999</v>
      </c>
    </row>
    <row r="36" spans="1:17">
      <c r="A36" s="32" t="s">
        <v>19</v>
      </c>
      <c r="B36" s="33">
        <v>32</v>
      </c>
      <c r="C36" s="33">
        <v>82.586666665999999</v>
      </c>
      <c r="J36" s="32" t="s">
        <v>19</v>
      </c>
      <c r="K36" s="33">
        <v>0.77645888091875004</v>
      </c>
      <c r="P36" s="32" t="s">
        <v>172</v>
      </c>
      <c r="Q36" s="33">
        <v>30.016666667000003</v>
      </c>
    </row>
    <row r="37" spans="1:17">
      <c r="A37" s="32" t="s">
        <v>25</v>
      </c>
      <c r="B37" s="33">
        <v>43</v>
      </c>
      <c r="C37" s="33">
        <v>135.69666666800003</v>
      </c>
      <c r="J37" s="32" t="s">
        <v>25</v>
      </c>
      <c r="K37" s="33">
        <v>1.9568145238186043</v>
      </c>
      <c r="P37" s="32" t="s">
        <v>147</v>
      </c>
      <c r="Q37" s="33">
        <v>121.60000000000001</v>
      </c>
    </row>
    <row r="38" spans="1:17">
      <c r="A38" s="32" t="s">
        <v>29</v>
      </c>
      <c r="B38" s="33">
        <v>42</v>
      </c>
      <c r="C38" s="33">
        <v>109.966666668</v>
      </c>
      <c r="J38" s="32" t="s">
        <v>29</v>
      </c>
      <c r="K38" s="33">
        <v>0.74036785895000001</v>
      </c>
      <c r="P38" s="32" t="s">
        <v>155</v>
      </c>
      <c r="Q38" s="33">
        <v>159.92333333499997</v>
      </c>
    </row>
    <row r="39" spans="1:17">
      <c r="A39" s="32" t="s">
        <v>36</v>
      </c>
      <c r="B39" s="33">
        <v>51</v>
      </c>
      <c r="C39" s="33">
        <v>126.78999999900002</v>
      </c>
      <c r="J39" s="32" t="s">
        <v>36</v>
      </c>
      <c r="K39" s="33">
        <v>2.1272571603235293</v>
      </c>
      <c r="P39" s="32" t="s">
        <v>119</v>
      </c>
      <c r="Q39" s="33">
        <v>192.90666667600001</v>
      </c>
    </row>
    <row r="40" spans="1:17">
      <c r="A40" s="32" t="s">
        <v>45</v>
      </c>
      <c r="B40" s="33">
        <v>40</v>
      </c>
      <c r="C40" s="33">
        <v>395.46666665599997</v>
      </c>
      <c r="J40" s="32" t="s">
        <v>45</v>
      </c>
      <c r="K40" s="33">
        <v>1.7079034981425003</v>
      </c>
      <c r="P40" s="32" t="s">
        <v>120</v>
      </c>
      <c r="Q40" s="33">
        <v>99.60666666600001</v>
      </c>
    </row>
    <row r="41" spans="1:17">
      <c r="A41" s="32" t="s">
        <v>33</v>
      </c>
      <c r="B41" s="33">
        <v>19</v>
      </c>
      <c r="C41" s="33">
        <v>135.543333335</v>
      </c>
      <c r="J41" s="32" t="s">
        <v>33</v>
      </c>
      <c r="K41" s="33">
        <v>1.2584998453842104</v>
      </c>
      <c r="P41" s="32" t="s">
        <v>121</v>
      </c>
      <c r="Q41" s="33">
        <v>127.15666666999999</v>
      </c>
    </row>
    <row r="42" spans="1:17">
      <c r="A42" s="32" t="s">
        <v>39</v>
      </c>
      <c r="B42" s="33">
        <v>41</v>
      </c>
      <c r="C42" s="33">
        <v>84.176666667999996</v>
      </c>
      <c r="J42" s="32" t="s">
        <v>39</v>
      </c>
      <c r="K42" s="33">
        <v>1.8466268143390248</v>
      </c>
      <c r="P42" s="32" t="s">
        <v>122</v>
      </c>
      <c r="Q42" s="33">
        <v>171.03666665899999</v>
      </c>
    </row>
    <row r="43" spans="1:17">
      <c r="A43" s="32" t="s">
        <v>44</v>
      </c>
      <c r="B43" s="33">
        <v>35</v>
      </c>
      <c r="C43" s="33">
        <v>174.32333333300002</v>
      </c>
      <c r="J43" s="32" t="s">
        <v>44</v>
      </c>
      <c r="K43" s="33">
        <v>1.1886125520628572</v>
      </c>
      <c r="P43" s="32" t="s">
        <v>123</v>
      </c>
      <c r="Q43" s="33">
        <v>126.386666658</v>
      </c>
    </row>
    <row r="44" spans="1:17">
      <c r="A44" s="32" t="s">
        <v>34</v>
      </c>
      <c r="B44" s="33">
        <v>45</v>
      </c>
      <c r="C44" s="33">
        <v>359.453333348</v>
      </c>
      <c r="J44" s="32" t="s">
        <v>34</v>
      </c>
      <c r="K44" s="33">
        <v>1.4192471130288886</v>
      </c>
      <c r="P44" s="32" t="s">
        <v>124</v>
      </c>
      <c r="Q44" s="33">
        <v>112.90333334000002</v>
      </c>
    </row>
    <row r="45" spans="1:17">
      <c r="A45" s="32" t="s">
        <v>49</v>
      </c>
      <c r="B45" s="33">
        <v>36</v>
      </c>
      <c r="C45" s="33">
        <v>96.553333334000001</v>
      </c>
      <c r="J45" s="32" t="s">
        <v>49</v>
      </c>
      <c r="K45" s="33">
        <v>0.74556616700555578</v>
      </c>
      <c r="P45" s="32" t="s">
        <v>125</v>
      </c>
      <c r="Q45" s="33">
        <v>75.943333335999995</v>
      </c>
    </row>
    <row r="46" spans="1:17">
      <c r="A46" s="32" t="s">
        <v>42</v>
      </c>
      <c r="B46" s="33">
        <v>47</v>
      </c>
      <c r="C46" s="33">
        <v>343.07000000599999</v>
      </c>
      <c r="J46" s="32" t="s">
        <v>42</v>
      </c>
      <c r="K46" s="33">
        <v>1.4113517902255324</v>
      </c>
      <c r="P46" s="32" t="s">
        <v>126</v>
      </c>
      <c r="Q46" s="33">
        <v>116.29999999200001</v>
      </c>
    </row>
    <row r="47" spans="1:17">
      <c r="A47" s="32" t="s">
        <v>32</v>
      </c>
      <c r="B47" s="33">
        <v>37</v>
      </c>
      <c r="C47" s="33">
        <v>299.62333335100004</v>
      </c>
      <c r="J47" s="32" t="s">
        <v>32</v>
      </c>
      <c r="K47" s="33">
        <v>1.5412515408783778</v>
      </c>
      <c r="P47" s="32" t="s">
        <v>156</v>
      </c>
      <c r="Q47" s="33">
        <v>169.06333334500002</v>
      </c>
    </row>
    <row r="48" spans="1:17">
      <c r="A48" s="32" t="s">
        <v>27</v>
      </c>
      <c r="B48" s="33">
        <v>39</v>
      </c>
      <c r="C48" s="33">
        <v>216.96999999699997</v>
      </c>
      <c r="J48" s="32" t="s">
        <v>27</v>
      </c>
      <c r="K48" s="33">
        <v>1.1341926984230766</v>
      </c>
      <c r="P48" s="32" t="s">
        <v>127</v>
      </c>
      <c r="Q48" s="33">
        <v>26.379999998999999</v>
      </c>
    </row>
    <row r="49" spans="1:17">
      <c r="A49" s="32" t="s">
        <v>38</v>
      </c>
      <c r="B49" s="33">
        <v>38</v>
      </c>
      <c r="C49" s="33">
        <v>483.52000001299996</v>
      </c>
      <c r="J49" s="32" t="s">
        <v>38</v>
      </c>
      <c r="K49" s="33">
        <v>1.935261078942105</v>
      </c>
      <c r="P49" s="32" t="s">
        <v>170</v>
      </c>
      <c r="Q49" s="33">
        <v>102.85333333300001</v>
      </c>
    </row>
    <row r="50" spans="1:17">
      <c r="A50" s="32" t="s">
        <v>28</v>
      </c>
      <c r="B50" s="33">
        <v>50</v>
      </c>
      <c r="C50" s="33">
        <v>401.1333333299998</v>
      </c>
      <c r="J50" s="32" t="s">
        <v>28</v>
      </c>
      <c r="K50" s="33">
        <v>1.3342703005200003</v>
      </c>
      <c r="P50" s="32" t="s">
        <v>128</v>
      </c>
      <c r="Q50" s="33">
        <v>103.81666667099999</v>
      </c>
    </row>
    <row r="51" spans="1:17">
      <c r="A51" s="32" t="s">
        <v>22</v>
      </c>
      <c r="B51" s="33">
        <v>29</v>
      </c>
      <c r="C51" s="33">
        <v>267.61999998799996</v>
      </c>
      <c r="J51" s="32" t="s">
        <v>22</v>
      </c>
      <c r="K51" s="33">
        <v>1.6622423430517237</v>
      </c>
      <c r="P51" s="32" t="s">
        <v>157</v>
      </c>
      <c r="Q51" s="33">
        <v>96.733333331000011</v>
      </c>
    </row>
    <row r="52" spans="1:17">
      <c r="A52" s="32" t="s">
        <v>24</v>
      </c>
      <c r="B52" s="33">
        <v>48</v>
      </c>
      <c r="C52" s="33">
        <v>435.06333332399998</v>
      </c>
      <c r="J52" s="32" t="s">
        <v>24</v>
      </c>
      <c r="K52" s="33">
        <v>1.5358204262958333</v>
      </c>
      <c r="P52" s="32" t="s">
        <v>129</v>
      </c>
      <c r="Q52" s="33">
        <v>154.87333333300003</v>
      </c>
    </row>
    <row r="53" spans="1:17">
      <c r="A53" s="32" t="s">
        <v>90</v>
      </c>
      <c r="B53" s="33">
        <v>2062</v>
      </c>
      <c r="C53" s="33">
        <v>8697.1066667029827</v>
      </c>
      <c r="J53" s="32" t="s">
        <v>90</v>
      </c>
      <c r="K53" s="33">
        <v>1.1443414438431307</v>
      </c>
      <c r="P53" s="32" t="s">
        <v>130</v>
      </c>
      <c r="Q53" s="33">
        <v>124.50000001000001</v>
      </c>
    </row>
    <row r="54" spans="1:17">
      <c r="P54" s="32" t="s">
        <v>131</v>
      </c>
      <c r="Q54" s="33">
        <v>179.72666666400008</v>
      </c>
    </row>
    <row r="55" spans="1:17">
      <c r="P55" s="32" t="s">
        <v>132</v>
      </c>
      <c r="Q55" s="33">
        <v>96.303333339000005</v>
      </c>
    </row>
    <row r="56" spans="1:17">
      <c r="P56" s="32" t="s">
        <v>164</v>
      </c>
      <c r="Q56" s="33">
        <v>145.66</v>
      </c>
    </row>
    <row r="57" spans="1:17">
      <c r="P57" s="32" t="s">
        <v>133</v>
      </c>
      <c r="Q57" s="33">
        <v>81.82333333599999</v>
      </c>
    </row>
    <row r="58" spans="1:17">
      <c r="P58" s="32" t="s">
        <v>134</v>
      </c>
      <c r="Q58" s="33">
        <v>158.82000000100001</v>
      </c>
    </row>
    <row r="59" spans="1:17">
      <c r="P59" s="32" t="s">
        <v>148</v>
      </c>
      <c r="Q59" s="33">
        <v>118.77666665699999</v>
      </c>
    </row>
    <row r="60" spans="1:17">
      <c r="P60" s="32" t="s">
        <v>149</v>
      </c>
      <c r="Q60" s="33">
        <v>174.29333333900004</v>
      </c>
    </row>
    <row r="61" spans="1:17">
      <c r="P61" s="32" t="s">
        <v>158</v>
      </c>
      <c r="Q61" s="33">
        <v>156.68333333499999</v>
      </c>
    </row>
    <row r="62" spans="1:17">
      <c r="P62" s="32" t="s">
        <v>165</v>
      </c>
      <c r="Q62" s="33">
        <v>147.95333333599996</v>
      </c>
    </row>
    <row r="63" spans="1:17">
      <c r="P63" s="32" t="s">
        <v>159</v>
      </c>
      <c r="Q63" s="33">
        <v>108.49333333600001</v>
      </c>
    </row>
    <row r="64" spans="1:17">
      <c r="P64" s="32" t="s">
        <v>135</v>
      </c>
      <c r="Q64" s="33">
        <v>119.75999999699998</v>
      </c>
    </row>
    <row r="65" spans="16:17">
      <c r="P65" s="32" t="s">
        <v>169</v>
      </c>
      <c r="Q65" s="33">
        <v>163.94666666100002</v>
      </c>
    </row>
    <row r="66" spans="16:17">
      <c r="P66" s="32" t="s">
        <v>160</v>
      </c>
      <c r="Q66" s="33">
        <v>135.90333333300001</v>
      </c>
    </row>
    <row r="67" spans="16:17">
      <c r="P67" s="32" t="s">
        <v>136</v>
      </c>
      <c r="Q67" s="33">
        <v>170.18666667199997</v>
      </c>
    </row>
    <row r="68" spans="16:17">
      <c r="P68" s="32" t="s">
        <v>137</v>
      </c>
      <c r="Q68" s="33">
        <v>67.57000000299999</v>
      </c>
    </row>
    <row r="69" spans="16:17">
      <c r="P69" s="32" t="s">
        <v>138</v>
      </c>
      <c r="Q69" s="33">
        <v>78.003333334000004</v>
      </c>
    </row>
    <row r="70" spans="16:17">
      <c r="P70" s="32" t="s">
        <v>139</v>
      </c>
      <c r="Q70" s="33">
        <v>150.726666666</v>
      </c>
    </row>
    <row r="71" spans="16:17">
      <c r="P71" s="32" t="s">
        <v>161</v>
      </c>
      <c r="Q71" s="33">
        <v>165.50000000000006</v>
      </c>
    </row>
    <row r="72" spans="16:17">
      <c r="P72" s="32" t="s">
        <v>140</v>
      </c>
      <c r="Q72" s="33">
        <v>179.59999999000001</v>
      </c>
    </row>
    <row r="73" spans="16:17">
      <c r="P73" s="32" t="s">
        <v>162</v>
      </c>
      <c r="Q73" s="33">
        <v>102</v>
      </c>
    </row>
    <row r="74" spans="16:17">
      <c r="P74" s="32" t="s">
        <v>167</v>
      </c>
      <c r="Q74" s="33">
        <v>114.62000000499998</v>
      </c>
    </row>
    <row r="75" spans="16:17">
      <c r="P75" s="32" t="s">
        <v>141</v>
      </c>
      <c r="Q75" s="33">
        <v>88.126666666999995</v>
      </c>
    </row>
    <row r="76" spans="16:17">
      <c r="P76" s="32" t="s">
        <v>90</v>
      </c>
      <c r="Q76" s="33">
        <v>8697.1066667029972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71BB-1E32-4A45-AB45-DCBA01AE0E33}">
  <dimension ref="A1:CO4"/>
  <sheetViews>
    <sheetView tabSelected="1" zoomScale="47" zoomScaleNormal="100" workbookViewId="0">
      <selection sqref="A1:CO4"/>
    </sheetView>
  </sheetViews>
  <sheetFormatPr defaultColWidth="3.33203125" defaultRowHeight="16.2"/>
  <cols>
    <col min="1" max="81" width="3.33203125" style="42"/>
    <col min="82" max="82" width="3.109375" style="42" customWidth="1"/>
    <col min="83" max="16384" width="3.33203125" style="42"/>
  </cols>
  <sheetData>
    <row r="1" spans="1:93" s="41" customFormat="1" ht="16.5" customHeight="1">
      <c r="A1" s="44" t="s">
        <v>182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</row>
    <row r="2" spans="1:93" s="41" customFormat="1" ht="16.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</row>
    <row r="3" spans="1:93" s="41" customFormat="1" ht="16.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</row>
    <row r="4" spans="1:93" s="41" customFormat="1" ht="16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</row>
  </sheetData>
  <mergeCells count="1">
    <mergeCell ref="A1:CO4"/>
  </mergeCells>
  <phoneticPr fontId="18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1D9F8-F200-416C-B551-268540245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10</vt:i4>
      </vt:variant>
    </vt:vector>
  </HeadingPairs>
  <TitlesOfParts>
    <vt:vector size="15" baseType="lpstr">
      <vt:lpstr>團隊分組</vt:lpstr>
      <vt:lpstr>交易處理資料 </vt:lpstr>
      <vt:lpstr>熱圖</vt:lpstr>
      <vt:lpstr>樞紐</vt:lpstr>
      <vt:lpstr>儀錶板</vt:lpstr>
      <vt:lpstr>人員</vt:lpstr>
      <vt:lpstr>快速保養團隊A</vt:lpstr>
      <vt:lpstr>快速保養團隊B</vt:lpstr>
      <vt:lpstr>查修團隊A</vt:lpstr>
      <vt:lpstr>查修團隊B</vt:lpstr>
      <vt:lpstr>部門</vt:lpstr>
      <vt:lpstr>無效數據</vt:lpstr>
      <vt:lpstr>鈑金維修組</vt:lpstr>
      <vt:lpstr>團隊</vt:lpstr>
      <vt:lpstr>噴漆維修組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陳群翔</cp:lastModifiedBy>
  <dcterms:created xsi:type="dcterms:W3CDTF">2024-04-18T07:58:25Z</dcterms:created>
  <dcterms:modified xsi:type="dcterms:W3CDTF">2024-06-18T07:26:47Z</dcterms:modified>
</cp:coreProperties>
</file>