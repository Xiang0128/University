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-105" yWindow="-105" windowWidth="19425" windowHeight="11625" activeTab="2"/>
  </bookViews>
  <sheets>
    <sheet name="查詢員工資料" sheetId="1" r:id="rId1"/>
    <sheet name="查詢員工資料2" sheetId="3" r:id="rId2"/>
    <sheet name="空位查詢" sheetId="4" r:id="rId3"/>
    <sheet name="庫存查詢" sheetId="6" r:id="rId4"/>
    <sheet name="資料庫查詢" sheetId="7" r:id="rId5"/>
    <sheet name="訂購單建立" sheetId="8" r:id="rId6"/>
  </sheets>
  <definedNames>
    <definedName name="入耳式耳機">庫存查詢!$E$8:$E$18</definedName>
    <definedName name="仁愛門市">庫存查詢!$B$9:$F$9</definedName>
    <definedName name="手機">訂購單建立!$I$6:$K$10</definedName>
    <definedName name="文化門市">庫存查詢!$B$11:$F$11</definedName>
    <definedName name="平板">訂購單建立!$I$14:$K$17</definedName>
    <definedName name="永康門市">庫存查詢!$B$14:$F$14</definedName>
    <definedName name="全罩式耳機">庫存查詢!$C$8:$C$18</definedName>
    <definedName name="耳掛式耳機">庫存查詢!$F$8:$F$18</definedName>
    <definedName name="耳塞式耳機">庫存查詢!$D$8:$D$18</definedName>
    <definedName name="幸福門市">庫存查詢!$B$10:$F$10</definedName>
    <definedName name="忠孝門市">庫存查詢!$B$12:$F$12</definedName>
    <definedName name="東山門市">庫存查詢!$B$15:$F$15</definedName>
    <definedName name="重南門市">庫存查詢!$B$17:$F$17</definedName>
    <definedName name="商品名稱">訂購單建立!$J$6:$J$10</definedName>
    <definedName name="商品編號">訂購單建立!$I$6:$I$10</definedName>
    <definedName name="單價">訂購單建立!$K$6:$K$10</definedName>
    <definedName name="無線藍牙耳機">庫存查詢!$B$8:$B$18</definedName>
    <definedName name="新仁門市">庫存查詢!$B$13:$F$13</definedName>
    <definedName name="新生門市">庫存查詢!$B$18:$F$18</definedName>
    <definedName name="新盛門市">庫存查詢!$B$8:$F$8</definedName>
    <definedName name="歸仁門市">庫存查詢!$B$16:$F$16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G4" i="8" l="1"/>
  <c r="E7" i="8"/>
  <c r="E6" i="8"/>
  <c r="D7" i="8"/>
  <c r="D6" i="8"/>
  <c r="B4" i="6"/>
</calcChain>
</file>

<file path=xl/sharedStrings.xml><?xml version="1.0" encoding="utf-8"?>
<sst xmlns="http://schemas.openxmlformats.org/spreadsheetml/2006/main" count="471" uniqueCount="200">
  <si>
    <t>員工編號</t>
    <phoneticPr fontId="1" type="noConversion"/>
  </si>
  <si>
    <t>姓名</t>
    <phoneticPr fontId="1" type="noConversion"/>
  </si>
  <si>
    <t>部門</t>
    <phoneticPr fontId="1" type="noConversion"/>
  </si>
  <si>
    <t>分機</t>
    <phoneticPr fontId="1" type="noConversion"/>
  </si>
  <si>
    <t>財務部</t>
    <phoneticPr fontId="1" type="noConversion"/>
  </si>
  <si>
    <t>于惠蘭</t>
    <phoneticPr fontId="1" type="noConversion"/>
  </si>
  <si>
    <t>人事部</t>
    <phoneticPr fontId="1" type="noConversion"/>
  </si>
  <si>
    <t>白美惠</t>
    <phoneticPr fontId="1" type="noConversion"/>
  </si>
  <si>
    <t>朱麗雅</t>
    <phoneticPr fontId="1" type="noConversion"/>
  </si>
  <si>
    <t>宋秀惠</t>
    <phoneticPr fontId="1" type="noConversion"/>
  </si>
  <si>
    <t>研發部</t>
    <phoneticPr fontId="1" type="noConversion"/>
  </si>
  <si>
    <t>李沛偉</t>
    <phoneticPr fontId="1" type="noConversion"/>
  </si>
  <si>
    <t>工程部</t>
    <phoneticPr fontId="1" type="noConversion"/>
  </si>
  <si>
    <t>汪炳哲</t>
    <phoneticPr fontId="1" type="noConversion"/>
  </si>
  <si>
    <t>谷瑄若</t>
    <phoneticPr fontId="1" type="noConversion"/>
  </si>
  <si>
    <t>業務部</t>
    <phoneticPr fontId="1" type="noConversion"/>
  </si>
  <si>
    <t>周基勇</t>
    <phoneticPr fontId="1" type="noConversion"/>
  </si>
  <si>
    <t>產品部</t>
    <phoneticPr fontId="1" type="noConversion"/>
  </si>
  <si>
    <t>林巧沛</t>
    <phoneticPr fontId="1" type="noConversion"/>
  </si>
  <si>
    <t>林若傑</t>
    <phoneticPr fontId="1" type="noConversion"/>
  </si>
  <si>
    <t>倉儲部</t>
    <phoneticPr fontId="1" type="noConversion"/>
  </si>
  <si>
    <t>林琪琪</t>
    <phoneticPr fontId="1" type="noConversion"/>
  </si>
  <si>
    <t>林慶民</t>
    <phoneticPr fontId="1" type="noConversion"/>
  </si>
  <si>
    <t>邱秀蘭</t>
    <phoneticPr fontId="1" type="noConversion"/>
  </si>
  <si>
    <t>邱語潔</t>
    <phoneticPr fontId="1" type="noConversion"/>
  </si>
  <si>
    <t>金志偉</t>
    <phoneticPr fontId="1" type="noConversion"/>
  </si>
  <si>
    <t>金洪均</t>
    <phoneticPr fontId="1" type="noConversion"/>
  </si>
  <si>
    <t>金智泰</t>
    <phoneticPr fontId="1" type="noConversion"/>
  </si>
  <si>
    <t>金燦民</t>
    <phoneticPr fontId="1" type="noConversion"/>
  </si>
  <si>
    <t>柳善熙</t>
    <phoneticPr fontId="1" type="noConversion"/>
  </si>
  <si>
    <t>洪仁秀</t>
    <phoneticPr fontId="1" type="noConversion"/>
  </si>
  <si>
    <t>孫佑德</t>
    <phoneticPr fontId="1" type="noConversion"/>
  </si>
  <si>
    <t>崔明亨</t>
    <phoneticPr fontId="1" type="noConversion"/>
  </si>
  <si>
    <t>張文惠</t>
    <phoneticPr fontId="1" type="noConversion"/>
  </si>
  <si>
    <t>張文雅</t>
    <phoneticPr fontId="1" type="noConversion"/>
  </si>
  <si>
    <t>張娜文</t>
    <phoneticPr fontId="1" type="noConversion"/>
  </si>
  <si>
    <t>梁柏仲</t>
    <phoneticPr fontId="1" type="noConversion"/>
  </si>
  <si>
    <t>許東賢</t>
    <phoneticPr fontId="1" type="noConversion"/>
  </si>
  <si>
    <t>許淑卿</t>
    <phoneticPr fontId="1" type="noConversion"/>
  </si>
  <si>
    <t>陳曲佩</t>
    <phoneticPr fontId="1" type="noConversion"/>
  </si>
  <si>
    <t>陳淑美</t>
    <phoneticPr fontId="1" type="noConversion"/>
  </si>
  <si>
    <t>黃士傑</t>
    <phoneticPr fontId="1" type="noConversion"/>
  </si>
  <si>
    <t>黃佑鎮</t>
    <phoneticPr fontId="1" type="noConversion"/>
  </si>
  <si>
    <t>黃曉芳</t>
    <phoneticPr fontId="1" type="noConversion"/>
  </si>
  <si>
    <t>黃寶晴</t>
    <phoneticPr fontId="1" type="noConversion"/>
  </si>
  <si>
    <t>潘芊美</t>
    <phoneticPr fontId="1" type="noConversion"/>
  </si>
  <si>
    <t>蔡佩雅</t>
    <phoneticPr fontId="1" type="noConversion"/>
  </si>
  <si>
    <t>盧仲偉</t>
    <phoneticPr fontId="1" type="noConversion"/>
  </si>
  <si>
    <t>權弘泰</t>
    <phoneticPr fontId="1" type="noConversion"/>
  </si>
  <si>
    <t>輸入員工編號查詢員工資料</t>
    <phoneticPr fontId="1" type="noConversion"/>
  </si>
  <si>
    <t>查詢員工資料</t>
  </si>
  <si>
    <t>空位查詢</t>
    <phoneticPr fontId="1" type="noConversion"/>
  </si>
  <si>
    <t>日期</t>
    <phoneticPr fontId="1" type="noConversion"/>
  </si>
  <si>
    <t>午餐</t>
    <phoneticPr fontId="1" type="noConversion"/>
  </si>
  <si>
    <t>下午茶</t>
    <phoneticPr fontId="1" type="noConversion"/>
  </si>
  <si>
    <t>晚餐</t>
    <phoneticPr fontId="1" type="noConversion"/>
  </si>
  <si>
    <t>深夜時段</t>
    <phoneticPr fontId="1" type="noConversion"/>
  </si>
  <si>
    <t>時段</t>
    <phoneticPr fontId="1" type="noConversion"/>
  </si>
  <si>
    <t>可訂位</t>
  </si>
  <si>
    <t>客滿</t>
  </si>
  <si>
    <t>狀態</t>
    <phoneticPr fontId="1" type="noConversion"/>
  </si>
  <si>
    <t>店休</t>
    <phoneticPr fontId="1" type="noConversion"/>
  </si>
  <si>
    <t>各門市庫存</t>
    <phoneticPr fontId="1" type="noConversion"/>
  </si>
  <si>
    <t>產　品</t>
    <phoneticPr fontId="1" type="noConversion"/>
  </si>
  <si>
    <t>門　市</t>
    <phoneticPr fontId="1" type="noConversion"/>
  </si>
  <si>
    <t>庫　存</t>
    <phoneticPr fontId="1" type="noConversion"/>
  </si>
  <si>
    <t>無線藍牙耳機</t>
    <phoneticPr fontId="1" type="noConversion"/>
  </si>
  <si>
    <t>全罩式耳機</t>
    <phoneticPr fontId="1" type="noConversion"/>
  </si>
  <si>
    <t>耳塞式耳機</t>
    <phoneticPr fontId="1" type="noConversion"/>
  </si>
  <si>
    <t>入耳式耳機</t>
    <phoneticPr fontId="1" type="noConversion"/>
  </si>
  <si>
    <t>耳掛式耳機</t>
    <phoneticPr fontId="1" type="noConversion"/>
  </si>
  <si>
    <t>新盛門市</t>
    <phoneticPr fontId="1" type="noConversion"/>
  </si>
  <si>
    <t>仁愛門市</t>
    <phoneticPr fontId="1" type="noConversion"/>
  </si>
  <si>
    <t>幸福門市</t>
    <phoneticPr fontId="1" type="noConversion"/>
  </si>
  <si>
    <t>文化門市</t>
    <phoneticPr fontId="1" type="noConversion"/>
  </si>
  <si>
    <t>忠孝門市</t>
    <phoneticPr fontId="1" type="noConversion"/>
  </si>
  <si>
    <t>新仁門市</t>
    <phoneticPr fontId="1" type="noConversion"/>
  </si>
  <si>
    <t>永康門市</t>
    <phoneticPr fontId="1" type="noConversion"/>
  </si>
  <si>
    <t>東山門市</t>
    <phoneticPr fontId="1" type="noConversion"/>
  </si>
  <si>
    <t>歸仁門市</t>
    <phoneticPr fontId="1" type="noConversion"/>
  </si>
  <si>
    <t>重南門市</t>
    <phoneticPr fontId="1" type="noConversion"/>
  </si>
  <si>
    <t>新生門市</t>
    <phoneticPr fontId="1" type="noConversion"/>
  </si>
  <si>
    <t>客戶資料查詢</t>
    <phoneticPr fontId="1" type="noConversion"/>
  </si>
  <si>
    <t>公司名稱</t>
    <phoneticPr fontId="1" type="noConversion"/>
  </si>
  <si>
    <t>統一編號</t>
    <phoneticPr fontId="1" type="noConversion"/>
  </si>
  <si>
    <t>聯絡人</t>
    <phoneticPr fontId="1" type="noConversion"/>
  </si>
  <si>
    <t>職稱</t>
    <phoneticPr fontId="1" type="noConversion"/>
  </si>
  <si>
    <t>電話</t>
    <phoneticPr fontId="1" type="noConversion"/>
  </si>
  <si>
    <t>正益有限公司</t>
    <phoneticPr fontId="1" type="noConversion"/>
  </si>
  <si>
    <t>陳子玄</t>
    <phoneticPr fontId="1" type="noConversion"/>
  </si>
  <si>
    <t>採購</t>
    <phoneticPr fontId="1" type="noConversion"/>
  </si>
  <si>
    <t>02-7711-5533</t>
    <phoneticPr fontId="1" type="noConversion"/>
  </si>
  <si>
    <t>永琳股份有限公司</t>
    <phoneticPr fontId="1" type="noConversion"/>
  </si>
  <si>
    <t>簡定豪</t>
    <phoneticPr fontId="1" type="noConversion"/>
  </si>
  <si>
    <t>副理</t>
    <phoneticPr fontId="1" type="noConversion"/>
  </si>
  <si>
    <t>0979-555-433</t>
    <phoneticPr fontId="1" type="noConversion"/>
  </si>
  <si>
    <t>金久有限公司</t>
    <phoneticPr fontId="1" type="noConversion"/>
  </si>
  <si>
    <t>江承恩</t>
    <phoneticPr fontId="1" type="noConversion"/>
  </si>
  <si>
    <t>業務經理</t>
    <phoneticPr fontId="1" type="noConversion"/>
  </si>
  <si>
    <t>0930-000-548</t>
    <phoneticPr fontId="1" type="noConversion"/>
  </si>
  <si>
    <t>信和有限公司</t>
    <phoneticPr fontId="1" type="noConversion"/>
  </si>
  <si>
    <t>蘇志鴻</t>
    <phoneticPr fontId="1" type="noConversion"/>
  </si>
  <si>
    <t>課長</t>
    <phoneticPr fontId="1" type="noConversion"/>
  </si>
  <si>
    <t>02-2235-4578</t>
    <phoneticPr fontId="1" type="noConversion"/>
  </si>
  <si>
    <t>映太股份有限公司</t>
    <phoneticPr fontId="1" type="noConversion"/>
  </si>
  <si>
    <t>簡勝亮</t>
    <phoneticPr fontId="1" type="noConversion"/>
  </si>
  <si>
    <t>049-2234451</t>
    <phoneticPr fontId="1" type="noConversion"/>
  </si>
  <si>
    <t>晉鴻國際實業</t>
    <phoneticPr fontId="1" type="noConversion"/>
  </si>
  <si>
    <t>侯淑麗</t>
    <phoneticPr fontId="1" type="noConversion"/>
  </si>
  <si>
    <t>03-544-4587</t>
    <phoneticPr fontId="1" type="noConversion"/>
  </si>
  <si>
    <t>舜盛有限公司</t>
    <phoneticPr fontId="1" type="noConversion"/>
  </si>
  <si>
    <t>謝玉蓮</t>
    <phoneticPr fontId="1" type="noConversion"/>
  </si>
  <si>
    <t>業務</t>
    <phoneticPr fontId="1" type="noConversion"/>
  </si>
  <si>
    <t>06-215-5487</t>
    <phoneticPr fontId="1" type="noConversion"/>
  </si>
  <si>
    <t>瑋晟股份有限公司</t>
    <phoneticPr fontId="1" type="noConversion"/>
  </si>
  <si>
    <t>劉志雄</t>
    <phoneticPr fontId="1" type="noConversion"/>
  </si>
  <si>
    <t>企劃</t>
    <phoneticPr fontId="1" type="noConversion"/>
  </si>
  <si>
    <t>0930-883-111</t>
    <phoneticPr fontId="1" type="noConversion"/>
  </si>
  <si>
    <t>馨華有限公司</t>
    <phoneticPr fontId="1" type="noConversion"/>
  </si>
  <si>
    <t>王明霞</t>
    <phoneticPr fontId="1" type="noConversion"/>
  </si>
  <si>
    <t>08-783-2156</t>
    <phoneticPr fontId="1" type="noConversion"/>
  </si>
  <si>
    <t>忠台自動設備</t>
    <phoneticPr fontId="1" type="noConversion"/>
  </si>
  <si>
    <t>羅禎玉</t>
    <phoneticPr fontId="1" type="noConversion"/>
  </si>
  <si>
    <t>主任</t>
    <phoneticPr fontId="1" type="noConversion"/>
  </si>
  <si>
    <t>037-456-4541</t>
    <phoneticPr fontId="1" type="noConversion"/>
  </si>
  <si>
    <t>龍升股份有限公司</t>
    <phoneticPr fontId="1" type="noConversion"/>
  </si>
  <si>
    <t>陳禹凡</t>
    <phoneticPr fontId="1" type="noConversion"/>
  </si>
  <si>
    <t>0933-477-500</t>
    <phoneticPr fontId="1" type="noConversion"/>
  </si>
  <si>
    <t>誠利有限公司</t>
    <phoneticPr fontId="1" type="noConversion"/>
  </si>
  <si>
    <t>余柔雅</t>
    <phoneticPr fontId="1" type="noConversion"/>
  </si>
  <si>
    <t>廠長</t>
    <phoneticPr fontId="1" type="noConversion"/>
  </si>
  <si>
    <t>04-2659-8546</t>
    <phoneticPr fontId="1" type="noConversion"/>
  </si>
  <si>
    <t>英奇電腦用品</t>
    <phoneticPr fontId="1" type="noConversion"/>
  </si>
  <si>
    <t>蔡新駿</t>
    <phoneticPr fontId="1" type="noConversion"/>
  </si>
  <si>
    <t>02-5453-2158</t>
    <phoneticPr fontId="1" type="noConversion"/>
  </si>
  <si>
    <t>展新企業</t>
    <phoneticPr fontId="1" type="noConversion"/>
  </si>
  <si>
    <t>許盛儀</t>
    <phoneticPr fontId="1" type="noConversion"/>
  </si>
  <si>
    <t>0989-732-545</t>
    <phoneticPr fontId="1" type="noConversion"/>
  </si>
  <si>
    <t>茂基有限公司</t>
    <phoneticPr fontId="1" type="noConversion"/>
  </si>
  <si>
    <t>戴文美</t>
    <phoneticPr fontId="1" type="noConversion"/>
  </si>
  <si>
    <t>03-826-6542</t>
    <phoneticPr fontId="1" type="noConversion"/>
  </si>
  <si>
    <t>億塑實業</t>
    <phoneticPr fontId="1" type="noConversion"/>
  </si>
  <si>
    <t>林信揚</t>
    <phoneticPr fontId="1" type="noConversion"/>
  </si>
  <si>
    <t>0982-154-854</t>
    <phoneticPr fontId="1" type="noConversion"/>
  </si>
  <si>
    <t>瑞鴻科技</t>
    <phoneticPr fontId="1" type="noConversion"/>
  </si>
  <si>
    <t>張瑞豐</t>
    <phoneticPr fontId="1" type="noConversion"/>
  </si>
  <si>
    <t>037-456-654</t>
    <phoneticPr fontId="1" type="noConversion"/>
  </si>
  <si>
    <t>長盈國際</t>
    <phoneticPr fontId="1" type="noConversion"/>
  </si>
  <si>
    <t>陳萬元</t>
    <phoneticPr fontId="1" type="noConversion"/>
  </si>
  <si>
    <t>0911-548-666</t>
    <phoneticPr fontId="1" type="noConversion"/>
  </si>
  <si>
    <t>天紅工業有限公司</t>
    <phoneticPr fontId="1" type="noConversion"/>
  </si>
  <si>
    <t>熟晉祥</t>
    <phoneticPr fontId="1" type="noConversion"/>
  </si>
  <si>
    <t>03-546-1225</t>
    <phoneticPr fontId="1" type="noConversion"/>
  </si>
  <si>
    <t>禾新股份有限公司</t>
    <phoneticPr fontId="1" type="noConversion"/>
  </si>
  <si>
    <t>洪廷輝</t>
    <phoneticPr fontId="1" type="noConversion"/>
  </si>
  <si>
    <t>02-2545-6878</t>
    <phoneticPr fontId="1" type="noConversion"/>
  </si>
  <si>
    <t>進原有限公司</t>
    <phoneticPr fontId="1" type="noConversion"/>
  </si>
  <si>
    <t>桌松誠</t>
    <phoneticPr fontId="1" type="noConversion"/>
  </si>
  <si>
    <t>02-5421-5498</t>
    <phoneticPr fontId="1" type="noConversion"/>
  </si>
  <si>
    <t>碩華科技</t>
    <phoneticPr fontId="1" type="noConversion"/>
  </si>
  <si>
    <t>邱智源</t>
    <phoneticPr fontId="1" type="noConversion"/>
  </si>
  <si>
    <t>049-254-2213</t>
    <phoneticPr fontId="1" type="noConversion"/>
  </si>
  <si>
    <t>光安科技</t>
    <phoneticPr fontId="1" type="noConversion"/>
  </si>
  <si>
    <t>黃琦文</t>
    <phoneticPr fontId="1" type="noConversion"/>
  </si>
  <si>
    <t>06-245-5446</t>
    <phoneticPr fontId="1" type="noConversion"/>
  </si>
  <si>
    <t>宏榮企業</t>
    <phoneticPr fontId="1" type="noConversion"/>
  </si>
  <si>
    <t>金育晟</t>
    <phoneticPr fontId="1" type="noConversion"/>
  </si>
  <si>
    <t>0980-554-559</t>
    <phoneticPr fontId="1" type="noConversion"/>
  </si>
  <si>
    <t>建舜實業</t>
    <phoneticPr fontId="1" type="noConversion"/>
  </si>
  <si>
    <t>甄文信</t>
    <phoneticPr fontId="1" type="noConversion"/>
  </si>
  <si>
    <t>03-547-4587</t>
    <phoneticPr fontId="1" type="noConversion"/>
  </si>
  <si>
    <t>寶新電子</t>
    <phoneticPr fontId="1" type="noConversion"/>
  </si>
  <si>
    <t>陳信璋</t>
    <phoneticPr fontId="1" type="noConversion"/>
  </si>
  <si>
    <t>02-2548-7964</t>
    <phoneticPr fontId="1" type="noConversion"/>
  </si>
  <si>
    <t>訂購日期：</t>
    <phoneticPr fontId="1" type="noConversion"/>
  </si>
  <si>
    <t>手機</t>
    <phoneticPr fontId="1" type="noConversion"/>
  </si>
  <si>
    <t>類別</t>
    <phoneticPr fontId="10" type="noConversion"/>
  </si>
  <si>
    <t>商品編號</t>
    <phoneticPr fontId="10" type="noConversion"/>
  </si>
  <si>
    <t>商品名稱</t>
    <phoneticPr fontId="10" type="noConversion"/>
  </si>
  <si>
    <t>單價</t>
    <phoneticPr fontId="10" type="noConversion"/>
  </si>
  <si>
    <t>數量</t>
    <phoneticPr fontId="10" type="noConversion"/>
  </si>
  <si>
    <t>金額</t>
    <phoneticPr fontId="10" type="noConversion"/>
  </si>
  <si>
    <t>iPhone XR 64G</t>
    <phoneticPr fontId="1" type="noConversion"/>
  </si>
  <si>
    <t>iPhone 8 64G</t>
    <phoneticPr fontId="1" type="noConversion"/>
  </si>
  <si>
    <t>iPhone Xs 128G</t>
    <phoneticPr fontId="1" type="noConversion"/>
  </si>
  <si>
    <t>iPhone 8 Plus 64G</t>
    <phoneticPr fontId="1" type="noConversion"/>
  </si>
  <si>
    <t>iPhone 7 Plus 128G</t>
    <phoneticPr fontId="1" type="noConversion"/>
  </si>
  <si>
    <t>平板</t>
    <phoneticPr fontId="1" type="noConversion"/>
  </si>
  <si>
    <t>iPad Pro 12.9" 512G</t>
    <phoneticPr fontId="1" type="noConversion"/>
  </si>
  <si>
    <t>iPad Air 256G</t>
    <phoneticPr fontId="1" type="noConversion"/>
  </si>
  <si>
    <t>iPad 128G</t>
    <phoneticPr fontId="1" type="noConversion"/>
  </si>
  <si>
    <t>iPad mini 256G</t>
    <phoneticPr fontId="1" type="noConversion"/>
  </si>
  <si>
    <t>小計</t>
    <phoneticPr fontId="10" type="noConversion"/>
  </si>
  <si>
    <t>稅金</t>
    <phoneticPr fontId="10" type="noConversion"/>
  </si>
  <si>
    <t>總計</t>
    <phoneticPr fontId="10" type="noConversion"/>
  </si>
  <si>
    <t>哈士奇訂購單</t>
    <phoneticPr fontId="1" type="noConversion"/>
  </si>
  <si>
    <t>無線藍牙耳機</t>
  </si>
  <si>
    <t>新盛門市</t>
  </si>
  <si>
    <t>手機</t>
  </si>
  <si>
    <t>深夜時段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</si>
</sst>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yyyy/mm/dd"/>
    <numFmt numFmtId="177" formatCode="m/d;@"/>
    <numFmt numFmtId="178" formatCode="mm/dd\(aaa\)"/>
    <numFmt numFmtId="179" formatCode="#,##0_ "/>
    <numFmt numFmtId="180" formatCode="[&gt;99999999]0000\-000\-000;000\-000\-000"/>
    <numFmt numFmtId="181" formatCode="#,##0_);[Red]\(#,##0\)"/>
  </numFmts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theme="8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9" fontId="0" fillId="8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9" fontId="0" fillId="0" borderId="1" xfId="0" applyNumberFormat="1" applyBorder="1">
      <alignment vertical="center"/>
    </xf>
    <xf numFmtId="177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0" fillId="12" borderId="4" xfId="0" applyFill="1" applyBorder="1">
      <alignment vertical="center"/>
    </xf>
    <xf numFmtId="0" fontId="5" fillId="12" borderId="4" xfId="0" applyFont="1" applyFill="1" applyBorder="1" applyAlignment="1">
      <alignment horizontal="center" vertical="center"/>
    </xf>
    <xf numFmtId="180" fontId="5" fillId="12" borderId="4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5" fillId="0" borderId="4" xfId="0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12" borderId="5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12" borderId="4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180" fontId="5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179" fontId="5" fillId="13" borderId="1" xfId="0" applyNumberFormat="1" applyFont="1" applyFill="1" applyBorder="1">
      <alignment vertical="center"/>
    </xf>
    <xf numFmtId="179" fontId="4" fillId="0" borderId="1" xfId="0" applyNumberFormat="1" applyFont="1" applyBorder="1">
      <alignment vertical="center"/>
    </xf>
    <xf numFmtId="181" fontId="4" fillId="14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179" fontId="4" fillId="0" borderId="5" xfId="0" applyNumberFormat="1" applyFont="1" applyBorder="1">
      <alignment vertical="center"/>
    </xf>
    <xf numFmtId="181" fontId="4" fillId="14" borderId="5" xfId="0" applyNumberFormat="1" applyFont="1" applyFill="1" applyBorder="1">
      <alignment vertical="center"/>
    </xf>
    <xf numFmtId="0" fontId="4" fillId="0" borderId="9" xfId="0" applyFont="1" applyBorder="1" applyAlignment="1">
      <alignment horizontal="center" vertical="center"/>
    </xf>
    <xf numFmtId="179" fontId="5" fillId="13" borderId="9" xfId="0" applyNumberFormat="1" applyFont="1" applyFill="1" applyBorder="1">
      <alignment vertical="center"/>
    </xf>
    <xf numFmtId="179" fontId="4" fillId="0" borderId="9" xfId="0" applyNumberFormat="1" applyFont="1" applyBorder="1">
      <alignment vertical="center"/>
    </xf>
    <xf numFmtId="181" fontId="4" fillId="14" borderId="9" xfId="0" applyNumberFormat="1" applyFont="1" applyFill="1" applyBorder="1">
      <alignment vertical="center"/>
    </xf>
    <xf numFmtId="0" fontId="4" fillId="5" borderId="10" xfId="0" applyFont="1" applyFill="1" applyBorder="1" applyAlignment="1">
      <alignment horizontal="center" vertical="center"/>
    </xf>
    <xf numFmtId="181" fontId="4" fillId="0" borderId="10" xfId="0" applyNumberFormat="1" applyFont="1" applyBorder="1">
      <alignment vertical="center"/>
    </xf>
    <xf numFmtId="181" fontId="4" fillId="0" borderId="1" xfId="0" applyNumberFormat="1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opLeftCell="A4" workbookViewId="0">
      <selection activeCell="B3" sqref="B3"/>
    </sheetView>
  </sheetViews>
  <sheetFormatPr defaultRowHeight="16.5"/>
  <cols>
    <col min="1" max="1" width="10.5" bestFit="1" customWidth="1"/>
    <col min="2" max="4" width="11.25" customWidth="1"/>
  </cols>
  <sheetData>
    <row r="1" spans="1:4">
      <c r="A1" s="4" t="s">
        <v>50</v>
      </c>
    </row>
    <row r="2" spans="1:4">
      <c r="A2" s="2" t="s">
        <v>0</v>
      </c>
      <c r="B2" s="3" t="s">
        <v>1</v>
      </c>
      <c r="C2" s="3" t="s">
        <v>2</v>
      </c>
      <c r="D2" s="3" t="s">
        <v>3</v>
      </c>
    </row>
    <row r="3" spans="1:4">
      <c r="A3" s="5"/>
      <c r="B3" s="1"/>
      <c r="C3" s="1"/>
      <c r="D3" s="1"/>
    </row>
    <row r="6" spans="1:4">
      <c r="A6" s="2" t="s">
        <v>0</v>
      </c>
      <c r="B6" s="3" t="s">
        <v>1</v>
      </c>
      <c r="C6" s="3" t="s">
        <v>2</v>
      </c>
      <c r="D6" s="3" t="s">
        <v>3</v>
      </c>
    </row>
    <row r="7" spans="1:4">
      <c r="A7" s="1">
        <v>1160</v>
      </c>
      <c r="B7" s="1" t="s">
        <v>5</v>
      </c>
      <c r="C7" s="1" t="s">
        <v>4</v>
      </c>
      <c r="D7" s="1">
        <v>380</v>
      </c>
    </row>
    <row r="8" spans="1:4">
      <c r="A8" s="1">
        <v>1159</v>
      </c>
      <c r="B8" s="1" t="s">
        <v>7</v>
      </c>
      <c r="C8" s="1" t="s">
        <v>6</v>
      </c>
      <c r="D8" s="1">
        <v>358</v>
      </c>
    </row>
    <row r="9" spans="1:4">
      <c r="A9" s="1">
        <v>1035</v>
      </c>
      <c r="B9" s="1" t="s">
        <v>8</v>
      </c>
      <c r="C9" s="1" t="s">
        <v>6</v>
      </c>
      <c r="D9" s="1">
        <v>441</v>
      </c>
    </row>
    <row r="10" spans="1:4">
      <c r="A10" s="1">
        <v>1195</v>
      </c>
      <c r="B10" s="1" t="s">
        <v>9</v>
      </c>
      <c r="C10" s="1" t="s">
        <v>6</v>
      </c>
      <c r="D10" s="1">
        <v>566</v>
      </c>
    </row>
    <row r="11" spans="1:4">
      <c r="A11" s="1">
        <v>1185</v>
      </c>
      <c r="B11" s="1" t="s">
        <v>11</v>
      </c>
      <c r="C11" s="1" t="s">
        <v>10</v>
      </c>
      <c r="D11" s="1">
        <v>368</v>
      </c>
    </row>
    <row r="12" spans="1:4">
      <c r="A12" s="1">
        <v>1167</v>
      </c>
      <c r="B12" s="1" t="s">
        <v>13</v>
      </c>
      <c r="C12" s="1" t="s">
        <v>12</v>
      </c>
      <c r="D12" s="1">
        <v>236</v>
      </c>
    </row>
    <row r="13" spans="1:4">
      <c r="A13" s="1">
        <v>1068</v>
      </c>
      <c r="B13" s="1" t="s">
        <v>14</v>
      </c>
      <c r="C13" s="1" t="s">
        <v>10</v>
      </c>
      <c r="D13" s="1">
        <v>441</v>
      </c>
    </row>
    <row r="14" spans="1:4">
      <c r="A14" s="1">
        <v>1070</v>
      </c>
      <c r="B14" s="1" t="s">
        <v>16</v>
      </c>
      <c r="C14" s="1" t="s">
        <v>15</v>
      </c>
      <c r="D14" s="1">
        <v>196</v>
      </c>
    </row>
    <row r="15" spans="1:4">
      <c r="A15" s="1">
        <v>1239</v>
      </c>
      <c r="B15" s="1" t="s">
        <v>18</v>
      </c>
      <c r="C15" s="1" t="s">
        <v>17</v>
      </c>
      <c r="D15" s="1">
        <v>159</v>
      </c>
    </row>
    <row r="16" spans="1:4">
      <c r="A16" s="1">
        <v>1034</v>
      </c>
      <c r="B16" s="1" t="s">
        <v>19</v>
      </c>
      <c r="C16" s="1" t="s">
        <v>4</v>
      </c>
      <c r="D16" s="1">
        <v>288</v>
      </c>
    </row>
    <row r="17" spans="1:4">
      <c r="A17" s="1">
        <v>1168</v>
      </c>
      <c r="B17" s="1" t="s">
        <v>21</v>
      </c>
      <c r="C17" s="1" t="s">
        <v>20</v>
      </c>
      <c r="D17" s="1">
        <v>196</v>
      </c>
    </row>
    <row r="18" spans="1:4">
      <c r="A18" s="1">
        <v>1130</v>
      </c>
      <c r="B18" s="1" t="s">
        <v>22</v>
      </c>
      <c r="C18" s="1" t="s">
        <v>17</v>
      </c>
      <c r="D18" s="1">
        <v>383</v>
      </c>
    </row>
    <row r="19" spans="1:4">
      <c r="A19" s="1">
        <v>1259</v>
      </c>
      <c r="B19" s="1" t="s">
        <v>23</v>
      </c>
      <c r="C19" s="1" t="s">
        <v>15</v>
      </c>
      <c r="D19" s="1">
        <v>467</v>
      </c>
    </row>
    <row r="20" spans="1:4">
      <c r="A20" s="1">
        <v>1048</v>
      </c>
      <c r="B20" s="1" t="s">
        <v>24</v>
      </c>
      <c r="C20" s="1" t="s">
        <v>15</v>
      </c>
      <c r="D20" s="1">
        <v>587</v>
      </c>
    </row>
    <row r="21" spans="1:4">
      <c r="A21" s="1">
        <v>1192</v>
      </c>
      <c r="B21" s="1" t="s">
        <v>25</v>
      </c>
      <c r="C21" s="1" t="s">
        <v>10</v>
      </c>
      <c r="D21" s="1">
        <v>194</v>
      </c>
    </row>
    <row r="22" spans="1:4">
      <c r="A22" s="1">
        <v>1092</v>
      </c>
      <c r="B22" s="1" t="s">
        <v>26</v>
      </c>
      <c r="C22" s="1" t="s">
        <v>20</v>
      </c>
      <c r="D22" s="1">
        <v>195</v>
      </c>
    </row>
    <row r="23" spans="1:4">
      <c r="A23" s="1">
        <v>1127</v>
      </c>
      <c r="B23" s="1" t="s">
        <v>27</v>
      </c>
      <c r="C23" s="1" t="s">
        <v>10</v>
      </c>
      <c r="D23" s="1">
        <v>526</v>
      </c>
    </row>
    <row r="24" spans="1:4">
      <c r="A24" s="1">
        <v>1085</v>
      </c>
      <c r="B24" s="1" t="s">
        <v>28</v>
      </c>
      <c r="C24" s="1" t="s">
        <v>15</v>
      </c>
      <c r="D24" s="1">
        <v>395</v>
      </c>
    </row>
    <row r="25" spans="1:4">
      <c r="A25" s="1">
        <v>1110</v>
      </c>
      <c r="B25" s="1" t="s">
        <v>29</v>
      </c>
      <c r="C25" s="1" t="s">
        <v>20</v>
      </c>
      <c r="D25" s="1">
        <v>493</v>
      </c>
    </row>
    <row r="26" spans="1:4">
      <c r="A26" s="1">
        <v>1090</v>
      </c>
      <c r="B26" s="1" t="s">
        <v>30</v>
      </c>
      <c r="C26" s="1" t="s">
        <v>15</v>
      </c>
      <c r="D26" s="1">
        <v>503</v>
      </c>
    </row>
    <row r="27" spans="1:4">
      <c r="A27" s="1">
        <v>1137</v>
      </c>
      <c r="B27" s="1" t="s">
        <v>31</v>
      </c>
      <c r="C27" s="1" t="s">
        <v>15</v>
      </c>
      <c r="D27" s="1">
        <v>294</v>
      </c>
    </row>
    <row r="28" spans="1:4">
      <c r="A28" s="1">
        <v>1200</v>
      </c>
      <c r="B28" s="1" t="s">
        <v>32</v>
      </c>
      <c r="C28" s="1" t="s">
        <v>17</v>
      </c>
      <c r="D28" s="1">
        <v>450</v>
      </c>
    </row>
    <row r="29" spans="1:4">
      <c r="A29" s="1">
        <v>1208</v>
      </c>
      <c r="B29" s="1" t="s">
        <v>33</v>
      </c>
      <c r="C29" s="1" t="s">
        <v>20</v>
      </c>
      <c r="D29" s="1">
        <v>580</v>
      </c>
    </row>
    <row r="30" spans="1:4">
      <c r="A30" s="1">
        <v>1293</v>
      </c>
      <c r="B30" s="1" t="s">
        <v>34</v>
      </c>
      <c r="C30" s="1" t="s">
        <v>6</v>
      </c>
      <c r="D30" s="1">
        <v>412</v>
      </c>
    </row>
    <row r="31" spans="1:4">
      <c r="A31" s="1">
        <v>1240</v>
      </c>
      <c r="B31" s="1" t="s">
        <v>35</v>
      </c>
      <c r="C31" s="1" t="s">
        <v>20</v>
      </c>
      <c r="D31" s="1">
        <v>282</v>
      </c>
    </row>
    <row r="32" spans="1:4">
      <c r="A32" s="1">
        <v>1163</v>
      </c>
      <c r="B32" s="1" t="s">
        <v>36</v>
      </c>
      <c r="C32" s="1" t="s">
        <v>4</v>
      </c>
      <c r="D32" s="1">
        <v>512</v>
      </c>
    </row>
    <row r="33" spans="1:4">
      <c r="A33" s="1">
        <v>1245</v>
      </c>
      <c r="B33" s="1" t="s">
        <v>37</v>
      </c>
      <c r="C33" s="1" t="s">
        <v>6</v>
      </c>
      <c r="D33" s="1">
        <v>193</v>
      </c>
    </row>
    <row r="34" spans="1:4">
      <c r="A34" s="1">
        <v>1117</v>
      </c>
      <c r="B34" s="1" t="s">
        <v>38</v>
      </c>
      <c r="C34" s="1" t="s">
        <v>10</v>
      </c>
      <c r="D34" s="1">
        <v>542</v>
      </c>
    </row>
    <row r="35" spans="1:4">
      <c r="A35" s="1">
        <v>1223</v>
      </c>
      <c r="B35" s="1" t="s">
        <v>39</v>
      </c>
      <c r="C35" s="1" t="s">
        <v>12</v>
      </c>
      <c r="D35" s="1">
        <v>547</v>
      </c>
    </row>
    <row r="36" spans="1:4">
      <c r="A36" s="1">
        <v>1239</v>
      </c>
      <c r="B36" s="1" t="s">
        <v>40</v>
      </c>
      <c r="C36" s="1" t="s">
        <v>12</v>
      </c>
      <c r="D36" s="1">
        <v>366</v>
      </c>
    </row>
    <row r="37" spans="1:4">
      <c r="A37" s="1">
        <v>1281</v>
      </c>
      <c r="B37" s="1" t="s">
        <v>41</v>
      </c>
      <c r="C37" s="1" t="s">
        <v>10</v>
      </c>
      <c r="D37" s="1">
        <v>388</v>
      </c>
    </row>
    <row r="38" spans="1:4">
      <c r="A38" s="1">
        <v>1134</v>
      </c>
      <c r="B38" s="1" t="s">
        <v>42</v>
      </c>
      <c r="C38" s="1" t="s">
        <v>20</v>
      </c>
      <c r="D38" s="1">
        <v>507</v>
      </c>
    </row>
    <row r="39" spans="1:4">
      <c r="A39" s="1">
        <v>1031</v>
      </c>
      <c r="B39" s="1" t="s">
        <v>43</v>
      </c>
      <c r="C39" s="1" t="s">
        <v>17</v>
      </c>
      <c r="D39" s="1">
        <v>220</v>
      </c>
    </row>
    <row r="40" spans="1:4">
      <c r="A40" s="1">
        <v>1126</v>
      </c>
      <c r="B40" s="1" t="s">
        <v>44</v>
      </c>
      <c r="C40" s="1" t="s">
        <v>12</v>
      </c>
      <c r="D40" s="1">
        <v>240</v>
      </c>
    </row>
    <row r="41" spans="1:4">
      <c r="A41" s="1">
        <v>1123</v>
      </c>
      <c r="B41" s="1" t="s">
        <v>45</v>
      </c>
      <c r="C41" s="1" t="s">
        <v>10</v>
      </c>
      <c r="D41" s="1">
        <v>354</v>
      </c>
    </row>
    <row r="42" spans="1:4">
      <c r="A42" s="1">
        <v>1161</v>
      </c>
      <c r="B42" s="1" t="s">
        <v>46</v>
      </c>
      <c r="C42" s="1" t="s">
        <v>4</v>
      </c>
      <c r="D42" s="1">
        <v>148</v>
      </c>
    </row>
    <row r="43" spans="1:4">
      <c r="A43" s="1">
        <v>1062</v>
      </c>
      <c r="B43" s="1" t="s">
        <v>47</v>
      </c>
      <c r="C43" s="1" t="s">
        <v>6</v>
      </c>
      <c r="D43" s="1">
        <v>467</v>
      </c>
    </row>
    <row r="44" spans="1:4">
      <c r="A44" s="1">
        <v>1038</v>
      </c>
      <c r="B44" s="1" t="s">
        <v>48</v>
      </c>
      <c r="C44" s="1" t="s">
        <v>12</v>
      </c>
      <c r="D44" s="1">
        <v>251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workbookViewId="0">
      <selection activeCell="B4" sqref="B4"/>
    </sheetView>
  </sheetViews>
  <sheetFormatPr defaultRowHeight="16.5"/>
  <cols>
    <col min="1" max="1" width="10.25" bestFit="1" customWidth="1"/>
  </cols>
  <sheetData>
    <row r="1" spans="1:39">
      <c r="A1" s="4" t="s">
        <v>49</v>
      </c>
    </row>
    <row r="2" spans="1:39">
      <c r="A2" s="2" t="s">
        <v>0</v>
      </c>
      <c r="B2" s="5"/>
    </row>
    <row r="3" spans="1:39">
      <c r="A3" s="3" t="s">
        <v>1</v>
      </c>
      <c r="B3" s="1"/>
    </row>
    <row r="4" spans="1:39">
      <c r="A4" s="3" t="s">
        <v>2</v>
      </c>
      <c r="B4" s="1"/>
    </row>
    <row r="5" spans="1:39">
      <c r="A5" s="3" t="s">
        <v>3</v>
      </c>
      <c r="B5" s="1"/>
    </row>
    <row r="8" spans="1:39">
      <c r="A8" s="2" t="s">
        <v>0</v>
      </c>
      <c r="B8" s="1">
        <v>1160</v>
      </c>
      <c r="C8" s="1">
        <v>1159</v>
      </c>
      <c r="D8" s="1">
        <v>1035</v>
      </c>
      <c r="E8" s="1">
        <v>1195</v>
      </c>
      <c r="F8" s="1">
        <v>1185</v>
      </c>
      <c r="G8" s="1">
        <v>1167</v>
      </c>
      <c r="H8" s="1">
        <v>1068</v>
      </c>
      <c r="I8" s="1">
        <v>1070</v>
      </c>
      <c r="J8" s="1">
        <v>1239</v>
      </c>
      <c r="K8" s="1">
        <v>1034</v>
      </c>
      <c r="L8" s="1">
        <v>1168</v>
      </c>
      <c r="M8" s="1">
        <v>1130</v>
      </c>
      <c r="N8" s="1">
        <v>1259</v>
      </c>
      <c r="O8" s="1">
        <v>1048</v>
      </c>
      <c r="P8" s="1">
        <v>1192</v>
      </c>
      <c r="Q8" s="1">
        <v>1092</v>
      </c>
      <c r="R8" s="1">
        <v>1127</v>
      </c>
      <c r="S8" s="1">
        <v>1085</v>
      </c>
      <c r="T8" s="1">
        <v>1110</v>
      </c>
      <c r="U8" s="1">
        <v>1090</v>
      </c>
      <c r="V8" s="1">
        <v>1137</v>
      </c>
      <c r="W8" s="1">
        <v>1200</v>
      </c>
      <c r="X8" s="1">
        <v>1208</v>
      </c>
      <c r="Y8" s="1">
        <v>1293</v>
      </c>
      <c r="Z8" s="1">
        <v>1240</v>
      </c>
      <c r="AA8" s="1">
        <v>1163</v>
      </c>
      <c r="AB8" s="1">
        <v>1245</v>
      </c>
      <c r="AC8" s="1">
        <v>1117</v>
      </c>
      <c r="AD8" s="1">
        <v>1223</v>
      </c>
      <c r="AE8" s="1">
        <v>1239</v>
      </c>
      <c r="AF8" s="1">
        <v>1281</v>
      </c>
      <c r="AG8" s="1">
        <v>1134</v>
      </c>
      <c r="AH8" s="1">
        <v>1031</v>
      </c>
      <c r="AI8" s="1">
        <v>1126</v>
      </c>
      <c r="AJ8" s="1">
        <v>1123</v>
      </c>
      <c r="AK8" s="1">
        <v>1161</v>
      </c>
      <c r="AL8" s="1">
        <v>1062</v>
      </c>
      <c r="AM8" s="1">
        <v>1038</v>
      </c>
    </row>
    <row r="9" spans="1:39">
      <c r="A9" s="3" t="s">
        <v>1</v>
      </c>
      <c r="B9" s="1" t="s">
        <v>5</v>
      </c>
      <c r="C9" s="1" t="s">
        <v>7</v>
      </c>
      <c r="D9" s="1" t="s">
        <v>8</v>
      </c>
      <c r="E9" s="1" t="s">
        <v>9</v>
      </c>
      <c r="F9" s="1" t="s">
        <v>11</v>
      </c>
      <c r="G9" s="1" t="s">
        <v>13</v>
      </c>
      <c r="H9" s="1" t="s">
        <v>14</v>
      </c>
      <c r="I9" s="1" t="s">
        <v>16</v>
      </c>
      <c r="J9" s="1" t="s">
        <v>18</v>
      </c>
      <c r="K9" s="1" t="s">
        <v>19</v>
      </c>
      <c r="L9" s="1" t="s">
        <v>21</v>
      </c>
      <c r="M9" s="1" t="s">
        <v>22</v>
      </c>
      <c r="N9" s="1" t="s">
        <v>23</v>
      </c>
      <c r="O9" s="1" t="s">
        <v>24</v>
      </c>
      <c r="P9" s="1" t="s">
        <v>25</v>
      </c>
      <c r="Q9" s="1" t="s">
        <v>26</v>
      </c>
      <c r="R9" s="1" t="s">
        <v>27</v>
      </c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  <c r="X9" s="1" t="s">
        <v>33</v>
      </c>
      <c r="Y9" s="1" t="s">
        <v>34</v>
      </c>
      <c r="Z9" s="1" t="s">
        <v>35</v>
      </c>
      <c r="AA9" s="1" t="s">
        <v>36</v>
      </c>
      <c r="AB9" s="1" t="s">
        <v>37</v>
      </c>
      <c r="AC9" s="1" t="s">
        <v>38</v>
      </c>
      <c r="AD9" s="1" t="s">
        <v>39</v>
      </c>
      <c r="AE9" s="1" t="s">
        <v>40</v>
      </c>
      <c r="AF9" s="1" t="s">
        <v>41</v>
      </c>
      <c r="AG9" s="1" t="s">
        <v>42</v>
      </c>
      <c r="AH9" s="1" t="s">
        <v>43</v>
      </c>
      <c r="AI9" s="1" t="s">
        <v>44</v>
      </c>
      <c r="AJ9" s="1" t="s">
        <v>45</v>
      </c>
      <c r="AK9" s="1" t="s">
        <v>46</v>
      </c>
      <c r="AL9" s="1" t="s">
        <v>47</v>
      </c>
      <c r="AM9" s="1" t="s">
        <v>48</v>
      </c>
    </row>
    <row r="10" spans="1:39">
      <c r="A10" s="3" t="s">
        <v>2</v>
      </c>
      <c r="B10" s="1" t="s">
        <v>4</v>
      </c>
      <c r="C10" s="1" t="s">
        <v>6</v>
      </c>
      <c r="D10" s="1" t="s">
        <v>6</v>
      </c>
      <c r="E10" s="1" t="s">
        <v>6</v>
      </c>
      <c r="F10" s="1" t="s">
        <v>10</v>
      </c>
      <c r="G10" s="1" t="s">
        <v>12</v>
      </c>
      <c r="H10" s="1" t="s">
        <v>10</v>
      </c>
      <c r="I10" s="1" t="s">
        <v>15</v>
      </c>
      <c r="J10" s="1" t="s">
        <v>17</v>
      </c>
      <c r="K10" s="1" t="s">
        <v>4</v>
      </c>
      <c r="L10" s="1" t="s">
        <v>20</v>
      </c>
      <c r="M10" s="1" t="s">
        <v>17</v>
      </c>
      <c r="N10" s="1" t="s">
        <v>15</v>
      </c>
      <c r="O10" s="1" t="s">
        <v>15</v>
      </c>
      <c r="P10" s="1" t="s">
        <v>10</v>
      </c>
      <c r="Q10" s="1" t="s">
        <v>20</v>
      </c>
      <c r="R10" s="1" t="s">
        <v>10</v>
      </c>
      <c r="S10" s="1" t="s">
        <v>15</v>
      </c>
      <c r="T10" s="1" t="s">
        <v>20</v>
      </c>
      <c r="U10" s="1" t="s">
        <v>15</v>
      </c>
      <c r="V10" s="1" t="s">
        <v>15</v>
      </c>
      <c r="W10" s="1" t="s">
        <v>17</v>
      </c>
      <c r="X10" s="1" t="s">
        <v>20</v>
      </c>
      <c r="Y10" s="1" t="s">
        <v>6</v>
      </c>
      <c r="Z10" s="1" t="s">
        <v>20</v>
      </c>
      <c r="AA10" s="1" t="s">
        <v>4</v>
      </c>
      <c r="AB10" s="1" t="s">
        <v>6</v>
      </c>
      <c r="AC10" s="1" t="s">
        <v>10</v>
      </c>
      <c r="AD10" s="1" t="s">
        <v>12</v>
      </c>
      <c r="AE10" s="1" t="s">
        <v>12</v>
      </c>
      <c r="AF10" s="1" t="s">
        <v>10</v>
      </c>
      <c r="AG10" s="1" t="s">
        <v>20</v>
      </c>
      <c r="AH10" s="1" t="s">
        <v>17</v>
      </c>
      <c r="AI10" s="1" t="s">
        <v>12</v>
      </c>
      <c r="AJ10" s="1" t="s">
        <v>10</v>
      </c>
      <c r="AK10" s="1" t="s">
        <v>4</v>
      </c>
      <c r="AL10" s="1" t="s">
        <v>6</v>
      </c>
      <c r="AM10" s="1" t="s">
        <v>12</v>
      </c>
    </row>
    <row r="11" spans="1:39">
      <c r="A11" s="3" t="s">
        <v>3</v>
      </c>
      <c r="B11" s="1">
        <v>380</v>
      </c>
      <c r="C11" s="1">
        <v>358</v>
      </c>
      <c r="D11" s="1">
        <v>441</v>
      </c>
      <c r="E11" s="1">
        <v>566</v>
      </c>
      <c r="F11" s="1">
        <v>368</v>
      </c>
      <c r="G11" s="1">
        <v>236</v>
      </c>
      <c r="H11" s="1">
        <v>441</v>
      </c>
      <c r="I11" s="1">
        <v>196</v>
      </c>
      <c r="J11" s="1">
        <v>159</v>
      </c>
      <c r="K11" s="1">
        <v>288</v>
      </c>
      <c r="L11" s="1">
        <v>196</v>
      </c>
      <c r="M11" s="1">
        <v>383</v>
      </c>
      <c r="N11" s="1">
        <v>467</v>
      </c>
      <c r="O11" s="1">
        <v>587</v>
      </c>
      <c r="P11" s="1">
        <v>194</v>
      </c>
      <c r="Q11" s="1">
        <v>195</v>
      </c>
      <c r="R11" s="1">
        <v>526</v>
      </c>
      <c r="S11" s="1">
        <v>395</v>
      </c>
      <c r="T11" s="1">
        <v>493</v>
      </c>
      <c r="U11" s="1">
        <v>503</v>
      </c>
      <c r="V11" s="1">
        <v>294</v>
      </c>
      <c r="W11" s="1">
        <v>450</v>
      </c>
      <c r="X11" s="1">
        <v>580</v>
      </c>
      <c r="Y11" s="1">
        <v>412</v>
      </c>
      <c r="Z11" s="1">
        <v>282</v>
      </c>
      <c r="AA11" s="1">
        <v>512</v>
      </c>
      <c r="AB11" s="1">
        <v>193</v>
      </c>
      <c r="AC11" s="1">
        <v>542</v>
      </c>
      <c r="AD11" s="1">
        <v>547</v>
      </c>
      <c r="AE11" s="1">
        <v>366</v>
      </c>
      <c r="AF11" s="1">
        <v>388</v>
      </c>
      <c r="AG11" s="1">
        <v>507</v>
      </c>
      <c r="AH11" s="1">
        <v>220</v>
      </c>
      <c r="AI11" s="1">
        <v>240</v>
      </c>
      <c r="AJ11" s="1">
        <v>354</v>
      </c>
      <c r="AK11" s="1">
        <v>148</v>
      </c>
      <c r="AL11" s="1">
        <v>467</v>
      </c>
      <c r="AM11" s="1">
        <v>251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C5" sqref="C5"/>
    </sheetView>
  </sheetViews>
  <sheetFormatPr defaultRowHeight="16.5"/>
  <cols>
    <col min="1" max="1" width="8.625" customWidth="1"/>
    <col min="2" max="2" width="10.75" customWidth="1"/>
    <col min="4" max="4" width="13.25" customWidth="1"/>
    <col min="5" max="8" width="12.75" customWidth="1"/>
  </cols>
  <sheetData>
    <row r="1" spans="1:8">
      <c r="A1" s="69" t="s">
        <v>51</v>
      </c>
      <c r="B1" s="69"/>
    </row>
    <row r="2" spans="1:8">
      <c r="A2" s="6" t="s">
        <v>52</v>
      </c>
      <c r="B2" s="27">
        <v>45387</v>
      </c>
      <c r="D2" s="7" t="s">
        <v>52</v>
      </c>
      <c r="E2" s="8" t="s">
        <v>53</v>
      </c>
      <c r="F2" s="9" t="s">
        <v>54</v>
      </c>
      <c r="G2" s="9" t="s">
        <v>55</v>
      </c>
      <c r="H2" s="9" t="s">
        <v>56</v>
      </c>
    </row>
    <row r="3" spans="1:8">
      <c r="A3" s="6" t="s">
        <v>57</v>
      </c>
      <c r="B3" s="28" t="s">
        <v>199</v>
      </c>
      <c r="D3" s="10">
        <v>45383</v>
      </c>
      <c r="E3" s="11" t="s">
        <v>58</v>
      </c>
      <c r="F3" s="1" t="s">
        <v>58</v>
      </c>
      <c r="G3" s="12" t="s">
        <v>59</v>
      </c>
      <c r="H3" s="1" t="s">
        <v>58</v>
      </c>
    </row>
    <row r="4" spans="1:8">
      <c r="A4" s="6" t="s">
        <v>60</v>
      </c>
      <c r="B4" s="1" t="str">
        <f>INDEX(E3:H33,MATCH(B2,D3:D33,0),MATCH(B3,E2:H2,0))</f>
        <v>可訂位</v>
      </c>
      <c r="D4" s="10">
        <v>45384</v>
      </c>
      <c r="E4" s="11" t="s">
        <v>58</v>
      </c>
      <c r="F4" s="13" t="s">
        <v>59</v>
      </c>
      <c r="G4" s="1" t="s">
        <v>58</v>
      </c>
      <c r="H4" s="1" t="s">
        <v>58</v>
      </c>
    </row>
    <row r="5" spans="1:8">
      <c r="B5" t="str">
        <f>IFERROR(INDEX(E3:H33,MATCH(B2,D3:D33,0),MATCH(B3,E2:H2,0)),"請輸入日期")</f>
        <v>可訂位</v>
      </c>
      <c r="D5" s="10">
        <v>45385</v>
      </c>
      <c r="E5" s="11" t="s">
        <v>58</v>
      </c>
      <c r="F5" s="1" t="s">
        <v>58</v>
      </c>
      <c r="G5" s="1" t="s">
        <v>58</v>
      </c>
      <c r="H5" s="1" t="s">
        <v>58</v>
      </c>
    </row>
    <row r="6" spans="1:8">
      <c r="D6" s="10">
        <v>45386</v>
      </c>
      <c r="E6" s="13" t="s">
        <v>59</v>
      </c>
      <c r="F6" s="1" t="s">
        <v>58</v>
      </c>
      <c r="G6" s="1" t="s">
        <v>58</v>
      </c>
      <c r="H6" s="13" t="s">
        <v>59</v>
      </c>
    </row>
    <row r="7" spans="1:8">
      <c r="D7" s="10">
        <v>45387</v>
      </c>
      <c r="E7" s="11" t="s">
        <v>58</v>
      </c>
      <c r="F7" s="13" t="s">
        <v>59</v>
      </c>
      <c r="G7" s="1" t="s">
        <v>58</v>
      </c>
      <c r="H7" s="1" t="s">
        <v>58</v>
      </c>
    </row>
    <row r="8" spans="1:8">
      <c r="D8" s="10">
        <v>45388</v>
      </c>
      <c r="E8" s="14" t="s">
        <v>59</v>
      </c>
      <c r="F8" s="15" t="s">
        <v>58</v>
      </c>
      <c r="G8" s="16" t="s">
        <v>59</v>
      </c>
      <c r="H8" s="15" t="s">
        <v>58</v>
      </c>
    </row>
    <row r="9" spans="1:8">
      <c r="D9" s="10">
        <v>45389</v>
      </c>
      <c r="E9" s="17" t="s">
        <v>59</v>
      </c>
      <c r="F9" s="15" t="s">
        <v>58</v>
      </c>
      <c r="G9" s="16" t="s">
        <v>59</v>
      </c>
      <c r="H9" s="15" t="s">
        <v>58</v>
      </c>
    </row>
    <row r="10" spans="1:8">
      <c r="D10" s="10">
        <v>45390</v>
      </c>
      <c r="E10" s="11" t="s">
        <v>58</v>
      </c>
      <c r="F10" s="1" t="s">
        <v>58</v>
      </c>
      <c r="G10" s="1" t="s">
        <v>58</v>
      </c>
      <c r="H10" s="1" t="s">
        <v>58</v>
      </c>
    </row>
    <row r="11" spans="1:8">
      <c r="D11" s="10">
        <v>45391</v>
      </c>
      <c r="E11" s="11" t="s">
        <v>58</v>
      </c>
      <c r="F11" s="12" t="s">
        <v>59</v>
      </c>
      <c r="G11" s="1" t="s">
        <v>58</v>
      </c>
      <c r="H11" s="1" t="s">
        <v>58</v>
      </c>
    </row>
    <row r="12" spans="1:8">
      <c r="D12" s="10">
        <v>45392</v>
      </c>
      <c r="E12" s="18" t="s">
        <v>61</v>
      </c>
      <c r="F12" s="19" t="s">
        <v>61</v>
      </c>
      <c r="G12" s="19" t="s">
        <v>61</v>
      </c>
      <c r="H12" s="19" t="s">
        <v>61</v>
      </c>
    </row>
    <row r="13" spans="1:8">
      <c r="D13" s="10">
        <v>45393</v>
      </c>
      <c r="E13" s="11" t="s">
        <v>58</v>
      </c>
      <c r="F13" s="12" t="s">
        <v>59</v>
      </c>
      <c r="G13" s="1" t="s">
        <v>58</v>
      </c>
      <c r="H13" s="1" t="s">
        <v>58</v>
      </c>
    </row>
    <row r="14" spans="1:8">
      <c r="D14" s="10">
        <v>45394</v>
      </c>
      <c r="E14" s="11" t="s">
        <v>58</v>
      </c>
      <c r="F14" s="1" t="s">
        <v>58</v>
      </c>
      <c r="G14" s="1" t="s">
        <v>58</v>
      </c>
      <c r="H14" s="1" t="s">
        <v>58</v>
      </c>
    </row>
    <row r="15" spans="1:8">
      <c r="D15" s="10">
        <v>45395</v>
      </c>
      <c r="E15" s="20" t="s">
        <v>58</v>
      </c>
      <c r="F15" s="21" t="s">
        <v>59</v>
      </c>
      <c r="G15" s="16" t="s">
        <v>59</v>
      </c>
      <c r="H15" s="16" t="s">
        <v>59</v>
      </c>
    </row>
    <row r="16" spans="1:8">
      <c r="D16" s="10">
        <v>45396</v>
      </c>
      <c r="E16" s="16" t="s">
        <v>59</v>
      </c>
      <c r="F16" s="15" t="s">
        <v>58</v>
      </c>
      <c r="G16" s="16" t="s">
        <v>59</v>
      </c>
      <c r="H16" s="15" t="s">
        <v>58</v>
      </c>
    </row>
    <row r="17" spans="4:8">
      <c r="D17" s="10">
        <v>45397</v>
      </c>
      <c r="E17" s="13" t="s">
        <v>59</v>
      </c>
      <c r="F17" s="1" t="s">
        <v>58</v>
      </c>
      <c r="G17" s="1" t="s">
        <v>58</v>
      </c>
      <c r="H17" s="1" t="s">
        <v>58</v>
      </c>
    </row>
    <row r="18" spans="4:8">
      <c r="D18" s="10">
        <v>45398</v>
      </c>
      <c r="E18" s="11" t="s">
        <v>58</v>
      </c>
      <c r="F18" s="12" t="s">
        <v>59</v>
      </c>
      <c r="G18" s="1" t="s">
        <v>58</v>
      </c>
      <c r="H18" s="12" t="s">
        <v>59</v>
      </c>
    </row>
    <row r="19" spans="4:8">
      <c r="D19" s="10">
        <v>45399</v>
      </c>
      <c r="E19" s="11" t="s">
        <v>58</v>
      </c>
      <c r="F19" s="1" t="s">
        <v>58</v>
      </c>
      <c r="G19" s="1" t="s">
        <v>58</v>
      </c>
      <c r="H19" s="1" t="s">
        <v>58</v>
      </c>
    </row>
    <row r="20" spans="4:8">
      <c r="D20" s="10">
        <v>45400</v>
      </c>
      <c r="E20" s="13" t="s">
        <v>59</v>
      </c>
      <c r="F20" s="1" t="s">
        <v>58</v>
      </c>
      <c r="G20" s="12" t="s">
        <v>59</v>
      </c>
      <c r="H20" s="1" t="s">
        <v>58</v>
      </c>
    </row>
    <row r="21" spans="4:8">
      <c r="D21" s="10">
        <v>45401</v>
      </c>
      <c r="E21" s="11" t="s">
        <v>58</v>
      </c>
      <c r="F21" s="1" t="s">
        <v>58</v>
      </c>
      <c r="G21" s="1" t="s">
        <v>58</v>
      </c>
      <c r="H21" s="1" t="s">
        <v>58</v>
      </c>
    </row>
    <row r="22" spans="4:8">
      <c r="D22" s="10">
        <v>45402</v>
      </c>
      <c r="E22" s="20" t="s">
        <v>58</v>
      </c>
      <c r="F22" s="21" t="s">
        <v>59</v>
      </c>
      <c r="G22" s="21" t="s">
        <v>59</v>
      </c>
      <c r="H22" s="15" t="s">
        <v>58</v>
      </c>
    </row>
    <row r="23" spans="4:8">
      <c r="D23" s="10">
        <v>45403</v>
      </c>
      <c r="E23" s="21" t="s">
        <v>59</v>
      </c>
      <c r="F23" s="15" t="s">
        <v>58</v>
      </c>
      <c r="G23" s="15" t="s">
        <v>58</v>
      </c>
      <c r="H23" s="15" t="s">
        <v>58</v>
      </c>
    </row>
    <row r="24" spans="4:8">
      <c r="D24" s="10">
        <v>45404</v>
      </c>
      <c r="E24" s="11" t="s">
        <v>58</v>
      </c>
      <c r="F24" s="12" t="s">
        <v>59</v>
      </c>
      <c r="G24" s="1" t="s">
        <v>58</v>
      </c>
      <c r="H24" s="1" t="s">
        <v>58</v>
      </c>
    </row>
    <row r="25" spans="4:8">
      <c r="D25" s="10">
        <v>45405</v>
      </c>
      <c r="E25" s="11" t="s">
        <v>58</v>
      </c>
      <c r="F25" s="1" t="s">
        <v>58</v>
      </c>
      <c r="G25" s="1" t="s">
        <v>58</v>
      </c>
      <c r="H25" s="1" t="s">
        <v>58</v>
      </c>
    </row>
    <row r="26" spans="4:8">
      <c r="D26" s="10">
        <v>45406</v>
      </c>
      <c r="E26" s="18" t="s">
        <v>61</v>
      </c>
      <c r="F26" s="19" t="s">
        <v>61</v>
      </c>
      <c r="G26" s="19" t="s">
        <v>61</v>
      </c>
      <c r="H26" s="19" t="s">
        <v>61</v>
      </c>
    </row>
    <row r="27" spans="4:8">
      <c r="D27" s="10">
        <v>45407</v>
      </c>
      <c r="E27" s="11" t="s">
        <v>58</v>
      </c>
      <c r="F27" s="12" t="s">
        <v>59</v>
      </c>
      <c r="G27" s="1" t="s">
        <v>58</v>
      </c>
      <c r="H27" s="1" t="s">
        <v>58</v>
      </c>
    </row>
    <row r="28" spans="4:8">
      <c r="D28" s="10">
        <v>45408</v>
      </c>
      <c r="E28" s="12" t="s">
        <v>59</v>
      </c>
      <c r="F28" s="1" t="s">
        <v>58</v>
      </c>
      <c r="G28" s="1" t="s">
        <v>58</v>
      </c>
      <c r="H28" s="1" t="s">
        <v>58</v>
      </c>
    </row>
    <row r="29" spans="4:8">
      <c r="D29" s="10">
        <v>45409</v>
      </c>
      <c r="E29" s="20" t="s">
        <v>58</v>
      </c>
      <c r="F29" s="21" t="s">
        <v>59</v>
      </c>
      <c r="G29" s="15" t="s">
        <v>58</v>
      </c>
      <c r="H29" s="21" t="s">
        <v>59</v>
      </c>
    </row>
    <row r="30" spans="4:8">
      <c r="D30" s="10">
        <v>45410</v>
      </c>
      <c r="E30" s="14" t="s">
        <v>59</v>
      </c>
      <c r="F30" s="15" t="s">
        <v>58</v>
      </c>
      <c r="G30" s="21" t="s">
        <v>59</v>
      </c>
      <c r="H30" s="15" t="s">
        <v>58</v>
      </c>
    </row>
    <row r="31" spans="4:8">
      <c r="D31" s="10">
        <v>45411</v>
      </c>
      <c r="E31" s="11" t="s">
        <v>58</v>
      </c>
      <c r="F31" s="1" t="s">
        <v>58</v>
      </c>
      <c r="G31" s="1" t="s">
        <v>58</v>
      </c>
      <c r="H31" s="1" t="s">
        <v>58</v>
      </c>
    </row>
    <row r="32" spans="4:8">
      <c r="D32" s="10">
        <v>45412</v>
      </c>
      <c r="E32" s="12" t="s">
        <v>59</v>
      </c>
      <c r="F32" s="1" t="s">
        <v>58</v>
      </c>
      <c r="G32" s="12" t="s">
        <v>59</v>
      </c>
      <c r="H32" s="1" t="s">
        <v>58</v>
      </c>
    </row>
    <row r="33" spans="4:8">
      <c r="D33" s="10">
        <v>45413</v>
      </c>
      <c r="E33" s="11" t="s">
        <v>58</v>
      </c>
      <c r="F33" s="12" t="s">
        <v>59</v>
      </c>
      <c r="G33" s="1" t="s">
        <v>58</v>
      </c>
      <c r="H33" s="1" t="s">
        <v>58</v>
      </c>
    </row>
  </sheetData>
  <mergeCells count="1">
    <mergeCell ref="A1:B1"/>
  </mergeCells>
  <phoneticPr fontId="1" type="noConversion"/>
  <dataValidations count="2">
    <dataValidation type="list" allowBlank="1" showInputMessage="1" showErrorMessage="1" sqref="B3">
      <formula1>$E$2:$H$2</formula1>
    </dataValidation>
    <dataValidation type="list" allowBlank="1" showInputMessage="1" showErrorMessage="1" sqref="B2">
      <formula1>$D$3:$D$33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C4" sqref="C4"/>
    </sheetView>
  </sheetViews>
  <sheetFormatPr defaultRowHeight="16.5"/>
  <cols>
    <col min="1" max="1" width="11.75" customWidth="1"/>
    <col min="2" max="6" width="14.625" customWidth="1"/>
  </cols>
  <sheetData>
    <row r="1" spans="1:6">
      <c r="A1" s="4" t="s">
        <v>62</v>
      </c>
    </row>
    <row r="2" spans="1:6">
      <c r="A2" s="22" t="s">
        <v>63</v>
      </c>
      <c r="B2" s="23" t="s">
        <v>196</v>
      </c>
    </row>
    <row r="3" spans="1:6">
      <c r="A3" s="22" t="s">
        <v>64</v>
      </c>
      <c r="B3" s="23" t="s">
        <v>197</v>
      </c>
    </row>
    <row r="4" spans="1:6">
      <c r="A4" s="22" t="s">
        <v>65</v>
      </c>
      <c r="B4" s="24">
        <f ca="1">INDIRECT(B2) INDIRECT(B3)</f>
        <v>777</v>
      </c>
    </row>
    <row r="5" spans="1:6">
      <c r="A5" s="4"/>
    </row>
    <row r="6" spans="1:6">
      <c r="A6" s="4"/>
    </row>
    <row r="7" spans="1:6">
      <c r="A7" s="3"/>
      <c r="B7" s="3" t="s">
        <v>66</v>
      </c>
      <c r="C7" s="3" t="s">
        <v>67</v>
      </c>
      <c r="D7" s="3" t="s">
        <v>68</v>
      </c>
      <c r="E7" s="3" t="s">
        <v>69</v>
      </c>
      <c r="F7" s="3" t="s">
        <v>70</v>
      </c>
    </row>
    <row r="8" spans="1:6">
      <c r="A8" s="25" t="s">
        <v>71</v>
      </c>
      <c r="B8" s="26">
        <v>777</v>
      </c>
      <c r="C8" s="26">
        <v>2357</v>
      </c>
      <c r="D8" s="26">
        <v>733</v>
      </c>
      <c r="E8" s="26">
        <v>981</v>
      </c>
      <c r="F8" s="26">
        <v>2029</v>
      </c>
    </row>
    <row r="9" spans="1:6">
      <c r="A9" s="25" t="s">
        <v>72</v>
      </c>
      <c r="B9" s="26">
        <v>1071</v>
      </c>
      <c r="C9" s="26">
        <v>2750</v>
      </c>
      <c r="D9" s="26">
        <v>3782</v>
      </c>
      <c r="E9" s="26">
        <v>3980</v>
      </c>
      <c r="F9" s="26">
        <v>3693</v>
      </c>
    </row>
    <row r="10" spans="1:6">
      <c r="A10" s="25" t="s">
        <v>73</v>
      </c>
      <c r="B10" s="26">
        <v>418</v>
      </c>
      <c r="C10" s="26">
        <v>1002</v>
      </c>
      <c r="D10" s="26">
        <v>3033</v>
      </c>
      <c r="E10" s="26">
        <v>3862</v>
      </c>
      <c r="F10" s="26">
        <v>1252</v>
      </c>
    </row>
    <row r="11" spans="1:6">
      <c r="A11" s="25" t="s">
        <v>74</v>
      </c>
      <c r="B11" s="26">
        <v>3953</v>
      </c>
      <c r="C11" s="26">
        <v>3104</v>
      </c>
      <c r="D11" s="26">
        <v>1277</v>
      </c>
      <c r="E11" s="26">
        <v>1207</v>
      </c>
      <c r="F11" s="26">
        <v>3753</v>
      </c>
    </row>
    <row r="12" spans="1:6">
      <c r="A12" s="25" t="s">
        <v>75</v>
      </c>
      <c r="B12" s="26">
        <v>2128</v>
      </c>
      <c r="C12" s="26">
        <v>1330</v>
      </c>
      <c r="D12" s="26">
        <v>3448</v>
      </c>
      <c r="E12" s="26">
        <v>2123</v>
      </c>
      <c r="F12" s="26">
        <v>2214</v>
      </c>
    </row>
    <row r="13" spans="1:6">
      <c r="A13" s="25" t="s">
        <v>76</v>
      </c>
      <c r="B13" s="26">
        <v>2410</v>
      </c>
      <c r="C13" s="26">
        <v>2069</v>
      </c>
      <c r="D13" s="26">
        <v>1265</v>
      </c>
      <c r="E13" s="26">
        <v>3352</v>
      </c>
      <c r="F13" s="26">
        <v>2195</v>
      </c>
    </row>
    <row r="14" spans="1:6">
      <c r="A14" s="25" t="s">
        <v>77</v>
      </c>
      <c r="B14" s="26">
        <v>1193</v>
      </c>
      <c r="C14" s="26">
        <v>3879</v>
      </c>
      <c r="D14" s="26">
        <v>3500</v>
      </c>
      <c r="E14" s="26">
        <v>3249</v>
      </c>
      <c r="F14" s="26">
        <v>2330</v>
      </c>
    </row>
    <row r="15" spans="1:6">
      <c r="A15" s="25" t="s">
        <v>78</v>
      </c>
      <c r="B15" s="26">
        <v>980</v>
      </c>
      <c r="C15" s="26">
        <v>3444</v>
      </c>
      <c r="D15" s="26">
        <v>3646</v>
      </c>
      <c r="E15" s="26">
        <v>2724</v>
      </c>
      <c r="F15" s="26">
        <v>3999</v>
      </c>
    </row>
    <row r="16" spans="1:6">
      <c r="A16" s="25" t="s">
        <v>79</v>
      </c>
      <c r="B16" s="26">
        <v>1764</v>
      </c>
      <c r="C16" s="26">
        <v>3778</v>
      </c>
      <c r="D16" s="26">
        <v>3440</v>
      </c>
      <c r="E16" s="26">
        <v>3494</v>
      </c>
      <c r="F16" s="26">
        <v>999</v>
      </c>
    </row>
    <row r="17" spans="1:6">
      <c r="A17" s="25" t="s">
        <v>80</v>
      </c>
      <c r="B17" s="26">
        <v>988</v>
      </c>
      <c r="C17" s="26">
        <v>2487</v>
      </c>
      <c r="D17" s="26">
        <v>3548</v>
      </c>
      <c r="E17" s="26">
        <v>2547</v>
      </c>
      <c r="F17" s="26">
        <v>1587</v>
      </c>
    </row>
    <row r="18" spans="1:6">
      <c r="A18" s="25" t="s">
        <v>81</v>
      </c>
      <c r="B18" s="26">
        <v>1875</v>
      </c>
      <c r="C18" s="26">
        <v>3054</v>
      </c>
      <c r="D18" s="26">
        <v>2547</v>
      </c>
      <c r="E18" s="26">
        <v>984</v>
      </c>
      <c r="F18" s="26">
        <v>1587</v>
      </c>
    </row>
  </sheetData>
  <phoneticPr fontId="1" type="noConversion"/>
  <dataValidations count="2">
    <dataValidation type="list" allowBlank="1" showInputMessage="1" showErrorMessage="1" sqref="B3">
      <formula1>$A$8:$A$18</formula1>
    </dataValidation>
    <dataValidation type="list" allowBlank="1" showInputMessage="1" showErrorMessage="1" sqref="B2">
      <formula1>$B$7:$F$7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E6" sqref="E6"/>
    </sheetView>
  </sheetViews>
  <sheetFormatPr defaultRowHeight="16.5"/>
  <cols>
    <col min="2" max="2" width="20.25" customWidth="1"/>
    <col min="3" max="3" width="12.875" customWidth="1"/>
    <col min="4" max="4" width="12.375" customWidth="1"/>
    <col min="5" max="5" width="12.625" customWidth="1"/>
    <col min="6" max="6" width="18" customWidth="1"/>
  </cols>
  <sheetData>
    <row r="1" spans="2:6">
      <c r="B1" s="4" t="s">
        <v>82</v>
      </c>
    </row>
    <row r="2" spans="2:6">
      <c r="B2" s="29" t="s">
        <v>83</v>
      </c>
    </row>
    <row r="3" spans="2:6">
      <c r="B3" s="23"/>
    </row>
    <row r="5" spans="2:6">
      <c r="B5" s="29" t="s">
        <v>84</v>
      </c>
      <c r="C5" s="29" t="s">
        <v>85</v>
      </c>
      <c r="D5" s="29" t="s">
        <v>86</v>
      </c>
      <c r="E5" s="29" t="s">
        <v>87</v>
      </c>
    </row>
    <row r="6" spans="2:6">
      <c r="B6" s="1"/>
      <c r="C6" s="1"/>
      <c r="D6" s="1"/>
      <c r="E6" s="1"/>
    </row>
    <row r="9" spans="2:6">
      <c r="B9" s="30" t="s">
        <v>83</v>
      </c>
      <c r="C9" s="30" t="s">
        <v>84</v>
      </c>
      <c r="D9" s="30" t="s">
        <v>85</v>
      </c>
      <c r="E9" s="31" t="s">
        <v>86</v>
      </c>
      <c r="F9" s="31" t="s">
        <v>87</v>
      </c>
    </row>
    <row r="10" spans="2:6">
      <c r="B10" s="32" t="s">
        <v>88</v>
      </c>
      <c r="C10" s="33">
        <v>87664409</v>
      </c>
      <c r="D10" s="34" t="s">
        <v>89</v>
      </c>
      <c r="E10" s="34" t="s">
        <v>90</v>
      </c>
      <c r="F10" s="35" t="s">
        <v>91</v>
      </c>
    </row>
    <row r="11" spans="2:6">
      <c r="B11" s="36" t="s">
        <v>92</v>
      </c>
      <c r="C11" s="37">
        <v>80131317</v>
      </c>
      <c r="D11" s="38" t="s">
        <v>93</v>
      </c>
      <c r="E11" s="38" t="s">
        <v>94</v>
      </c>
      <c r="F11" s="39" t="s">
        <v>95</v>
      </c>
    </row>
    <row r="12" spans="2:6">
      <c r="B12" s="32" t="s">
        <v>96</v>
      </c>
      <c r="C12" s="33">
        <v>45712555</v>
      </c>
      <c r="D12" s="34" t="s">
        <v>97</v>
      </c>
      <c r="E12" s="34" t="s">
        <v>98</v>
      </c>
      <c r="F12" s="35" t="s">
        <v>99</v>
      </c>
    </row>
    <row r="13" spans="2:6">
      <c r="B13" s="36" t="s">
        <v>100</v>
      </c>
      <c r="C13" s="37">
        <v>47935457</v>
      </c>
      <c r="D13" s="38" t="s">
        <v>101</v>
      </c>
      <c r="E13" s="38" t="s">
        <v>102</v>
      </c>
      <c r="F13" s="39" t="s">
        <v>103</v>
      </c>
    </row>
    <row r="14" spans="2:6">
      <c r="B14" s="32" t="s">
        <v>104</v>
      </c>
      <c r="C14" s="33">
        <v>69497146</v>
      </c>
      <c r="D14" s="34" t="s">
        <v>105</v>
      </c>
      <c r="E14" s="34" t="s">
        <v>90</v>
      </c>
      <c r="F14" s="40" t="s">
        <v>106</v>
      </c>
    </row>
    <row r="15" spans="2:6">
      <c r="B15" s="36" t="s">
        <v>107</v>
      </c>
      <c r="C15" s="37">
        <v>83101347</v>
      </c>
      <c r="D15" s="38" t="s">
        <v>108</v>
      </c>
      <c r="E15" s="38" t="s">
        <v>94</v>
      </c>
      <c r="F15" s="39" t="s">
        <v>109</v>
      </c>
    </row>
    <row r="16" spans="2:6">
      <c r="B16" s="32" t="s">
        <v>110</v>
      </c>
      <c r="C16" s="33">
        <v>24360468</v>
      </c>
      <c r="D16" s="34" t="s">
        <v>111</v>
      </c>
      <c r="E16" s="34" t="s">
        <v>112</v>
      </c>
      <c r="F16" s="35" t="s">
        <v>113</v>
      </c>
    </row>
    <row r="17" spans="2:6">
      <c r="B17" s="36" t="s">
        <v>114</v>
      </c>
      <c r="C17" s="37">
        <v>81660414</v>
      </c>
      <c r="D17" s="38" t="s">
        <v>115</v>
      </c>
      <c r="E17" s="38" t="s">
        <v>116</v>
      </c>
      <c r="F17" s="39" t="s">
        <v>117</v>
      </c>
    </row>
    <row r="18" spans="2:6">
      <c r="B18" s="32" t="s">
        <v>118</v>
      </c>
      <c r="C18" s="33">
        <v>77882454</v>
      </c>
      <c r="D18" s="34" t="s">
        <v>119</v>
      </c>
      <c r="E18" s="34" t="s">
        <v>102</v>
      </c>
      <c r="F18" s="35" t="s">
        <v>120</v>
      </c>
    </row>
    <row r="19" spans="2:6">
      <c r="B19" s="41" t="s">
        <v>121</v>
      </c>
      <c r="C19" s="37">
        <v>53818286</v>
      </c>
      <c r="D19" s="38" t="s">
        <v>122</v>
      </c>
      <c r="E19" s="38" t="s">
        <v>123</v>
      </c>
      <c r="F19" s="39" t="s">
        <v>124</v>
      </c>
    </row>
    <row r="20" spans="2:6">
      <c r="B20" s="42" t="s">
        <v>125</v>
      </c>
      <c r="C20" s="33">
        <v>32088042</v>
      </c>
      <c r="D20" s="34" t="s">
        <v>126</v>
      </c>
      <c r="E20" s="34" t="s">
        <v>112</v>
      </c>
      <c r="F20" s="35" t="s">
        <v>127</v>
      </c>
    </row>
    <row r="21" spans="2:6">
      <c r="B21" s="41" t="s">
        <v>128</v>
      </c>
      <c r="C21" s="37">
        <v>60510359</v>
      </c>
      <c r="D21" s="38" t="s">
        <v>129</v>
      </c>
      <c r="E21" s="38" t="s">
        <v>130</v>
      </c>
      <c r="F21" s="39" t="s">
        <v>131</v>
      </c>
    </row>
    <row r="22" spans="2:6">
      <c r="B22" s="42" t="s">
        <v>132</v>
      </c>
      <c r="C22" s="33">
        <v>65846435</v>
      </c>
      <c r="D22" s="34" t="s">
        <v>133</v>
      </c>
      <c r="E22" s="34" t="s">
        <v>123</v>
      </c>
      <c r="F22" s="35" t="s">
        <v>134</v>
      </c>
    </row>
    <row r="23" spans="2:6">
      <c r="B23" s="41" t="s">
        <v>135</v>
      </c>
      <c r="C23" s="37">
        <v>52509876</v>
      </c>
      <c r="D23" s="38" t="s">
        <v>136</v>
      </c>
      <c r="E23" s="38" t="s">
        <v>90</v>
      </c>
      <c r="F23" s="39" t="s">
        <v>137</v>
      </c>
    </row>
    <row r="24" spans="2:6">
      <c r="B24" s="42" t="s">
        <v>138</v>
      </c>
      <c r="C24" s="33">
        <v>42387086</v>
      </c>
      <c r="D24" s="34" t="s">
        <v>139</v>
      </c>
      <c r="E24" s="34" t="s">
        <v>116</v>
      </c>
      <c r="F24" s="35" t="s">
        <v>140</v>
      </c>
    </row>
    <row r="25" spans="2:6">
      <c r="B25" s="41" t="s">
        <v>141</v>
      </c>
      <c r="C25" s="37">
        <v>25659101</v>
      </c>
      <c r="D25" s="38" t="s">
        <v>142</v>
      </c>
      <c r="E25" s="38" t="s">
        <v>98</v>
      </c>
      <c r="F25" s="39" t="s">
        <v>143</v>
      </c>
    </row>
    <row r="26" spans="2:6">
      <c r="B26" s="42" t="s">
        <v>144</v>
      </c>
      <c r="C26" s="33">
        <v>74636127</v>
      </c>
      <c r="D26" s="34" t="s">
        <v>145</v>
      </c>
      <c r="E26" s="34" t="s">
        <v>102</v>
      </c>
      <c r="F26" s="35" t="s">
        <v>146</v>
      </c>
    </row>
    <row r="27" spans="2:6">
      <c r="B27" s="41" t="s">
        <v>147</v>
      </c>
      <c r="C27" s="37">
        <v>64309898</v>
      </c>
      <c r="D27" s="38" t="s">
        <v>148</v>
      </c>
      <c r="E27" s="38" t="s">
        <v>112</v>
      </c>
      <c r="F27" s="39" t="s">
        <v>149</v>
      </c>
    </row>
    <row r="28" spans="2:6">
      <c r="B28" s="42" t="s">
        <v>150</v>
      </c>
      <c r="C28" s="33">
        <v>48953698</v>
      </c>
      <c r="D28" s="34" t="s">
        <v>151</v>
      </c>
      <c r="E28" s="34" t="s">
        <v>94</v>
      </c>
      <c r="F28" s="40" t="s">
        <v>152</v>
      </c>
    </row>
    <row r="29" spans="2:6">
      <c r="B29" s="41" t="s">
        <v>153</v>
      </c>
      <c r="C29" s="37">
        <v>83903460</v>
      </c>
      <c r="D29" s="38" t="s">
        <v>154</v>
      </c>
      <c r="E29" s="38" t="s">
        <v>102</v>
      </c>
      <c r="F29" s="39" t="s">
        <v>155</v>
      </c>
    </row>
    <row r="30" spans="2:6">
      <c r="B30" s="42" t="s">
        <v>156</v>
      </c>
      <c r="C30" s="33">
        <v>87224668</v>
      </c>
      <c r="D30" s="34" t="s">
        <v>157</v>
      </c>
      <c r="E30" s="34" t="s">
        <v>98</v>
      </c>
      <c r="F30" s="35" t="s">
        <v>158</v>
      </c>
    </row>
    <row r="31" spans="2:6">
      <c r="B31" s="41" t="s">
        <v>159</v>
      </c>
      <c r="C31" s="37">
        <v>57494315</v>
      </c>
      <c r="D31" s="38" t="s">
        <v>160</v>
      </c>
      <c r="E31" s="38" t="s">
        <v>90</v>
      </c>
      <c r="F31" s="39" t="s">
        <v>161</v>
      </c>
    </row>
    <row r="32" spans="2:6">
      <c r="B32" s="42" t="s">
        <v>162</v>
      </c>
      <c r="C32" s="33">
        <v>86672744</v>
      </c>
      <c r="D32" s="34" t="s">
        <v>163</v>
      </c>
      <c r="E32" s="34" t="s">
        <v>130</v>
      </c>
      <c r="F32" s="35" t="s">
        <v>164</v>
      </c>
    </row>
    <row r="33" spans="2:6">
      <c r="B33" s="41" t="s">
        <v>165</v>
      </c>
      <c r="C33" s="37">
        <v>33587394</v>
      </c>
      <c r="D33" s="38" t="s">
        <v>166</v>
      </c>
      <c r="E33" s="38" t="s">
        <v>94</v>
      </c>
      <c r="F33" s="39" t="s">
        <v>167</v>
      </c>
    </row>
    <row r="34" spans="2:6">
      <c r="B34" s="42" t="s">
        <v>168</v>
      </c>
      <c r="C34" s="33">
        <v>51048974</v>
      </c>
      <c r="D34" s="34" t="s">
        <v>169</v>
      </c>
      <c r="E34" s="34" t="s">
        <v>112</v>
      </c>
      <c r="F34" s="35" t="s">
        <v>170</v>
      </c>
    </row>
    <row r="35" spans="2:6">
      <c r="B35" s="43" t="s">
        <v>171</v>
      </c>
      <c r="C35" s="44">
        <v>64394016</v>
      </c>
      <c r="D35" s="45" t="s">
        <v>172</v>
      </c>
      <c r="E35" s="45" t="s">
        <v>94</v>
      </c>
      <c r="F35" s="46" t="s">
        <v>173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N8" sqref="N8:N9"/>
    </sheetView>
  </sheetViews>
  <sheetFormatPr defaultColWidth="9" defaultRowHeight="16.5"/>
  <cols>
    <col min="1" max="1" width="3.125" style="47" customWidth="1"/>
    <col min="2" max="2" width="7.125" style="47" customWidth="1"/>
    <col min="3" max="3" width="9.5" style="47" bestFit="1" customWidth="1"/>
    <col min="4" max="4" width="19" style="47" customWidth="1"/>
    <col min="5" max="5" width="12.25" style="47" customWidth="1"/>
    <col min="6" max="6" width="12.625" style="47" customWidth="1"/>
    <col min="7" max="7" width="13.875" style="47" customWidth="1"/>
    <col min="8" max="9" width="9" style="47"/>
    <col min="10" max="10" width="17.75" style="47" bestFit="1" customWidth="1"/>
    <col min="11" max="13" width="9" style="47"/>
    <col min="14" max="14" width="18.5" style="47" bestFit="1" customWidth="1"/>
    <col min="15" max="16384" width="9" style="47"/>
  </cols>
  <sheetData>
    <row r="2" spans="2:11" ht="20.25" thickBot="1">
      <c r="B2" s="70" t="s">
        <v>195</v>
      </c>
      <c r="C2" s="70"/>
      <c r="D2" s="70"/>
      <c r="E2" s="70"/>
      <c r="F2" s="70"/>
      <c r="G2" s="70"/>
    </row>
    <row r="3" spans="2:11">
      <c r="B3" s="48"/>
      <c r="C3" s="48"/>
      <c r="D3" s="48"/>
      <c r="E3" s="48"/>
      <c r="F3" s="48"/>
      <c r="G3" s="49"/>
    </row>
    <row r="4" spans="2:11">
      <c r="B4" s="50"/>
      <c r="C4" s="50"/>
      <c r="D4" s="50"/>
      <c r="E4" s="50"/>
      <c r="F4" s="48" t="s">
        <v>174</v>
      </c>
      <c r="G4" s="49">
        <f ca="1">TODAY()</f>
        <v>45377</v>
      </c>
      <c r="I4" s="71" t="s">
        <v>175</v>
      </c>
      <c r="J4" s="71"/>
      <c r="K4" s="71"/>
    </row>
    <row r="5" spans="2:11">
      <c r="B5" s="51" t="s">
        <v>176</v>
      </c>
      <c r="C5" s="51" t="s">
        <v>177</v>
      </c>
      <c r="D5" s="51" t="s">
        <v>178</v>
      </c>
      <c r="E5" s="51" t="s">
        <v>179</v>
      </c>
      <c r="F5" s="51" t="s">
        <v>180</v>
      </c>
      <c r="G5" s="51" t="s">
        <v>181</v>
      </c>
      <c r="I5" s="52" t="s">
        <v>177</v>
      </c>
      <c r="J5" s="52" t="s">
        <v>178</v>
      </c>
      <c r="K5" s="52" t="s">
        <v>179</v>
      </c>
    </row>
    <row r="6" spans="2:11">
      <c r="B6" s="53" t="s">
        <v>198</v>
      </c>
      <c r="C6" s="53">
        <v>1101</v>
      </c>
      <c r="D6" s="54" t="str">
        <f ca="1">VLOOKUP($C6,INDIRECT($B6),2)</f>
        <v>iPhone XR 64G</v>
      </c>
      <c r="E6" s="55">
        <f ca="1">VLOOKUP($C6,INDIRECT($B6),3)</f>
        <v>26900</v>
      </c>
      <c r="F6" s="56"/>
      <c r="G6" s="57"/>
      <c r="I6" s="53">
        <v>1101</v>
      </c>
      <c r="J6" s="58" t="s">
        <v>182</v>
      </c>
      <c r="K6" s="56">
        <v>26900</v>
      </c>
    </row>
    <row r="7" spans="2:11">
      <c r="B7" s="53" t="s">
        <v>198</v>
      </c>
      <c r="C7" s="53">
        <v>1103</v>
      </c>
      <c r="D7" s="54" t="str">
        <f ca="1">VLOOKUP($C7,INDIRECT($B7),2)</f>
        <v>iPhone Xs 128G</v>
      </c>
      <c r="E7" s="55">
        <f ca="1">VLOOKUP($C7,INDIRECT($B7),3)</f>
        <v>28900</v>
      </c>
      <c r="F7" s="56"/>
      <c r="G7" s="57"/>
      <c r="I7" s="53">
        <v>1102</v>
      </c>
      <c r="J7" s="58" t="s">
        <v>183</v>
      </c>
      <c r="K7" s="56">
        <v>21500</v>
      </c>
    </row>
    <row r="8" spans="2:11">
      <c r="B8" s="53"/>
      <c r="C8" s="53"/>
      <c r="D8" s="54"/>
      <c r="E8" s="55"/>
      <c r="F8" s="56"/>
      <c r="G8" s="57"/>
      <c r="I8" s="53">
        <v>1103</v>
      </c>
      <c r="J8" s="58" t="s">
        <v>184</v>
      </c>
      <c r="K8" s="56">
        <v>28900</v>
      </c>
    </row>
    <row r="9" spans="2:11">
      <c r="B9" s="53"/>
      <c r="C9" s="53"/>
      <c r="D9" s="54"/>
      <c r="E9" s="55"/>
      <c r="F9" s="56"/>
      <c r="G9" s="57"/>
      <c r="I9" s="53">
        <v>1104</v>
      </c>
      <c r="J9" s="58" t="s">
        <v>185</v>
      </c>
      <c r="K9" s="56">
        <v>25500</v>
      </c>
    </row>
    <row r="10" spans="2:11">
      <c r="B10" s="53"/>
      <c r="C10" s="53"/>
      <c r="D10" s="54"/>
      <c r="E10" s="55"/>
      <c r="F10" s="56"/>
      <c r="G10" s="57"/>
      <c r="I10" s="53">
        <v>1105</v>
      </c>
      <c r="J10" s="58" t="s">
        <v>186</v>
      </c>
      <c r="K10" s="56">
        <v>24500</v>
      </c>
    </row>
    <row r="11" spans="2:11">
      <c r="B11" s="53"/>
      <c r="C11" s="53"/>
      <c r="D11" s="54"/>
      <c r="E11" s="55"/>
      <c r="F11" s="56"/>
      <c r="G11" s="57"/>
    </row>
    <row r="12" spans="2:11">
      <c r="B12" s="53"/>
      <c r="C12" s="53"/>
      <c r="D12" s="54"/>
      <c r="E12" s="55"/>
      <c r="F12" s="56"/>
      <c r="G12" s="57"/>
      <c r="I12" s="71" t="s">
        <v>187</v>
      </c>
      <c r="J12" s="71"/>
      <c r="K12" s="71"/>
    </row>
    <row r="13" spans="2:11">
      <c r="B13" s="53"/>
      <c r="C13" s="53"/>
      <c r="D13" s="54"/>
      <c r="E13" s="55"/>
      <c r="F13" s="56"/>
      <c r="G13" s="57"/>
      <c r="I13" s="59" t="s">
        <v>177</v>
      </c>
      <c r="J13" s="59" t="s">
        <v>178</v>
      </c>
      <c r="K13" s="59" t="s">
        <v>179</v>
      </c>
    </row>
    <row r="14" spans="2:11">
      <c r="B14" s="53"/>
      <c r="C14" s="53"/>
      <c r="D14" s="54"/>
      <c r="E14" s="55"/>
      <c r="F14" s="56"/>
      <c r="G14" s="57"/>
      <c r="I14" s="53">
        <v>2101</v>
      </c>
      <c r="J14" s="58" t="s">
        <v>188</v>
      </c>
      <c r="K14" s="56">
        <v>45900</v>
      </c>
    </row>
    <row r="15" spans="2:11">
      <c r="B15" s="53"/>
      <c r="C15" s="53"/>
      <c r="D15" s="54"/>
      <c r="E15" s="55"/>
      <c r="F15" s="56"/>
      <c r="G15" s="57"/>
      <c r="I15" s="53">
        <v>2102</v>
      </c>
      <c r="J15" s="58" t="s">
        <v>189</v>
      </c>
      <c r="K15" s="56">
        <v>21900</v>
      </c>
    </row>
    <row r="16" spans="2:11">
      <c r="B16" s="53"/>
      <c r="C16" s="53"/>
      <c r="D16" s="54"/>
      <c r="E16" s="55"/>
      <c r="F16" s="60"/>
      <c r="G16" s="61"/>
      <c r="I16" s="53">
        <v>2103</v>
      </c>
      <c r="J16" s="58" t="s">
        <v>190</v>
      </c>
      <c r="K16" s="56">
        <v>15900</v>
      </c>
    </row>
    <row r="17" spans="2:11">
      <c r="B17" s="53"/>
      <c r="C17" s="53"/>
      <c r="D17" s="54"/>
      <c r="E17" s="55"/>
      <c r="F17" s="60"/>
      <c r="G17" s="61"/>
      <c r="I17" s="53">
        <v>2104</v>
      </c>
      <c r="J17" s="58" t="s">
        <v>191</v>
      </c>
      <c r="K17" s="56">
        <v>22400</v>
      </c>
    </row>
    <row r="18" spans="2:11">
      <c r="B18" s="53"/>
      <c r="C18" s="53"/>
      <c r="D18" s="54"/>
      <c r="E18" s="55"/>
      <c r="F18" s="60"/>
      <c r="G18" s="61"/>
    </row>
    <row r="19" spans="2:11">
      <c r="B19" s="53"/>
      <c r="C19" s="53"/>
      <c r="D19" s="54"/>
      <c r="E19" s="55"/>
      <c r="F19" s="60"/>
      <c r="G19" s="61"/>
    </row>
    <row r="20" spans="2:11">
      <c r="B20" s="53"/>
      <c r="C20" s="53"/>
      <c r="D20" s="54"/>
      <c r="E20" s="55"/>
      <c r="F20" s="60"/>
      <c r="G20" s="61"/>
    </row>
    <row r="21" spans="2:11">
      <c r="B21" s="53"/>
      <c r="C21" s="53"/>
      <c r="D21" s="54"/>
      <c r="E21" s="55"/>
      <c r="F21" s="60"/>
      <c r="G21" s="61"/>
    </row>
    <row r="22" spans="2:11">
      <c r="B22" s="53"/>
      <c r="C22" s="53"/>
      <c r="D22" s="54"/>
      <c r="E22" s="55"/>
      <c r="F22" s="60"/>
      <c r="G22" s="61"/>
    </row>
    <row r="23" spans="2:11">
      <c r="B23" s="53"/>
      <c r="C23" s="53"/>
      <c r="D23" s="54"/>
      <c r="E23" s="55"/>
      <c r="F23" s="60"/>
      <c r="G23" s="61"/>
    </row>
    <row r="24" spans="2:11">
      <c r="B24" s="53"/>
      <c r="C24" s="53"/>
      <c r="D24" s="54"/>
      <c r="E24" s="55"/>
      <c r="F24" s="60"/>
      <c r="G24" s="61"/>
    </row>
    <row r="25" spans="2:11" ht="17.25" thickBot="1">
      <c r="B25" s="62"/>
      <c r="C25" s="62"/>
      <c r="D25" s="54"/>
      <c r="E25" s="63"/>
      <c r="F25" s="64"/>
      <c r="G25" s="65"/>
    </row>
    <row r="26" spans="2:11" ht="17.25" thickTop="1">
      <c r="F26" s="66" t="s">
        <v>192</v>
      </c>
      <c r="G26" s="67"/>
    </row>
    <row r="27" spans="2:11">
      <c r="F27" s="51" t="s">
        <v>193</v>
      </c>
      <c r="G27" s="68"/>
    </row>
    <row r="28" spans="2:11">
      <c r="F28" s="51" t="s">
        <v>194</v>
      </c>
      <c r="G28" s="68"/>
    </row>
    <row r="29" spans="2:11">
      <c r="F29" s="48"/>
    </row>
  </sheetData>
  <mergeCells count="3">
    <mergeCell ref="B2:G2"/>
    <mergeCell ref="I4:K4"/>
    <mergeCell ref="I12:K12"/>
  </mergeCells>
  <phoneticPr fontId="1" type="noConversion"/>
  <dataValidations count="2">
    <dataValidation type="list" allowBlank="1" showInputMessage="1" showErrorMessage="1" sqref="B6:B25">
      <formula1>"手機,平板"</formula1>
    </dataValidation>
    <dataValidation type="list" allowBlank="1" showInputMessage="1" showErrorMessage="1" sqref="C6:C25">
      <formula1>$I$6:$I$10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21</vt:i4>
      </vt:variant>
    </vt:vector>
  </HeadingPairs>
  <TitlesOfParts>
    <vt:vector size="27" baseType="lpstr">
      <vt:lpstr>查詢員工資料</vt:lpstr>
      <vt:lpstr>查詢員工資料2</vt:lpstr>
      <vt:lpstr>空位查詢</vt:lpstr>
      <vt:lpstr>庫存查詢</vt:lpstr>
      <vt:lpstr>資料庫查詢</vt:lpstr>
      <vt:lpstr>訂購單建立</vt:lpstr>
      <vt:lpstr>入耳式耳機</vt:lpstr>
      <vt:lpstr>仁愛門市</vt:lpstr>
      <vt:lpstr>手機</vt:lpstr>
      <vt:lpstr>文化門市</vt:lpstr>
      <vt:lpstr>平板</vt:lpstr>
      <vt:lpstr>永康門市</vt:lpstr>
      <vt:lpstr>全罩式耳機</vt:lpstr>
      <vt:lpstr>耳掛式耳機</vt:lpstr>
      <vt:lpstr>耳塞式耳機</vt:lpstr>
      <vt:lpstr>幸福門市</vt:lpstr>
      <vt:lpstr>忠孝門市</vt:lpstr>
      <vt:lpstr>東山門市</vt:lpstr>
      <vt:lpstr>重南門市</vt:lpstr>
      <vt:lpstr>商品名稱</vt:lpstr>
      <vt:lpstr>商品編號</vt:lpstr>
      <vt:lpstr>單價</vt:lpstr>
      <vt:lpstr>無線藍牙耳機</vt:lpstr>
      <vt:lpstr>新仁門市</vt:lpstr>
      <vt:lpstr>新生門市</vt:lpstr>
      <vt:lpstr>新盛門市</vt:lpstr>
      <vt:lpstr>歸仁門市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2019-11-04T08:04:17Z</dcterms:created>
  <dcterms:modified xsi:type="dcterms:W3CDTF">2024-03-26T10:23:41Z</dcterms:modified>
</cp:coreProperties>
</file>