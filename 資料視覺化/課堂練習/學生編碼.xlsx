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大學\大二下\資料視覺化\"/>
    </mc:Choice>
  </mc:AlternateContent>
  <xr:revisionPtr revIDLastSave="0" documentId="13_ncr:1_{3145B08E-F569-4641-886D-8911D0CE17D6}" xr6:coauthVersionLast="47" xr6:coauthVersionMax="47" xr10:uidLastSave="{00000000-0000-0000-0000-000000000000}"/>
  <bookViews>
    <workbookView xWindow="-108" yWindow="0" windowWidth="17280" windowHeight="8880" xr2:uid="{00000000-000D-0000-FFFF-FFFF00000000}"/>
  </bookViews>
  <sheets>
    <sheet name="學生基本資料檔" sheetId="1" r:id="rId1"/>
    <sheet name="練習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2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3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2" i="1"/>
  <c r="G2" i="1"/>
  <c r="E9" i="1" l="1"/>
  <c r="E8" i="1"/>
  <c r="E2" i="1"/>
  <c r="E3" i="1"/>
  <c r="E4" i="1"/>
  <c r="E5" i="1"/>
  <c r="E6" i="1"/>
  <c r="E7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2" i="2"/>
</calcChain>
</file>

<file path=xl/sharedStrings.xml><?xml version="1.0" encoding="utf-8"?>
<sst xmlns="http://schemas.openxmlformats.org/spreadsheetml/2006/main" count="263" uniqueCount="25">
  <si>
    <t>ID</t>
    <phoneticPr fontId="1" type="noConversion"/>
  </si>
  <si>
    <t>錄取學系中文名稱</t>
  </si>
  <si>
    <t>高中學力中文名稱</t>
  </si>
  <si>
    <t>性別</t>
    <phoneticPr fontId="1" type="noConversion"/>
  </si>
  <si>
    <t>資訊管理學系(自然組)</t>
  </si>
  <si>
    <t>私立xx高中</t>
    <phoneticPr fontId="1" type="noConversion"/>
  </si>
  <si>
    <t>男生</t>
    <phoneticPr fontId="1" type="noConversion"/>
  </si>
  <si>
    <t>國立xx高中</t>
    <phoneticPr fontId="1" type="noConversion"/>
  </si>
  <si>
    <t>臺北市立xx高中</t>
    <phoneticPr fontId="1" type="noConversion"/>
  </si>
  <si>
    <t>女生</t>
    <phoneticPr fontId="1" type="noConversion"/>
  </si>
  <si>
    <t>高雄市立xx高中</t>
    <phoneticPr fontId="1" type="noConversion"/>
  </si>
  <si>
    <t>資訊管理學系(社會組)</t>
  </si>
  <si>
    <t>國立xx女中</t>
    <phoneticPr fontId="1" type="noConversion"/>
  </si>
  <si>
    <t>臺中市立xx高中</t>
    <phoneticPr fontId="1" type="noConversion"/>
  </si>
  <si>
    <t>國立高雄xxx中</t>
    <phoneticPr fontId="1" type="noConversion"/>
  </si>
  <si>
    <t>新北市立xx高中</t>
    <phoneticPr fontId="1" type="noConversion"/>
  </si>
  <si>
    <t>國立xx大學附中</t>
    <phoneticPr fontId="1" type="noConversion"/>
  </si>
  <si>
    <t>私立哈士奇高中</t>
    <phoneticPr fontId="1" type="noConversion"/>
  </si>
  <si>
    <t>臺中市立xxx高中</t>
    <phoneticPr fontId="1" type="noConversion"/>
  </si>
  <si>
    <t>國立xxx中</t>
    <phoneticPr fontId="1" type="noConversion"/>
  </si>
  <si>
    <t>模糊化名稱</t>
    <phoneticPr fontId="1" type="noConversion"/>
  </si>
  <si>
    <t>國立/市立/私立</t>
    <phoneticPr fontId="1" type="noConversion"/>
  </si>
  <si>
    <t>組別編碼</t>
    <phoneticPr fontId="1" type="noConversion"/>
  </si>
  <si>
    <t>性別編碼(男1女0)</t>
    <phoneticPr fontId="1" type="noConversion"/>
  </si>
  <si>
    <t>自然組/社會組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</si>
</sst>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workbookViewId="0">
      <selection activeCell="L2" sqref="L2:L42"/>
    </sheetView>
  </sheetViews>
  <sheetFormatPr defaultRowHeight="16.2" x14ac:dyDescent="0.3"/>
  <cols>
    <col min="2" max="2" width="23.33203125" bestFit="1" customWidth="1"/>
    <col min="3" max="3" width="24.109375" bestFit="1" customWidth="1"/>
    <col min="5" max="5" width="23" customWidth="1"/>
    <col min="6" max="6" width="16.44140625" customWidth="1"/>
    <col min="7" max="7" width="15.88671875" bestFit="1" customWidth="1"/>
    <col min="8" max="8" width="12.109375" customWidth="1"/>
    <col min="9" max="9" width="19.109375" customWidth="1"/>
    <col min="11" max="11" width="10.33203125" bestFit="1" customWidth="1"/>
    <col min="12" max="12" width="11.21875" customWidth="1"/>
  </cols>
  <sheetData>
    <row r="1" spans="1:12" ht="19.5" customHeight="1" x14ac:dyDescent="0.3">
      <c r="A1" s="1" t="s">
        <v>0</v>
      </c>
      <c r="B1" s="2" t="s">
        <v>1</v>
      </c>
      <c r="C1" s="2" t="s">
        <v>2</v>
      </c>
      <c r="D1" t="s">
        <v>3</v>
      </c>
      <c r="E1" t="s">
        <v>20</v>
      </c>
      <c r="F1" t="s">
        <v>24</v>
      </c>
      <c r="G1" t="s">
        <v>21</v>
      </c>
      <c r="H1" t="s">
        <v>22</v>
      </c>
      <c r="I1" t="s">
        <v>23</v>
      </c>
    </row>
    <row r="2" spans="1:12" x14ac:dyDescent="0.3">
      <c r="A2">
        <v>93001</v>
      </c>
      <c r="B2" s="3" t="s">
        <v>4</v>
      </c>
      <c r="C2" s="3" t="s">
        <v>17</v>
      </c>
      <c r="D2" s="3" t="s">
        <v>6</v>
      </c>
      <c r="E2" t="str">
        <f>SUBSTITUTE(C2,MID(C2,FIND("立",C2)+1,3),"xxx")</f>
        <v>私立xxx高中</v>
      </c>
      <c r="F2" t="str">
        <f>MID(B2,FIND("組",B2)-2,3)</f>
        <v>自然組</v>
      </c>
      <c r="G2" t="str">
        <f t="shared" ref="G2:G42" si="0">MID(C2,FIND("立",C2)-1,2)</f>
        <v>私立</v>
      </c>
      <c r="H2">
        <f>IF(ISNUMBER(SEARCH("自然組", B2)), 1, IF(ISNUMBER(SEARCH("社會組", B2)), 2, ""))</f>
        <v>1</v>
      </c>
      <c r="I2">
        <f>IF(ISNUMBER(SEARCH("男生", D2)), 1, IF(ISNUMBER(SEARCH("女生", D2)), 0, ""))</f>
        <v>1</v>
      </c>
      <c r="K2" t="str">
        <f>MID($C2,FIND("立",$C2,2)-1,2)</f>
        <v>私立</v>
      </c>
      <c r="L2" t="str">
        <f>REPLACE($C2,FIND("立",C2)+1,FIND("中",C2),"xxx中")</f>
        <v>私立xxx中</v>
      </c>
    </row>
    <row r="3" spans="1:12" x14ac:dyDescent="0.3">
      <c r="A3">
        <v>93002</v>
      </c>
      <c r="B3" s="3" t="s">
        <v>4</v>
      </c>
      <c r="C3" s="3" t="s">
        <v>19</v>
      </c>
      <c r="D3" s="3" t="s">
        <v>6</v>
      </c>
      <c r="E3" t="str">
        <f>SUBSTITUTE(C3,MID(C3,FIND("立",C3)+1,3),"xxx")</f>
        <v>國立xxx中</v>
      </c>
      <c r="F3" t="str">
        <f t="shared" ref="F3:F42" si="1">MID(B3,FIND("組",B3)-2,3)</f>
        <v>自然組</v>
      </c>
      <c r="G3" t="str">
        <f t="shared" si="0"/>
        <v>國立</v>
      </c>
      <c r="H3">
        <f t="shared" ref="H3:H42" si="2">IF(ISNUMBER(SEARCH("自然組", B3)), 1, IF(ISNUMBER(SEARCH("社會組", B3)), 2, ""))</f>
        <v>1</v>
      </c>
      <c r="I3">
        <f t="shared" ref="I3:I42" si="3">IF(ISNUMBER(SEARCH("男生", D3)), 1, IF(ISNUMBER(SEARCH("女生", D3)), 0, ""))</f>
        <v>1</v>
      </c>
      <c r="K3" t="str">
        <f>MID($C3,FIND("立",$C3,2)-1,2)</f>
        <v>國立</v>
      </c>
      <c r="L3" t="str">
        <f t="shared" ref="L3:L42" si="4">REPLACE($C3,FIND("立",C3)+1,FIND("中",C3),"xxx中")</f>
        <v>國立xxx中</v>
      </c>
    </row>
    <row r="4" spans="1:12" x14ac:dyDescent="0.3">
      <c r="A4">
        <v>93003</v>
      </c>
      <c r="B4" s="3" t="s">
        <v>4</v>
      </c>
      <c r="C4" s="3" t="s">
        <v>19</v>
      </c>
      <c r="D4" s="3" t="s">
        <v>6</v>
      </c>
      <c r="E4" t="str">
        <f t="shared" ref="E4:E42" si="5">SUBSTITUTE(C4,MID(C4,FIND("立",C4)+1,3),"xxx")</f>
        <v>國立xxx中</v>
      </c>
      <c r="F4" t="str">
        <f t="shared" si="1"/>
        <v>自然組</v>
      </c>
      <c r="G4" t="str">
        <f t="shared" si="0"/>
        <v>國立</v>
      </c>
      <c r="H4">
        <f t="shared" si="2"/>
        <v>1</v>
      </c>
      <c r="I4">
        <f t="shared" si="3"/>
        <v>1</v>
      </c>
      <c r="K4" t="str">
        <f t="shared" ref="K4:K42" si="6">MID($C4,FIND("立",$C4,2)-1,2)</f>
        <v>國立</v>
      </c>
      <c r="L4" t="str">
        <f t="shared" si="4"/>
        <v>國立xxx中</v>
      </c>
    </row>
    <row r="5" spans="1:12" x14ac:dyDescent="0.3">
      <c r="A5">
        <v>93004</v>
      </c>
      <c r="B5" s="3" t="s">
        <v>4</v>
      </c>
      <c r="C5" s="3" t="s">
        <v>19</v>
      </c>
      <c r="D5" s="3" t="s">
        <v>6</v>
      </c>
      <c r="E5" t="str">
        <f t="shared" si="5"/>
        <v>國立xxx中</v>
      </c>
      <c r="F5" t="str">
        <f t="shared" si="1"/>
        <v>自然組</v>
      </c>
      <c r="G5" t="str">
        <f t="shared" si="0"/>
        <v>國立</v>
      </c>
      <c r="H5">
        <f t="shared" si="2"/>
        <v>1</v>
      </c>
      <c r="I5">
        <f t="shared" si="3"/>
        <v>1</v>
      </c>
      <c r="K5" t="str">
        <f t="shared" si="6"/>
        <v>國立</v>
      </c>
      <c r="L5" t="str">
        <f t="shared" si="4"/>
        <v>國立xxx中</v>
      </c>
    </row>
    <row r="6" spans="1:12" x14ac:dyDescent="0.3">
      <c r="A6">
        <v>93005</v>
      </c>
      <c r="B6" s="3" t="s">
        <v>4</v>
      </c>
      <c r="C6" s="3" t="s">
        <v>7</v>
      </c>
      <c r="D6" s="3" t="s">
        <v>6</v>
      </c>
      <c r="E6" t="str">
        <f t="shared" si="5"/>
        <v>國立xxx中</v>
      </c>
      <c r="F6" t="str">
        <f t="shared" si="1"/>
        <v>自然組</v>
      </c>
      <c r="G6" t="str">
        <f t="shared" si="0"/>
        <v>國立</v>
      </c>
      <c r="H6">
        <f t="shared" si="2"/>
        <v>1</v>
      </c>
      <c r="I6">
        <f t="shared" si="3"/>
        <v>1</v>
      </c>
      <c r="K6" t="str">
        <f t="shared" si="6"/>
        <v>國立</v>
      </c>
      <c r="L6" t="str">
        <f t="shared" si="4"/>
        <v>國立xxx中</v>
      </c>
    </row>
    <row r="7" spans="1:12" x14ac:dyDescent="0.3">
      <c r="A7">
        <v>93006</v>
      </c>
      <c r="B7" s="3" t="s">
        <v>4</v>
      </c>
      <c r="C7" s="3" t="s">
        <v>8</v>
      </c>
      <c r="D7" s="3" t="s">
        <v>6</v>
      </c>
      <c r="E7" t="str">
        <f t="shared" si="5"/>
        <v>臺北市立xxx中</v>
      </c>
      <c r="F7" t="str">
        <f t="shared" si="1"/>
        <v>自然組</v>
      </c>
      <c r="G7" t="str">
        <f t="shared" si="0"/>
        <v>市立</v>
      </c>
      <c r="H7">
        <f t="shared" si="2"/>
        <v>1</v>
      </c>
      <c r="I7">
        <f t="shared" si="3"/>
        <v>1</v>
      </c>
      <c r="K7" t="str">
        <f t="shared" si="6"/>
        <v>市立</v>
      </c>
      <c r="L7" t="str">
        <f t="shared" si="4"/>
        <v>臺北市立xxx中</v>
      </c>
    </row>
    <row r="8" spans="1:12" x14ac:dyDescent="0.3">
      <c r="A8">
        <v>93007</v>
      </c>
      <c r="B8" s="3" t="s">
        <v>4</v>
      </c>
      <c r="C8" s="3" t="s">
        <v>18</v>
      </c>
      <c r="D8" s="3" t="s">
        <v>6</v>
      </c>
      <c r="E8" t="str">
        <f>SUBSTITUTE(C8,MID(C8,FIND("立",C8)+1,3),"xxx")</f>
        <v>臺中市立xxx高中</v>
      </c>
      <c r="F8" t="str">
        <f t="shared" si="1"/>
        <v>自然組</v>
      </c>
      <c r="G8" t="str">
        <f t="shared" si="0"/>
        <v>市立</v>
      </c>
      <c r="H8">
        <f t="shared" si="2"/>
        <v>1</v>
      </c>
      <c r="I8">
        <f t="shared" si="3"/>
        <v>1</v>
      </c>
      <c r="K8" t="str">
        <f t="shared" si="6"/>
        <v>市立</v>
      </c>
      <c r="L8" t="str">
        <f t="shared" si="4"/>
        <v>臺中市立xxx中x高中</v>
      </c>
    </row>
    <row r="9" spans="1:12" x14ac:dyDescent="0.3">
      <c r="A9">
        <v>93008</v>
      </c>
      <c r="B9" s="3" t="s">
        <v>4</v>
      </c>
      <c r="C9" s="3" t="s">
        <v>5</v>
      </c>
      <c r="D9" s="3" t="s">
        <v>9</v>
      </c>
      <c r="E9" t="str">
        <f>SUBSTITUTE(C9,MID(C9,FIND("立",C9)+1,3),"xxx")</f>
        <v>私立xxx中</v>
      </c>
      <c r="F9" t="str">
        <f t="shared" si="1"/>
        <v>自然組</v>
      </c>
      <c r="G9" t="str">
        <f t="shared" si="0"/>
        <v>私立</v>
      </c>
      <c r="H9">
        <f t="shared" si="2"/>
        <v>1</v>
      </c>
      <c r="I9">
        <f t="shared" si="3"/>
        <v>0</v>
      </c>
      <c r="K9" t="str">
        <f t="shared" si="6"/>
        <v>私立</v>
      </c>
      <c r="L9" t="str">
        <f t="shared" si="4"/>
        <v>私立xxx中</v>
      </c>
    </row>
    <row r="10" spans="1:12" x14ac:dyDescent="0.3">
      <c r="A10">
        <v>93009</v>
      </c>
      <c r="B10" s="3" t="s">
        <v>4</v>
      </c>
      <c r="C10" s="3" t="s">
        <v>10</v>
      </c>
      <c r="D10" s="3" t="s">
        <v>6</v>
      </c>
      <c r="E10" t="str">
        <f t="shared" si="5"/>
        <v>高雄市立xxx中</v>
      </c>
      <c r="F10" t="str">
        <f t="shared" si="1"/>
        <v>自然組</v>
      </c>
      <c r="G10" t="str">
        <f t="shared" si="0"/>
        <v>市立</v>
      </c>
      <c r="H10">
        <f t="shared" si="2"/>
        <v>1</v>
      </c>
      <c r="I10">
        <f t="shared" si="3"/>
        <v>1</v>
      </c>
      <c r="K10" t="str">
        <f t="shared" si="6"/>
        <v>市立</v>
      </c>
      <c r="L10" t="str">
        <f t="shared" si="4"/>
        <v>高雄市立xxx中</v>
      </c>
    </row>
    <row r="11" spans="1:12" x14ac:dyDescent="0.3">
      <c r="A11">
        <v>93010</v>
      </c>
      <c r="B11" s="3" t="s">
        <v>11</v>
      </c>
      <c r="C11" s="3" t="s">
        <v>13</v>
      </c>
      <c r="D11" s="3" t="s">
        <v>6</v>
      </c>
      <c r="E11" t="str">
        <f t="shared" si="5"/>
        <v>臺中市立xxx中</v>
      </c>
      <c r="F11" t="str">
        <f t="shared" si="1"/>
        <v>社會組</v>
      </c>
      <c r="G11" t="str">
        <f t="shared" si="0"/>
        <v>市立</v>
      </c>
      <c r="H11">
        <f t="shared" si="2"/>
        <v>2</v>
      </c>
      <c r="I11">
        <f t="shared" si="3"/>
        <v>1</v>
      </c>
      <c r="K11" t="str">
        <f t="shared" si="6"/>
        <v>市立</v>
      </c>
      <c r="L11" t="str">
        <f t="shared" si="4"/>
        <v>臺中市立xxx中高中</v>
      </c>
    </row>
    <row r="12" spans="1:12" x14ac:dyDescent="0.3">
      <c r="A12">
        <v>93011</v>
      </c>
      <c r="B12" s="3" t="s">
        <v>11</v>
      </c>
      <c r="C12" s="3" t="s">
        <v>10</v>
      </c>
      <c r="D12" s="3" t="s">
        <v>6</v>
      </c>
      <c r="E12" t="str">
        <f t="shared" si="5"/>
        <v>高雄市立xxx中</v>
      </c>
      <c r="F12" t="str">
        <f t="shared" si="1"/>
        <v>社會組</v>
      </c>
      <c r="G12" t="str">
        <f t="shared" si="0"/>
        <v>市立</v>
      </c>
      <c r="H12">
        <f t="shared" si="2"/>
        <v>2</v>
      </c>
      <c r="I12">
        <f t="shared" si="3"/>
        <v>1</v>
      </c>
      <c r="K12" t="str">
        <f t="shared" si="6"/>
        <v>市立</v>
      </c>
      <c r="L12" t="str">
        <f t="shared" si="4"/>
        <v>高雄市立xxx中</v>
      </c>
    </row>
    <row r="13" spans="1:12" x14ac:dyDescent="0.3">
      <c r="A13">
        <v>93012</v>
      </c>
      <c r="B13" s="3" t="s">
        <v>11</v>
      </c>
      <c r="C13" s="3" t="s">
        <v>8</v>
      </c>
      <c r="D13" s="3" t="s">
        <v>9</v>
      </c>
      <c r="E13" t="str">
        <f t="shared" si="5"/>
        <v>臺北市立xxx中</v>
      </c>
      <c r="F13" t="str">
        <f t="shared" si="1"/>
        <v>社會組</v>
      </c>
      <c r="G13" t="str">
        <f t="shared" si="0"/>
        <v>市立</v>
      </c>
      <c r="H13">
        <f t="shared" si="2"/>
        <v>2</v>
      </c>
      <c r="I13">
        <f t="shared" si="3"/>
        <v>0</v>
      </c>
      <c r="K13" t="str">
        <f t="shared" si="6"/>
        <v>市立</v>
      </c>
      <c r="L13" t="str">
        <f t="shared" si="4"/>
        <v>臺北市立xxx中</v>
      </c>
    </row>
    <row r="14" spans="1:12" x14ac:dyDescent="0.3">
      <c r="A14">
        <v>93013</v>
      </c>
      <c r="B14" s="3" t="s">
        <v>11</v>
      </c>
      <c r="C14" s="3" t="s">
        <v>7</v>
      </c>
      <c r="D14" s="3" t="s">
        <v>9</v>
      </c>
      <c r="E14" t="str">
        <f t="shared" si="5"/>
        <v>國立xxx中</v>
      </c>
      <c r="F14" t="str">
        <f t="shared" si="1"/>
        <v>社會組</v>
      </c>
      <c r="G14" t="str">
        <f t="shared" si="0"/>
        <v>國立</v>
      </c>
      <c r="H14">
        <f t="shared" si="2"/>
        <v>2</v>
      </c>
      <c r="I14">
        <f t="shared" si="3"/>
        <v>0</v>
      </c>
      <c r="K14" t="str">
        <f t="shared" si="6"/>
        <v>國立</v>
      </c>
      <c r="L14" t="str">
        <f t="shared" si="4"/>
        <v>國立xxx中</v>
      </c>
    </row>
    <row r="15" spans="1:12" x14ac:dyDescent="0.3">
      <c r="A15">
        <v>93014</v>
      </c>
      <c r="B15" s="3" t="s">
        <v>11</v>
      </c>
      <c r="C15" s="3" t="s">
        <v>18</v>
      </c>
      <c r="D15" s="3" t="s">
        <v>9</v>
      </c>
      <c r="E15" t="str">
        <f t="shared" si="5"/>
        <v>臺中市立xxx高中</v>
      </c>
      <c r="F15" t="str">
        <f t="shared" si="1"/>
        <v>社會組</v>
      </c>
      <c r="G15" t="str">
        <f t="shared" si="0"/>
        <v>市立</v>
      </c>
      <c r="H15">
        <f t="shared" si="2"/>
        <v>2</v>
      </c>
      <c r="I15">
        <f t="shared" si="3"/>
        <v>0</v>
      </c>
      <c r="K15" t="str">
        <f t="shared" si="6"/>
        <v>市立</v>
      </c>
      <c r="L15" t="str">
        <f t="shared" si="4"/>
        <v>臺中市立xxx中x高中</v>
      </c>
    </row>
    <row r="16" spans="1:12" x14ac:dyDescent="0.3">
      <c r="A16">
        <v>93015</v>
      </c>
      <c r="B16" s="3" t="s">
        <v>11</v>
      </c>
      <c r="C16" s="3" t="s">
        <v>7</v>
      </c>
      <c r="D16" s="3" t="s">
        <v>6</v>
      </c>
      <c r="E16" t="str">
        <f t="shared" si="5"/>
        <v>國立xxx中</v>
      </c>
      <c r="F16" t="str">
        <f t="shared" si="1"/>
        <v>社會組</v>
      </c>
      <c r="G16" t="str">
        <f t="shared" si="0"/>
        <v>國立</v>
      </c>
      <c r="H16">
        <f t="shared" si="2"/>
        <v>2</v>
      </c>
      <c r="I16">
        <f t="shared" si="3"/>
        <v>1</v>
      </c>
      <c r="K16" t="str">
        <f t="shared" si="6"/>
        <v>國立</v>
      </c>
      <c r="L16" t="str">
        <f t="shared" si="4"/>
        <v>國立xxx中</v>
      </c>
    </row>
    <row r="17" spans="1:12" x14ac:dyDescent="0.3">
      <c r="A17">
        <v>93016</v>
      </c>
      <c r="B17" s="3" t="s">
        <v>11</v>
      </c>
      <c r="C17" s="3" t="s">
        <v>7</v>
      </c>
      <c r="D17" s="3" t="s">
        <v>6</v>
      </c>
      <c r="E17" t="str">
        <f t="shared" si="5"/>
        <v>國立xxx中</v>
      </c>
      <c r="F17" t="str">
        <f t="shared" si="1"/>
        <v>社會組</v>
      </c>
      <c r="G17" t="str">
        <f t="shared" si="0"/>
        <v>國立</v>
      </c>
      <c r="H17">
        <f t="shared" si="2"/>
        <v>2</v>
      </c>
      <c r="I17">
        <f t="shared" si="3"/>
        <v>1</v>
      </c>
      <c r="K17" t="str">
        <f t="shared" si="6"/>
        <v>國立</v>
      </c>
      <c r="L17" t="str">
        <f t="shared" si="4"/>
        <v>國立xxx中</v>
      </c>
    </row>
    <row r="18" spans="1:12" x14ac:dyDescent="0.3">
      <c r="A18">
        <v>93017</v>
      </c>
      <c r="B18" s="3" t="s">
        <v>11</v>
      </c>
      <c r="C18" s="3" t="s">
        <v>10</v>
      </c>
      <c r="D18" s="3" t="s">
        <v>9</v>
      </c>
      <c r="E18" t="str">
        <f t="shared" si="5"/>
        <v>高雄市立xxx中</v>
      </c>
      <c r="F18" t="str">
        <f t="shared" si="1"/>
        <v>社會組</v>
      </c>
      <c r="G18" t="str">
        <f t="shared" si="0"/>
        <v>市立</v>
      </c>
      <c r="H18">
        <f t="shared" si="2"/>
        <v>2</v>
      </c>
      <c r="I18">
        <f t="shared" si="3"/>
        <v>0</v>
      </c>
      <c r="K18" t="str">
        <f t="shared" si="6"/>
        <v>市立</v>
      </c>
      <c r="L18" t="str">
        <f t="shared" si="4"/>
        <v>高雄市立xxx中</v>
      </c>
    </row>
    <row r="19" spans="1:12" x14ac:dyDescent="0.3">
      <c r="A19">
        <v>93018</v>
      </c>
      <c r="B19" s="3" t="s">
        <v>11</v>
      </c>
      <c r="C19" s="3" t="s">
        <v>7</v>
      </c>
      <c r="D19" s="3" t="s">
        <v>6</v>
      </c>
      <c r="E19" t="str">
        <f t="shared" si="5"/>
        <v>國立xxx中</v>
      </c>
      <c r="F19" t="str">
        <f t="shared" si="1"/>
        <v>社會組</v>
      </c>
      <c r="G19" t="str">
        <f t="shared" si="0"/>
        <v>國立</v>
      </c>
      <c r="H19">
        <f t="shared" si="2"/>
        <v>2</v>
      </c>
      <c r="I19">
        <f t="shared" si="3"/>
        <v>1</v>
      </c>
      <c r="K19" t="str">
        <f t="shared" si="6"/>
        <v>國立</v>
      </c>
      <c r="L19" t="str">
        <f t="shared" si="4"/>
        <v>國立xxx中</v>
      </c>
    </row>
    <row r="20" spans="1:12" x14ac:dyDescent="0.3">
      <c r="A20">
        <v>93019</v>
      </c>
      <c r="B20" s="3" t="s">
        <v>4</v>
      </c>
      <c r="C20" s="3" t="s">
        <v>18</v>
      </c>
      <c r="D20" s="3" t="s">
        <v>6</v>
      </c>
      <c r="E20" t="str">
        <f t="shared" si="5"/>
        <v>臺中市立xxx高中</v>
      </c>
      <c r="F20" t="str">
        <f t="shared" si="1"/>
        <v>自然組</v>
      </c>
      <c r="G20" t="str">
        <f t="shared" si="0"/>
        <v>市立</v>
      </c>
      <c r="H20">
        <f t="shared" si="2"/>
        <v>1</v>
      </c>
      <c r="I20">
        <f t="shared" si="3"/>
        <v>1</v>
      </c>
      <c r="K20" t="str">
        <f t="shared" si="6"/>
        <v>市立</v>
      </c>
      <c r="L20" t="str">
        <f t="shared" si="4"/>
        <v>臺中市立xxx中x高中</v>
      </c>
    </row>
    <row r="21" spans="1:12" x14ac:dyDescent="0.3">
      <c r="A21">
        <v>93020</v>
      </c>
      <c r="B21" s="3" t="s">
        <v>4</v>
      </c>
      <c r="C21" s="3" t="s">
        <v>12</v>
      </c>
      <c r="D21" s="3" t="s">
        <v>9</v>
      </c>
      <c r="E21" t="str">
        <f t="shared" si="5"/>
        <v>國立xxx中</v>
      </c>
      <c r="F21" t="str">
        <f t="shared" si="1"/>
        <v>自然組</v>
      </c>
      <c r="G21" t="str">
        <f t="shared" si="0"/>
        <v>國立</v>
      </c>
      <c r="H21">
        <f t="shared" si="2"/>
        <v>1</v>
      </c>
      <c r="I21">
        <f t="shared" si="3"/>
        <v>0</v>
      </c>
      <c r="K21" t="str">
        <f t="shared" si="6"/>
        <v>國立</v>
      </c>
      <c r="L21" t="str">
        <f t="shared" si="4"/>
        <v>國立xxx中</v>
      </c>
    </row>
    <row r="22" spans="1:12" x14ac:dyDescent="0.3">
      <c r="A22">
        <v>93021</v>
      </c>
      <c r="B22" s="3" t="s">
        <v>4</v>
      </c>
      <c r="C22" s="3" t="s">
        <v>5</v>
      </c>
      <c r="D22" s="3" t="s">
        <v>9</v>
      </c>
      <c r="E22" t="str">
        <f t="shared" si="5"/>
        <v>私立xxx中</v>
      </c>
      <c r="F22" t="str">
        <f t="shared" si="1"/>
        <v>自然組</v>
      </c>
      <c r="G22" t="str">
        <f t="shared" si="0"/>
        <v>私立</v>
      </c>
      <c r="H22">
        <f t="shared" si="2"/>
        <v>1</v>
      </c>
      <c r="I22">
        <f t="shared" si="3"/>
        <v>0</v>
      </c>
      <c r="K22" t="str">
        <f t="shared" si="6"/>
        <v>私立</v>
      </c>
      <c r="L22" t="str">
        <f t="shared" si="4"/>
        <v>私立xxx中</v>
      </c>
    </row>
    <row r="23" spans="1:12" x14ac:dyDescent="0.3">
      <c r="A23">
        <v>93022</v>
      </c>
      <c r="B23" s="3" t="s">
        <v>4</v>
      </c>
      <c r="C23" s="3" t="s">
        <v>10</v>
      </c>
      <c r="D23" s="3" t="s">
        <v>9</v>
      </c>
      <c r="E23" t="str">
        <f t="shared" si="5"/>
        <v>高雄市立xxx中</v>
      </c>
      <c r="F23" t="str">
        <f t="shared" si="1"/>
        <v>自然組</v>
      </c>
      <c r="G23" t="str">
        <f t="shared" si="0"/>
        <v>市立</v>
      </c>
      <c r="H23">
        <f t="shared" si="2"/>
        <v>1</v>
      </c>
      <c r="I23">
        <f t="shared" si="3"/>
        <v>0</v>
      </c>
      <c r="K23" t="str">
        <f t="shared" si="6"/>
        <v>市立</v>
      </c>
      <c r="L23" t="str">
        <f t="shared" si="4"/>
        <v>高雄市立xxx中</v>
      </c>
    </row>
    <row r="24" spans="1:12" x14ac:dyDescent="0.3">
      <c r="A24">
        <v>93023</v>
      </c>
      <c r="B24" s="3" t="s">
        <v>4</v>
      </c>
      <c r="C24" s="3" t="s">
        <v>10</v>
      </c>
      <c r="D24" s="3" t="s">
        <v>6</v>
      </c>
      <c r="E24" t="str">
        <f t="shared" si="5"/>
        <v>高雄市立xxx中</v>
      </c>
      <c r="F24" t="str">
        <f t="shared" si="1"/>
        <v>自然組</v>
      </c>
      <c r="G24" t="str">
        <f t="shared" si="0"/>
        <v>市立</v>
      </c>
      <c r="H24">
        <f t="shared" si="2"/>
        <v>1</v>
      </c>
      <c r="I24">
        <f t="shared" si="3"/>
        <v>1</v>
      </c>
      <c r="K24" t="str">
        <f t="shared" si="6"/>
        <v>市立</v>
      </c>
      <c r="L24" t="str">
        <f t="shared" si="4"/>
        <v>高雄市立xxx中</v>
      </c>
    </row>
    <row r="25" spans="1:12" x14ac:dyDescent="0.3">
      <c r="A25">
        <v>93024</v>
      </c>
      <c r="B25" s="3" t="s">
        <v>4</v>
      </c>
      <c r="C25" s="3" t="s">
        <v>10</v>
      </c>
      <c r="D25" s="3" t="s">
        <v>6</v>
      </c>
      <c r="E25" t="str">
        <f t="shared" si="5"/>
        <v>高雄市立xxx中</v>
      </c>
      <c r="F25" t="str">
        <f t="shared" si="1"/>
        <v>自然組</v>
      </c>
      <c r="G25" t="str">
        <f t="shared" si="0"/>
        <v>市立</v>
      </c>
      <c r="H25">
        <f t="shared" si="2"/>
        <v>1</v>
      </c>
      <c r="I25">
        <f t="shared" si="3"/>
        <v>1</v>
      </c>
      <c r="K25" t="str">
        <f t="shared" si="6"/>
        <v>市立</v>
      </c>
      <c r="L25" t="str">
        <f t="shared" si="4"/>
        <v>高雄市立xxx中</v>
      </c>
    </row>
    <row r="26" spans="1:12" x14ac:dyDescent="0.3">
      <c r="A26">
        <v>93025</v>
      </c>
      <c r="B26" s="3" t="s">
        <v>4</v>
      </c>
      <c r="C26" s="3" t="s">
        <v>10</v>
      </c>
      <c r="D26" s="3" t="s">
        <v>6</v>
      </c>
      <c r="E26" t="str">
        <f t="shared" si="5"/>
        <v>高雄市立xxx中</v>
      </c>
      <c r="F26" t="str">
        <f t="shared" si="1"/>
        <v>自然組</v>
      </c>
      <c r="G26" t="str">
        <f t="shared" si="0"/>
        <v>市立</v>
      </c>
      <c r="H26">
        <f t="shared" si="2"/>
        <v>1</v>
      </c>
      <c r="I26">
        <f t="shared" si="3"/>
        <v>1</v>
      </c>
      <c r="K26" t="str">
        <f t="shared" si="6"/>
        <v>市立</v>
      </c>
      <c r="L26" t="str">
        <f t="shared" si="4"/>
        <v>高雄市立xxx中</v>
      </c>
    </row>
    <row r="27" spans="1:12" x14ac:dyDescent="0.3">
      <c r="A27">
        <v>93026</v>
      </c>
      <c r="B27" s="3" t="s">
        <v>4</v>
      </c>
      <c r="C27" s="3" t="s">
        <v>7</v>
      </c>
      <c r="D27" s="3" t="s">
        <v>6</v>
      </c>
      <c r="E27" t="str">
        <f t="shared" si="5"/>
        <v>國立xxx中</v>
      </c>
      <c r="F27" t="str">
        <f t="shared" si="1"/>
        <v>自然組</v>
      </c>
      <c r="G27" t="str">
        <f t="shared" si="0"/>
        <v>國立</v>
      </c>
      <c r="H27">
        <f t="shared" si="2"/>
        <v>1</v>
      </c>
      <c r="I27">
        <f t="shared" si="3"/>
        <v>1</v>
      </c>
      <c r="K27" t="str">
        <f t="shared" si="6"/>
        <v>國立</v>
      </c>
      <c r="L27" t="str">
        <f t="shared" si="4"/>
        <v>國立xxx中</v>
      </c>
    </row>
    <row r="28" spans="1:12" x14ac:dyDescent="0.3">
      <c r="A28">
        <v>93027</v>
      </c>
      <c r="B28" s="3" t="s">
        <v>4</v>
      </c>
      <c r="C28" s="3" t="s">
        <v>12</v>
      </c>
      <c r="D28" s="3" t="s">
        <v>9</v>
      </c>
      <c r="E28" t="str">
        <f t="shared" si="5"/>
        <v>國立xxx中</v>
      </c>
      <c r="F28" t="str">
        <f t="shared" si="1"/>
        <v>自然組</v>
      </c>
      <c r="G28" t="str">
        <f t="shared" si="0"/>
        <v>國立</v>
      </c>
      <c r="H28">
        <f t="shared" si="2"/>
        <v>1</v>
      </c>
      <c r="I28">
        <f t="shared" si="3"/>
        <v>0</v>
      </c>
      <c r="K28" t="str">
        <f t="shared" si="6"/>
        <v>國立</v>
      </c>
      <c r="L28" t="str">
        <f t="shared" si="4"/>
        <v>國立xxx中</v>
      </c>
    </row>
    <row r="29" spans="1:12" x14ac:dyDescent="0.3">
      <c r="A29">
        <v>93028</v>
      </c>
      <c r="B29" s="3" t="s">
        <v>4</v>
      </c>
      <c r="C29" s="3" t="s">
        <v>5</v>
      </c>
      <c r="D29" s="3" t="s">
        <v>9</v>
      </c>
      <c r="E29" t="str">
        <f t="shared" si="5"/>
        <v>私立xxx中</v>
      </c>
      <c r="F29" t="str">
        <f t="shared" si="1"/>
        <v>自然組</v>
      </c>
      <c r="G29" t="str">
        <f t="shared" si="0"/>
        <v>私立</v>
      </c>
      <c r="H29">
        <f t="shared" si="2"/>
        <v>1</v>
      </c>
      <c r="I29">
        <f t="shared" si="3"/>
        <v>0</v>
      </c>
      <c r="K29" t="str">
        <f t="shared" si="6"/>
        <v>私立</v>
      </c>
      <c r="L29" t="str">
        <f t="shared" si="4"/>
        <v>私立xxx中</v>
      </c>
    </row>
    <row r="30" spans="1:12" x14ac:dyDescent="0.3">
      <c r="A30">
        <v>93029</v>
      </c>
      <c r="B30" s="3" t="s">
        <v>4</v>
      </c>
      <c r="C30" s="3" t="s">
        <v>13</v>
      </c>
      <c r="D30" s="3" t="s">
        <v>6</v>
      </c>
      <c r="E30" t="str">
        <f t="shared" si="5"/>
        <v>臺中市立xxx中</v>
      </c>
      <c r="F30" t="str">
        <f t="shared" si="1"/>
        <v>自然組</v>
      </c>
      <c r="G30" t="str">
        <f t="shared" si="0"/>
        <v>市立</v>
      </c>
      <c r="H30">
        <f t="shared" si="2"/>
        <v>1</v>
      </c>
      <c r="I30">
        <f t="shared" si="3"/>
        <v>1</v>
      </c>
      <c r="K30" t="str">
        <f t="shared" si="6"/>
        <v>市立</v>
      </c>
      <c r="L30" t="str">
        <f t="shared" si="4"/>
        <v>臺中市立xxx中高中</v>
      </c>
    </row>
    <row r="31" spans="1:12" x14ac:dyDescent="0.3">
      <c r="A31">
        <v>93030</v>
      </c>
      <c r="B31" s="3" t="s">
        <v>4</v>
      </c>
      <c r="C31" s="3" t="s">
        <v>14</v>
      </c>
      <c r="D31" s="3" t="s">
        <v>6</v>
      </c>
      <c r="E31" t="str">
        <f t="shared" si="5"/>
        <v>國立xxxxx中</v>
      </c>
      <c r="F31" t="str">
        <f t="shared" si="1"/>
        <v>自然組</v>
      </c>
      <c r="G31" t="str">
        <f t="shared" si="0"/>
        <v>國立</v>
      </c>
      <c r="H31">
        <f t="shared" si="2"/>
        <v>1</v>
      </c>
      <c r="I31">
        <f t="shared" si="3"/>
        <v>1</v>
      </c>
      <c r="K31" t="str">
        <f t="shared" si="6"/>
        <v>國立</v>
      </c>
      <c r="L31" t="str">
        <f t="shared" si="4"/>
        <v>國立xxx中</v>
      </c>
    </row>
    <row r="32" spans="1:12" x14ac:dyDescent="0.3">
      <c r="A32">
        <v>93031</v>
      </c>
      <c r="B32" s="3" t="s">
        <v>11</v>
      </c>
      <c r="C32" s="3" t="s">
        <v>15</v>
      </c>
      <c r="D32" s="3" t="s">
        <v>6</v>
      </c>
      <c r="E32" t="str">
        <f t="shared" si="5"/>
        <v>新北市立xxx中</v>
      </c>
      <c r="F32" t="str">
        <f t="shared" si="1"/>
        <v>社會組</v>
      </c>
      <c r="G32" t="str">
        <f t="shared" si="0"/>
        <v>市立</v>
      </c>
      <c r="H32">
        <f t="shared" si="2"/>
        <v>2</v>
      </c>
      <c r="I32">
        <f t="shared" si="3"/>
        <v>1</v>
      </c>
      <c r="K32" t="str">
        <f t="shared" si="6"/>
        <v>市立</v>
      </c>
      <c r="L32" t="str">
        <f t="shared" si="4"/>
        <v>新北市立xxx中</v>
      </c>
    </row>
    <row r="33" spans="1:12" x14ac:dyDescent="0.3">
      <c r="A33">
        <v>93032</v>
      </c>
      <c r="B33" s="3" t="s">
        <v>11</v>
      </c>
      <c r="C33" s="3" t="s">
        <v>7</v>
      </c>
      <c r="D33" s="3" t="s">
        <v>6</v>
      </c>
      <c r="E33" t="str">
        <f t="shared" si="5"/>
        <v>國立xxx中</v>
      </c>
      <c r="F33" t="str">
        <f t="shared" si="1"/>
        <v>社會組</v>
      </c>
      <c r="G33" t="str">
        <f t="shared" si="0"/>
        <v>國立</v>
      </c>
      <c r="H33">
        <f t="shared" si="2"/>
        <v>2</v>
      </c>
      <c r="I33">
        <f t="shared" si="3"/>
        <v>1</v>
      </c>
      <c r="K33" t="str">
        <f t="shared" si="6"/>
        <v>國立</v>
      </c>
      <c r="L33" t="str">
        <f t="shared" si="4"/>
        <v>國立xxx中</v>
      </c>
    </row>
    <row r="34" spans="1:12" x14ac:dyDescent="0.3">
      <c r="A34">
        <v>93033</v>
      </c>
      <c r="B34" s="3" t="s">
        <v>11</v>
      </c>
      <c r="C34" s="3" t="s">
        <v>12</v>
      </c>
      <c r="D34" s="3" t="s">
        <v>9</v>
      </c>
      <c r="E34" t="str">
        <f t="shared" si="5"/>
        <v>國立xxx中</v>
      </c>
      <c r="F34" t="str">
        <f t="shared" si="1"/>
        <v>社會組</v>
      </c>
      <c r="G34" t="str">
        <f t="shared" si="0"/>
        <v>國立</v>
      </c>
      <c r="H34">
        <f t="shared" si="2"/>
        <v>2</v>
      </c>
      <c r="I34">
        <f t="shared" si="3"/>
        <v>0</v>
      </c>
      <c r="K34" t="str">
        <f t="shared" si="6"/>
        <v>國立</v>
      </c>
      <c r="L34" t="str">
        <f t="shared" si="4"/>
        <v>國立xxx中</v>
      </c>
    </row>
    <row r="35" spans="1:12" x14ac:dyDescent="0.3">
      <c r="A35">
        <v>93034</v>
      </c>
      <c r="B35" s="3" t="s">
        <v>11</v>
      </c>
      <c r="C35" s="3" t="s">
        <v>13</v>
      </c>
      <c r="D35" s="3" t="s">
        <v>6</v>
      </c>
      <c r="E35" t="str">
        <f t="shared" si="5"/>
        <v>臺中市立xxx中</v>
      </c>
      <c r="F35" t="str">
        <f t="shared" si="1"/>
        <v>社會組</v>
      </c>
      <c r="G35" t="str">
        <f t="shared" si="0"/>
        <v>市立</v>
      </c>
      <c r="H35">
        <f t="shared" si="2"/>
        <v>2</v>
      </c>
      <c r="I35">
        <f t="shared" si="3"/>
        <v>1</v>
      </c>
      <c r="K35" t="str">
        <f t="shared" si="6"/>
        <v>市立</v>
      </c>
      <c r="L35" t="str">
        <f t="shared" si="4"/>
        <v>臺中市立xxx中高中</v>
      </c>
    </row>
    <row r="36" spans="1:12" x14ac:dyDescent="0.3">
      <c r="A36">
        <v>93035</v>
      </c>
      <c r="B36" s="3" t="s">
        <v>11</v>
      </c>
      <c r="C36" s="3" t="s">
        <v>16</v>
      </c>
      <c r="D36" s="3" t="s">
        <v>6</v>
      </c>
      <c r="E36" t="str">
        <f t="shared" si="5"/>
        <v>國立xxx學附中</v>
      </c>
      <c r="F36" t="str">
        <f t="shared" si="1"/>
        <v>社會組</v>
      </c>
      <c r="G36" t="str">
        <f t="shared" si="0"/>
        <v>國立</v>
      </c>
      <c r="H36">
        <f t="shared" si="2"/>
        <v>2</v>
      </c>
      <c r="I36">
        <f t="shared" si="3"/>
        <v>1</v>
      </c>
      <c r="K36" t="str">
        <f t="shared" si="6"/>
        <v>國立</v>
      </c>
      <c r="L36" t="str">
        <f t="shared" si="4"/>
        <v>國立xxx中</v>
      </c>
    </row>
    <row r="37" spans="1:12" x14ac:dyDescent="0.3">
      <c r="A37">
        <v>93036</v>
      </c>
      <c r="B37" s="3" t="s">
        <v>11</v>
      </c>
      <c r="C37" s="3" t="s">
        <v>13</v>
      </c>
      <c r="D37" s="3" t="s">
        <v>6</v>
      </c>
      <c r="E37" t="str">
        <f t="shared" si="5"/>
        <v>臺中市立xxx中</v>
      </c>
      <c r="F37" t="str">
        <f t="shared" si="1"/>
        <v>社會組</v>
      </c>
      <c r="G37" t="str">
        <f t="shared" si="0"/>
        <v>市立</v>
      </c>
      <c r="H37">
        <f t="shared" si="2"/>
        <v>2</v>
      </c>
      <c r="I37">
        <f t="shared" si="3"/>
        <v>1</v>
      </c>
      <c r="K37" t="str">
        <f t="shared" si="6"/>
        <v>市立</v>
      </c>
      <c r="L37" t="str">
        <f t="shared" si="4"/>
        <v>臺中市立xxx中高中</v>
      </c>
    </row>
    <row r="38" spans="1:12" x14ac:dyDescent="0.3">
      <c r="A38">
        <v>93037</v>
      </c>
      <c r="B38" s="3" t="s">
        <v>11</v>
      </c>
      <c r="C38" s="3" t="s">
        <v>7</v>
      </c>
      <c r="D38" s="3" t="s">
        <v>6</v>
      </c>
      <c r="E38" t="str">
        <f t="shared" si="5"/>
        <v>國立xxx中</v>
      </c>
      <c r="F38" t="str">
        <f t="shared" si="1"/>
        <v>社會組</v>
      </c>
      <c r="G38" t="str">
        <f t="shared" si="0"/>
        <v>國立</v>
      </c>
      <c r="H38">
        <f t="shared" si="2"/>
        <v>2</v>
      </c>
      <c r="I38">
        <f t="shared" si="3"/>
        <v>1</v>
      </c>
      <c r="K38" t="str">
        <f t="shared" si="6"/>
        <v>國立</v>
      </c>
      <c r="L38" t="str">
        <f t="shared" si="4"/>
        <v>國立xxx中</v>
      </c>
    </row>
    <row r="39" spans="1:12" x14ac:dyDescent="0.3">
      <c r="A39">
        <v>93038</v>
      </c>
      <c r="B39" s="3" t="s">
        <v>11</v>
      </c>
      <c r="C39" s="3" t="s">
        <v>19</v>
      </c>
      <c r="D39" s="3" t="s">
        <v>6</v>
      </c>
      <c r="E39" t="str">
        <f t="shared" si="5"/>
        <v>國立xxx中</v>
      </c>
      <c r="F39" t="str">
        <f t="shared" si="1"/>
        <v>社會組</v>
      </c>
      <c r="G39" t="str">
        <f t="shared" si="0"/>
        <v>國立</v>
      </c>
      <c r="H39">
        <f t="shared" si="2"/>
        <v>2</v>
      </c>
      <c r="I39">
        <f t="shared" si="3"/>
        <v>1</v>
      </c>
      <c r="K39" t="str">
        <f t="shared" si="6"/>
        <v>國立</v>
      </c>
      <c r="L39" t="str">
        <f t="shared" si="4"/>
        <v>國立xxx中</v>
      </c>
    </row>
    <row r="40" spans="1:12" x14ac:dyDescent="0.3">
      <c r="A40">
        <v>93039</v>
      </c>
      <c r="B40" s="3" t="s">
        <v>11</v>
      </c>
      <c r="C40" s="3" t="s">
        <v>19</v>
      </c>
      <c r="D40" s="3" t="s">
        <v>6</v>
      </c>
      <c r="E40" t="str">
        <f t="shared" si="5"/>
        <v>國立xxx中</v>
      </c>
      <c r="F40" t="str">
        <f t="shared" si="1"/>
        <v>社會組</v>
      </c>
      <c r="G40" t="str">
        <f t="shared" si="0"/>
        <v>國立</v>
      </c>
      <c r="H40">
        <f t="shared" si="2"/>
        <v>2</v>
      </c>
      <c r="I40">
        <f t="shared" si="3"/>
        <v>1</v>
      </c>
      <c r="K40" t="str">
        <f t="shared" si="6"/>
        <v>國立</v>
      </c>
      <c r="L40" t="str">
        <f t="shared" si="4"/>
        <v>國立xxx中</v>
      </c>
    </row>
    <row r="41" spans="1:12" x14ac:dyDescent="0.3">
      <c r="A41">
        <v>93040</v>
      </c>
      <c r="B41" s="3" t="s">
        <v>11</v>
      </c>
      <c r="C41" s="3" t="s">
        <v>19</v>
      </c>
      <c r="D41" s="3" t="s">
        <v>9</v>
      </c>
      <c r="E41" t="str">
        <f t="shared" si="5"/>
        <v>國立xxx中</v>
      </c>
      <c r="F41" t="str">
        <f t="shared" si="1"/>
        <v>社會組</v>
      </c>
      <c r="G41" t="str">
        <f t="shared" si="0"/>
        <v>國立</v>
      </c>
      <c r="H41">
        <f t="shared" si="2"/>
        <v>2</v>
      </c>
      <c r="I41">
        <f t="shared" si="3"/>
        <v>0</v>
      </c>
      <c r="K41" t="str">
        <f t="shared" si="6"/>
        <v>國立</v>
      </c>
      <c r="L41" t="str">
        <f t="shared" si="4"/>
        <v>國立xxx中</v>
      </c>
    </row>
    <row r="42" spans="1:12" x14ac:dyDescent="0.3">
      <c r="A42">
        <v>93041</v>
      </c>
      <c r="B42" s="3" t="s">
        <v>11</v>
      </c>
      <c r="C42" s="3" t="s">
        <v>19</v>
      </c>
      <c r="D42" s="3" t="s">
        <v>9</v>
      </c>
      <c r="E42" t="str">
        <f t="shared" si="5"/>
        <v>國立xxx中</v>
      </c>
      <c r="F42" t="str">
        <f t="shared" si="1"/>
        <v>社會組</v>
      </c>
      <c r="G42" t="str">
        <f t="shared" si="0"/>
        <v>國立</v>
      </c>
      <c r="H42">
        <f t="shared" si="2"/>
        <v>2</v>
      </c>
      <c r="I42">
        <f t="shared" si="3"/>
        <v>0</v>
      </c>
      <c r="K42" t="str">
        <f t="shared" si="6"/>
        <v>國立</v>
      </c>
      <c r="L42" t="str">
        <f t="shared" si="4"/>
        <v>國立xxx中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workbookViewId="0">
      <selection activeCell="F3" sqref="F3"/>
    </sheetView>
  </sheetViews>
  <sheetFormatPr defaultRowHeight="16.2" x14ac:dyDescent="0.3"/>
  <cols>
    <col min="2" max="2" width="21.88671875" bestFit="1" customWidth="1"/>
    <col min="3" max="3" width="17.21875" bestFit="1" customWidth="1"/>
    <col min="5" max="5" width="11.6640625" bestFit="1" customWidth="1"/>
    <col min="6" max="6" width="15" bestFit="1" customWidth="1"/>
  </cols>
  <sheetData>
    <row r="1" spans="1:8" ht="32.4" x14ac:dyDescent="0.3">
      <c r="A1" s="1" t="s">
        <v>0</v>
      </c>
      <c r="B1" s="2" t="s">
        <v>1</v>
      </c>
      <c r="C1" s="2" t="s">
        <v>2</v>
      </c>
      <c r="D1" t="s">
        <v>3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3">
      <c r="A2">
        <v>93001</v>
      </c>
      <c r="B2" s="3" t="s">
        <v>4</v>
      </c>
      <c r="C2" s="3" t="s">
        <v>17</v>
      </c>
      <c r="D2" s="3" t="s">
        <v>6</v>
      </c>
      <c r="F2" t="str">
        <f>MID(C2,FIND("立",C2)-1,2)</f>
        <v>私立</v>
      </c>
      <c r="G2">
        <f>FIND("立",C2)</f>
        <v>2</v>
      </c>
    </row>
    <row r="3" spans="1:8" x14ac:dyDescent="0.3">
      <c r="A3">
        <v>93002</v>
      </c>
      <c r="B3" s="3" t="s">
        <v>4</v>
      </c>
      <c r="C3" s="3" t="s">
        <v>19</v>
      </c>
      <c r="D3" s="3" t="s">
        <v>6</v>
      </c>
      <c r="F3" t="str">
        <f t="shared" ref="F3:F42" si="0">MID(C3,FIND("立",C3)-1,2)</f>
        <v>國立</v>
      </c>
      <c r="G3">
        <f t="shared" ref="G3:G42" si="1">FIND("立",C3)</f>
        <v>2</v>
      </c>
    </row>
    <row r="4" spans="1:8" x14ac:dyDescent="0.3">
      <c r="A4">
        <v>93003</v>
      </c>
      <c r="B4" s="3" t="s">
        <v>4</v>
      </c>
      <c r="C4" s="3" t="s">
        <v>19</v>
      </c>
      <c r="D4" s="3" t="s">
        <v>6</v>
      </c>
      <c r="F4" t="str">
        <f t="shared" si="0"/>
        <v>國立</v>
      </c>
      <c r="G4">
        <f t="shared" si="1"/>
        <v>2</v>
      </c>
    </row>
    <row r="5" spans="1:8" x14ac:dyDescent="0.3">
      <c r="A5">
        <v>93004</v>
      </c>
      <c r="B5" s="3" t="s">
        <v>4</v>
      </c>
      <c r="C5" s="3" t="s">
        <v>19</v>
      </c>
      <c r="D5" s="3" t="s">
        <v>6</v>
      </c>
      <c r="F5" t="str">
        <f t="shared" si="0"/>
        <v>國立</v>
      </c>
      <c r="G5">
        <f t="shared" si="1"/>
        <v>2</v>
      </c>
    </row>
    <row r="6" spans="1:8" x14ac:dyDescent="0.3">
      <c r="A6">
        <v>93005</v>
      </c>
      <c r="B6" s="3" t="s">
        <v>4</v>
      </c>
      <c r="C6" s="3" t="s">
        <v>7</v>
      </c>
      <c r="D6" s="3" t="s">
        <v>6</v>
      </c>
      <c r="F6" t="str">
        <f t="shared" si="0"/>
        <v>國立</v>
      </c>
      <c r="G6">
        <f t="shared" si="1"/>
        <v>2</v>
      </c>
    </row>
    <row r="7" spans="1:8" x14ac:dyDescent="0.3">
      <c r="A7">
        <v>93006</v>
      </c>
      <c r="B7" s="3" t="s">
        <v>4</v>
      </c>
      <c r="C7" s="3" t="s">
        <v>8</v>
      </c>
      <c r="D7" s="3" t="s">
        <v>6</v>
      </c>
      <c r="F7" t="str">
        <f t="shared" si="0"/>
        <v>市立</v>
      </c>
      <c r="G7">
        <f t="shared" si="1"/>
        <v>4</v>
      </c>
    </row>
    <row r="8" spans="1:8" x14ac:dyDescent="0.3">
      <c r="A8">
        <v>93007</v>
      </c>
      <c r="B8" s="3" t="s">
        <v>4</v>
      </c>
      <c r="C8" s="3" t="s">
        <v>18</v>
      </c>
      <c r="D8" s="3" t="s">
        <v>6</v>
      </c>
      <c r="F8" t="str">
        <f t="shared" si="0"/>
        <v>市立</v>
      </c>
      <c r="G8">
        <f t="shared" si="1"/>
        <v>4</v>
      </c>
    </row>
    <row r="9" spans="1:8" x14ac:dyDescent="0.3">
      <c r="A9">
        <v>93008</v>
      </c>
      <c r="B9" s="3" t="s">
        <v>4</v>
      </c>
      <c r="C9" s="3" t="s">
        <v>5</v>
      </c>
      <c r="D9" s="3" t="s">
        <v>9</v>
      </c>
      <c r="F9" t="str">
        <f t="shared" si="0"/>
        <v>私立</v>
      </c>
      <c r="G9">
        <f t="shared" si="1"/>
        <v>2</v>
      </c>
    </row>
    <row r="10" spans="1:8" x14ac:dyDescent="0.3">
      <c r="A10">
        <v>93009</v>
      </c>
      <c r="B10" s="3" t="s">
        <v>4</v>
      </c>
      <c r="C10" s="3" t="s">
        <v>10</v>
      </c>
      <c r="D10" s="3" t="s">
        <v>6</v>
      </c>
      <c r="F10" t="str">
        <f t="shared" si="0"/>
        <v>市立</v>
      </c>
      <c r="G10">
        <f t="shared" si="1"/>
        <v>4</v>
      </c>
    </row>
    <row r="11" spans="1:8" x14ac:dyDescent="0.3">
      <c r="A11">
        <v>93010</v>
      </c>
      <c r="B11" s="3" t="s">
        <v>11</v>
      </c>
      <c r="C11" s="3" t="s">
        <v>13</v>
      </c>
      <c r="D11" s="3" t="s">
        <v>6</v>
      </c>
      <c r="F11" t="str">
        <f t="shared" si="0"/>
        <v>市立</v>
      </c>
      <c r="G11">
        <f t="shared" si="1"/>
        <v>4</v>
      </c>
    </row>
    <row r="12" spans="1:8" x14ac:dyDescent="0.3">
      <c r="A12">
        <v>93011</v>
      </c>
      <c r="B12" s="3" t="s">
        <v>11</v>
      </c>
      <c r="C12" s="3" t="s">
        <v>10</v>
      </c>
      <c r="D12" s="3" t="s">
        <v>6</v>
      </c>
      <c r="F12" t="str">
        <f t="shared" si="0"/>
        <v>市立</v>
      </c>
      <c r="G12">
        <f t="shared" si="1"/>
        <v>4</v>
      </c>
    </row>
    <row r="13" spans="1:8" x14ac:dyDescent="0.3">
      <c r="A13">
        <v>93012</v>
      </c>
      <c r="B13" s="3" t="s">
        <v>11</v>
      </c>
      <c r="C13" s="3" t="s">
        <v>8</v>
      </c>
      <c r="D13" s="3" t="s">
        <v>9</v>
      </c>
      <c r="F13" t="str">
        <f t="shared" si="0"/>
        <v>市立</v>
      </c>
      <c r="G13">
        <f t="shared" si="1"/>
        <v>4</v>
      </c>
    </row>
    <row r="14" spans="1:8" x14ac:dyDescent="0.3">
      <c r="A14">
        <v>93013</v>
      </c>
      <c r="B14" s="3" t="s">
        <v>11</v>
      </c>
      <c r="C14" s="3" t="s">
        <v>7</v>
      </c>
      <c r="D14" s="3" t="s">
        <v>9</v>
      </c>
      <c r="F14" t="str">
        <f t="shared" si="0"/>
        <v>國立</v>
      </c>
      <c r="G14">
        <f t="shared" si="1"/>
        <v>2</v>
      </c>
    </row>
    <row r="15" spans="1:8" x14ac:dyDescent="0.3">
      <c r="A15">
        <v>93014</v>
      </c>
      <c r="B15" s="3" t="s">
        <v>11</v>
      </c>
      <c r="C15" s="3" t="s">
        <v>18</v>
      </c>
      <c r="D15" s="3" t="s">
        <v>9</v>
      </c>
      <c r="F15" t="str">
        <f t="shared" si="0"/>
        <v>市立</v>
      </c>
      <c r="G15">
        <f t="shared" si="1"/>
        <v>4</v>
      </c>
    </row>
    <row r="16" spans="1:8" x14ac:dyDescent="0.3">
      <c r="A16">
        <v>93015</v>
      </c>
      <c r="B16" s="3" t="s">
        <v>11</v>
      </c>
      <c r="C16" s="3" t="s">
        <v>7</v>
      </c>
      <c r="D16" s="3" t="s">
        <v>6</v>
      </c>
      <c r="F16" t="str">
        <f t="shared" si="0"/>
        <v>國立</v>
      </c>
      <c r="G16">
        <f t="shared" si="1"/>
        <v>2</v>
      </c>
    </row>
    <row r="17" spans="1:7" x14ac:dyDescent="0.3">
      <c r="A17">
        <v>93016</v>
      </c>
      <c r="B17" s="3" t="s">
        <v>11</v>
      </c>
      <c r="C17" s="3" t="s">
        <v>7</v>
      </c>
      <c r="D17" s="3" t="s">
        <v>6</v>
      </c>
      <c r="F17" t="str">
        <f t="shared" si="0"/>
        <v>國立</v>
      </c>
      <c r="G17">
        <f t="shared" si="1"/>
        <v>2</v>
      </c>
    </row>
    <row r="18" spans="1:7" x14ac:dyDescent="0.3">
      <c r="A18">
        <v>93017</v>
      </c>
      <c r="B18" s="3" t="s">
        <v>11</v>
      </c>
      <c r="C18" s="3" t="s">
        <v>10</v>
      </c>
      <c r="D18" s="3" t="s">
        <v>9</v>
      </c>
      <c r="F18" t="str">
        <f t="shared" si="0"/>
        <v>市立</v>
      </c>
      <c r="G18">
        <f t="shared" si="1"/>
        <v>4</v>
      </c>
    </row>
    <row r="19" spans="1:7" x14ac:dyDescent="0.3">
      <c r="A19">
        <v>93018</v>
      </c>
      <c r="B19" s="3" t="s">
        <v>11</v>
      </c>
      <c r="C19" s="3" t="s">
        <v>7</v>
      </c>
      <c r="D19" s="3" t="s">
        <v>6</v>
      </c>
      <c r="F19" t="str">
        <f t="shared" si="0"/>
        <v>國立</v>
      </c>
      <c r="G19">
        <f t="shared" si="1"/>
        <v>2</v>
      </c>
    </row>
    <row r="20" spans="1:7" x14ac:dyDescent="0.3">
      <c r="A20">
        <v>93019</v>
      </c>
      <c r="B20" s="3" t="s">
        <v>4</v>
      </c>
      <c r="C20" s="3" t="s">
        <v>18</v>
      </c>
      <c r="D20" s="3" t="s">
        <v>6</v>
      </c>
      <c r="F20" t="str">
        <f t="shared" si="0"/>
        <v>市立</v>
      </c>
      <c r="G20">
        <f t="shared" si="1"/>
        <v>4</v>
      </c>
    </row>
    <row r="21" spans="1:7" x14ac:dyDescent="0.3">
      <c r="A21">
        <v>93020</v>
      </c>
      <c r="B21" s="3" t="s">
        <v>4</v>
      </c>
      <c r="C21" s="3" t="s">
        <v>12</v>
      </c>
      <c r="D21" s="3" t="s">
        <v>9</v>
      </c>
      <c r="F21" t="str">
        <f t="shared" si="0"/>
        <v>國立</v>
      </c>
      <c r="G21">
        <f t="shared" si="1"/>
        <v>2</v>
      </c>
    </row>
    <row r="22" spans="1:7" x14ac:dyDescent="0.3">
      <c r="A22">
        <v>93021</v>
      </c>
      <c r="B22" s="3" t="s">
        <v>4</v>
      </c>
      <c r="C22" s="3" t="s">
        <v>5</v>
      </c>
      <c r="D22" s="3" t="s">
        <v>9</v>
      </c>
      <c r="F22" t="str">
        <f t="shared" si="0"/>
        <v>私立</v>
      </c>
      <c r="G22">
        <f t="shared" si="1"/>
        <v>2</v>
      </c>
    </row>
    <row r="23" spans="1:7" x14ac:dyDescent="0.3">
      <c r="A23">
        <v>93022</v>
      </c>
      <c r="B23" s="3" t="s">
        <v>4</v>
      </c>
      <c r="C23" s="3" t="s">
        <v>10</v>
      </c>
      <c r="D23" s="3" t="s">
        <v>9</v>
      </c>
      <c r="F23" t="str">
        <f t="shared" si="0"/>
        <v>市立</v>
      </c>
      <c r="G23">
        <f t="shared" si="1"/>
        <v>4</v>
      </c>
    </row>
    <row r="24" spans="1:7" x14ac:dyDescent="0.3">
      <c r="A24">
        <v>93023</v>
      </c>
      <c r="B24" s="3" t="s">
        <v>4</v>
      </c>
      <c r="C24" s="3" t="s">
        <v>10</v>
      </c>
      <c r="D24" s="3" t="s">
        <v>6</v>
      </c>
      <c r="F24" t="str">
        <f t="shared" si="0"/>
        <v>市立</v>
      </c>
      <c r="G24">
        <f t="shared" si="1"/>
        <v>4</v>
      </c>
    </row>
    <row r="25" spans="1:7" x14ac:dyDescent="0.3">
      <c r="A25">
        <v>93024</v>
      </c>
      <c r="B25" s="3" t="s">
        <v>4</v>
      </c>
      <c r="C25" s="3" t="s">
        <v>10</v>
      </c>
      <c r="D25" s="3" t="s">
        <v>6</v>
      </c>
      <c r="F25" t="str">
        <f t="shared" si="0"/>
        <v>市立</v>
      </c>
      <c r="G25">
        <f t="shared" si="1"/>
        <v>4</v>
      </c>
    </row>
    <row r="26" spans="1:7" x14ac:dyDescent="0.3">
      <c r="A26">
        <v>93025</v>
      </c>
      <c r="B26" s="3" t="s">
        <v>4</v>
      </c>
      <c r="C26" s="3" t="s">
        <v>10</v>
      </c>
      <c r="D26" s="3" t="s">
        <v>6</v>
      </c>
      <c r="F26" t="str">
        <f t="shared" si="0"/>
        <v>市立</v>
      </c>
      <c r="G26">
        <f t="shared" si="1"/>
        <v>4</v>
      </c>
    </row>
    <row r="27" spans="1:7" x14ac:dyDescent="0.3">
      <c r="A27">
        <v>93026</v>
      </c>
      <c r="B27" s="3" t="s">
        <v>4</v>
      </c>
      <c r="C27" s="3" t="s">
        <v>7</v>
      </c>
      <c r="D27" s="3" t="s">
        <v>6</v>
      </c>
      <c r="F27" t="str">
        <f t="shared" si="0"/>
        <v>國立</v>
      </c>
      <c r="G27">
        <f t="shared" si="1"/>
        <v>2</v>
      </c>
    </row>
    <row r="28" spans="1:7" x14ac:dyDescent="0.3">
      <c r="A28">
        <v>93027</v>
      </c>
      <c r="B28" s="3" t="s">
        <v>4</v>
      </c>
      <c r="C28" s="3" t="s">
        <v>12</v>
      </c>
      <c r="D28" s="3" t="s">
        <v>9</v>
      </c>
      <c r="F28" t="str">
        <f t="shared" si="0"/>
        <v>國立</v>
      </c>
      <c r="G28">
        <f t="shared" si="1"/>
        <v>2</v>
      </c>
    </row>
    <row r="29" spans="1:7" x14ac:dyDescent="0.3">
      <c r="A29">
        <v>93028</v>
      </c>
      <c r="B29" s="3" t="s">
        <v>4</v>
      </c>
      <c r="C29" s="3" t="s">
        <v>5</v>
      </c>
      <c r="D29" s="3" t="s">
        <v>9</v>
      </c>
      <c r="F29" t="str">
        <f t="shared" si="0"/>
        <v>私立</v>
      </c>
      <c r="G29">
        <f t="shared" si="1"/>
        <v>2</v>
      </c>
    </row>
    <row r="30" spans="1:7" x14ac:dyDescent="0.3">
      <c r="A30">
        <v>93029</v>
      </c>
      <c r="B30" s="3" t="s">
        <v>4</v>
      </c>
      <c r="C30" s="3" t="s">
        <v>13</v>
      </c>
      <c r="D30" s="3" t="s">
        <v>6</v>
      </c>
      <c r="F30" t="str">
        <f t="shared" si="0"/>
        <v>市立</v>
      </c>
      <c r="G30">
        <f t="shared" si="1"/>
        <v>4</v>
      </c>
    </row>
    <row r="31" spans="1:7" x14ac:dyDescent="0.3">
      <c r="A31">
        <v>93030</v>
      </c>
      <c r="B31" s="3" t="s">
        <v>4</v>
      </c>
      <c r="C31" s="3" t="s">
        <v>14</v>
      </c>
      <c r="D31" s="3" t="s">
        <v>6</v>
      </c>
      <c r="F31" t="str">
        <f t="shared" si="0"/>
        <v>國立</v>
      </c>
      <c r="G31">
        <f t="shared" si="1"/>
        <v>2</v>
      </c>
    </row>
    <row r="32" spans="1:7" x14ac:dyDescent="0.3">
      <c r="A32">
        <v>93031</v>
      </c>
      <c r="B32" s="3" t="s">
        <v>11</v>
      </c>
      <c r="C32" s="3" t="s">
        <v>15</v>
      </c>
      <c r="D32" s="3" t="s">
        <v>6</v>
      </c>
      <c r="F32" t="str">
        <f t="shared" si="0"/>
        <v>市立</v>
      </c>
      <c r="G32">
        <f t="shared" si="1"/>
        <v>4</v>
      </c>
    </row>
    <row r="33" spans="1:7" x14ac:dyDescent="0.3">
      <c r="A33">
        <v>93032</v>
      </c>
      <c r="B33" s="3" t="s">
        <v>11</v>
      </c>
      <c r="C33" s="3" t="s">
        <v>7</v>
      </c>
      <c r="D33" s="3" t="s">
        <v>6</v>
      </c>
      <c r="F33" t="str">
        <f t="shared" si="0"/>
        <v>國立</v>
      </c>
      <c r="G33">
        <f t="shared" si="1"/>
        <v>2</v>
      </c>
    </row>
    <row r="34" spans="1:7" x14ac:dyDescent="0.3">
      <c r="A34">
        <v>93033</v>
      </c>
      <c r="B34" s="3" t="s">
        <v>11</v>
      </c>
      <c r="C34" s="3" t="s">
        <v>12</v>
      </c>
      <c r="D34" s="3" t="s">
        <v>9</v>
      </c>
      <c r="F34" t="str">
        <f t="shared" si="0"/>
        <v>國立</v>
      </c>
      <c r="G34">
        <f t="shared" si="1"/>
        <v>2</v>
      </c>
    </row>
    <row r="35" spans="1:7" x14ac:dyDescent="0.3">
      <c r="A35">
        <v>93034</v>
      </c>
      <c r="B35" s="3" t="s">
        <v>11</v>
      </c>
      <c r="C35" s="3" t="s">
        <v>13</v>
      </c>
      <c r="D35" s="3" t="s">
        <v>6</v>
      </c>
      <c r="F35" t="str">
        <f t="shared" si="0"/>
        <v>市立</v>
      </c>
      <c r="G35">
        <f t="shared" si="1"/>
        <v>4</v>
      </c>
    </row>
    <row r="36" spans="1:7" x14ac:dyDescent="0.3">
      <c r="A36">
        <v>93035</v>
      </c>
      <c r="B36" s="3" t="s">
        <v>11</v>
      </c>
      <c r="C36" s="3" t="s">
        <v>16</v>
      </c>
      <c r="D36" s="3" t="s">
        <v>6</v>
      </c>
      <c r="F36" t="str">
        <f t="shared" si="0"/>
        <v>國立</v>
      </c>
      <c r="G36">
        <f t="shared" si="1"/>
        <v>2</v>
      </c>
    </row>
    <row r="37" spans="1:7" x14ac:dyDescent="0.3">
      <c r="A37">
        <v>93036</v>
      </c>
      <c r="B37" s="3" t="s">
        <v>11</v>
      </c>
      <c r="C37" s="3" t="s">
        <v>13</v>
      </c>
      <c r="D37" s="3" t="s">
        <v>6</v>
      </c>
      <c r="F37" t="str">
        <f t="shared" si="0"/>
        <v>市立</v>
      </c>
      <c r="G37">
        <f t="shared" si="1"/>
        <v>4</v>
      </c>
    </row>
    <row r="38" spans="1:7" x14ac:dyDescent="0.3">
      <c r="A38">
        <v>93037</v>
      </c>
      <c r="B38" s="3" t="s">
        <v>11</v>
      </c>
      <c r="C38" s="3" t="s">
        <v>7</v>
      </c>
      <c r="D38" s="3" t="s">
        <v>6</v>
      </c>
      <c r="F38" t="str">
        <f t="shared" si="0"/>
        <v>國立</v>
      </c>
      <c r="G38">
        <f t="shared" si="1"/>
        <v>2</v>
      </c>
    </row>
    <row r="39" spans="1:7" x14ac:dyDescent="0.3">
      <c r="A39">
        <v>93038</v>
      </c>
      <c r="B39" s="3" t="s">
        <v>11</v>
      </c>
      <c r="C39" s="3" t="s">
        <v>19</v>
      </c>
      <c r="D39" s="3" t="s">
        <v>6</v>
      </c>
      <c r="F39" t="str">
        <f t="shared" si="0"/>
        <v>國立</v>
      </c>
      <c r="G39">
        <f t="shared" si="1"/>
        <v>2</v>
      </c>
    </row>
    <row r="40" spans="1:7" x14ac:dyDescent="0.3">
      <c r="A40">
        <v>93039</v>
      </c>
      <c r="B40" s="3" t="s">
        <v>11</v>
      </c>
      <c r="C40" s="3" t="s">
        <v>19</v>
      </c>
      <c r="D40" s="3" t="s">
        <v>6</v>
      </c>
      <c r="F40" t="str">
        <f t="shared" si="0"/>
        <v>國立</v>
      </c>
      <c r="G40">
        <f t="shared" si="1"/>
        <v>2</v>
      </c>
    </row>
    <row r="41" spans="1:7" x14ac:dyDescent="0.3">
      <c r="A41">
        <v>93040</v>
      </c>
      <c r="B41" s="3" t="s">
        <v>11</v>
      </c>
      <c r="C41" s="3" t="s">
        <v>19</v>
      </c>
      <c r="D41" s="3" t="s">
        <v>9</v>
      </c>
      <c r="F41" t="str">
        <f t="shared" si="0"/>
        <v>國立</v>
      </c>
      <c r="G41">
        <f t="shared" si="1"/>
        <v>2</v>
      </c>
    </row>
    <row r="42" spans="1:7" x14ac:dyDescent="0.3">
      <c r="A42">
        <v>93041</v>
      </c>
      <c r="B42" s="3" t="s">
        <v>11</v>
      </c>
      <c r="C42" s="3" t="s">
        <v>19</v>
      </c>
      <c r="D42" s="3" t="s">
        <v>9</v>
      </c>
      <c r="F42" t="str">
        <f t="shared" si="0"/>
        <v>國立</v>
      </c>
      <c r="G42">
        <f t="shared" si="1"/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學生基本資料檔</vt:lpstr>
      <vt:lpstr>練習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陳群翔</cp:lastModifiedBy>
  <dcterms:created xsi:type="dcterms:W3CDTF">2024-03-19T04:09:46Z</dcterms:created>
  <dcterms:modified xsi:type="dcterms:W3CDTF">2024-04-16T05:16:56Z</dcterms:modified>
</cp:coreProperties>
</file>