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大學\大二下\資料視覺化\"/>
    </mc:Choice>
  </mc:AlternateContent>
  <xr:revisionPtr revIDLastSave="0" documentId="13_ncr:1_{ACAB8761-6B1A-4D27-A2A6-04E348FCC7A8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工作表1" sheetId="1" r:id="rId1"/>
    <sheet name="工作表2" sheetId="2" r:id="rId2"/>
    <sheet name="Week1" sheetId="3" r:id="rId3"/>
    <sheet name="Week2" sheetId="4" r:id="rId4"/>
    <sheet name="Week3" sheetId="5" r:id="rId5"/>
    <sheet name="Week4" sheetId="7" r:id="rId6"/>
    <sheet name="Feb" sheetId="9" r:id="rId7"/>
    <sheet name="工讀金表" sheetId="6" r:id="rId8"/>
    <sheet name="test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0" l="1"/>
  <c r="I16" i="7"/>
  <c r="B15" i="5"/>
  <c r="C15" i="5"/>
  <c r="D15" i="5"/>
  <c r="E15" i="5"/>
  <c r="F15" i="5"/>
  <c r="G15" i="5"/>
  <c r="G15" i="9" s="1"/>
  <c r="H15" i="5"/>
  <c r="H15" i="9" s="1"/>
  <c r="I15" i="5"/>
  <c r="I16" i="5"/>
  <c r="I16" i="4"/>
  <c r="I17" i="4"/>
  <c r="I18" i="4"/>
  <c r="I15" i="4"/>
  <c r="I16" i="3"/>
  <c r="I17" i="3"/>
  <c r="I18" i="3"/>
  <c r="I15" i="3"/>
  <c r="C16" i="9"/>
  <c r="D16" i="9"/>
  <c r="F15" i="9"/>
  <c r="H6" i="9"/>
  <c r="H7" i="9"/>
  <c r="H8" i="9"/>
  <c r="B6" i="9"/>
  <c r="C6" i="9"/>
  <c r="D6" i="9"/>
  <c r="E6" i="9"/>
  <c r="F6" i="9"/>
  <c r="G6" i="9"/>
  <c r="B7" i="9"/>
  <c r="C7" i="9"/>
  <c r="D7" i="9"/>
  <c r="E7" i="9"/>
  <c r="F7" i="9"/>
  <c r="G7" i="9"/>
  <c r="B8" i="9"/>
  <c r="C8" i="9"/>
  <c r="D8" i="9"/>
  <c r="E8" i="9"/>
  <c r="F8" i="9"/>
  <c r="G8" i="9"/>
  <c r="E5" i="9"/>
  <c r="F5" i="9"/>
  <c r="G5" i="9"/>
  <c r="H5" i="9"/>
  <c r="D5" i="9"/>
  <c r="C5" i="9"/>
  <c r="B5" i="9"/>
  <c r="N15" i="10"/>
  <c r="N16" i="10"/>
  <c r="N17" i="10"/>
  <c r="J15" i="10"/>
  <c r="J16" i="10"/>
  <c r="J17" i="10"/>
  <c r="J14" i="10"/>
  <c r="I8" i="10"/>
  <c r="H8" i="10"/>
  <c r="G8" i="10"/>
  <c r="F8" i="10"/>
  <c r="E8" i="10"/>
  <c r="D8" i="10"/>
  <c r="C8" i="10"/>
  <c r="J7" i="10"/>
  <c r="J6" i="10"/>
  <c r="J5" i="10"/>
  <c r="J4" i="10"/>
  <c r="B16" i="7"/>
  <c r="C16" i="7"/>
  <c r="D16" i="7"/>
  <c r="E16" i="7"/>
  <c r="E16" i="9" s="1"/>
  <c r="F16" i="7"/>
  <c r="F16" i="9" s="1"/>
  <c r="G16" i="7"/>
  <c r="H16" i="7"/>
  <c r="B17" i="7"/>
  <c r="I17" i="7" s="1"/>
  <c r="C17" i="7"/>
  <c r="D17" i="7"/>
  <c r="E17" i="7"/>
  <c r="F17" i="7"/>
  <c r="G17" i="7"/>
  <c r="H17" i="7"/>
  <c r="B18" i="7"/>
  <c r="I18" i="7" s="1"/>
  <c r="C18" i="7"/>
  <c r="C18" i="9" s="1"/>
  <c r="D18" i="7"/>
  <c r="D18" i="9" s="1"/>
  <c r="E18" i="7"/>
  <c r="F18" i="7"/>
  <c r="G18" i="7"/>
  <c r="H18" i="7"/>
  <c r="C15" i="7"/>
  <c r="C15" i="9" s="1"/>
  <c r="D15" i="7"/>
  <c r="D15" i="9" s="1"/>
  <c r="E15" i="7"/>
  <c r="E15" i="9" s="1"/>
  <c r="F15" i="7"/>
  <c r="G15" i="7"/>
  <c r="H15" i="7"/>
  <c r="B15" i="7"/>
  <c r="B15" i="9" s="1"/>
  <c r="I5" i="7"/>
  <c r="J6" i="4"/>
  <c r="J7" i="4"/>
  <c r="J8" i="4"/>
  <c r="J9" i="4"/>
  <c r="J5" i="4"/>
  <c r="C10" i="4"/>
  <c r="D10" i="4"/>
  <c r="E10" i="4"/>
  <c r="F10" i="4"/>
  <c r="G10" i="4"/>
  <c r="H10" i="4"/>
  <c r="I10" i="4"/>
  <c r="B10" i="4"/>
  <c r="H9" i="7"/>
  <c r="G9" i="7"/>
  <c r="F9" i="7"/>
  <c r="E9" i="7"/>
  <c r="D9" i="7"/>
  <c r="C9" i="7"/>
  <c r="B9" i="7"/>
  <c r="I8" i="7"/>
  <c r="I7" i="7"/>
  <c r="I7" i="9" s="1"/>
  <c r="I6" i="7"/>
  <c r="I6" i="9" s="1"/>
  <c r="B16" i="5"/>
  <c r="B16" i="9" s="1"/>
  <c r="C16" i="5"/>
  <c r="D16" i="5"/>
  <c r="E16" i="5"/>
  <c r="F16" i="5"/>
  <c r="G16" i="5"/>
  <c r="H16" i="5"/>
  <c r="B17" i="5"/>
  <c r="I17" i="5" s="1"/>
  <c r="C17" i="5"/>
  <c r="D17" i="5"/>
  <c r="E17" i="5"/>
  <c r="F17" i="5"/>
  <c r="G17" i="5"/>
  <c r="G17" i="9" s="1"/>
  <c r="H17" i="5"/>
  <c r="H17" i="9" s="1"/>
  <c r="B18" i="5"/>
  <c r="I18" i="5" s="1"/>
  <c r="C18" i="5"/>
  <c r="D18" i="5"/>
  <c r="E18" i="5"/>
  <c r="F18" i="5"/>
  <c r="G18" i="5"/>
  <c r="H18" i="5"/>
  <c r="I7" i="4"/>
  <c r="I8" i="4"/>
  <c r="I6" i="4"/>
  <c r="I5" i="4"/>
  <c r="H9" i="5"/>
  <c r="G9" i="5"/>
  <c r="G9" i="9" s="1"/>
  <c r="F9" i="5"/>
  <c r="F9" i="9" s="1"/>
  <c r="E9" i="5"/>
  <c r="D9" i="5"/>
  <c r="C9" i="5"/>
  <c r="B9" i="5"/>
  <c r="I8" i="5"/>
  <c r="I7" i="5"/>
  <c r="I6" i="5"/>
  <c r="I5" i="5"/>
  <c r="I5" i="9" s="1"/>
  <c r="B16" i="4"/>
  <c r="C16" i="4"/>
  <c r="D16" i="4"/>
  <c r="E16" i="4"/>
  <c r="F16" i="4"/>
  <c r="G16" i="4"/>
  <c r="H16" i="4"/>
  <c r="B17" i="4"/>
  <c r="C17" i="4"/>
  <c r="D17" i="4"/>
  <c r="E17" i="4"/>
  <c r="F17" i="4"/>
  <c r="G17" i="4"/>
  <c r="H17" i="4"/>
  <c r="B18" i="4"/>
  <c r="C18" i="4"/>
  <c r="D18" i="4"/>
  <c r="E18" i="4"/>
  <c r="F18" i="4"/>
  <c r="G18" i="4"/>
  <c r="H18" i="4"/>
  <c r="C15" i="4"/>
  <c r="D15" i="4"/>
  <c r="E15" i="4"/>
  <c r="F15" i="4"/>
  <c r="G15" i="4"/>
  <c r="H15" i="4"/>
  <c r="B15" i="4"/>
  <c r="H9" i="4"/>
  <c r="G9" i="4"/>
  <c r="F9" i="4"/>
  <c r="E9" i="4"/>
  <c r="D9" i="4"/>
  <c r="C9" i="4"/>
  <c r="B9" i="4"/>
  <c r="I9" i="4" s="1"/>
  <c r="B16" i="3"/>
  <c r="C16" i="3"/>
  <c r="D16" i="3"/>
  <c r="E16" i="3"/>
  <c r="F16" i="3"/>
  <c r="G16" i="3"/>
  <c r="H16" i="3"/>
  <c r="B17" i="3"/>
  <c r="C17" i="3"/>
  <c r="D17" i="3"/>
  <c r="E17" i="3"/>
  <c r="F17" i="3"/>
  <c r="G17" i="3"/>
  <c r="H17" i="3"/>
  <c r="B18" i="3"/>
  <c r="C18" i="3"/>
  <c r="D18" i="3"/>
  <c r="E18" i="3"/>
  <c r="F18" i="3"/>
  <c r="G18" i="3"/>
  <c r="H18" i="3"/>
  <c r="C15" i="3"/>
  <c r="D15" i="3"/>
  <c r="E15" i="3"/>
  <c r="F15" i="3"/>
  <c r="G15" i="3"/>
  <c r="H15" i="3"/>
  <c r="B15" i="3"/>
  <c r="I5" i="3"/>
  <c r="I6" i="3"/>
  <c r="I7" i="3"/>
  <c r="I8" i="3"/>
  <c r="B9" i="3"/>
  <c r="C9" i="3"/>
  <c r="D9" i="3"/>
  <c r="E9" i="3"/>
  <c r="F9" i="3"/>
  <c r="G9" i="3"/>
  <c r="H9" i="3"/>
  <c r="I9" i="3"/>
  <c r="D5" i="2"/>
  <c r="E5" i="2"/>
  <c r="F5" i="2"/>
  <c r="G5" i="2"/>
  <c r="H5" i="2"/>
  <c r="I5" i="2"/>
  <c r="J5" i="2"/>
  <c r="K5" i="2"/>
  <c r="L5" i="2"/>
  <c r="D6" i="2"/>
  <c r="E6" i="2"/>
  <c r="F6" i="2"/>
  <c r="G6" i="2"/>
  <c r="H6" i="2"/>
  <c r="I6" i="2"/>
  <c r="J6" i="2"/>
  <c r="K6" i="2"/>
  <c r="L6" i="2"/>
  <c r="D7" i="2"/>
  <c r="E7" i="2"/>
  <c r="F7" i="2"/>
  <c r="G7" i="2"/>
  <c r="H7" i="2"/>
  <c r="I7" i="2"/>
  <c r="J7" i="2"/>
  <c r="K7" i="2"/>
  <c r="L7" i="2"/>
  <c r="D8" i="2"/>
  <c r="E8" i="2"/>
  <c r="F8" i="2"/>
  <c r="G8" i="2"/>
  <c r="H8" i="2"/>
  <c r="I8" i="2"/>
  <c r="J8" i="2"/>
  <c r="K8" i="2"/>
  <c r="L8" i="2"/>
  <c r="D9" i="2"/>
  <c r="E9" i="2"/>
  <c r="F9" i="2"/>
  <c r="G9" i="2"/>
  <c r="H9" i="2"/>
  <c r="I9" i="2"/>
  <c r="J9" i="2"/>
  <c r="K9" i="2"/>
  <c r="L9" i="2"/>
  <c r="D10" i="2"/>
  <c r="E10" i="2"/>
  <c r="F10" i="2"/>
  <c r="G10" i="2"/>
  <c r="H10" i="2"/>
  <c r="I10" i="2"/>
  <c r="J10" i="2"/>
  <c r="K10" i="2"/>
  <c r="L10" i="2"/>
  <c r="D11" i="2"/>
  <c r="E11" i="2"/>
  <c r="F11" i="2"/>
  <c r="G11" i="2"/>
  <c r="H11" i="2"/>
  <c r="I11" i="2"/>
  <c r="J11" i="2"/>
  <c r="K11" i="2"/>
  <c r="L11" i="2"/>
  <c r="D12" i="2"/>
  <c r="E12" i="2"/>
  <c r="F12" i="2"/>
  <c r="G12" i="2"/>
  <c r="H12" i="2"/>
  <c r="I12" i="2"/>
  <c r="J12" i="2"/>
  <c r="K12" i="2"/>
  <c r="L12" i="2"/>
  <c r="E4" i="2"/>
  <c r="F4" i="2"/>
  <c r="G4" i="2"/>
  <c r="H4" i="2"/>
  <c r="I4" i="2"/>
  <c r="J4" i="2"/>
  <c r="K4" i="2"/>
  <c r="L4" i="2"/>
  <c r="D4" i="2"/>
  <c r="I6" i="1"/>
  <c r="I7" i="1"/>
  <c r="I8" i="1"/>
  <c r="I5" i="1"/>
  <c r="H9" i="1"/>
  <c r="G9" i="1"/>
  <c r="F9" i="1"/>
  <c r="E9" i="1"/>
  <c r="D9" i="1"/>
  <c r="C9" i="1"/>
  <c r="B9" i="1"/>
  <c r="I19" i="3" l="1"/>
  <c r="J15" i="3" s="1"/>
  <c r="I19" i="4"/>
  <c r="J16" i="4" s="1"/>
  <c r="I8" i="9"/>
  <c r="I19" i="5"/>
  <c r="B9" i="9"/>
  <c r="C9" i="9"/>
  <c r="F17" i="9"/>
  <c r="D9" i="9"/>
  <c r="E17" i="9"/>
  <c r="I15" i="9"/>
  <c r="E9" i="9"/>
  <c r="D17" i="9"/>
  <c r="H18" i="9"/>
  <c r="C17" i="9"/>
  <c r="G18" i="9"/>
  <c r="H9" i="9"/>
  <c r="F18" i="9"/>
  <c r="H16" i="9"/>
  <c r="I16" i="9" s="1"/>
  <c r="B18" i="9"/>
  <c r="E18" i="9"/>
  <c r="G16" i="9"/>
  <c r="I15" i="7"/>
  <c r="B17" i="9"/>
  <c r="J18" i="5"/>
  <c r="J15" i="5"/>
  <c r="J16" i="5"/>
  <c r="J17" i="5"/>
  <c r="J8" i="10"/>
  <c r="I9" i="7"/>
  <c r="I9" i="5"/>
  <c r="D10" i="5" s="1"/>
  <c r="I9" i="1"/>
  <c r="H10" i="1" s="1"/>
  <c r="J16" i="3" l="1"/>
  <c r="J19" i="3" s="1"/>
  <c r="J17" i="3"/>
  <c r="J18" i="3"/>
  <c r="I18" i="9"/>
  <c r="J18" i="4"/>
  <c r="J15" i="4"/>
  <c r="J17" i="4"/>
  <c r="I17" i="9"/>
  <c r="I19" i="9" s="1"/>
  <c r="J18" i="9" s="1"/>
  <c r="J19" i="5"/>
  <c r="I19" i="7"/>
  <c r="J7" i="7"/>
  <c r="I9" i="9"/>
  <c r="J5" i="7"/>
  <c r="J8" i="7"/>
  <c r="C10" i="7"/>
  <c r="I10" i="7"/>
  <c r="H10" i="7"/>
  <c r="B10" i="7"/>
  <c r="G10" i="7"/>
  <c r="J9" i="7"/>
  <c r="F10" i="7"/>
  <c r="J6" i="7"/>
  <c r="E10" i="7"/>
  <c r="D10" i="7"/>
  <c r="J8" i="5"/>
  <c r="J7" i="5"/>
  <c r="E10" i="5"/>
  <c r="I10" i="5"/>
  <c r="H10" i="5"/>
  <c r="B10" i="5"/>
  <c r="G10" i="5"/>
  <c r="J9" i="5"/>
  <c r="F10" i="5"/>
  <c r="J6" i="5"/>
  <c r="J5" i="5"/>
  <c r="C10" i="5"/>
  <c r="C10" i="1"/>
  <c r="G10" i="1"/>
  <c r="E10" i="1"/>
  <c r="J9" i="1"/>
  <c r="I10" i="1"/>
  <c r="J5" i="1"/>
  <c r="J6" i="1"/>
  <c r="B10" i="1"/>
  <c r="J7" i="1"/>
  <c r="F10" i="1"/>
  <c r="J8" i="1"/>
  <c r="D10" i="1"/>
  <c r="J17" i="9" l="1"/>
  <c r="J15" i="9"/>
  <c r="J16" i="9"/>
  <c r="J19" i="4"/>
  <c r="J17" i="7"/>
  <c r="J16" i="7"/>
  <c r="J18" i="7"/>
  <c r="J15" i="7"/>
  <c r="J19" i="7" s="1"/>
  <c r="J19" i="9"/>
  <c r="J9" i="3" l="1"/>
  <c r="D10" i="3"/>
  <c r="B10" i="3"/>
  <c r="H10" i="3"/>
  <c r="E10" i="3"/>
  <c r="C10" i="3"/>
  <c r="G10" i="3"/>
  <c r="J8" i="3"/>
  <c r="F10" i="3"/>
  <c r="J6" i="3"/>
  <c r="J5" i="3"/>
  <c r="I10" i="3"/>
  <c r="J7" i="3"/>
  <c r="J8" i="9"/>
  <c r="J7" i="9"/>
  <c r="G10" i="9"/>
  <c r="J9" i="9"/>
  <c r="B10" i="9"/>
  <c r="J5" i="9"/>
  <c r="H10" i="9"/>
  <c r="E10" i="9"/>
  <c r="J6" i="9"/>
  <c r="D10" i="9"/>
  <c r="F10" i="9"/>
  <c r="I10" i="9"/>
  <c r="C10" i="9"/>
</calcChain>
</file>

<file path=xl/sharedStrings.xml><?xml version="1.0" encoding="utf-8"?>
<sst xmlns="http://schemas.openxmlformats.org/spreadsheetml/2006/main" count="314" uniqueCount="50">
  <si>
    <t>時段</t>
  </si>
  <si>
    <t>時段</t>
    <phoneticPr fontId="4" type="noConversion"/>
  </si>
  <si>
    <t>週一</t>
  </si>
  <si>
    <t>週一</t>
    <phoneticPr fontId="4" type="noConversion"/>
  </si>
  <si>
    <t>週二</t>
  </si>
  <si>
    <t>週二</t>
    <phoneticPr fontId="4" type="noConversion"/>
  </si>
  <si>
    <t>週三</t>
  </si>
  <si>
    <t>週三</t>
    <phoneticPr fontId="4" type="noConversion"/>
  </si>
  <si>
    <t>週四</t>
  </si>
  <si>
    <t>週四</t>
    <phoneticPr fontId="4" type="noConversion"/>
  </si>
  <si>
    <t>週五</t>
  </si>
  <si>
    <t>週五</t>
    <phoneticPr fontId="4" type="noConversion"/>
  </si>
  <si>
    <t>週六</t>
  </si>
  <si>
    <t>週六</t>
    <phoneticPr fontId="4" type="noConversion"/>
  </si>
  <si>
    <t>週日</t>
  </si>
  <si>
    <t>週日</t>
    <phoneticPr fontId="4" type="noConversion"/>
  </si>
  <si>
    <t>總計</t>
  </si>
  <si>
    <t>總計</t>
    <phoneticPr fontId="4" type="noConversion"/>
  </si>
  <si>
    <t>佔比</t>
  </si>
  <si>
    <t>佔比</t>
    <phoneticPr fontId="4" type="noConversion"/>
  </si>
  <si>
    <t>早上</t>
    <phoneticPr fontId="4" type="noConversion"/>
  </si>
  <si>
    <t>中午</t>
    <phoneticPr fontId="4" type="noConversion"/>
  </si>
  <si>
    <t>晚上</t>
    <phoneticPr fontId="4" type="noConversion"/>
  </si>
  <si>
    <t>總計</t>
    <phoneticPr fontId="4" type="noConversion"/>
  </si>
  <si>
    <t>凌晨</t>
    <phoneticPr fontId="4" type="noConversion"/>
  </si>
  <si>
    <t>二月第一周哈士奇自行車工讀時數表</t>
    <phoneticPr fontId="4" type="noConversion"/>
  </si>
  <si>
    <t>二月第一周工讀費用表</t>
    <phoneticPr fontId="4" type="noConversion"/>
  </si>
  <si>
    <t>工作表 : 工讀金表</t>
    <phoneticPr fontId="4" type="noConversion"/>
  </si>
  <si>
    <t>週一</t>
    <phoneticPr fontId="4" type="noConversion"/>
  </si>
  <si>
    <t>星期一</t>
  </si>
  <si>
    <t>星期一</t>
    <phoneticPr fontId="4" type="noConversion"/>
  </si>
  <si>
    <t>星期二</t>
  </si>
  <si>
    <t>星期三</t>
  </si>
  <si>
    <t>星期四</t>
  </si>
  <si>
    <t>星期五</t>
  </si>
  <si>
    <t>星期六</t>
  </si>
  <si>
    <t>星期日</t>
  </si>
  <si>
    <t>二月第二周哈士奇自行車工讀時數表</t>
    <phoneticPr fontId="4" type="noConversion"/>
  </si>
  <si>
    <t>二月第二周工讀費用表</t>
    <phoneticPr fontId="4" type="noConversion"/>
  </si>
  <si>
    <t>二月第三周哈士奇自行車工讀時數表</t>
    <phoneticPr fontId="4" type="noConversion"/>
  </si>
  <si>
    <t>二月第三周工讀費用表</t>
    <phoneticPr fontId="4" type="noConversion"/>
  </si>
  <si>
    <t>二月第四周哈士奇自行車工讀時數表</t>
    <phoneticPr fontId="4" type="noConversion"/>
  </si>
  <si>
    <t>二月第四周工讀費用表</t>
    <phoneticPr fontId="4" type="noConversion"/>
  </si>
  <si>
    <t>二月哈士奇自行車工讀時數總表</t>
    <phoneticPr fontId="4" type="noConversion"/>
  </si>
  <si>
    <t>二月工讀費用總表</t>
    <phoneticPr fontId="4" type="noConversion"/>
  </si>
  <si>
    <t>二月第一周工讀費用表</t>
  </si>
  <si>
    <t>早上</t>
  </si>
  <si>
    <t>中午</t>
  </si>
  <si>
    <t>晚上</t>
  </si>
  <si>
    <t>凌晨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</si>
</sst>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176" formatCode="m&quot;月&quot;d&quot;日&quot;"/>
    <numFmt numFmtId="177" formatCode="General&quot;小時&quot;"/>
    <numFmt numFmtId="178" formatCode="[Blue][&gt;=60]&quot;及&quot;&quot;格&quot;;[Red]&quot;不&quot;&quot;及&quot;&quot;格&quot;"/>
    <numFmt numFmtId="179" formatCode="&quot;新台幣&quot;&quot;$&quot;General&quot;元&quot;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3" xfId="0" applyFont="1" applyBorder="1">
      <alignment vertical="center"/>
    </xf>
    <xf numFmtId="10" fontId="0" fillId="0" borderId="2" xfId="1" applyNumberFormat="1" applyFont="1" applyBorder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0" fillId="3" borderId="6" xfId="0" applyFont="1" applyFill="1" applyBorder="1">
      <alignment vertical="center"/>
    </xf>
    <xf numFmtId="0" fontId="0" fillId="0" borderId="4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177" fontId="0" fillId="3" borderId="5" xfId="0" applyNumberFormat="1" applyFont="1" applyFill="1" applyBorder="1">
      <alignment vertical="center"/>
    </xf>
    <xf numFmtId="10" fontId="0" fillId="3" borderId="6" xfId="1" applyNumberFormat="1" applyFont="1" applyFill="1" applyBorder="1">
      <alignment vertical="center"/>
    </xf>
    <xf numFmtId="177" fontId="0" fillId="0" borderId="5" xfId="0" applyNumberFormat="1" applyFont="1" applyBorder="1">
      <alignment vertical="center"/>
    </xf>
    <xf numFmtId="10" fontId="0" fillId="0" borderId="6" xfId="1" applyNumberFormat="1" applyFont="1" applyBorder="1">
      <alignment vertical="center"/>
    </xf>
    <xf numFmtId="0" fontId="3" fillId="4" borderId="0" xfId="0" applyFont="1" applyFill="1">
      <alignment vertical="center"/>
    </xf>
    <xf numFmtId="0" fontId="5" fillId="4" borderId="0" xfId="0" applyFont="1" applyFill="1">
      <alignment vertical="center"/>
    </xf>
    <xf numFmtId="6" fontId="0" fillId="0" borderId="2" xfId="0" applyNumberFormat="1" applyFont="1" applyBorder="1">
      <alignment vertical="center"/>
    </xf>
    <xf numFmtId="6" fontId="0" fillId="0" borderId="3" xfId="0" applyNumberFormat="1" applyFont="1" applyBorder="1">
      <alignment vertical="center"/>
    </xf>
    <xf numFmtId="6" fontId="0" fillId="3" borderId="5" xfId="0" applyNumberFormat="1" applyFont="1" applyFill="1" applyBorder="1">
      <alignment vertical="center"/>
    </xf>
    <xf numFmtId="6" fontId="0" fillId="3" borderId="6" xfId="0" applyNumberFormat="1" applyFont="1" applyFill="1" applyBorder="1">
      <alignment vertical="center"/>
    </xf>
    <xf numFmtId="6" fontId="0" fillId="0" borderId="5" xfId="0" applyNumberFormat="1" applyFont="1" applyBorder="1">
      <alignment vertical="center"/>
    </xf>
    <xf numFmtId="6" fontId="0" fillId="0" borderId="6" xfId="0" applyNumberFormat="1" applyFont="1" applyBorder="1">
      <alignment vertical="center"/>
    </xf>
    <xf numFmtId="179" fontId="0" fillId="3" borderId="5" xfId="0" applyNumberFormat="1" applyFont="1" applyFill="1" applyBorder="1">
      <alignment vertical="center"/>
    </xf>
    <xf numFmtId="179" fontId="0" fillId="0" borderId="5" xfId="0" applyNumberFormat="1" applyFont="1" applyBorder="1">
      <alignment vertical="center"/>
    </xf>
    <xf numFmtId="0" fontId="0" fillId="5" borderId="0" xfId="0" applyFill="1">
      <alignment vertical="center"/>
    </xf>
    <xf numFmtId="0" fontId="0" fillId="3" borderId="1" xfId="0" applyFont="1" applyFill="1" applyBorder="1">
      <alignment vertical="center"/>
    </xf>
    <xf numFmtId="0" fontId="0" fillId="3" borderId="2" xfId="0" applyFont="1" applyFill="1" applyBorder="1">
      <alignment vertical="center"/>
    </xf>
    <xf numFmtId="10" fontId="0" fillId="0" borderId="6" xfId="1" applyNumberFormat="1" applyFont="1" applyFill="1" applyBorder="1">
      <alignment vertical="center"/>
    </xf>
    <xf numFmtId="0" fontId="0" fillId="0" borderId="4" xfId="0" applyFont="1" applyFill="1" applyBorder="1">
      <alignment vertical="center"/>
    </xf>
    <xf numFmtId="177" fontId="0" fillId="0" borderId="5" xfId="0" applyNumberFormat="1" applyFont="1" applyFill="1" applyBorder="1">
      <alignment vertical="center"/>
    </xf>
    <xf numFmtId="9" fontId="0" fillId="3" borderId="6" xfId="1" applyNumberFormat="1" applyFont="1" applyFill="1" applyBorder="1">
      <alignment vertical="center"/>
    </xf>
    <xf numFmtId="9" fontId="0" fillId="0" borderId="6" xfId="1" applyNumberFormat="1" applyFont="1" applyBorder="1">
      <alignment vertical="center"/>
    </xf>
    <xf numFmtId="179" fontId="0" fillId="3" borderId="2" xfId="0" applyNumberFormat="1" applyFont="1" applyFill="1" applyBorder="1">
      <alignment vertical="center"/>
    </xf>
    <xf numFmtId="9" fontId="0" fillId="3" borderId="3" xfId="0" applyNumberFormat="1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3" borderId="2" xfId="0" applyFont="1" applyFill="1" applyBorder="1">
      <alignment vertical="center"/>
    </xf>
    <xf numFmtId="179" fontId="8" fillId="3" borderId="2" xfId="0" applyNumberFormat="1" applyFont="1" applyFill="1" applyBorder="1">
      <alignment vertical="center"/>
    </xf>
    <xf numFmtId="10" fontId="8" fillId="3" borderId="3" xfId="0" applyNumberFormat="1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6" fillId="2" borderId="5" xfId="0" applyFont="1" applyFill="1" applyBorder="1">
      <alignment vertical="center"/>
    </xf>
    <xf numFmtId="0" fontId="6" fillId="2" borderId="6" xfId="0" applyFont="1" applyFill="1" applyBorder="1">
      <alignment vertical="center"/>
    </xf>
    <xf numFmtId="10" fontId="0" fillId="3" borderId="3" xfId="1" applyNumberFormat="1" applyFont="1" applyFill="1" applyBorder="1">
      <alignment vertical="center"/>
    </xf>
    <xf numFmtId="10" fontId="0" fillId="3" borderId="3" xfId="0" applyNumberFormat="1" applyFont="1" applyFill="1" applyBorder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/>
  <dimension ref="A3:Z1002"/>
  <sheetViews>
    <sheetView workbookViewId="0">
      <selection activeCell="N7" sqref="N7"/>
    </sheetView>
  </sheetViews>
  <sheetFormatPr defaultRowHeight="16.2" x14ac:dyDescent="0.3"/>
  <cols>
    <col min="2" max="8" width="9.109375" bestFit="1" customWidth="1"/>
    <col min="9" max="9" width="9.44140625" bestFit="1" customWidth="1"/>
    <col min="15" max="15" width="9.44140625" bestFit="1" customWidth="1"/>
  </cols>
  <sheetData>
    <row r="3" spans="1:26" x14ac:dyDescent="0.3">
      <c r="A3" s="21"/>
      <c r="B3" s="21"/>
      <c r="C3" s="21"/>
      <c r="D3" s="21" t="s">
        <v>25</v>
      </c>
      <c r="E3" s="22"/>
      <c r="F3" s="22"/>
      <c r="G3" s="22"/>
      <c r="H3" s="22"/>
      <c r="I3" s="22"/>
      <c r="J3" s="22"/>
      <c r="L3">
        <v>1</v>
      </c>
      <c r="M3" t="s">
        <v>28</v>
      </c>
      <c r="N3" t="s">
        <v>30</v>
      </c>
      <c r="O3" s="2">
        <v>45349</v>
      </c>
      <c r="P3">
        <v>1</v>
      </c>
      <c r="Q3">
        <v>1</v>
      </c>
      <c r="R3">
        <v>2</v>
      </c>
      <c r="S3">
        <v>3</v>
      </c>
      <c r="T3">
        <v>4</v>
      </c>
      <c r="U3">
        <v>5</v>
      </c>
      <c r="V3">
        <v>6</v>
      </c>
      <c r="W3">
        <v>7</v>
      </c>
      <c r="X3">
        <v>8</v>
      </c>
      <c r="Y3">
        <v>9</v>
      </c>
      <c r="Z3">
        <v>10</v>
      </c>
    </row>
    <row r="4" spans="1:26" x14ac:dyDescent="0.3">
      <c r="A4" s="8" t="s">
        <v>1</v>
      </c>
      <c r="B4" s="9" t="s">
        <v>3</v>
      </c>
      <c r="C4" s="9" t="s">
        <v>5</v>
      </c>
      <c r="D4" s="9" t="s">
        <v>7</v>
      </c>
      <c r="E4" s="9" t="s">
        <v>9</v>
      </c>
      <c r="F4" s="9" t="s">
        <v>11</v>
      </c>
      <c r="G4" s="9" t="s">
        <v>13</v>
      </c>
      <c r="H4" s="9" t="s">
        <v>15</v>
      </c>
      <c r="I4" s="9" t="s">
        <v>17</v>
      </c>
      <c r="J4" s="10" t="s">
        <v>19</v>
      </c>
      <c r="L4">
        <v>2</v>
      </c>
      <c r="M4" t="s">
        <v>4</v>
      </c>
      <c r="N4" t="s">
        <v>31</v>
      </c>
      <c r="O4" s="2">
        <v>45350</v>
      </c>
      <c r="P4">
        <v>2</v>
      </c>
      <c r="Q4">
        <v>2</v>
      </c>
    </row>
    <row r="5" spans="1:26" x14ac:dyDescent="0.3">
      <c r="A5" s="11" t="s">
        <v>20</v>
      </c>
      <c r="B5" s="17">
        <v>38</v>
      </c>
      <c r="C5" s="17">
        <v>42</v>
      </c>
      <c r="D5" s="17">
        <v>45</v>
      </c>
      <c r="E5" s="17">
        <v>38</v>
      </c>
      <c r="F5" s="17">
        <v>62</v>
      </c>
      <c r="G5" s="17">
        <v>69</v>
      </c>
      <c r="H5" s="17">
        <v>27</v>
      </c>
      <c r="I5" s="17">
        <f>SUM(B5:H5)</f>
        <v>321</v>
      </c>
      <c r="J5" s="18">
        <f>I5/$I$9</f>
        <v>0.23126801152737753</v>
      </c>
      <c r="L5">
        <v>3</v>
      </c>
      <c r="M5" t="s">
        <v>6</v>
      </c>
      <c r="N5" t="s">
        <v>32</v>
      </c>
      <c r="O5" s="2">
        <v>45351</v>
      </c>
      <c r="P5">
        <v>4</v>
      </c>
      <c r="Q5">
        <v>3</v>
      </c>
    </row>
    <row r="6" spans="1:26" x14ac:dyDescent="0.3">
      <c r="A6" s="14" t="s">
        <v>21</v>
      </c>
      <c r="B6" s="19">
        <v>56</v>
      </c>
      <c r="C6" s="19">
        <v>36</v>
      </c>
      <c r="D6" s="19">
        <v>22</v>
      </c>
      <c r="E6" s="19">
        <v>48</v>
      </c>
      <c r="F6" s="19">
        <v>69</v>
      </c>
      <c r="G6" s="19">
        <v>78</v>
      </c>
      <c r="H6" s="19">
        <v>96</v>
      </c>
      <c r="I6" s="19">
        <f t="shared" ref="I6:I8" si="0">SUM(B6:H6)</f>
        <v>405</v>
      </c>
      <c r="J6" s="20">
        <f>I6/$I$9</f>
        <v>0.29178674351585016</v>
      </c>
      <c r="L6">
        <v>4</v>
      </c>
      <c r="M6" t="s">
        <v>8</v>
      </c>
      <c r="N6" t="s">
        <v>33</v>
      </c>
      <c r="O6" s="2">
        <v>45352</v>
      </c>
      <c r="P6">
        <v>8</v>
      </c>
      <c r="Q6">
        <v>4</v>
      </c>
    </row>
    <row r="7" spans="1:26" x14ac:dyDescent="0.3">
      <c r="A7" s="11" t="s">
        <v>22</v>
      </c>
      <c r="B7" s="17">
        <v>42</v>
      </c>
      <c r="C7" s="17">
        <v>97</v>
      </c>
      <c r="D7" s="17">
        <v>15</v>
      </c>
      <c r="E7" s="17">
        <v>49</v>
      </c>
      <c r="F7" s="17">
        <v>58</v>
      </c>
      <c r="G7" s="17">
        <v>21</v>
      </c>
      <c r="H7" s="17">
        <v>32</v>
      </c>
      <c r="I7" s="17">
        <f t="shared" si="0"/>
        <v>314</v>
      </c>
      <c r="J7" s="18">
        <f>I7/$I$9</f>
        <v>0.22622478386167147</v>
      </c>
      <c r="L7">
        <v>5</v>
      </c>
      <c r="M7" t="s">
        <v>10</v>
      </c>
      <c r="N7" t="s">
        <v>34</v>
      </c>
      <c r="O7" s="2">
        <v>45353</v>
      </c>
      <c r="P7">
        <v>16</v>
      </c>
      <c r="Q7">
        <v>5</v>
      </c>
    </row>
    <row r="8" spans="1:26" x14ac:dyDescent="0.3">
      <c r="A8" s="14" t="s">
        <v>24</v>
      </c>
      <c r="B8" s="19">
        <v>33</v>
      </c>
      <c r="C8" s="19">
        <v>56</v>
      </c>
      <c r="D8" s="19">
        <v>43</v>
      </c>
      <c r="E8" s="19">
        <v>65</v>
      </c>
      <c r="F8" s="19">
        <v>72</v>
      </c>
      <c r="G8" s="19">
        <v>34</v>
      </c>
      <c r="H8" s="19">
        <v>45</v>
      </c>
      <c r="I8" s="19">
        <f t="shared" si="0"/>
        <v>348</v>
      </c>
      <c r="J8" s="20">
        <f>I8/$I$9</f>
        <v>0.25072046109510088</v>
      </c>
      <c r="L8">
        <v>6</v>
      </c>
      <c r="M8" t="s">
        <v>12</v>
      </c>
      <c r="N8" t="s">
        <v>35</v>
      </c>
      <c r="O8" s="2">
        <v>45354</v>
      </c>
      <c r="P8">
        <v>32</v>
      </c>
      <c r="Q8">
        <v>6</v>
      </c>
    </row>
    <row r="9" spans="1:26" x14ac:dyDescent="0.3">
      <c r="A9" s="11" t="s">
        <v>23</v>
      </c>
      <c r="B9" s="17">
        <f t="shared" ref="B9:H9" si="1">SUM(B5:B8)</f>
        <v>169</v>
      </c>
      <c r="C9" s="17">
        <f t="shared" si="1"/>
        <v>231</v>
      </c>
      <c r="D9" s="17">
        <f t="shared" si="1"/>
        <v>125</v>
      </c>
      <c r="E9" s="17">
        <f t="shared" si="1"/>
        <v>200</v>
      </c>
      <c r="F9" s="17">
        <f t="shared" si="1"/>
        <v>261</v>
      </c>
      <c r="G9" s="17">
        <f t="shared" si="1"/>
        <v>202</v>
      </c>
      <c r="H9" s="17">
        <f t="shared" si="1"/>
        <v>200</v>
      </c>
      <c r="I9" s="17">
        <f>SUM(B9:H9)</f>
        <v>1388</v>
      </c>
      <c r="J9" s="18">
        <f>I9/$I$9</f>
        <v>1</v>
      </c>
      <c r="L9">
        <v>7</v>
      </c>
      <c r="M9" t="s">
        <v>14</v>
      </c>
      <c r="N9" t="s">
        <v>36</v>
      </c>
      <c r="O9" s="2">
        <v>45355</v>
      </c>
      <c r="P9">
        <v>64</v>
      </c>
      <c r="Q9">
        <v>7</v>
      </c>
    </row>
    <row r="10" spans="1:26" x14ac:dyDescent="0.3">
      <c r="A10" s="4" t="s">
        <v>19</v>
      </c>
      <c r="B10" s="7">
        <f t="shared" ref="B10:I10" si="2">B9/$I$9</f>
        <v>0.12175792507204611</v>
      </c>
      <c r="C10" s="7">
        <f t="shared" si="2"/>
        <v>0.16642651296829972</v>
      </c>
      <c r="D10" s="7">
        <f t="shared" si="2"/>
        <v>9.0057636887608067E-2</v>
      </c>
      <c r="E10" s="7">
        <f t="shared" si="2"/>
        <v>0.14409221902017291</v>
      </c>
      <c r="F10" s="7">
        <f t="shared" si="2"/>
        <v>0.18804034582132564</v>
      </c>
      <c r="G10" s="7">
        <f t="shared" si="2"/>
        <v>0.14553314121037464</v>
      </c>
      <c r="H10" s="7">
        <f t="shared" si="2"/>
        <v>0.14409221902017291</v>
      </c>
      <c r="I10" s="7">
        <f t="shared" si="2"/>
        <v>1</v>
      </c>
      <c r="J10" s="6"/>
      <c r="L10">
        <v>8</v>
      </c>
      <c r="M10" t="s">
        <v>2</v>
      </c>
      <c r="N10" t="s">
        <v>29</v>
      </c>
      <c r="O10" s="2">
        <v>45356</v>
      </c>
      <c r="P10">
        <v>128</v>
      </c>
      <c r="Q10">
        <v>8</v>
      </c>
    </row>
    <row r="11" spans="1:26" x14ac:dyDescent="0.3">
      <c r="L11">
        <v>9</v>
      </c>
      <c r="M11" t="s">
        <v>4</v>
      </c>
      <c r="N11" t="s">
        <v>31</v>
      </c>
      <c r="O11" s="2">
        <v>45357</v>
      </c>
      <c r="P11">
        <v>256</v>
      </c>
      <c r="Q11">
        <v>9</v>
      </c>
    </row>
    <row r="12" spans="1:26" x14ac:dyDescent="0.3">
      <c r="A12" s="21"/>
      <c r="B12" s="21"/>
      <c r="C12" s="21"/>
      <c r="D12" s="21" t="s">
        <v>26</v>
      </c>
      <c r="E12" s="22"/>
      <c r="F12" s="22"/>
      <c r="G12" s="22"/>
      <c r="H12" s="22"/>
      <c r="I12" s="22"/>
      <c r="J12" s="22"/>
      <c r="L12">
        <v>10</v>
      </c>
      <c r="M12" t="s">
        <v>6</v>
      </c>
      <c r="N12" t="s">
        <v>32</v>
      </c>
      <c r="O12" s="2">
        <v>45358</v>
      </c>
      <c r="P12">
        <v>512</v>
      </c>
      <c r="Q12">
        <v>10</v>
      </c>
    </row>
    <row r="13" spans="1:26" x14ac:dyDescent="0.3">
      <c r="A13" s="8" t="s">
        <v>1</v>
      </c>
      <c r="B13" s="9" t="s">
        <v>3</v>
      </c>
      <c r="C13" s="9" t="s">
        <v>5</v>
      </c>
      <c r="D13" s="9" t="s">
        <v>7</v>
      </c>
      <c r="E13" s="9" t="s">
        <v>9</v>
      </c>
      <c r="F13" s="9" t="s">
        <v>11</v>
      </c>
      <c r="G13" s="9" t="s">
        <v>13</v>
      </c>
      <c r="H13" s="9" t="s">
        <v>15</v>
      </c>
      <c r="I13" s="9" t="s">
        <v>17</v>
      </c>
      <c r="J13" s="10" t="s">
        <v>19</v>
      </c>
      <c r="L13">
        <v>11</v>
      </c>
      <c r="M13" t="s">
        <v>8</v>
      </c>
      <c r="N13" t="s">
        <v>33</v>
      </c>
      <c r="O13" s="2">
        <v>45359</v>
      </c>
      <c r="P13">
        <v>1024</v>
      </c>
      <c r="Q13">
        <v>11</v>
      </c>
    </row>
    <row r="14" spans="1:26" x14ac:dyDescent="0.3">
      <c r="A14" s="11" t="s">
        <v>20</v>
      </c>
      <c r="B14" s="12"/>
      <c r="C14" s="12"/>
      <c r="D14" s="12"/>
      <c r="E14" s="12"/>
      <c r="F14" s="12"/>
      <c r="G14" s="12"/>
      <c r="H14" s="12"/>
      <c r="I14" s="12"/>
      <c r="J14" s="13"/>
      <c r="L14">
        <v>12</v>
      </c>
      <c r="M14" t="s">
        <v>10</v>
      </c>
      <c r="N14" t="s">
        <v>34</v>
      </c>
      <c r="O14" s="2">
        <v>45360</v>
      </c>
      <c r="P14">
        <v>2048</v>
      </c>
      <c r="Q14">
        <v>12</v>
      </c>
    </row>
    <row r="15" spans="1:26" x14ac:dyDescent="0.3">
      <c r="A15" s="14" t="s">
        <v>21</v>
      </c>
      <c r="B15" s="15"/>
      <c r="C15" s="15"/>
      <c r="D15" s="15"/>
      <c r="E15" s="15"/>
      <c r="F15" s="15"/>
      <c r="G15" s="15"/>
      <c r="H15" s="15"/>
      <c r="I15" s="15"/>
      <c r="J15" s="16"/>
      <c r="L15">
        <v>13</v>
      </c>
      <c r="M15" t="s">
        <v>12</v>
      </c>
      <c r="N15" t="s">
        <v>35</v>
      </c>
      <c r="O15" s="2">
        <v>45361</v>
      </c>
      <c r="P15">
        <v>4096</v>
      </c>
      <c r="Q15">
        <v>13</v>
      </c>
    </row>
    <row r="16" spans="1:26" x14ac:dyDescent="0.3">
      <c r="A16" s="11" t="s">
        <v>22</v>
      </c>
      <c r="B16" s="12"/>
      <c r="C16" s="12"/>
      <c r="D16" s="12"/>
      <c r="E16" s="12"/>
      <c r="F16" s="12"/>
      <c r="G16" s="12"/>
      <c r="H16" s="12"/>
      <c r="I16" s="12"/>
      <c r="J16" s="13"/>
      <c r="L16">
        <v>14</v>
      </c>
      <c r="M16" t="s">
        <v>14</v>
      </c>
      <c r="N16" t="s">
        <v>36</v>
      </c>
      <c r="O16" s="2">
        <v>45362</v>
      </c>
      <c r="P16">
        <v>8192</v>
      </c>
      <c r="Q16">
        <v>14</v>
      </c>
    </row>
    <row r="17" spans="1:17" x14ac:dyDescent="0.3">
      <c r="A17" s="4" t="s">
        <v>24</v>
      </c>
      <c r="B17" s="5"/>
      <c r="C17" s="5"/>
      <c r="D17" s="5"/>
      <c r="E17" s="5"/>
      <c r="F17" s="5"/>
      <c r="G17" s="5"/>
      <c r="H17" s="5"/>
      <c r="I17" s="5"/>
      <c r="J17" s="6"/>
      <c r="L17">
        <v>15</v>
      </c>
      <c r="M17" t="s">
        <v>2</v>
      </c>
      <c r="N17" t="s">
        <v>29</v>
      </c>
      <c r="O17" s="2">
        <v>45363</v>
      </c>
      <c r="P17">
        <v>16384</v>
      </c>
      <c r="Q17">
        <v>15</v>
      </c>
    </row>
    <row r="18" spans="1:17" x14ac:dyDescent="0.3">
      <c r="L18">
        <v>16</v>
      </c>
      <c r="M18" t="s">
        <v>4</v>
      </c>
      <c r="N18" t="s">
        <v>31</v>
      </c>
      <c r="O18" s="2">
        <v>45364</v>
      </c>
      <c r="P18">
        <v>32768</v>
      </c>
      <c r="Q18">
        <v>16</v>
      </c>
    </row>
    <row r="19" spans="1:17" x14ac:dyDescent="0.3">
      <c r="A19" s="21"/>
      <c r="B19" s="21"/>
      <c r="C19" s="21"/>
      <c r="D19" s="21" t="s">
        <v>27</v>
      </c>
      <c r="E19" s="22"/>
      <c r="F19" s="22"/>
      <c r="G19" s="22"/>
      <c r="H19" s="22"/>
      <c r="L19">
        <v>17</v>
      </c>
      <c r="M19" t="s">
        <v>6</v>
      </c>
      <c r="N19" t="s">
        <v>32</v>
      </c>
      <c r="O19" s="2">
        <v>45365</v>
      </c>
      <c r="P19">
        <v>65536</v>
      </c>
      <c r="Q19">
        <v>17</v>
      </c>
    </row>
    <row r="20" spans="1:17" x14ac:dyDescent="0.3">
      <c r="A20" s="8" t="s">
        <v>1</v>
      </c>
      <c r="B20" s="9" t="s">
        <v>3</v>
      </c>
      <c r="C20" s="9" t="s">
        <v>5</v>
      </c>
      <c r="D20" s="9" t="s">
        <v>7</v>
      </c>
      <c r="E20" s="9" t="s">
        <v>9</v>
      </c>
      <c r="F20" s="9" t="s">
        <v>11</v>
      </c>
      <c r="G20" s="9" t="s">
        <v>13</v>
      </c>
      <c r="H20" s="10" t="s">
        <v>15</v>
      </c>
      <c r="L20">
        <v>18</v>
      </c>
      <c r="M20" t="s">
        <v>8</v>
      </c>
      <c r="N20" t="s">
        <v>33</v>
      </c>
      <c r="O20" s="2">
        <v>45366</v>
      </c>
      <c r="P20">
        <v>131072</v>
      </c>
      <c r="Q20">
        <v>18</v>
      </c>
    </row>
    <row r="21" spans="1:17" x14ac:dyDescent="0.3">
      <c r="A21" s="11" t="s">
        <v>20</v>
      </c>
      <c r="B21" s="25">
        <v>200</v>
      </c>
      <c r="C21" s="25">
        <v>200</v>
      </c>
      <c r="D21" s="25">
        <v>200</v>
      </c>
      <c r="E21" s="25">
        <v>200</v>
      </c>
      <c r="F21" s="25">
        <v>200</v>
      </c>
      <c r="G21" s="25">
        <v>250</v>
      </c>
      <c r="H21" s="26">
        <v>300</v>
      </c>
      <c r="L21">
        <v>19</v>
      </c>
      <c r="M21" t="s">
        <v>10</v>
      </c>
      <c r="N21" t="s">
        <v>34</v>
      </c>
      <c r="O21" s="2">
        <v>45367</v>
      </c>
      <c r="P21">
        <v>262144</v>
      </c>
      <c r="Q21">
        <v>19</v>
      </c>
    </row>
    <row r="22" spans="1:17" x14ac:dyDescent="0.3">
      <c r="A22" s="14" t="s">
        <v>21</v>
      </c>
      <c r="B22" s="27">
        <v>200</v>
      </c>
      <c r="C22" s="27">
        <v>200</v>
      </c>
      <c r="D22" s="27">
        <v>200</v>
      </c>
      <c r="E22" s="27">
        <v>200</v>
      </c>
      <c r="F22" s="27">
        <v>200</v>
      </c>
      <c r="G22" s="27">
        <v>250</v>
      </c>
      <c r="H22" s="28">
        <v>300</v>
      </c>
      <c r="L22">
        <v>20</v>
      </c>
      <c r="M22" t="s">
        <v>12</v>
      </c>
      <c r="N22" t="s">
        <v>35</v>
      </c>
      <c r="O22" s="2">
        <v>45368</v>
      </c>
      <c r="P22">
        <v>524288</v>
      </c>
      <c r="Q22">
        <v>20</v>
      </c>
    </row>
    <row r="23" spans="1:17" x14ac:dyDescent="0.3">
      <c r="A23" s="11" t="s">
        <v>22</v>
      </c>
      <c r="B23" s="25">
        <v>320</v>
      </c>
      <c r="C23" s="25">
        <v>320</v>
      </c>
      <c r="D23" s="25">
        <v>320</v>
      </c>
      <c r="E23" s="25">
        <v>320</v>
      </c>
      <c r="F23" s="25">
        <v>320</v>
      </c>
      <c r="G23" s="25">
        <v>400</v>
      </c>
      <c r="H23" s="26">
        <v>480</v>
      </c>
      <c r="L23">
        <v>21</v>
      </c>
      <c r="M23" t="s">
        <v>14</v>
      </c>
      <c r="N23" t="s">
        <v>36</v>
      </c>
      <c r="O23" s="2">
        <v>45369</v>
      </c>
      <c r="P23">
        <v>1048576</v>
      </c>
      <c r="Q23">
        <v>21</v>
      </c>
    </row>
    <row r="24" spans="1:17" x14ac:dyDescent="0.3">
      <c r="A24" s="4" t="s">
        <v>24</v>
      </c>
      <c r="B24" s="23">
        <v>400</v>
      </c>
      <c r="C24" s="23">
        <v>400</v>
      </c>
      <c r="D24" s="23">
        <v>400</v>
      </c>
      <c r="E24" s="23">
        <v>400</v>
      </c>
      <c r="F24" s="23">
        <v>400</v>
      </c>
      <c r="G24" s="23">
        <v>500</v>
      </c>
      <c r="H24" s="24">
        <v>600</v>
      </c>
      <c r="L24">
        <v>22</v>
      </c>
      <c r="M24" t="s">
        <v>2</v>
      </c>
      <c r="N24" t="s">
        <v>29</v>
      </c>
      <c r="O24" s="2">
        <v>45370</v>
      </c>
      <c r="P24">
        <v>2097152</v>
      </c>
      <c r="Q24">
        <v>22</v>
      </c>
    </row>
    <row r="25" spans="1:17" x14ac:dyDescent="0.3">
      <c r="L25">
        <v>23</v>
      </c>
      <c r="M25" t="s">
        <v>4</v>
      </c>
      <c r="N25" t="s">
        <v>31</v>
      </c>
      <c r="O25" s="2">
        <v>45371</v>
      </c>
      <c r="P25">
        <v>4194304</v>
      </c>
      <c r="Q25">
        <v>23</v>
      </c>
    </row>
    <row r="26" spans="1:17" x14ac:dyDescent="0.3">
      <c r="L26">
        <v>24</v>
      </c>
      <c r="M26" t="s">
        <v>6</v>
      </c>
      <c r="N26" t="s">
        <v>32</v>
      </c>
      <c r="O26" s="2">
        <v>45372</v>
      </c>
      <c r="P26">
        <v>8388608</v>
      </c>
      <c r="Q26">
        <v>24</v>
      </c>
    </row>
    <row r="27" spans="1:17" x14ac:dyDescent="0.3">
      <c r="L27">
        <v>25</v>
      </c>
      <c r="M27" t="s">
        <v>8</v>
      </c>
      <c r="N27" t="s">
        <v>33</v>
      </c>
      <c r="O27" s="2">
        <v>45373</v>
      </c>
      <c r="P27">
        <v>16777216</v>
      </c>
      <c r="Q27">
        <v>25</v>
      </c>
    </row>
    <row r="28" spans="1:17" x14ac:dyDescent="0.3">
      <c r="Q28">
        <v>26</v>
      </c>
    </row>
    <row r="29" spans="1:17" x14ac:dyDescent="0.3">
      <c r="Q29">
        <v>27</v>
      </c>
    </row>
    <row r="30" spans="1:17" x14ac:dyDescent="0.3">
      <c r="Q30">
        <v>28</v>
      </c>
    </row>
    <row r="31" spans="1:17" x14ac:dyDescent="0.3">
      <c r="Q31">
        <v>29</v>
      </c>
    </row>
    <row r="32" spans="1:17" x14ac:dyDescent="0.3">
      <c r="Q32">
        <v>30</v>
      </c>
    </row>
    <row r="33" spans="17:17" x14ac:dyDescent="0.3">
      <c r="Q33">
        <v>31</v>
      </c>
    </row>
    <row r="34" spans="17:17" x14ac:dyDescent="0.3">
      <c r="Q34">
        <v>32</v>
      </c>
    </row>
    <row r="35" spans="17:17" x14ac:dyDescent="0.3">
      <c r="Q35">
        <v>33</v>
      </c>
    </row>
    <row r="36" spans="17:17" x14ac:dyDescent="0.3">
      <c r="Q36">
        <v>34</v>
      </c>
    </row>
    <row r="37" spans="17:17" x14ac:dyDescent="0.3">
      <c r="Q37">
        <v>35</v>
      </c>
    </row>
    <row r="38" spans="17:17" x14ac:dyDescent="0.3">
      <c r="Q38">
        <v>36</v>
      </c>
    </row>
    <row r="39" spans="17:17" x14ac:dyDescent="0.3">
      <c r="Q39">
        <v>37</v>
      </c>
    </row>
    <row r="40" spans="17:17" x14ac:dyDescent="0.3">
      <c r="Q40">
        <v>38</v>
      </c>
    </row>
    <row r="41" spans="17:17" x14ac:dyDescent="0.3">
      <c r="Q41">
        <v>39</v>
      </c>
    </row>
    <row r="42" spans="17:17" x14ac:dyDescent="0.3">
      <c r="Q42">
        <v>40</v>
      </c>
    </row>
    <row r="43" spans="17:17" x14ac:dyDescent="0.3">
      <c r="Q43">
        <v>41</v>
      </c>
    </row>
    <row r="44" spans="17:17" x14ac:dyDescent="0.3">
      <c r="Q44">
        <v>42</v>
      </c>
    </row>
    <row r="45" spans="17:17" x14ac:dyDescent="0.3">
      <c r="Q45">
        <v>43</v>
      </c>
    </row>
    <row r="46" spans="17:17" x14ac:dyDescent="0.3">
      <c r="Q46">
        <v>44</v>
      </c>
    </row>
    <row r="47" spans="17:17" x14ac:dyDescent="0.3">
      <c r="Q47">
        <v>45</v>
      </c>
    </row>
    <row r="48" spans="17:17" x14ac:dyDescent="0.3">
      <c r="Q48">
        <v>46</v>
      </c>
    </row>
    <row r="49" spans="17:17" x14ac:dyDescent="0.3">
      <c r="Q49">
        <v>47</v>
      </c>
    </row>
    <row r="50" spans="17:17" x14ac:dyDescent="0.3">
      <c r="Q50">
        <v>48</v>
      </c>
    </row>
    <row r="51" spans="17:17" x14ac:dyDescent="0.3">
      <c r="Q51">
        <v>49</v>
      </c>
    </row>
    <row r="52" spans="17:17" x14ac:dyDescent="0.3">
      <c r="Q52">
        <v>50</v>
      </c>
    </row>
    <row r="53" spans="17:17" x14ac:dyDescent="0.3">
      <c r="Q53">
        <v>51</v>
      </c>
    </row>
    <row r="54" spans="17:17" x14ac:dyDescent="0.3">
      <c r="Q54">
        <v>52</v>
      </c>
    </row>
    <row r="55" spans="17:17" x14ac:dyDescent="0.3">
      <c r="Q55">
        <v>53</v>
      </c>
    </row>
    <row r="56" spans="17:17" x14ac:dyDescent="0.3">
      <c r="Q56">
        <v>54</v>
      </c>
    </row>
    <row r="57" spans="17:17" x14ac:dyDescent="0.3">
      <c r="Q57">
        <v>55</v>
      </c>
    </row>
    <row r="58" spans="17:17" x14ac:dyDescent="0.3">
      <c r="Q58">
        <v>56</v>
      </c>
    </row>
    <row r="59" spans="17:17" x14ac:dyDescent="0.3">
      <c r="Q59">
        <v>57</v>
      </c>
    </row>
    <row r="60" spans="17:17" x14ac:dyDescent="0.3">
      <c r="Q60">
        <v>58</v>
      </c>
    </row>
    <row r="61" spans="17:17" x14ac:dyDescent="0.3">
      <c r="Q61">
        <v>59</v>
      </c>
    </row>
    <row r="62" spans="17:17" x14ac:dyDescent="0.3">
      <c r="Q62">
        <v>60</v>
      </c>
    </row>
    <row r="63" spans="17:17" x14ac:dyDescent="0.3">
      <c r="Q63">
        <v>61</v>
      </c>
    </row>
    <row r="64" spans="17:17" x14ac:dyDescent="0.3">
      <c r="Q64">
        <v>62</v>
      </c>
    </row>
    <row r="65" spans="17:17" x14ac:dyDescent="0.3">
      <c r="Q65">
        <v>63</v>
      </c>
    </row>
    <row r="66" spans="17:17" x14ac:dyDescent="0.3">
      <c r="Q66">
        <v>64</v>
      </c>
    </row>
    <row r="67" spans="17:17" x14ac:dyDescent="0.3">
      <c r="Q67">
        <v>65</v>
      </c>
    </row>
    <row r="68" spans="17:17" x14ac:dyDescent="0.3">
      <c r="Q68">
        <v>66</v>
      </c>
    </row>
    <row r="69" spans="17:17" x14ac:dyDescent="0.3">
      <c r="Q69">
        <v>67</v>
      </c>
    </row>
    <row r="70" spans="17:17" x14ac:dyDescent="0.3">
      <c r="Q70">
        <v>68</v>
      </c>
    </row>
    <row r="71" spans="17:17" x14ac:dyDescent="0.3">
      <c r="Q71">
        <v>69</v>
      </c>
    </row>
    <row r="72" spans="17:17" x14ac:dyDescent="0.3">
      <c r="Q72">
        <v>70</v>
      </c>
    </row>
    <row r="73" spans="17:17" x14ac:dyDescent="0.3">
      <c r="Q73">
        <v>71</v>
      </c>
    </row>
    <row r="74" spans="17:17" x14ac:dyDescent="0.3">
      <c r="Q74">
        <v>72</v>
      </c>
    </row>
    <row r="75" spans="17:17" x14ac:dyDescent="0.3">
      <c r="Q75">
        <v>73</v>
      </c>
    </row>
    <row r="76" spans="17:17" x14ac:dyDescent="0.3">
      <c r="Q76">
        <v>74</v>
      </c>
    </row>
    <row r="77" spans="17:17" x14ac:dyDescent="0.3">
      <c r="Q77">
        <v>75</v>
      </c>
    </row>
    <row r="78" spans="17:17" x14ac:dyDescent="0.3">
      <c r="Q78">
        <v>76</v>
      </c>
    </row>
    <row r="79" spans="17:17" x14ac:dyDescent="0.3">
      <c r="Q79">
        <v>77</v>
      </c>
    </row>
    <row r="80" spans="17:17" x14ac:dyDescent="0.3">
      <c r="Q80">
        <v>78</v>
      </c>
    </row>
    <row r="81" spans="17:17" x14ac:dyDescent="0.3">
      <c r="Q81">
        <v>79</v>
      </c>
    </row>
    <row r="82" spans="17:17" x14ac:dyDescent="0.3">
      <c r="Q82">
        <v>80</v>
      </c>
    </row>
    <row r="83" spans="17:17" x14ac:dyDescent="0.3">
      <c r="Q83">
        <v>81</v>
      </c>
    </row>
    <row r="84" spans="17:17" x14ac:dyDescent="0.3">
      <c r="Q84">
        <v>82</v>
      </c>
    </row>
    <row r="85" spans="17:17" x14ac:dyDescent="0.3">
      <c r="Q85">
        <v>83</v>
      </c>
    </row>
    <row r="86" spans="17:17" x14ac:dyDescent="0.3">
      <c r="Q86">
        <v>84</v>
      </c>
    </row>
    <row r="87" spans="17:17" x14ac:dyDescent="0.3">
      <c r="Q87">
        <v>85</v>
      </c>
    </row>
    <row r="88" spans="17:17" x14ac:dyDescent="0.3">
      <c r="Q88">
        <v>86</v>
      </c>
    </row>
    <row r="89" spans="17:17" x14ac:dyDescent="0.3">
      <c r="Q89">
        <v>87</v>
      </c>
    </row>
    <row r="90" spans="17:17" x14ac:dyDescent="0.3">
      <c r="Q90">
        <v>88</v>
      </c>
    </row>
    <row r="91" spans="17:17" x14ac:dyDescent="0.3">
      <c r="Q91">
        <v>89</v>
      </c>
    </row>
    <row r="92" spans="17:17" x14ac:dyDescent="0.3">
      <c r="Q92">
        <v>90</v>
      </c>
    </row>
    <row r="93" spans="17:17" x14ac:dyDescent="0.3">
      <c r="Q93">
        <v>91</v>
      </c>
    </row>
    <row r="94" spans="17:17" x14ac:dyDescent="0.3">
      <c r="Q94">
        <v>92</v>
      </c>
    </row>
    <row r="95" spans="17:17" x14ac:dyDescent="0.3">
      <c r="Q95">
        <v>93</v>
      </c>
    </row>
    <row r="96" spans="17:17" x14ac:dyDescent="0.3">
      <c r="Q96">
        <v>94</v>
      </c>
    </row>
    <row r="97" spans="17:17" x14ac:dyDescent="0.3">
      <c r="Q97">
        <v>95</v>
      </c>
    </row>
    <row r="98" spans="17:17" x14ac:dyDescent="0.3">
      <c r="Q98">
        <v>96</v>
      </c>
    </row>
    <row r="99" spans="17:17" x14ac:dyDescent="0.3">
      <c r="Q99">
        <v>97</v>
      </c>
    </row>
    <row r="100" spans="17:17" x14ac:dyDescent="0.3">
      <c r="Q100">
        <v>98</v>
      </c>
    </row>
    <row r="101" spans="17:17" x14ac:dyDescent="0.3">
      <c r="Q101">
        <v>99</v>
      </c>
    </row>
    <row r="102" spans="17:17" x14ac:dyDescent="0.3">
      <c r="Q102">
        <v>100</v>
      </c>
    </row>
    <row r="103" spans="17:17" x14ac:dyDescent="0.3">
      <c r="Q103">
        <v>101</v>
      </c>
    </row>
    <row r="104" spans="17:17" x14ac:dyDescent="0.3">
      <c r="Q104">
        <v>102</v>
      </c>
    </row>
    <row r="105" spans="17:17" x14ac:dyDescent="0.3">
      <c r="Q105">
        <v>103</v>
      </c>
    </row>
    <row r="106" spans="17:17" x14ac:dyDescent="0.3">
      <c r="Q106">
        <v>104</v>
      </c>
    </row>
    <row r="107" spans="17:17" x14ac:dyDescent="0.3">
      <c r="Q107">
        <v>105</v>
      </c>
    </row>
    <row r="108" spans="17:17" x14ac:dyDescent="0.3">
      <c r="Q108">
        <v>106</v>
      </c>
    </row>
    <row r="109" spans="17:17" x14ac:dyDescent="0.3">
      <c r="Q109">
        <v>107</v>
      </c>
    </row>
    <row r="110" spans="17:17" x14ac:dyDescent="0.3">
      <c r="Q110">
        <v>108</v>
      </c>
    </row>
    <row r="111" spans="17:17" x14ac:dyDescent="0.3">
      <c r="Q111">
        <v>109</v>
      </c>
    </row>
    <row r="112" spans="17:17" x14ac:dyDescent="0.3">
      <c r="Q112">
        <v>110</v>
      </c>
    </row>
    <row r="113" spans="17:17" x14ac:dyDescent="0.3">
      <c r="Q113">
        <v>111</v>
      </c>
    </row>
    <row r="114" spans="17:17" x14ac:dyDescent="0.3">
      <c r="Q114">
        <v>112</v>
      </c>
    </row>
    <row r="115" spans="17:17" x14ac:dyDescent="0.3">
      <c r="Q115">
        <v>113</v>
      </c>
    </row>
    <row r="116" spans="17:17" x14ac:dyDescent="0.3">
      <c r="Q116">
        <v>114</v>
      </c>
    </row>
    <row r="117" spans="17:17" x14ac:dyDescent="0.3">
      <c r="Q117">
        <v>115</v>
      </c>
    </row>
    <row r="118" spans="17:17" x14ac:dyDescent="0.3">
      <c r="Q118">
        <v>116</v>
      </c>
    </row>
    <row r="119" spans="17:17" x14ac:dyDescent="0.3">
      <c r="Q119">
        <v>117</v>
      </c>
    </row>
    <row r="120" spans="17:17" x14ac:dyDescent="0.3">
      <c r="Q120">
        <v>118</v>
      </c>
    </row>
    <row r="121" spans="17:17" x14ac:dyDescent="0.3">
      <c r="Q121">
        <v>119</v>
      </c>
    </row>
    <row r="122" spans="17:17" x14ac:dyDescent="0.3">
      <c r="Q122">
        <v>120</v>
      </c>
    </row>
    <row r="123" spans="17:17" x14ac:dyDescent="0.3">
      <c r="Q123">
        <v>121</v>
      </c>
    </row>
    <row r="124" spans="17:17" x14ac:dyDescent="0.3">
      <c r="Q124">
        <v>122</v>
      </c>
    </row>
    <row r="125" spans="17:17" x14ac:dyDescent="0.3">
      <c r="Q125">
        <v>123</v>
      </c>
    </row>
    <row r="126" spans="17:17" x14ac:dyDescent="0.3">
      <c r="Q126">
        <v>124</v>
      </c>
    </row>
    <row r="127" spans="17:17" x14ac:dyDescent="0.3">
      <c r="Q127">
        <v>125</v>
      </c>
    </row>
    <row r="128" spans="17:17" x14ac:dyDescent="0.3">
      <c r="Q128">
        <v>126</v>
      </c>
    </row>
    <row r="129" spans="17:17" x14ac:dyDescent="0.3">
      <c r="Q129">
        <v>127</v>
      </c>
    </row>
    <row r="130" spans="17:17" x14ac:dyDescent="0.3">
      <c r="Q130">
        <v>128</v>
      </c>
    </row>
    <row r="131" spans="17:17" x14ac:dyDescent="0.3">
      <c r="Q131">
        <v>129</v>
      </c>
    </row>
    <row r="132" spans="17:17" x14ac:dyDescent="0.3">
      <c r="Q132">
        <v>130</v>
      </c>
    </row>
    <row r="133" spans="17:17" x14ac:dyDescent="0.3">
      <c r="Q133">
        <v>131</v>
      </c>
    </row>
    <row r="134" spans="17:17" x14ac:dyDescent="0.3">
      <c r="Q134">
        <v>132</v>
      </c>
    </row>
    <row r="135" spans="17:17" x14ac:dyDescent="0.3">
      <c r="Q135">
        <v>133</v>
      </c>
    </row>
    <row r="136" spans="17:17" x14ac:dyDescent="0.3">
      <c r="Q136">
        <v>134</v>
      </c>
    </row>
    <row r="137" spans="17:17" x14ac:dyDescent="0.3">
      <c r="Q137">
        <v>135</v>
      </c>
    </row>
    <row r="138" spans="17:17" x14ac:dyDescent="0.3">
      <c r="Q138">
        <v>136</v>
      </c>
    </row>
    <row r="139" spans="17:17" x14ac:dyDescent="0.3">
      <c r="Q139">
        <v>137</v>
      </c>
    </row>
    <row r="140" spans="17:17" x14ac:dyDescent="0.3">
      <c r="Q140">
        <v>138</v>
      </c>
    </row>
    <row r="141" spans="17:17" x14ac:dyDescent="0.3">
      <c r="Q141">
        <v>139</v>
      </c>
    </row>
    <row r="142" spans="17:17" x14ac:dyDescent="0.3">
      <c r="Q142">
        <v>140</v>
      </c>
    </row>
    <row r="143" spans="17:17" x14ac:dyDescent="0.3">
      <c r="Q143">
        <v>141</v>
      </c>
    </row>
    <row r="144" spans="17:17" x14ac:dyDescent="0.3">
      <c r="Q144">
        <v>142</v>
      </c>
    </row>
    <row r="145" spans="17:17" x14ac:dyDescent="0.3">
      <c r="Q145">
        <v>143</v>
      </c>
    </row>
    <row r="146" spans="17:17" x14ac:dyDescent="0.3">
      <c r="Q146">
        <v>144</v>
      </c>
    </row>
    <row r="147" spans="17:17" x14ac:dyDescent="0.3">
      <c r="Q147">
        <v>145</v>
      </c>
    </row>
    <row r="148" spans="17:17" x14ac:dyDescent="0.3">
      <c r="Q148">
        <v>146</v>
      </c>
    </row>
    <row r="149" spans="17:17" x14ac:dyDescent="0.3">
      <c r="Q149">
        <v>147</v>
      </c>
    </row>
    <row r="150" spans="17:17" x14ac:dyDescent="0.3">
      <c r="Q150">
        <v>148</v>
      </c>
    </row>
    <row r="151" spans="17:17" x14ac:dyDescent="0.3">
      <c r="Q151">
        <v>149</v>
      </c>
    </row>
    <row r="152" spans="17:17" x14ac:dyDescent="0.3">
      <c r="Q152">
        <v>150</v>
      </c>
    </row>
    <row r="153" spans="17:17" x14ac:dyDescent="0.3">
      <c r="Q153">
        <v>151</v>
      </c>
    </row>
    <row r="154" spans="17:17" x14ac:dyDescent="0.3">
      <c r="Q154">
        <v>152</v>
      </c>
    </row>
    <row r="155" spans="17:17" x14ac:dyDescent="0.3">
      <c r="Q155">
        <v>153</v>
      </c>
    </row>
    <row r="156" spans="17:17" x14ac:dyDescent="0.3">
      <c r="Q156">
        <v>154</v>
      </c>
    </row>
    <row r="157" spans="17:17" x14ac:dyDescent="0.3">
      <c r="Q157">
        <v>155</v>
      </c>
    </row>
    <row r="158" spans="17:17" x14ac:dyDescent="0.3">
      <c r="Q158">
        <v>156</v>
      </c>
    </row>
    <row r="159" spans="17:17" x14ac:dyDescent="0.3">
      <c r="Q159">
        <v>157</v>
      </c>
    </row>
    <row r="160" spans="17:17" x14ac:dyDescent="0.3">
      <c r="Q160">
        <v>158</v>
      </c>
    </row>
    <row r="161" spans="17:17" x14ac:dyDescent="0.3">
      <c r="Q161">
        <v>159</v>
      </c>
    </row>
    <row r="162" spans="17:17" x14ac:dyDescent="0.3">
      <c r="Q162">
        <v>160</v>
      </c>
    </row>
    <row r="163" spans="17:17" x14ac:dyDescent="0.3">
      <c r="Q163">
        <v>161</v>
      </c>
    </row>
    <row r="164" spans="17:17" x14ac:dyDescent="0.3">
      <c r="Q164">
        <v>162</v>
      </c>
    </row>
    <row r="165" spans="17:17" x14ac:dyDescent="0.3">
      <c r="Q165">
        <v>163</v>
      </c>
    </row>
    <row r="166" spans="17:17" x14ac:dyDescent="0.3">
      <c r="Q166">
        <v>164</v>
      </c>
    </row>
    <row r="167" spans="17:17" x14ac:dyDescent="0.3">
      <c r="Q167">
        <v>165</v>
      </c>
    </row>
    <row r="168" spans="17:17" x14ac:dyDescent="0.3">
      <c r="Q168">
        <v>166</v>
      </c>
    </row>
    <row r="169" spans="17:17" x14ac:dyDescent="0.3">
      <c r="Q169">
        <v>167</v>
      </c>
    </row>
    <row r="170" spans="17:17" x14ac:dyDescent="0.3">
      <c r="Q170">
        <v>168</v>
      </c>
    </row>
    <row r="171" spans="17:17" x14ac:dyDescent="0.3">
      <c r="Q171">
        <v>169</v>
      </c>
    </row>
    <row r="172" spans="17:17" x14ac:dyDescent="0.3">
      <c r="Q172">
        <v>170</v>
      </c>
    </row>
    <row r="173" spans="17:17" x14ac:dyDescent="0.3">
      <c r="Q173">
        <v>171</v>
      </c>
    </row>
    <row r="174" spans="17:17" x14ac:dyDescent="0.3">
      <c r="Q174">
        <v>172</v>
      </c>
    </row>
    <row r="175" spans="17:17" x14ac:dyDescent="0.3">
      <c r="Q175">
        <v>173</v>
      </c>
    </row>
    <row r="176" spans="17:17" x14ac:dyDescent="0.3">
      <c r="Q176">
        <v>174</v>
      </c>
    </row>
    <row r="177" spans="17:17" x14ac:dyDescent="0.3">
      <c r="Q177">
        <v>175</v>
      </c>
    </row>
    <row r="178" spans="17:17" x14ac:dyDescent="0.3">
      <c r="Q178">
        <v>176</v>
      </c>
    </row>
    <row r="179" spans="17:17" x14ac:dyDescent="0.3">
      <c r="Q179">
        <v>177</v>
      </c>
    </row>
    <row r="180" spans="17:17" x14ac:dyDescent="0.3">
      <c r="Q180">
        <v>178</v>
      </c>
    </row>
    <row r="181" spans="17:17" x14ac:dyDescent="0.3">
      <c r="Q181">
        <v>179</v>
      </c>
    </row>
    <row r="182" spans="17:17" x14ac:dyDescent="0.3">
      <c r="Q182">
        <v>180</v>
      </c>
    </row>
    <row r="183" spans="17:17" x14ac:dyDescent="0.3">
      <c r="Q183">
        <v>181</v>
      </c>
    </row>
    <row r="184" spans="17:17" x14ac:dyDescent="0.3">
      <c r="Q184">
        <v>182</v>
      </c>
    </row>
    <row r="185" spans="17:17" x14ac:dyDescent="0.3">
      <c r="Q185">
        <v>183</v>
      </c>
    </row>
    <row r="186" spans="17:17" x14ac:dyDescent="0.3">
      <c r="Q186">
        <v>184</v>
      </c>
    </row>
    <row r="187" spans="17:17" x14ac:dyDescent="0.3">
      <c r="Q187">
        <v>185</v>
      </c>
    </row>
    <row r="188" spans="17:17" x14ac:dyDescent="0.3">
      <c r="Q188">
        <v>186</v>
      </c>
    </row>
    <row r="189" spans="17:17" x14ac:dyDescent="0.3">
      <c r="Q189">
        <v>187</v>
      </c>
    </row>
    <row r="190" spans="17:17" x14ac:dyDescent="0.3">
      <c r="Q190">
        <v>188</v>
      </c>
    </row>
    <row r="191" spans="17:17" x14ac:dyDescent="0.3">
      <c r="Q191">
        <v>189</v>
      </c>
    </row>
    <row r="192" spans="17:17" x14ac:dyDescent="0.3">
      <c r="Q192">
        <v>190</v>
      </c>
    </row>
    <row r="193" spans="17:17" x14ac:dyDescent="0.3">
      <c r="Q193">
        <v>191</v>
      </c>
    </row>
    <row r="194" spans="17:17" x14ac:dyDescent="0.3">
      <c r="Q194">
        <v>192</v>
      </c>
    </row>
    <row r="195" spans="17:17" x14ac:dyDescent="0.3">
      <c r="Q195">
        <v>193</v>
      </c>
    </row>
    <row r="196" spans="17:17" x14ac:dyDescent="0.3">
      <c r="Q196">
        <v>194</v>
      </c>
    </row>
    <row r="197" spans="17:17" x14ac:dyDescent="0.3">
      <c r="Q197">
        <v>195</v>
      </c>
    </row>
    <row r="198" spans="17:17" x14ac:dyDescent="0.3">
      <c r="Q198">
        <v>196</v>
      </c>
    </row>
    <row r="199" spans="17:17" x14ac:dyDescent="0.3">
      <c r="Q199">
        <v>197</v>
      </c>
    </row>
    <row r="200" spans="17:17" x14ac:dyDescent="0.3">
      <c r="Q200">
        <v>198</v>
      </c>
    </row>
    <row r="201" spans="17:17" x14ac:dyDescent="0.3">
      <c r="Q201">
        <v>199</v>
      </c>
    </row>
    <row r="202" spans="17:17" x14ac:dyDescent="0.3">
      <c r="Q202">
        <v>200</v>
      </c>
    </row>
    <row r="203" spans="17:17" x14ac:dyDescent="0.3">
      <c r="Q203">
        <v>201</v>
      </c>
    </row>
    <row r="204" spans="17:17" x14ac:dyDescent="0.3">
      <c r="Q204">
        <v>202</v>
      </c>
    </row>
    <row r="205" spans="17:17" x14ac:dyDescent="0.3">
      <c r="Q205">
        <v>203</v>
      </c>
    </row>
    <row r="206" spans="17:17" x14ac:dyDescent="0.3">
      <c r="Q206">
        <v>204</v>
      </c>
    </row>
    <row r="207" spans="17:17" x14ac:dyDescent="0.3">
      <c r="Q207">
        <v>205</v>
      </c>
    </row>
    <row r="208" spans="17:17" x14ac:dyDescent="0.3">
      <c r="Q208">
        <v>206</v>
      </c>
    </row>
    <row r="209" spans="17:17" x14ac:dyDescent="0.3">
      <c r="Q209">
        <v>207</v>
      </c>
    </row>
    <row r="210" spans="17:17" x14ac:dyDescent="0.3">
      <c r="Q210">
        <v>208</v>
      </c>
    </row>
    <row r="211" spans="17:17" x14ac:dyDescent="0.3">
      <c r="Q211">
        <v>209</v>
      </c>
    </row>
    <row r="212" spans="17:17" x14ac:dyDescent="0.3">
      <c r="Q212">
        <v>210</v>
      </c>
    </row>
    <row r="213" spans="17:17" x14ac:dyDescent="0.3">
      <c r="Q213">
        <v>211</v>
      </c>
    </row>
    <row r="214" spans="17:17" x14ac:dyDescent="0.3">
      <c r="Q214">
        <v>212</v>
      </c>
    </row>
    <row r="215" spans="17:17" x14ac:dyDescent="0.3">
      <c r="Q215">
        <v>213</v>
      </c>
    </row>
    <row r="216" spans="17:17" x14ac:dyDescent="0.3">
      <c r="Q216">
        <v>214</v>
      </c>
    </row>
    <row r="217" spans="17:17" x14ac:dyDescent="0.3">
      <c r="Q217">
        <v>215</v>
      </c>
    </row>
    <row r="218" spans="17:17" x14ac:dyDescent="0.3">
      <c r="Q218">
        <v>216</v>
      </c>
    </row>
    <row r="219" spans="17:17" x14ac:dyDescent="0.3">
      <c r="Q219">
        <v>217</v>
      </c>
    </row>
    <row r="220" spans="17:17" x14ac:dyDescent="0.3">
      <c r="Q220">
        <v>218</v>
      </c>
    </row>
    <row r="221" spans="17:17" x14ac:dyDescent="0.3">
      <c r="Q221">
        <v>219</v>
      </c>
    </row>
    <row r="222" spans="17:17" x14ac:dyDescent="0.3">
      <c r="Q222">
        <v>220</v>
      </c>
    </row>
    <row r="223" spans="17:17" x14ac:dyDescent="0.3">
      <c r="Q223">
        <v>221</v>
      </c>
    </row>
    <row r="224" spans="17:17" x14ac:dyDescent="0.3">
      <c r="Q224">
        <v>222</v>
      </c>
    </row>
    <row r="225" spans="17:17" x14ac:dyDescent="0.3">
      <c r="Q225">
        <v>223</v>
      </c>
    </row>
    <row r="226" spans="17:17" x14ac:dyDescent="0.3">
      <c r="Q226">
        <v>224</v>
      </c>
    </row>
    <row r="227" spans="17:17" x14ac:dyDescent="0.3">
      <c r="Q227">
        <v>225</v>
      </c>
    </row>
    <row r="228" spans="17:17" x14ac:dyDescent="0.3">
      <c r="Q228">
        <v>226</v>
      </c>
    </row>
    <row r="229" spans="17:17" x14ac:dyDescent="0.3">
      <c r="Q229">
        <v>227</v>
      </c>
    </row>
    <row r="230" spans="17:17" x14ac:dyDescent="0.3">
      <c r="Q230">
        <v>228</v>
      </c>
    </row>
    <row r="231" spans="17:17" x14ac:dyDescent="0.3">
      <c r="Q231">
        <v>229</v>
      </c>
    </row>
    <row r="232" spans="17:17" x14ac:dyDescent="0.3">
      <c r="Q232">
        <v>230</v>
      </c>
    </row>
    <row r="233" spans="17:17" x14ac:dyDescent="0.3">
      <c r="Q233">
        <v>231</v>
      </c>
    </row>
    <row r="234" spans="17:17" x14ac:dyDescent="0.3">
      <c r="Q234">
        <v>232</v>
      </c>
    </row>
    <row r="235" spans="17:17" x14ac:dyDescent="0.3">
      <c r="Q235">
        <v>233</v>
      </c>
    </row>
    <row r="236" spans="17:17" x14ac:dyDescent="0.3">
      <c r="Q236">
        <v>234</v>
      </c>
    </row>
    <row r="237" spans="17:17" x14ac:dyDescent="0.3">
      <c r="Q237">
        <v>235</v>
      </c>
    </row>
    <row r="238" spans="17:17" x14ac:dyDescent="0.3">
      <c r="Q238">
        <v>236</v>
      </c>
    </row>
    <row r="239" spans="17:17" x14ac:dyDescent="0.3">
      <c r="Q239">
        <v>237</v>
      </c>
    </row>
    <row r="240" spans="17:17" x14ac:dyDescent="0.3">
      <c r="Q240">
        <v>238</v>
      </c>
    </row>
    <row r="241" spans="17:17" x14ac:dyDescent="0.3">
      <c r="Q241">
        <v>239</v>
      </c>
    </row>
    <row r="242" spans="17:17" x14ac:dyDescent="0.3">
      <c r="Q242">
        <v>240</v>
      </c>
    </row>
    <row r="243" spans="17:17" x14ac:dyDescent="0.3">
      <c r="Q243">
        <v>241</v>
      </c>
    </row>
    <row r="244" spans="17:17" x14ac:dyDescent="0.3">
      <c r="Q244">
        <v>242</v>
      </c>
    </row>
    <row r="245" spans="17:17" x14ac:dyDescent="0.3">
      <c r="Q245">
        <v>243</v>
      </c>
    </row>
    <row r="246" spans="17:17" x14ac:dyDescent="0.3">
      <c r="Q246">
        <v>244</v>
      </c>
    </row>
    <row r="247" spans="17:17" x14ac:dyDescent="0.3">
      <c r="Q247">
        <v>245</v>
      </c>
    </row>
    <row r="248" spans="17:17" x14ac:dyDescent="0.3">
      <c r="Q248">
        <v>246</v>
      </c>
    </row>
    <row r="249" spans="17:17" x14ac:dyDescent="0.3">
      <c r="Q249">
        <v>247</v>
      </c>
    </row>
    <row r="250" spans="17:17" x14ac:dyDescent="0.3">
      <c r="Q250">
        <v>248</v>
      </c>
    </row>
    <row r="251" spans="17:17" x14ac:dyDescent="0.3">
      <c r="Q251">
        <v>249</v>
      </c>
    </row>
    <row r="252" spans="17:17" x14ac:dyDescent="0.3">
      <c r="Q252">
        <v>250</v>
      </c>
    </row>
    <row r="253" spans="17:17" x14ac:dyDescent="0.3">
      <c r="Q253">
        <v>251</v>
      </c>
    </row>
    <row r="254" spans="17:17" x14ac:dyDescent="0.3">
      <c r="Q254">
        <v>252</v>
      </c>
    </row>
    <row r="255" spans="17:17" x14ac:dyDescent="0.3">
      <c r="Q255">
        <v>253</v>
      </c>
    </row>
    <row r="256" spans="17:17" x14ac:dyDescent="0.3">
      <c r="Q256">
        <v>254</v>
      </c>
    </row>
    <row r="257" spans="17:17" x14ac:dyDescent="0.3">
      <c r="Q257">
        <v>255</v>
      </c>
    </row>
    <row r="258" spans="17:17" x14ac:dyDescent="0.3">
      <c r="Q258">
        <v>256</v>
      </c>
    </row>
    <row r="259" spans="17:17" x14ac:dyDescent="0.3">
      <c r="Q259">
        <v>257</v>
      </c>
    </row>
    <row r="260" spans="17:17" x14ac:dyDescent="0.3">
      <c r="Q260">
        <v>258</v>
      </c>
    </row>
    <row r="261" spans="17:17" x14ac:dyDescent="0.3">
      <c r="Q261">
        <v>259</v>
      </c>
    </row>
    <row r="262" spans="17:17" x14ac:dyDescent="0.3">
      <c r="Q262">
        <v>260</v>
      </c>
    </row>
    <row r="263" spans="17:17" x14ac:dyDescent="0.3">
      <c r="Q263">
        <v>261</v>
      </c>
    </row>
    <row r="264" spans="17:17" x14ac:dyDescent="0.3">
      <c r="Q264">
        <v>262</v>
      </c>
    </row>
    <row r="265" spans="17:17" x14ac:dyDescent="0.3">
      <c r="Q265">
        <v>263</v>
      </c>
    </row>
    <row r="266" spans="17:17" x14ac:dyDescent="0.3">
      <c r="Q266">
        <v>264</v>
      </c>
    </row>
    <row r="267" spans="17:17" x14ac:dyDescent="0.3">
      <c r="Q267">
        <v>265</v>
      </c>
    </row>
    <row r="268" spans="17:17" x14ac:dyDescent="0.3">
      <c r="Q268">
        <v>266</v>
      </c>
    </row>
    <row r="269" spans="17:17" x14ac:dyDescent="0.3">
      <c r="Q269">
        <v>267</v>
      </c>
    </row>
    <row r="270" spans="17:17" x14ac:dyDescent="0.3">
      <c r="Q270">
        <v>268</v>
      </c>
    </row>
    <row r="271" spans="17:17" x14ac:dyDescent="0.3">
      <c r="Q271">
        <v>269</v>
      </c>
    </row>
    <row r="272" spans="17:17" x14ac:dyDescent="0.3">
      <c r="Q272">
        <v>270</v>
      </c>
    </row>
    <row r="273" spans="17:17" x14ac:dyDescent="0.3">
      <c r="Q273">
        <v>271</v>
      </c>
    </row>
    <row r="274" spans="17:17" x14ac:dyDescent="0.3">
      <c r="Q274">
        <v>272</v>
      </c>
    </row>
    <row r="275" spans="17:17" x14ac:dyDescent="0.3">
      <c r="Q275">
        <v>273</v>
      </c>
    </row>
    <row r="276" spans="17:17" x14ac:dyDescent="0.3">
      <c r="Q276">
        <v>274</v>
      </c>
    </row>
    <row r="277" spans="17:17" x14ac:dyDescent="0.3">
      <c r="Q277">
        <v>275</v>
      </c>
    </row>
    <row r="278" spans="17:17" x14ac:dyDescent="0.3">
      <c r="Q278">
        <v>276</v>
      </c>
    </row>
    <row r="279" spans="17:17" x14ac:dyDescent="0.3">
      <c r="Q279">
        <v>277</v>
      </c>
    </row>
    <row r="280" spans="17:17" x14ac:dyDescent="0.3">
      <c r="Q280">
        <v>278</v>
      </c>
    </row>
    <row r="281" spans="17:17" x14ac:dyDescent="0.3">
      <c r="Q281">
        <v>279</v>
      </c>
    </row>
    <row r="282" spans="17:17" x14ac:dyDescent="0.3">
      <c r="Q282">
        <v>280</v>
      </c>
    </row>
    <row r="283" spans="17:17" x14ac:dyDescent="0.3">
      <c r="Q283">
        <v>281</v>
      </c>
    </row>
    <row r="284" spans="17:17" x14ac:dyDescent="0.3">
      <c r="Q284">
        <v>282</v>
      </c>
    </row>
    <row r="285" spans="17:17" x14ac:dyDescent="0.3">
      <c r="Q285">
        <v>283</v>
      </c>
    </row>
    <row r="286" spans="17:17" x14ac:dyDescent="0.3">
      <c r="Q286">
        <v>284</v>
      </c>
    </row>
    <row r="287" spans="17:17" x14ac:dyDescent="0.3">
      <c r="Q287">
        <v>285</v>
      </c>
    </row>
    <row r="288" spans="17:17" x14ac:dyDescent="0.3">
      <c r="Q288">
        <v>286</v>
      </c>
    </row>
    <row r="289" spans="17:17" x14ac:dyDescent="0.3">
      <c r="Q289">
        <v>287</v>
      </c>
    </row>
    <row r="290" spans="17:17" x14ac:dyDescent="0.3">
      <c r="Q290">
        <v>288</v>
      </c>
    </row>
    <row r="291" spans="17:17" x14ac:dyDescent="0.3">
      <c r="Q291">
        <v>289</v>
      </c>
    </row>
    <row r="292" spans="17:17" x14ac:dyDescent="0.3">
      <c r="Q292">
        <v>290</v>
      </c>
    </row>
    <row r="293" spans="17:17" x14ac:dyDescent="0.3">
      <c r="Q293">
        <v>291</v>
      </c>
    </row>
    <row r="294" spans="17:17" x14ac:dyDescent="0.3">
      <c r="Q294">
        <v>292</v>
      </c>
    </row>
    <row r="295" spans="17:17" x14ac:dyDescent="0.3">
      <c r="Q295">
        <v>293</v>
      </c>
    </row>
    <row r="296" spans="17:17" x14ac:dyDescent="0.3">
      <c r="Q296">
        <v>294</v>
      </c>
    </row>
    <row r="297" spans="17:17" x14ac:dyDescent="0.3">
      <c r="Q297">
        <v>295</v>
      </c>
    </row>
    <row r="298" spans="17:17" x14ac:dyDescent="0.3">
      <c r="Q298">
        <v>296</v>
      </c>
    </row>
    <row r="299" spans="17:17" x14ac:dyDescent="0.3">
      <c r="Q299">
        <v>297</v>
      </c>
    </row>
    <row r="300" spans="17:17" x14ac:dyDescent="0.3">
      <c r="Q300">
        <v>298</v>
      </c>
    </row>
    <row r="301" spans="17:17" x14ac:dyDescent="0.3">
      <c r="Q301">
        <v>299</v>
      </c>
    </row>
    <row r="302" spans="17:17" x14ac:dyDescent="0.3">
      <c r="Q302">
        <v>300</v>
      </c>
    </row>
    <row r="303" spans="17:17" x14ac:dyDescent="0.3">
      <c r="Q303">
        <v>301</v>
      </c>
    </row>
    <row r="304" spans="17:17" x14ac:dyDescent="0.3">
      <c r="Q304">
        <v>302</v>
      </c>
    </row>
    <row r="305" spans="17:17" x14ac:dyDescent="0.3">
      <c r="Q305">
        <v>303</v>
      </c>
    </row>
    <row r="306" spans="17:17" x14ac:dyDescent="0.3">
      <c r="Q306">
        <v>304</v>
      </c>
    </row>
    <row r="307" spans="17:17" x14ac:dyDescent="0.3">
      <c r="Q307">
        <v>305</v>
      </c>
    </row>
    <row r="308" spans="17:17" x14ac:dyDescent="0.3">
      <c r="Q308">
        <v>306</v>
      </c>
    </row>
    <row r="309" spans="17:17" x14ac:dyDescent="0.3">
      <c r="Q309">
        <v>307</v>
      </c>
    </row>
    <row r="310" spans="17:17" x14ac:dyDescent="0.3">
      <c r="Q310">
        <v>308</v>
      </c>
    </row>
    <row r="311" spans="17:17" x14ac:dyDescent="0.3">
      <c r="Q311">
        <v>309</v>
      </c>
    </row>
    <row r="312" spans="17:17" x14ac:dyDescent="0.3">
      <c r="Q312">
        <v>310</v>
      </c>
    </row>
    <row r="313" spans="17:17" x14ac:dyDescent="0.3">
      <c r="Q313">
        <v>311</v>
      </c>
    </row>
    <row r="314" spans="17:17" x14ac:dyDescent="0.3">
      <c r="Q314">
        <v>312</v>
      </c>
    </row>
    <row r="315" spans="17:17" x14ac:dyDescent="0.3">
      <c r="Q315">
        <v>313</v>
      </c>
    </row>
    <row r="316" spans="17:17" x14ac:dyDescent="0.3">
      <c r="Q316">
        <v>314</v>
      </c>
    </row>
    <row r="317" spans="17:17" x14ac:dyDescent="0.3">
      <c r="Q317">
        <v>315</v>
      </c>
    </row>
    <row r="318" spans="17:17" x14ac:dyDescent="0.3">
      <c r="Q318">
        <v>316</v>
      </c>
    </row>
    <row r="319" spans="17:17" x14ac:dyDescent="0.3">
      <c r="Q319">
        <v>317</v>
      </c>
    </row>
    <row r="320" spans="17:17" x14ac:dyDescent="0.3">
      <c r="Q320">
        <v>318</v>
      </c>
    </row>
    <row r="321" spans="17:17" x14ac:dyDescent="0.3">
      <c r="Q321">
        <v>319</v>
      </c>
    </row>
    <row r="322" spans="17:17" x14ac:dyDescent="0.3">
      <c r="Q322">
        <v>320</v>
      </c>
    </row>
    <row r="323" spans="17:17" x14ac:dyDescent="0.3">
      <c r="Q323">
        <v>321</v>
      </c>
    </row>
    <row r="324" spans="17:17" x14ac:dyDescent="0.3">
      <c r="Q324">
        <v>322</v>
      </c>
    </row>
    <row r="325" spans="17:17" x14ac:dyDescent="0.3">
      <c r="Q325">
        <v>323</v>
      </c>
    </row>
    <row r="326" spans="17:17" x14ac:dyDescent="0.3">
      <c r="Q326">
        <v>324</v>
      </c>
    </row>
    <row r="327" spans="17:17" x14ac:dyDescent="0.3">
      <c r="Q327">
        <v>325</v>
      </c>
    </row>
    <row r="328" spans="17:17" x14ac:dyDescent="0.3">
      <c r="Q328">
        <v>326</v>
      </c>
    </row>
    <row r="329" spans="17:17" x14ac:dyDescent="0.3">
      <c r="Q329">
        <v>327</v>
      </c>
    </row>
    <row r="330" spans="17:17" x14ac:dyDescent="0.3">
      <c r="Q330">
        <v>328</v>
      </c>
    </row>
    <row r="331" spans="17:17" x14ac:dyDescent="0.3">
      <c r="Q331">
        <v>329</v>
      </c>
    </row>
    <row r="332" spans="17:17" x14ac:dyDescent="0.3">
      <c r="Q332">
        <v>330</v>
      </c>
    </row>
    <row r="333" spans="17:17" x14ac:dyDescent="0.3">
      <c r="Q333">
        <v>331</v>
      </c>
    </row>
    <row r="334" spans="17:17" x14ac:dyDescent="0.3">
      <c r="Q334">
        <v>332</v>
      </c>
    </row>
    <row r="335" spans="17:17" x14ac:dyDescent="0.3">
      <c r="Q335">
        <v>333</v>
      </c>
    </row>
    <row r="336" spans="17:17" x14ac:dyDescent="0.3">
      <c r="Q336">
        <v>334</v>
      </c>
    </row>
    <row r="337" spans="17:17" x14ac:dyDescent="0.3">
      <c r="Q337">
        <v>335</v>
      </c>
    </row>
    <row r="338" spans="17:17" x14ac:dyDescent="0.3">
      <c r="Q338">
        <v>336</v>
      </c>
    </row>
    <row r="339" spans="17:17" x14ac:dyDescent="0.3">
      <c r="Q339">
        <v>337</v>
      </c>
    </row>
    <row r="340" spans="17:17" x14ac:dyDescent="0.3">
      <c r="Q340">
        <v>338</v>
      </c>
    </row>
    <row r="341" spans="17:17" x14ac:dyDescent="0.3">
      <c r="Q341">
        <v>339</v>
      </c>
    </row>
    <row r="342" spans="17:17" x14ac:dyDescent="0.3">
      <c r="Q342">
        <v>340</v>
      </c>
    </row>
    <row r="343" spans="17:17" x14ac:dyDescent="0.3">
      <c r="Q343">
        <v>341</v>
      </c>
    </row>
    <row r="344" spans="17:17" x14ac:dyDescent="0.3">
      <c r="Q344">
        <v>342</v>
      </c>
    </row>
    <row r="345" spans="17:17" x14ac:dyDescent="0.3">
      <c r="Q345">
        <v>343</v>
      </c>
    </row>
    <row r="346" spans="17:17" x14ac:dyDescent="0.3">
      <c r="Q346">
        <v>344</v>
      </c>
    </row>
    <row r="347" spans="17:17" x14ac:dyDescent="0.3">
      <c r="Q347">
        <v>345</v>
      </c>
    </row>
    <row r="348" spans="17:17" x14ac:dyDescent="0.3">
      <c r="Q348">
        <v>346</v>
      </c>
    </row>
    <row r="349" spans="17:17" x14ac:dyDescent="0.3">
      <c r="Q349">
        <v>347</v>
      </c>
    </row>
    <row r="350" spans="17:17" x14ac:dyDescent="0.3">
      <c r="Q350">
        <v>348</v>
      </c>
    </row>
    <row r="351" spans="17:17" x14ac:dyDescent="0.3">
      <c r="Q351">
        <v>349</v>
      </c>
    </row>
    <row r="352" spans="17:17" x14ac:dyDescent="0.3">
      <c r="Q352">
        <v>350</v>
      </c>
    </row>
    <row r="353" spans="17:17" x14ac:dyDescent="0.3">
      <c r="Q353">
        <v>351</v>
      </c>
    </row>
    <row r="354" spans="17:17" x14ac:dyDescent="0.3">
      <c r="Q354">
        <v>352</v>
      </c>
    </row>
    <row r="355" spans="17:17" x14ac:dyDescent="0.3">
      <c r="Q355">
        <v>353</v>
      </c>
    </row>
    <row r="356" spans="17:17" x14ac:dyDescent="0.3">
      <c r="Q356">
        <v>354</v>
      </c>
    </row>
    <row r="357" spans="17:17" x14ac:dyDescent="0.3">
      <c r="Q357">
        <v>355</v>
      </c>
    </row>
    <row r="358" spans="17:17" x14ac:dyDescent="0.3">
      <c r="Q358">
        <v>356</v>
      </c>
    </row>
    <row r="359" spans="17:17" x14ac:dyDescent="0.3">
      <c r="Q359">
        <v>357</v>
      </c>
    </row>
    <row r="360" spans="17:17" x14ac:dyDescent="0.3">
      <c r="Q360">
        <v>358</v>
      </c>
    </row>
    <row r="361" spans="17:17" x14ac:dyDescent="0.3">
      <c r="Q361">
        <v>359</v>
      </c>
    </row>
    <row r="362" spans="17:17" x14ac:dyDescent="0.3">
      <c r="Q362">
        <v>360</v>
      </c>
    </row>
    <row r="363" spans="17:17" x14ac:dyDescent="0.3">
      <c r="Q363">
        <v>361</v>
      </c>
    </row>
    <row r="364" spans="17:17" x14ac:dyDescent="0.3">
      <c r="Q364">
        <v>362</v>
      </c>
    </row>
    <row r="365" spans="17:17" x14ac:dyDescent="0.3">
      <c r="Q365">
        <v>363</v>
      </c>
    </row>
    <row r="366" spans="17:17" x14ac:dyDescent="0.3">
      <c r="Q366">
        <v>364</v>
      </c>
    </row>
    <row r="367" spans="17:17" x14ac:dyDescent="0.3">
      <c r="Q367">
        <v>365</v>
      </c>
    </row>
    <row r="368" spans="17:17" x14ac:dyDescent="0.3">
      <c r="Q368">
        <v>366</v>
      </c>
    </row>
    <row r="369" spans="17:17" x14ac:dyDescent="0.3">
      <c r="Q369">
        <v>367</v>
      </c>
    </row>
    <row r="370" spans="17:17" x14ac:dyDescent="0.3">
      <c r="Q370">
        <v>368</v>
      </c>
    </row>
    <row r="371" spans="17:17" x14ac:dyDescent="0.3">
      <c r="Q371">
        <v>369</v>
      </c>
    </row>
    <row r="372" spans="17:17" x14ac:dyDescent="0.3">
      <c r="Q372">
        <v>370</v>
      </c>
    </row>
    <row r="373" spans="17:17" x14ac:dyDescent="0.3">
      <c r="Q373">
        <v>371</v>
      </c>
    </row>
    <row r="374" spans="17:17" x14ac:dyDescent="0.3">
      <c r="Q374">
        <v>372</v>
      </c>
    </row>
    <row r="375" spans="17:17" x14ac:dyDescent="0.3">
      <c r="Q375">
        <v>373</v>
      </c>
    </row>
    <row r="376" spans="17:17" x14ac:dyDescent="0.3">
      <c r="Q376">
        <v>374</v>
      </c>
    </row>
    <row r="377" spans="17:17" x14ac:dyDescent="0.3">
      <c r="Q377">
        <v>375</v>
      </c>
    </row>
    <row r="378" spans="17:17" x14ac:dyDescent="0.3">
      <c r="Q378">
        <v>376</v>
      </c>
    </row>
    <row r="379" spans="17:17" x14ac:dyDescent="0.3">
      <c r="Q379">
        <v>377</v>
      </c>
    </row>
    <row r="380" spans="17:17" x14ac:dyDescent="0.3">
      <c r="Q380">
        <v>378</v>
      </c>
    </row>
    <row r="381" spans="17:17" x14ac:dyDescent="0.3">
      <c r="Q381">
        <v>379</v>
      </c>
    </row>
    <row r="382" spans="17:17" x14ac:dyDescent="0.3">
      <c r="Q382">
        <v>380</v>
      </c>
    </row>
    <row r="383" spans="17:17" x14ac:dyDescent="0.3">
      <c r="Q383">
        <v>381</v>
      </c>
    </row>
    <row r="384" spans="17:17" x14ac:dyDescent="0.3">
      <c r="Q384">
        <v>382</v>
      </c>
    </row>
    <row r="385" spans="17:17" x14ac:dyDescent="0.3">
      <c r="Q385">
        <v>383</v>
      </c>
    </row>
    <row r="386" spans="17:17" x14ac:dyDescent="0.3">
      <c r="Q386">
        <v>384</v>
      </c>
    </row>
    <row r="387" spans="17:17" x14ac:dyDescent="0.3">
      <c r="Q387">
        <v>385</v>
      </c>
    </row>
    <row r="388" spans="17:17" x14ac:dyDescent="0.3">
      <c r="Q388">
        <v>386</v>
      </c>
    </row>
    <row r="389" spans="17:17" x14ac:dyDescent="0.3">
      <c r="Q389">
        <v>387</v>
      </c>
    </row>
    <row r="390" spans="17:17" x14ac:dyDescent="0.3">
      <c r="Q390">
        <v>388</v>
      </c>
    </row>
    <row r="391" spans="17:17" x14ac:dyDescent="0.3">
      <c r="Q391">
        <v>389</v>
      </c>
    </row>
    <row r="392" spans="17:17" x14ac:dyDescent="0.3">
      <c r="Q392">
        <v>390</v>
      </c>
    </row>
    <row r="393" spans="17:17" x14ac:dyDescent="0.3">
      <c r="Q393">
        <v>391</v>
      </c>
    </row>
    <row r="394" spans="17:17" x14ac:dyDescent="0.3">
      <c r="Q394">
        <v>392</v>
      </c>
    </row>
    <row r="395" spans="17:17" x14ac:dyDescent="0.3">
      <c r="Q395">
        <v>393</v>
      </c>
    </row>
    <row r="396" spans="17:17" x14ac:dyDescent="0.3">
      <c r="Q396">
        <v>394</v>
      </c>
    </row>
    <row r="397" spans="17:17" x14ac:dyDescent="0.3">
      <c r="Q397">
        <v>395</v>
      </c>
    </row>
    <row r="398" spans="17:17" x14ac:dyDescent="0.3">
      <c r="Q398">
        <v>396</v>
      </c>
    </row>
    <row r="399" spans="17:17" x14ac:dyDescent="0.3">
      <c r="Q399">
        <v>397</v>
      </c>
    </row>
    <row r="400" spans="17:17" x14ac:dyDescent="0.3">
      <c r="Q400">
        <v>398</v>
      </c>
    </row>
    <row r="401" spans="17:17" x14ac:dyDescent="0.3">
      <c r="Q401">
        <v>399</v>
      </c>
    </row>
    <row r="402" spans="17:17" x14ac:dyDescent="0.3">
      <c r="Q402">
        <v>400</v>
      </c>
    </row>
    <row r="403" spans="17:17" x14ac:dyDescent="0.3">
      <c r="Q403">
        <v>401</v>
      </c>
    </row>
    <row r="404" spans="17:17" x14ac:dyDescent="0.3">
      <c r="Q404">
        <v>402</v>
      </c>
    </row>
    <row r="405" spans="17:17" x14ac:dyDescent="0.3">
      <c r="Q405">
        <v>403</v>
      </c>
    </row>
    <row r="406" spans="17:17" x14ac:dyDescent="0.3">
      <c r="Q406">
        <v>404</v>
      </c>
    </row>
    <row r="407" spans="17:17" x14ac:dyDescent="0.3">
      <c r="Q407">
        <v>405</v>
      </c>
    </row>
    <row r="408" spans="17:17" x14ac:dyDescent="0.3">
      <c r="Q408">
        <v>406</v>
      </c>
    </row>
    <row r="409" spans="17:17" x14ac:dyDescent="0.3">
      <c r="Q409">
        <v>407</v>
      </c>
    </row>
    <row r="410" spans="17:17" x14ac:dyDescent="0.3">
      <c r="Q410">
        <v>408</v>
      </c>
    </row>
    <row r="411" spans="17:17" x14ac:dyDescent="0.3">
      <c r="Q411">
        <v>409</v>
      </c>
    </row>
    <row r="412" spans="17:17" x14ac:dyDescent="0.3">
      <c r="Q412">
        <v>410</v>
      </c>
    </row>
    <row r="413" spans="17:17" x14ac:dyDescent="0.3">
      <c r="Q413">
        <v>411</v>
      </c>
    </row>
    <row r="414" spans="17:17" x14ac:dyDescent="0.3">
      <c r="Q414">
        <v>412</v>
      </c>
    </row>
    <row r="415" spans="17:17" x14ac:dyDescent="0.3">
      <c r="Q415">
        <v>413</v>
      </c>
    </row>
    <row r="416" spans="17:17" x14ac:dyDescent="0.3">
      <c r="Q416">
        <v>414</v>
      </c>
    </row>
    <row r="417" spans="17:17" x14ac:dyDescent="0.3">
      <c r="Q417">
        <v>415</v>
      </c>
    </row>
    <row r="418" spans="17:17" x14ac:dyDescent="0.3">
      <c r="Q418">
        <v>416</v>
      </c>
    </row>
    <row r="419" spans="17:17" x14ac:dyDescent="0.3">
      <c r="Q419">
        <v>417</v>
      </c>
    </row>
    <row r="420" spans="17:17" x14ac:dyDescent="0.3">
      <c r="Q420">
        <v>418</v>
      </c>
    </row>
    <row r="421" spans="17:17" x14ac:dyDescent="0.3">
      <c r="Q421">
        <v>419</v>
      </c>
    </row>
    <row r="422" spans="17:17" x14ac:dyDescent="0.3">
      <c r="Q422">
        <v>420</v>
      </c>
    </row>
    <row r="423" spans="17:17" x14ac:dyDescent="0.3">
      <c r="Q423">
        <v>421</v>
      </c>
    </row>
    <row r="424" spans="17:17" x14ac:dyDescent="0.3">
      <c r="Q424">
        <v>422</v>
      </c>
    </row>
    <row r="425" spans="17:17" x14ac:dyDescent="0.3">
      <c r="Q425">
        <v>423</v>
      </c>
    </row>
    <row r="426" spans="17:17" x14ac:dyDescent="0.3">
      <c r="Q426">
        <v>424</v>
      </c>
    </row>
    <row r="427" spans="17:17" x14ac:dyDescent="0.3">
      <c r="Q427">
        <v>425</v>
      </c>
    </row>
    <row r="428" spans="17:17" x14ac:dyDescent="0.3">
      <c r="Q428">
        <v>426</v>
      </c>
    </row>
    <row r="429" spans="17:17" x14ac:dyDescent="0.3">
      <c r="Q429">
        <v>427</v>
      </c>
    </row>
    <row r="430" spans="17:17" x14ac:dyDescent="0.3">
      <c r="Q430">
        <v>428</v>
      </c>
    </row>
    <row r="431" spans="17:17" x14ac:dyDescent="0.3">
      <c r="Q431">
        <v>429</v>
      </c>
    </row>
    <row r="432" spans="17:17" x14ac:dyDescent="0.3">
      <c r="Q432">
        <v>430</v>
      </c>
    </row>
    <row r="433" spans="17:17" x14ac:dyDescent="0.3">
      <c r="Q433">
        <v>431</v>
      </c>
    </row>
    <row r="434" spans="17:17" x14ac:dyDescent="0.3">
      <c r="Q434">
        <v>432</v>
      </c>
    </row>
    <row r="435" spans="17:17" x14ac:dyDescent="0.3">
      <c r="Q435">
        <v>433</v>
      </c>
    </row>
    <row r="436" spans="17:17" x14ac:dyDescent="0.3">
      <c r="Q436">
        <v>434</v>
      </c>
    </row>
    <row r="437" spans="17:17" x14ac:dyDescent="0.3">
      <c r="Q437">
        <v>435</v>
      </c>
    </row>
    <row r="438" spans="17:17" x14ac:dyDescent="0.3">
      <c r="Q438">
        <v>436</v>
      </c>
    </row>
    <row r="439" spans="17:17" x14ac:dyDescent="0.3">
      <c r="Q439">
        <v>437</v>
      </c>
    </row>
    <row r="440" spans="17:17" x14ac:dyDescent="0.3">
      <c r="Q440">
        <v>438</v>
      </c>
    </row>
    <row r="441" spans="17:17" x14ac:dyDescent="0.3">
      <c r="Q441">
        <v>439</v>
      </c>
    </row>
    <row r="442" spans="17:17" x14ac:dyDescent="0.3">
      <c r="Q442">
        <v>440</v>
      </c>
    </row>
    <row r="443" spans="17:17" x14ac:dyDescent="0.3">
      <c r="Q443">
        <v>441</v>
      </c>
    </row>
    <row r="444" spans="17:17" x14ac:dyDescent="0.3">
      <c r="Q444">
        <v>442</v>
      </c>
    </row>
    <row r="445" spans="17:17" x14ac:dyDescent="0.3">
      <c r="Q445">
        <v>443</v>
      </c>
    </row>
    <row r="446" spans="17:17" x14ac:dyDescent="0.3">
      <c r="Q446">
        <v>444</v>
      </c>
    </row>
    <row r="447" spans="17:17" x14ac:dyDescent="0.3">
      <c r="Q447">
        <v>445</v>
      </c>
    </row>
    <row r="448" spans="17:17" x14ac:dyDescent="0.3">
      <c r="Q448">
        <v>446</v>
      </c>
    </row>
    <row r="449" spans="17:17" x14ac:dyDescent="0.3">
      <c r="Q449">
        <v>447</v>
      </c>
    </row>
    <row r="450" spans="17:17" x14ac:dyDescent="0.3">
      <c r="Q450">
        <v>448</v>
      </c>
    </row>
    <row r="451" spans="17:17" x14ac:dyDescent="0.3">
      <c r="Q451">
        <v>449</v>
      </c>
    </row>
    <row r="452" spans="17:17" x14ac:dyDescent="0.3">
      <c r="Q452">
        <v>450</v>
      </c>
    </row>
    <row r="453" spans="17:17" x14ac:dyDescent="0.3">
      <c r="Q453">
        <v>451</v>
      </c>
    </row>
    <row r="454" spans="17:17" x14ac:dyDescent="0.3">
      <c r="Q454">
        <v>452</v>
      </c>
    </row>
    <row r="455" spans="17:17" x14ac:dyDescent="0.3">
      <c r="Q455">
        <v>453</v>
      </c>
    </row>
    <row r="456" spans="17:17" x14ac:dyDescent="0.3">
      <c r="Q456">
        <v>454</v>
      </c>
    </row>
    <row r="457" spans="17:17" x14ac:dyDescent="0.3">
      <c r="Q457">
        <v>455</v>
      </c>
    </row>
    <row r="458" spans="17:17" x14ac:dyDescent="0.3">
      <c r="Q458">
        <v>456</v>
      </c>
    </row>
    <row r="459" spans="17:17" x14ac:dyDescent="0.3">
      <c r="Q459">
        <v>457</v>
      </c>
    </row>
    <row r="460" spans="17:17" x14ac:dyDescent="0.3">
      <c r="Q460">
        <v>458</v>
      </c>
    </row>
    <row r="461" spans="17:17" x14ac:dyDescent="0.3">
      <c r="Q461">
        <v>459</v>
      </c>
    </row>
    <row r="462" spans="17:17" x14ac:dyDescent="0.3">
      <c r="Q462">
        <v>460</v>
      </c>
    </row>
    <row r="463" spans="17:17" x14ac:dyDescent="0.3">
      <c r="Q463">
        <v>461</v>
      </c>
    </row>
    <row r="464" spans="17:17" x14ac:dyDescent="0.3">
      <c r="Q464">
        <v>462</v>
      </c>
    </row>
    <row r="465" spans="17:17" x14ac:dyDescent="0.3">
      <c r="Q465">
        <v>463</v>
      </c>
    </row>
    <row r="466" spans="17:17" x14ac:dyDescent="0.3">
      <c r="Q466">
        <v>464</v>
      </c>
    </row>
    <row r="467" spans="17:17" x14ac:dyDescent="0.3">
      <c r="Q467">
        <v>465</v>
      </c>
    </row>
    <row r="468" spans="17:17" x14ac:dyDescent="0.3">
      <c r="Q468">
        <v>466</v>
      </c>
    </row>
    <row r="469" spans="17:17" x14ac:dyDescent="0.3">
      <c r="Q469">
        <v>467</v>
      </c>
    </row>
    <row r="470" spans="17:17" x14ac:dyDescent="0.3">
      <c r="Q470">
        <v>468</v>
      </c>
    </row>
    <row r="471" spans="17:17" x14ac:dyDescent="0.3">
      <c r="Q471">
        <v>469</v>
      </c>
    </row>
    <row r="472" spans="17:17" x14ac:dyDescent="0.3">
      <c r="Q472">
        <v>470</v>
      </c>
    </row>
    <row r="473" spans="17:17" x14ac:dyDescent="0.3">
      <c r="Q473">
        <v>471</v>
      </c>
    </row>
    <row r="474" spans="17:17" x14ac:dyDescent="0.3">
      <c r="Q474">
        <v>472</v>
      </c>
    </row>
    <row r="475" spans="17:17" x14ac:dyDescent="0.3">
      <c r="Q475">
        <v>473</v>
      </c>
    </row>
    <row r="476" spans="17:17" x14ac:dyDescent="0.3">
      <c r="Q476">
        <v>474</v>
      </c>
    </row>
    <row r="477" spans="17:17" x14ac:dyDescent="0.3">
      <c r="Q477">
        <v>475</v>
      </c>
    </row>
    <row r="478" spans="17:17" x14ac:dyDescent="0.3">
      <c r="Q478">
        <v>476</v>
      </c>
    </row>
    <row r="479" spans="17:17" x14ac:dyDescent="0.3">
      <c r="Q479">
        <v>477</v>
      </c>
    </row>
    <row r="480" spans="17:17" x14ac:dyDescent="0.3">
      <c r="Q480">
        <v>478</v>
      </c>
    </row>
    <row r="481" spans="17:17" x14ac:dyDescent="0.3">
      <c r="Q481">
        <v>479</v>
      </c>
    </row>
    <row r="482" spans="17:17" x14ac:dyDescent="0.3">
      <c r="Q482">
        <v>480</v>
      </c>
    </row>
    <row r="483" spans="17:17" x14ac:dyDescent="0.3">
      <c r="Q483">
        <v>481</v>
      </c>
    </row>
    <row r="484" spans="17:17" x14ac:dyDescent="0.3">
      <c r="Q484">
        <v>482</v>
      </c>
    </row>
    <row r="485" spans="17:17" x14ac:dyDescent="0.3">
      <c r="Q485">
        <v>483</v>
      </c>
    </row>
    <row r="486" spans="17:17" x14ac:dyDescent="0.3">
      <c r="Q486">
        <v>484</v>
      </c>
    </row>
    <row r="487" spans="17:17" x14ac:dyDescent="0.3">
      <c r="Q487">
        <v>485</v>
      </c>
    </row>
    <row r="488" spans="17:17" x14ac:dyDescent="0.3">
      <c r="Q488">
        <v>486</v>
      </c>
    </row>
    <row r="489" spans="17:17" x14ac:dyDescent="0.3">
      <c r="Q489">
        <v>487</v>
      </c>
    </row>
    <row r="490" spans="17:17" x14ac:dyDescent="0.3">
      <c r="Q490">
        <v>488</v>
      </c>
    </row>
    <row r="491" spans="17:17" x14ac:dyDescent="0.3">
      <c r="Q491">
        <v>489</v>
      </c>
    </row>
    <row r="492" spans="17:17" x14ac:dyDescent="0.3">
      <c r="Q492">
        <v>490</v>
      </c>
    </row>
    <row r="493" spans="17:17" x14ac:dyDescent="0.3">
      <c r="Q493">
        <v>491</v>
      </c>
    </row>
    <row r="494" spans="17:17" x14ac:dyDescent="0.3">
      <c r="Q494">
        <v>492</v>
      </c>
    </row>
    <row r="495" spans="17:17" x14ac:dyDescent="0.3">
      <c r="Q495">
        <v>493</v>
      </c>
    </row>
    <row r="496" spans="17:17" x14ac:dyDescent="0.3">
      <c r="Q496">
        <v>494</v>
      </c>
    </row>
    <row r="497" spans="17:17" x14ac:dyDescent="0.3">
      <c r="Q497">
        <v>495</v>
      </c>
    </row>
    <row r="498" spans="17:17" x14ac:dyDescent="0.3">
      <c r="Q498">
        <v>496</v>
      </c>
    </row>
    <row r="499" spans="17:17" x14ac:dyDescent="0.3">
      <c r="Q499">
        <v>497</v>
      </c>
    </row>
    <row r="500" spans="17:17" x14ac:dyDescent="0.3">
      <c r="Q500">
        <v>498</v>
      </c>
    </row>
    <row r="501" spans="17:17" x14ac:dyDescent="0.3">
      <c r="Q501">
        <v>499</v>
      </c>
    </row>
    <row r="502" spans="17:17" x14ac:dyDescent="0.3">
      <c r="Q502">
        <v>500</v>
      </c>
    </row>
    <row r="503" spans="17:17" x14ac:dyDescent="0.3">
      <c r="Q503">
        <v>501</v>
      </c>
    </row>
    <row r="504" spans="17:17" x14ac:dyDescent="0.3">
      <c r="Q504">
        <v>502</v>
      </c>
    </row>
    <row r="505" spans="17:17" x14ac:dyDescent="0.3">
      <c r="Q505">
        <v>503</v>
      </c>
    </row>
    <row r="506" spans="17:17" x14ac:dyDescent="0.3">
      <c r="Q506">
        <v>504</v>
      </c>
    </row>
    <row r="507" spans="17:17" x14ac:dyDescent="0.3">
      <c r="Q507">
        <v>505</v>
      </c>
    </row>
    <row r="508" spans="17:17" x14ac:dyDescent="0.3">
      <c r="Q508">
        <v>506</v>
      </c>
    </row>
    <row r="509" spans="17:17" x14ac:dyDescent="0.3">
      <c r="Q509">
        <v>507</v>
      </c>
    </row>
    <row r="510" spans="17:17" x14ac:dyDescent="0.3">
      <c r="Q510">
        <v>508</v>
      </c>
    </row>
    <row r="511" spans="17:17" x14ac:dyDescent="0.3">
      <c r="Q511">
        <v>509</v>
      </c>
    </row>
    <row r="512" spans="17:17" x14ac:dyDescent="0.3">
      <c r="Q512">
        <v>510</v>
      </c>
    </row>
    <row r="513" spans="17:17" x14ac:dyDescent="0.3">
      <c r="Q513">
        <v>511</v>
      </c>
    </row>
    <row r="514" spans="17:17" x14ac:dyDescent="0.3">
      <c r="Q514">
        <v>512</v>
      </c>
    </row>
    <row r="515" spans="17:17" x14ac:dyDescent="0.3">
      <c r="Q515">
        <v>513</v>
      </c>
    </row>
    <row r="516" spans="17:17" x14ac:dyDescent="0.3">
      <c r="Q516">
        <v>514</v>
      </c>
    </row>
    <row r="517" spans="17:17" x14ac:dyDescent="0.3">
      <c r="Q517">
        <v>515</v>
      </c>
    </row>
    <row r="518" spans="17:17" x14ac:dyDescent="0.3">
      <c r="Q518">
        <v>516</v>
      </c>
    </row>
    <row r="519" spans="17:17" x14ac:dyDescent="0.3">
      <c r="Q519">
        <v>517</v>
      </c>
    </row>
    <row r="520" spans="17:17" x14ac:dyDescent="0.3">
      <c r="Q520">
        <v>518</v>
      </c>
    </row>
    <row r="521" spans="17:17" x14ac:dyDescent="0.3">
      <c r="Q521">
        <v>519</v>
      </c>
    </row>
    <row r="522" spans="17:17" x14ac:dyDescent="0.3">
      <c r="Q522">
        <v>520</v>
      </c>
    </row>
    <row r="523" spans="17:17" x14ac:dyDescent="0.3">
      <c r="Q523">
        <v>521</v>
      </c>
    </row>
    <row r="524" spans="17:17" x14ac:dyDescent="0.3">
      <c r="Q524">
        <v>522</v>
      </c>
    </row>
    <row r="525" spans="17:17" x14ac:dyDescent="0.3">
      <c r="Q525">
        <v>523</v>
      </c>
    </row>
    <row r="526" spans="17:17" x14ac:dyDescent="0.3">
      <c r="Q526">
        <v>524</v>
      </c>
    </row>
    <row r="527" spans="17:17" x14ac:dyDescent="0.3">
      <c r="Q527">
        <v>525</v>
      </c>
    </row>
    <row r="528" spans="17:17" x14ac:dyDescent="0.3">
      <c r="Q528">
        <v>526</v>
      </c>
    </row>
    <row r="529" spans="17:17" x14ac:dyDescent="0.3">
      <c r="Q529">
        <v>527</v>
      </c>
    </row>
    <row r="530" spans="17:17" x14ac:dyDescent="0.3">
      <c r="Q530">
        <v>528</v>
      </c>
    </row>
    <row r="531" spans="17:17" x14ac:dyDescent="0.3">
      <c r="Q531">
        <v>529</v>
      </c>
    </row>
    <row r="532" spans="17:17" x14ac:dyDescent="0.3">
      <c r="Q532">
        <v>530</v>
      </c>
    </row>
    <row r="533" spans="17:17" x14ac:dyDescent="0.3">
      <c r="Q533">
        <v>531</v>
      </c>
    </row>
    <row r="534" spans="17:17" x14ac:dyDescent="0.3">
      <c r="Q534">
        <v>532</v>
      </c>
    </row>
    <row r="535" spans="17:17" x14ac:dyDescent="0.3">
      <c r="Q535">
        <v>533</v>
      </c>
    </row>
    <row r="536" spans="17:17" x14ac:dyDescent="0.3">
      <c r="Q536">
        <v>534</v>
      </c>
    </row>
    <row r="537" spans="17:17" x14ac:dyDescent="0.3">
      <c r="Q537">
        <v>535</v>
      </c>
    </row>
    <row r="538" spans="17:17" x14ac:dyDescent="0.3">
      <c r="Q538">
        <v>536</v>
      </c>
    </row>
    <row r="539" spans="17:17" x14ac:dyDescent="0.3">
      <c r="Q539">
        <v>537</v>
      </c>
    </row>
    <row r="540" spans="17:17" x14ac:dyDescent="0.3">
      <c r="Q540">
        <v>538</v>
      </c>
    </row>
    <row r="541" spans="17:17" x14ac:dyDescent="0.3">
      <c r="Q541">
        <v>539</v>
      </c>
    </row>
    <row r="542" spans="17:17" x14ac:dyDescent="0.3">
      <c r="Q542">
        <v>540</v>
      </c>
    </row>
    <row r="543" spans="17:17" x14ac:dyDescent="0.3">
      <c r="Q543">
        <v>541</v>
      </c>
    </row>
    <row r="544" spans="17:17" x14ac:dyDescent="0.3">
      <c r="Q544">
        <v>542</v>
      </c>
    </row>
    <row r="545" spans="17:17" x14ac:dyDescent="0.3">
      <c r="Q545">
        <v>543</v>
      </c>
    </row>
    <row r="546" spans="17:17" x14ac:dyDescent="0.3">
      <c r="Q546">
        <v>544</v>
      </c>
    </row>
    <row r="547" spans="17:17" x14ac:dyDescent="0.3">
      <c r="Q547">
        <v>545</v>
      </c>
    </row>
    <row r="548" spans="17:17" x14ac:dyDescent="0.3">
      <c r="Q548">
        <v>546</v>
      </c>
    </row>
    <row r="549" spans="17:17" x14ac:dyDescent="0.3">
      <c r="Q549">
        <v>547</v>
      </c>
    </row>
    <row r="550" spans="17:17" x14ac:dyDescent="0.3">
      <c r="Q550">
        <v>548</v>
      </c>
    </row>
    <row r="551" spans="17:17" x14ac:dyDescent="0.3">
      <c r="Q551">
        <v>549</v>
      </c>
    </row>
    <row r="552" spans="17:17" x14ac:dyDescent="0.3">
      <c r="Q552">
        <v>550</v>
      </c>
    </row>
    <row r="553" spans="17:17" x14ac:dyDescent="0.3">
      <c r="Q553">
        <v>551</v>
      </c>
    </row>
    <row r="554" spans="17:17" x14ac:dyDescent="0.3">
      <c r="Q554">
        <v>552</v>
      </c>
    </row>
    <row r="555" spans="17:17" x14ac:dyDescent="0.3">
      <c r="Q555">
        <v>553</v>
      </c>
    </row>
    <row r="556" spans="17:17" x14ac:dyDescent="0.3">
      <c r="Q556">
        <v>554</v>
      </c>
    </row>
    <row r="557" spans="17:17" x14ac:dyDescent="0.3">
      <c r="Q557">
        <v>555</v>
      </c>
    </row>
    <row r="558" spans="17:17" x14ac:dyDescent="0.3">
      <c r="Q558">
        <v>556</v>
      </c>
    </row>
    <row r="559" spans="17:17" x14ac:dyDescent="0.3">
      <c r="Q559">
        <v>557</v>
      </c>
    </row>
    <row r="560" spans="17:17" x14ac:dyDescent="0.3">
      <c r="Q560">
        <v>558</v>
      </c>
    </row>
    <row r="561" spans="17:17" x14ac:dyDescent="0.3">
      <c r="Q561">
        <v>559</v>
      </c>
    </row>
    <row r="562" spans="17:17" x14ac:dyDescent="0.3">
      <c r="Q562">
        <v>560</v>
      </c>
    </row>
    <row r="563" spans="17:17" x14ac:dyDescent="0.3">
      <c r="Q563">
        <v>561</v>
      </c>
    </row>
    <row r="564" spans="17:17" x14ac:dyDescent="0.3">
      <c r="Q564">
        <v>562</v>
      </c>
    </row>
    <row r="565" spans="17:17" x14ac:dyDescent="0.3">
      <c r="Q565">
        <v>563</v>
      </c>
    </row>
    <row r="566" spans="17:17" x14ac:dyDescent="0.3">
      <c r="Q566">
        <v>564</v>
      </c>
    </row>
    <row r="567" spans="17:17" x14ac:dyDescent="0.3">
      <c r="Q567">
        <v>565</v>
      </c>
    </row>
    <row r="568" spans="17:17" x14ac:dyDescent="0.3">
      <c r="Q568">
        <v>566</v>
      </c>
    </row>
    <row r="569" spans="17:17" x14ac:dyDescent="0.3">
      <c r="Q569">
        <v>567</v>
      </c>
    </row>
    <row r="570" spans="17:17" x14ac:dyDescent="0.3">
      <c r="Q570">
        <v>568</v>
      </c>
    </row>
    <row r="571" spans="17:17" x14ac:dyDescent="0.3">
      <c r="Q571">
        <v>569</v>
      </c>
    </row>
    <row r="572" spans="17:17" x14ac:dyDescent="0.3">
      <c r="Q572">
        <v>570</v>
      </c>
    </row>
    <row r="573" spans="17:17" x14ac:dyDescent="0.3">
      <c r="Q573">
        <v>571</v>
      </c>
    </row>
    <row r="574" spans="17:17" x14ac:dyDescent="0.3">
      <c r="Q574">
        <v>572</v>
      </c>
    </row>
    <row r="575" spans="17:17" x14ac:dyDescent="0.3">
      <c r="Q575">
        <v>573</v>
      </c>
    </row>
    <row r="576" spans="17:17" x14ac:dyDescent="0.3">
      <c r="Q576">
        <v>574</v>
      </c>
    </row>
    <row r="577" spans="17:17" x14ac:dyDescent="0.3">
      <c r="Q577">
        <v>575</v>
      </c>
    </row>
    <row r="578" spans="17:17" x14ac:dyDescent="0.3">
      <c r="Q578">
        <v>576</v>
      </c>
    </row>
    <row r="579" spans="17:17" x14ac:dyDescent="0.3">
      <c r="Q579">
        <v>577</v>
      </c>
    </row>
    <row r="580" spans="17:17" x14ac:dyDescent="0.3">
      <c r="Q580">
        <v>578</v>
      </c>
    </row>
    <row r="581" spans="17:17" x14ac:dyDescent="0.3">
      <c r="Q581">
        <v>579</v>
      </c>
    </row>
    <row r="582" spans="17:17" x14ac:dyDescent="0.3">
      <c r="Q582">
        <v>580</v>
      </c>
    </row>
    <row r="583" spans="17:17" x14ac:dyDescent="0.3">
      <c r="Q583">
        <v>581</v>
      </c>
    </row>
    <row r="584" spans="17:17" x14ac:dyDescent="0.3">
      <c r="Q584">
        <v>582</v>
      </c>
    </row>
    <row r="585" spans="17:17" x14ac:dyDescent="0.3">
      <c r="Q585">
        <v>583</v>
      </c>
    </row>
    <row r="586" spans="17:17" x14ac:dyDescent="0.3">
      <c r="Q586">
        <v>584</v>
      </c>
    </row>
    <row r="587" spans="17:17" x14ac:dyDescent="0.3">
      <c r="Q587">
        <v>585</v>
      </c>
    </row>
    <row r="588" spans="17:17" x14ac:dyDescent="0.3">
      <c r="Q588">
        <v>586</v>
      </c>
    </row>
    <row r="589" spans="17:17" x14ac:dyDescent="0.3">
      <c r="Q589">
        <v>587</v>
      </c>
    </row>
    <row r="590" spans="17:17" x14ac:dyDescent="0.3">
      <c r="Q590">
        <v>588</v>
      </c>
    </row>
    <row r="591" spans="17:17" x14ac:dyDescent="0.3">
      <c r="Q591">
        <v>589</v>
      </c>
    </row>
    <row r="592" spans="17:17" x14ac:dyDescent="0.3">
      <c r="Q592">
        <v>590</v>
      </c>
    </row>
    <row r="593" spans="17:17" x14ac:dyDescent="0.3">
      <c r="Q593">
        <v>591</v>
      </c>
    </row>
    <row r="594" spans="17:17" x14ac:dyDescent="0.3">
      <c r="Q594">
        <v>592</v>
      </c>
    </row>
    <row r="595" spans="17:17" x14ac:dyDescent="0.3">
      <c r="Q595">
        <v>593</v>
      </c>
    </row>
    <row r="596" spans="17:17" x14ac:dyDescent="0.3">
      <c r="Q596">
        <v>594</v>
      </c>
    </row>
    <row r="597" spans="17:17" x14ac:dyDescent="0.3">
      <c r="Q597">
        <v>595</v>
      </c>
    </row>
    <row r="598" spans="17:17" x14ac:dyDescent="0.3">
      <c r="Q598">
        <v>596</v>
      </c>
    </row>
    <row r="599" spans="17:17" x14ac:dyDescent="0.3">
      <c r="Q599">
        <v>597</v>
      </c>
    </row>
    <row r="600" spans="17:17" x14ac:dyDescent="0.3">
      <c r="Q600">
        <v>598</v>
      </c>
    </row>
    <row r="601" spans="17:17" x14ac:dyDescent="0.3">
      <c r="Q601">
        <v>599</v>
      </c>
    </row>
    <row r="602" spans="17:17" x14ac:dyDescent="0.3">
      <c r="Q602">
        <v>600</v>
      </c>
    </row>
    <row r="603" spans="17:17" x14ac:dyDescent="0.3">
      <c r="Q603">
        <v>601</v>
      </c>
    </row>
    <row r="604" spans="17:17" x14ac:dyDescent="0.3">
      <c r="Q604">
        <v>602</v>
      </c>
    </row>
    <row r="605" spans="17:17" x14ac:dyDescent="0.3">
      <c r="Q605">
        <v>603</v>
      </c>
    </row>
    <row r="606" spans="17:17" x14ac:dyDescent="0.3">
      <c r="Q606">
        <v>604</v>
      </c>
    </row>
    <row r="607" spans="17:17" x14ac:dyDescent="0.3">
      <c r="Q607">
        <v>605</v>
      </c>
    </row>
    <row r="608" spans="17:17" x14ac:dyDescent="0.3">
      <c r="Q608">
        <v>606</v>
      </c>
    </row>
    <row r="609" spans="17:17" x14ac:dyDescent="0.3">
      <c r="Q609">
        <v>607</v>
      </c>
    </row>
    <row r="610" spans="17:17" x14ac:dyDescent="0.3">
      <c r="Q610">
        <v>608</v>
      </c>
    </row>
    <row r="611" spans="17:17" x14ac:dyDescent="0.3">
      <c r="Q611">
        <v>609</v>
      </c>
    </row>
    <row r="612" spans="17:17" x14ac:dyDescent="0.3">
      <c r="Q612">
        <v>610</v>
      </c>
    </row>
    <row r="613" spans="17:17" x14ac:dyDescent="0.3">
      <c r="Q613">
        <v>611</v>
      </c>
    </row>
    <row r="614" spans="17:17" x14ac:dyDescent="0.3">
      <c r="Q614">
        <v>612</v>
      </c>
    </row>
    <row r="615" spans="17:17" x14ac:dyDescent="0.3">
      <c r="Q615">
        <v>613</v>
      </c>
    </row>
    <row r="616" spans="17:17" x14ac:dyDescent="0.3">
      <c r="Q616">
        <v>614</v>
      </c>
    </row>
    <row r="617" spans="17:17" x14ac:dyDescent="0.3">
      <c r="Q617">
        <v>615</v>
      </c>
    </row>
    <row r="618" spans="17:17" x14ac:dyDescent="0.3">
      <c r="Q618">
        <v>616</v>
      </c>
    </row>
    <row r="619" spans="17:17" x14ac:dyDescent="0.3">
      <c r="Q619">
        <v>617</v>
      </c>
    </row>
    <row r="620" spans="17:17" x14ac:dyDescent="0.3">
      <c r="Q620">
        <v>618</v>
      </c>
    </row>
    <row r="621" spans="17:17" x14ac:dyDescent="0.3">
      <c r="Q621">
        <v>619</v>
      </c>
    </row>
    <row r="622" spans="17:17" x14ac:dyDescent="0.3">
      <c r="Q622">
        <v>620</v>
      </c>
    </row>
    <row r="623" spans="17:17" x14ac:dyDescent="0.3">
      <c r="Q623">
        <v>621</v>
      </c>
    </row>
    <row r="624" spans="17:17" x14ac:dyDescent="0.3">
      <c r="Q624">
        <v>622</v>
      </c>
    </row>
    <row r="625" spans="17:17" x14ac:dyDescent="0.3">
      <c r="Q625">
        <v>623</v>
      </c>
    </row>
    <row r="626" spans="17:17" x14ac:dyDescent="0.3">
      <c r="Q626">
        <v>624</v>
      </c>
    </row>
    <row r="627" spans="17:17" x14ac:dyDescent="0.3">
      <c r="Q627">
        <v>625</v>
      </c>
    </row>
    <row r="628" spans="17:17" x14ac:dyDescent="0.3">
      <c r="Q628">
        <v>626</v>
      </c>
    </row>
    <row r="629" spans="17:17" x14ac:dyDescent="0.3">
      <c r="Q629">
        <v>627</v>
      </c>
    </row>
    <row r="630" spans="17:17" x14ac:dyDescent="0.3">
      <c r="Q630">
        <v>628</v>
      </c>
    </row>
    <row r="631" spans="17:17" x14ac:dyDescent="0.3">
      <c r="Q631">
        <v>629</v>
      </c>
    </row>
    <row r="632" spans="17:17" x14ac:dyDescent="0.3">
      <c r="Q632">
        <v>630</v>
      </c>
    </row>
    <row r="633" spans="17:17" x14ac:dyDescent="0.3">
      <c r="Q633">
        <v>631</v>
      </c>
    </row>
    <row r="634" spans="17:17" x14ac:dyDescent="0.3">
      <c r="Q634">
        <v>632</v>
      </c>
    </row>
    <row r="635" spans="17:17" x14ac:dyDescent="0.3">
      <c r="Q635">
        <v>633</v>
      </c>
    </row>
    <row r="636" spans="17:17" x14ac:dyDescent="0.3">
      <c r="Q636">
        <v>634</v>
      </c>
    </row>
    <row r="637" spans="17:17" x14ac:dyDescent="0.3">
      <c r="Q637">
        <v>635</v>
      </c>
    </row>
    <row r="638" spans="17:17" x14ac:dyDescent="0.3">
      <c r="Q638">
        <v>636</v>
      </c>
    </row>
    <row r="639" spans="17:17" x14ac:dyDescent="0.3">
      <c r="Q639">
        <v>637</v>
      </c>
    </row>
    <row r="640" spans="17:17" x14ac:dyDescent="0.3">
      <c r="Q640">
        <v>638</v>
      </c>
    </row>
    <row r="641" spans="17:17" x14ac:dyDescent="0.3">
      <c r="Q641">
        <v>639</v>
      </c>
    </row>
    <row r="642" spans="17:17" x14ac:dyDescent="0.3">
      <c r="Q642">
        <v>640</v>
      </c>
    </row>
    <row r="643" spans="17:17" x14ac:dyDescent="0.3">
      <c r="Q643">
        <v>641</v>
      </c>
    </row>
    <row r="644" spans="17:17" x14ac:dyDescent="0.3">
      <c r="Q644">
        <v>642</v>
      </c>
    </row>
    <row r="645" spans="17:17" x14ac:dyDescent="0.3">
      <c r="Q645">
        <v>643</v>
      </c>
    </row>
    <row r="646" spans="17:17" x14ac:dyDescent="0.3">
      <c r="Q646">
        <v>644</v>
      </c>
    </row>
    <row r="647" spans="17:17" x14ac:dyDescent="0.3">
      <c r="Q647">
        <v>645</v>
      </c>
    </row>
    <row r="648" spans="17:17" x14ac:dyDescent="0.3">
      <c r="Q648">
        <v>646</v>
      </c>
    </row>
    <row r="649" spans="17:17" x14ac:dyDescent="0.3">
      <c r="Q649">
        <v>647</v>
      </c>
    </row>
    <row r="650" spans="17:17" x14ac:dyDescent="0.3">
      <c r="Q650">
        <v>648</v>
      </c>
    </row>
    <row r="651" spans="17:17" x14ac:dyDescent="0.3">
      <c r="Q651">
        <v>649</v>
      </c>
    </row>
    <row r="652" spans="17:17" x14ac:dyDescent="0.3">
      <c r="Q652">
        <v>650</v>
      </c>
    </row>
    <row r="653" spans="17:17" x14ac:dyDescent="0.3">
      <c r="Q653">
        <v>651</v>
      </c>
    </row>
    <row r="654" spans="17:17" x14ac:dyDescent="0.3">
      <c r="Q654">
        <v>652</v>
      </c>
    </row>
    <row r="655" spans="17:17" x14ac:dyDescent="0.3">
      <c r="Q655">
        <v>653</v>
      </c>
    </row>
    <row r="656" spans="17:17" x14ac:dyDescent="0.3">
      <c r="Q656">
        <v>654</v>
      </c>
    </row>
    <row r="657" spans="17:17" x14ac:dyDescent="0.3">
      <c r="Q657">
        <v>655</v>
      </c>
    </row>
    <row r="658" spans="17:17" x14ac:dyDescent="0.3">
      <c r="Q658">
        <v>656</v>
      </c>
    </row>
    <row r="659" spans="17:17" x14ac:dyDescent="0.3">
      <c r="Q659">
        <v>657</v>
      </c>
    </row>
    <row r="660" spans="17:17" x14ac:dyDescent="0.3">
      <c r="Q660">
        <v>658</v>
      </c>
    </row>
    <row r="661" spans="17:17" x14ac:dyDescent="0.3">
      <c r="Q661">
        <v>659</v>
      </c>
    </row>
    <row r="662" spans="17:17" x14ac:dyDescent="0.3">
      <c r="Q662">
        <v>660</v>
      </c>
    </row>
    <row r="663" spans="17:17" x14ac:dyDescent="0.3">
      <c r="Q663">
        <v>661</v>
      </c>
    </row>
    <row r="664" spans="17:17" x14ac:dyDescent="0.3">
      <c r="Q664">
        <v>662</v>
      </c>
    </row>
    <row r="665" spans="17:17" x14ac:dyDescent="0.3">
      <c r="Q665">
        <v>663</v>
      </c>
    </row>
    <row r="666" spans="17:17" x14ac:dyDescent="0.3">
      <c r="Q666">
        <v>664</v>
      </c>
    </row>
    <row r="667" spans="17:17" x14ac:dyDescent="0.3">
      <c r="Q667">
        <v>665</v>
      </c>
    </row>
    <row r="668" spans="17:17" x14ac:dyDescent="0.3">
      <c r="Q668">
        <v>666</v>
      </c>
    </row>
    <row r="669" spans="17:17" x14ac:dyDescent="0.3">
      <c r="Q669">
        <v>667</v>
      </c>
    </row>
    <row r="670" spans="17:17" x14ac:dyDescent="0.3">
      <c r="Q670">
        <v>668</v>
      </c>
    </row>
    <row r="671" spans="17:17" x14ac:dyDescent="0.3">
      <c r="Q671">
        <v>669</v>
      </c>
    </row>
    <row r="672" spans="17:17" x14ac:dyDescent="0.3">
      <c r="Q672">
        <v>670</v>
      </c>
    </row>
    <row r="673" spans="17:17" x14ac:dyDescent="0.3">
      <c r="Q673">
        <v>671</v>
      </c>
    </row>
    <row r="674" spans="17:17" x14ac:dyDescent="0.3">
      <c r="Q674">
        <v>672</v>
      </c>
    </row>
    <row r="675" spans="17:17" x14ac:dyDescent="0.3">
      <c r="Q675">
        <v>673</v>
      </c>
    </row>
    <row r="676" spans="17:17" x14ac:dyDescent="0.3">
      <c r="Q676">
        <v>674</v>
      </c>
    </row>
    <row r="677" spans="17:17" x14ac:dyDescent="0.3">
      <c r="Q677">
        <v>675</v>
      </c>
    </row>
    <row r="678" spans="17:17" x14ac:dyDescent="0.3">
      <c r="Q678">
        <v>676</v>
      </c>
    </row>
    <row r="679" spans="17:17" x14ac:dyDescent="0.3">
      <c r="Q679">
        <v>677</v>
      </c>
    </row>
    <row r="680" spans="17:17" x14ac:dyDescent="0.3">
      <c r="Q680">
        <v>678</v>
      </c>
    </row>
    <row r="681" spans="17:17" x14ac:dyDescent="0.3">
      <c r="Q681">
        <v>679</v>
      </c>
    </row>
    <row r="682" spans="17:17" x14ac:dyDescent="0.3">
      <c r="Q682">
        <v>680</v>
      </c>
    </row>
    <row r="683" spans="17:17" x14ac:dyDescent="0.3">
      <c r="Q683">
        <v>681</v>
      </c>
    </row>
    <row r="684" spans="17:17" x14ac:dyDescent="0.3">
      <c r="Q684">
        <v>682</v>
      </c>
    </row>
    <row r="685" spans="17:17" x14ac:dyDescent="0.3">
      <c r="Q685">
        <v>683</v>
      </c>
    </row>
    <row r="686" spans="17:17" x14ac:dyDescent="0.3">
      <c r="Q686">
        <v>684</v>
      </c>
    </row>
    <row r="687" spans="17:17" x14ac:dyDescent="0.3">
      <c r="Q687">
        <v>685</v>
      </c>
    </row>
    <row r="688" spans="17:17" x14ac:dyDescent="0.3">
      <c r="Q688">
        <v>686</v>
      </c>
    </row>
    <row r="689" spans="17:17" x14ac:dyDescent="0.3">
      <c r="Q689">
        <v>687</v>
      </c>
    </row>
    <row r="690" spans="17:17" x14ac:dyDescent="0.3">
      <c r="Q690">
        <v>688</v>
      </c>
    </row>
    <row r="691" spans="17:17" x14ac:dyDescent="0.3">
      <c r="Q691">
        <v>689</v>
      </c>
    </row>
    <row r="692" spans="17:17" x14ac:dyDescent="0.3">
      <c r="Q692">
        <v>690</v>
      </c>
    </row>
    <row r="693" spans="17:17" x14ac:dyDescent="0.3">
      <c r="Q693">
        <v>691</v>
      </c>
    </row>
    <row r="694" spans="17:17" x14ac:dyDescent="0.3">
      <c r="Q694">
        <v>692</v>
      </c>
    </row>
    <row r="695" spans="17:17" x14ac:dyDescent="0.3">
      <c r="Q695">
        <v>693</v>
      </c>
    </row>
    <row r="696" spans="17:17" x14ac:dyDescent="0.3">
      <c r="Q696">
        <v>694</v>
      </c>
    </row>
    <row r="697" spans="17:17" x14ac:dyDescent="0.3">
      <c r="Q697">
        <v>695</v>
      </c>
    </row>
    <row r="698" spans="17:17" x14ac:dyDescent="0.3">
      <c r="Q698">
        <v>696</v>
      </c>
    </row>
    <row r="699" spans="17:17" x14ac:dyDescent="0.3">
      <c r="Q699">
        <v>697</v>
      </c>
    </row>
    <row r="700" spans="17:17" x14ac:dyDescent="0.3">
      <c r="Q700">
        <v>698</v>
      </c>
    </row>
    <row r="701" spans="17:17" x14ac:dyDescent="0.3">
      <c r="Q701">
        <v>699</v>
      </c>
    </row>
    <row r="702" spans="17:17" x14ac:dyDescent="0.3">
      <c r="Q702">
        <v>700</v>
      </c>
    </row>
    <row r="703" spans="17:17" x14ac:dyDescent="0.3">
      <c r="Q703">
        <v>701</v>
      </c>
    </row>
    <row r="704" spans="17:17" x14ac:dyDescent="0.3">
      <c r="Q704">
        <v>702</v>
      </c>
    </row>
    <row r="705" spans="17:17" x14ac:dyDescent="0.3">
      <c r="Q705">
        <v>703</v>
      </c>
    </row>
    <row r="706" spans="17:17" x14ac:dyDescent="0.3">
      <c r="Q706">
        <v>704</v>
      </c>
    </row>
    <row r="707" spans="17:17" x14ac:dyDescent="0.3">
      <c r="Q707">
        <v>705</v>
      </c>
    </row>
    <row r="708" spans="17:17" x14ac:dyDescent="0.3">
      <c r="Q708">
        <v>706</v>
      </c>
    </row>
    <row r="709" spans="17:17" x14ac:dyDescent="0.3">
      <c r="Q709">
        <v>707</v>
      </c>
    </row>
    <row r="710" spans="17:17" x14ac:dyDescent="0.3">
      <c r="Q710">
        <v>708</v>
      </c>
    </row>
    <row r="711" spans="17:17" x14ac:dyDescent="0.3">
      <c r="Q711">
        <v>709</v>
      </c>
    </row>
    <row r="712" spans="17:17" x14ac:dyDescent="0.3">
      <c r="Q712">
        <v>710</v>
      </c>
    </row>
    <row r="713" spans="17:17" x14ac:dyDescent="0.3">
      <c r="Q713">
        <v>711</v>
      </c>
    </row>
    <row r="714" spans="17:17" x14ac:dyDescent="0.3">
      <c r="Q714">
        <v>712</v>
      </c>
    </row>
    <row r="715" spans="17:17" x14ac:dyDescent="0.3">
      <c r="Q715">
        <v>713</v>
      </c>
    </row>
    <row r="716" spans="17:17" x14ac:dyDescent="0.3">
      <c r="Q716">
        <v>714</v>
      </c>
    </row>
    <row r="717" spans="17:17" x14ac:dyDescent="0.3">
      <c r="Q717">
        <v>715</v>
      </c>
    </row>
    <row r="718" spans="17:17" x14ac:dyDescent="0.3">
      <c r="Q718">
        <v>716</v>
      </c>
    </row>
    <row r="719" spans="17:17" x14ac:dyDescent="0.3">
      <c r="Q719">
        <v>717</v>
      </c>
    </row>
    <row r="720" spans="17:17" x14ac:dyDescent="0.3">
      <c r="Q720">
        <v>718</v>
      </c>
    </row>
    <row r="721" spans="17:17" x14ac:dyDescent="0.3">
      <c r="Q721">
        <v>719</v>
      </c>
    </row>
    <row r="722" spans="17:17" x14ac:dyDescent="0.3">
      <c r="Q722">
        <v>720</v>
      </c>
    </row>
    <row r="723" spans="17:17" x14ac:dyDescent="0.3">
      <c r="Q723">
        <v>721</v>
      </c>
    </row>
    <row r="724" spans="17:17" x14ac:dyDescent="0.3">
      <c r="Q724">
        <v>722</v>
      </c>
    </row>
    <row r="725" spans="17:17" x14ac:dyDescent="0.3">
      <c r="Q725">
        <v>723</v>
      </c>
    </row>
    <row r="726" spans="17:17" x14ac:dyDescent="0.3">
      <c r="Q726">
        <v>724</v>
      </c>
    </row>
    <row r="727" spans="17:17" x14ac:dyDescent="0.3">
      <c r="Q727">
        <v>725</v>
      </c>
    </row>
    <row r="728" spans="17:17" x14ac:dyDescent="0.3">
      <c r="Q728">
        <v>726</v>
      </c>
    </row>
    <row r="729" spans="17:17" x14ac:dyDescent="0.3">
      <c r="Q729">
        <v>727</v>
      </c>
    </row>
    <row r="730" spans="17:17" x14ac:dyDescent="0.3">
      <c r="Q730">
        <v>728</v>
      </c>
    </row>
    <row r="731" spans="17:17" x14ac:dyDescent="0.3">
      <c r="Q731">
        <v>729</v>
      </c>
    </row>
    <row r="732" spans="17:17" x14ac:dyDescent="0.3">
      <c r="Q732">
        <v>730</v>
      </c>
    </row>
    <row r="733" spans="17:17" x14ac:dyDescent="0.3">
      <c r="Q733">
        <v>731</v>
      </c>
    </row>
    <row r="734" spans="17:17" x14ac:dyDescent="0.3">
      <c r="Q734">
        <v>732</v>
      </c>
    </row>
    <row r="735" spans="17:17" x14ac:dyDescent="0.3">
      <c r="Q735">
        <v>733</v>
      </c>
    </row>
    <row r="736" spans="17:17" x14ac:dyDescent="0.3">
      <c r="Q736">
        <v>734</v>
      </c>
    </row>
    <row r="737" spans="17:17" x14ac:dyDescent="0.3">
      <c r="Q737">
        <v>735</v>
      </c>
    </row>
    <row r="738" spans="17:17" x14ac:dyDescent="0.3">
      <c r="Q738">
        <v>736</v>
      </c>
    </row>
    <row r="739" spans="17:17" x14ac:dyDescent="0.3">
      <c r="Q739">
        <v>737</v>
      </c>
    </row>
    <row r="740" spans="17:17" x14ac:dyDescent="0.3">
      <c r="Q740">
        <v>738</v>
      </c>
    </row>
    <row r="741" spans="17:17" x14ac:dyDescent="0.3">
      <c r="Q741">
        <v>739</v>
      </c>
    </row>
    <row r="742" spans="17:17" x14ac:dyDescent="0.3">
      <c r="Q742">
        <v>740</v>
      </c>
    </row>
    <row r="743" spans="17:17" x14ac:dyDescent="0.3">
      <c r="Q743">
        <v>741</v>
      </c>
    </row>
    <row r="744" spans="17:17" x14ac:dyDescent="0.3">
      <c r="Q744">
        <v>742</v>
      </c>
    </row>
    <row r="745" spans="17:17" x14ac:dyDescent="0.3">
      <c r="Q745">
        <v>743</v>
      </c>
    </row>
    <row r="746" spans="17:17" x14ac:dyDescent="0.3">
      <c r="Q746">
        <v>744</v>
      </c>
    </row>
    <row r="747" spans="17:17" x14ac:dyDescent="0.3">
      <c r="Q747">
        <v>745</v>
      </c>
    </row>
    <row r="748" spans="17:17" x14ac:dyDescent="0.3">
      <c r="Q748">
        <v>746</v>
      </c>
    </row>
    <row r="749" spans="17:17" x14ac:dyDescent="0.3">
      <c r="Q749">
        <v>747</v>
      </c>
    </row>
    <row r="750" spans="17:17" x14ac:dyDescent="0.3">
      <c r="Q750">
        <v>748</v>
      </c>
    </row>
    <row r="751" spans="17:17" x14ac:dyDescent="0.3">
      <c r="Q751">
        <v>749</v>
      </c>
    </row>
    <row r="752" spans="17:17" x14ac:dyDescent="0.3">
      <c r="Q752">
        <v>750</v>
      </c>
    </row>
    <row r="753" spans="17:17" x14ac:dyDescent="0.3">
      <c r="Q753">
        <v>751</v>
      </c>
    </row>
    <row r="754" spans="17:17" x14ac:dyDescent="0.3">
      <c r="Q754">
        <v>752</v>
      </c>
    </row>
    <row r="755" spans="17:17" x14ac:dyDescent="0.3">
      <c r="Q755">
        <v>753</v>
      </c>
    </row>
    <row r="756" spans="17:17" x14ac:dyDescent="0.3">
      <c r="Q756">
        <v>754</v>
      </c>
    </row>
    <row r="757" spans="17:17" x14ac:dyDescent="0.3">
      <c r="Q757">
        <v>755</v>
      </c>
    </row>
    <row r="758" spans="17:17" x14ac:dyDescent="0.3">
      <c r="Q758">
        <v>756</v>
      </c>
    </row>
    <row r="759" spans="17:17" x14ac:dyDescent="0.3">
      <c r="Q759">
        <v>757</v>
      </c>
    </row>
    <row r="760" spans="17:17" x14ac:dyDescent="0.3">
      <c r="Q760">
        <v>758</v>
      </c>
    </row>
    <row r="761" spans="17:17" x14ac:dyDescent="0.3">
      <c r="Q761">
        <v>759</v>
      </c>
    </row>
    <row r="762" spans="17:17" x14ac:dyDescent="0.3">
      <c r="Q762">
        <v>760</v>
      </c>
    </row>
    <row r="763" spans="17:17" x14ac:dyDescent="0.3">
      <c r="Q763">
        <v>761</v>
      </c>
    </row>
    <row r="764" spans="17:17" x14ac:dyDescent="0.3">
      <c r="Q764">
        <v>762</v>
      </c>
    </row>
    <row r="765" spans="17:17" x14ac:dyDescent="0.3">
      <c r="Q765">
        <v>763</v>
      </c>
    </row>
    <row r="766" spans="17:17" x14ac:dyDescent="0.3">
      <c r="Q766">
        <v>764</v>
      </c>
    </row>
    <row r="767" spans="17:17" x14ac:dyDescent="0.3">
      <c r="Q767">
        <v>765</v>
      </c>
    </row>
    <row r="768" spans="17:17" x14ac:dyDescent="0.3">
      <c r="Q768">
        <v>766</v>
      </c>
    </row>
    <row r="769" spans="17:17" x14ac:dyDescent="0.3">
      <c r="Q769">
        <v>767</v>
      </c>
    </row>
    <row r="770" spans="17:17" x14ac:dyDescent="0.3">
      <c r="Q770">
        <v>768</v>
      </c>
    </row>
    <row r="771" spans="17:17" x14ac:dyDescent="0.3">
      <c r="Q771">
        <v>769</v>
      </c>
    </row>
    <row r="772" spans="17:17" x14ac:dyDescent="0.3">
      <c r="Q772">
        <v>770</v>
      </c>
    </row>
    <row r="773" spans="17:17" x14ac:dyDescent="0.3">
      <c r="Q773">
        <v>771</v>
      </c>
    </row>
    <row r="774" spans="17:17" x14ac:dyDescent="0.3">
      <c r="Q774">
        <v>772</v>
      </c>
    </row>
    <row r="775" spans="17:17" x14ac:dyDescent="0.3">
      <c r="Q775">
        <v>773</v>
      </c>
    </row>
    <row r="776" spans="17:17" x14ac:dyDescent="0.3">
      <c r="Q776">
        <v>774</v>
      </c>
    </row>
    <row r="777" spans="17:17" x14ac:dyDescent="0.3">
      <c r="Q777">
        <v>775</v>
      </c>
    </row>
    <row r="778" spans="17:17" x14ac:dyDescent="0.3">
      <c r="Q778">
        <v>776</v>
      </c>
    </row>
    <row r="779" spans="17:17" x14ac:dyDescent="0.3">
      <c r="Q779">
        <v>777</v>
      </c>
    </row>
    <row r="780" spans="17:17" x14ac:dyDescent="0.3">
      <c r="Q780">
        <v>778</v>
      </c>
    </row>
    <row r="781" spans="17:17" x14ac:dyDescent="0.3">
      <c r="Q781">
        <v>779</v>
      </c>
    </row>
    <row r="782" spans="17:17" x14ac:dyDescent="0.3">
      <c r="Q782">
        <v>780</v>
      </c>
    </row>
    <row r="783" spans="17:17" x14ac:dyDescent="0.3">
      <c r="Q783">
        <v>781</v>
      </c>
    </row>
    <row r="784" spans="17:17" x14ac:dyDescent="0.3">
      <c r="Q784">
        <v>782</v>
      </c>
    </row>
    <row r="785" spans="17:17" x14ac:dyDescent="0.3">
      <c r="Q785">
        <v>783</v>
      </c>
    </row>
    <row r="786" spans="17:17" x14ac:dyDescent="0.3">
      <c r="Q786">
        <v>784</v>
      </c>
    </row>
    <row r="787" spans="17:17" x14ac:dyDescent="0.3">
      <c r="Q787">
        <v>785</v>
      </c>
    </row>
    <row r="788" spans="17:17" x14ac:dyDescent="0.3">
      <c r="Q788">
        <v>786</v>
      </c>
    </row>
    <row r="789" spans="17:17" x14ac:dyDescent="0.3">
      <c r="Q789">
        <v>787</v>
      </c>
    </row>
    <row r="790" spans="17:17" x14ac:dyDescent="0.3">
      <c r="Q790">
        <v>788</v>
      </c>
    </row>
    <row r="791" spans="17:17" x14ac:dyDescent="0.3">
      <c r="Q791">
        <v>789</v>
      </c>
    </row>
    <row r="792" spans="17:17" x14ac:dyDescent="0.3">
      <c r="Q792">
        <v>790</v>
      </c>
    </row>
    <row r="793" spans="17:17" x14ac:dyDescent="0.3">
      <c r="Q793">
        <v>791</v>
      </c>
    </row>
    <row r="794" spans="17:17" x14ac:dyDescent="0.3">
      <c r="Q794">
        <v>792</v>
      </c>
    </row>
    <row r="795" spans="17:17" x14ac:dyDescent="0.3">
      <c r="Q795">
        <v>793</v>
      </c>
    </row>
    <row r="796" spans="17:17" x14ac:dyDescent="0.3">
      <c r="Q796">
        <v>794</v>
      </c>
    </row>
    <row r="797" spans="17:17" x14ac:dyDescent="0.3">
      <c r="Q797">
        <v>795</v>
      </c>
    </row>
    <row r="798" spans="17:17" x14ac:dyDescent="0.3">
      <c r="Q798">
        <v>796</v>
      </c>
    </row>
    <row r="799" spans="17:17" x14ac:dyDescent="0.3">
      <c r="Q799">
        <v>797</v>
      </c>
    </row>
    <row r="800" spans="17:17" x14ac:dyDescent="0.3">
      <c r="Q800">
        <v>798</v>
      </c>
    </row>
    <row r="801" spans="17:17" x14ac:dyDescent="0.3">
      <c r="Q801">
        <v>799</v>
      </c>
    </row>
    <row r="802" spans="17:17" x14ac:dyDescent="0.3">
      <c r="Q802">
        <v>800</v>
      </c>
    </row>
    <row r="803" spans="17:17" x14ac:dyDescent="0.3">
      <c r="Q803">
        <v>801</v>
      </c>
    </row>
    <row r="804" spans="17:17" x14ac:dyDescent="0.3">
      <c r="Q804">
        <v>802</v>
      </c>
    </row>
    <row r="805" spans="17:17" x14ac:dyDescent="0.3">
      <c r="Q805">
        <v>803</v>
      </c>
    </row>
    <row r="806" spans="17:17" x14ac:dyDescent="0.3">
      <c r="Q806">
        <v>804</v>
      </c>
    </row>
    <row r="807" spans="17:17" x14ac:dyDescent="0.3">
      <c r="Q807">
        <v>805</v>
      </c>
    </row>
    <row r="808" spans="17:17" x14ac:dyDescent="0.3">
      <c r="Q808">
        <v>806</v>
      </c>
    </row>
    <row r="809" spans="17:17" x14ac:dyDescent="0.3">
      <c r="Q809">
        <v>807</v>
      </c>
    </row>
    <row r="810" spans="17:17" x14ac:dyDescent="0.3">
      <c r="Q810">
        <v>808</v>
      </c>
    </row>
    <row r="811" spans="17:17" x14ac:dyDescent="0.3">
      <c r="Q811">
        <v>809</v>
      </c>
    </row>
    <row r="812" spans="17:17" x14ac:dyDescent="0.3">
      <c r="Q812">
        <v>810</v>
      </c>
    </row>
    <row r="813" spans="17:17" x14ac:dyDescent="0.3">
      <c r="Q813">
        <v>811</v>
      </c>
    </row>
    <row r="814" spans="17:17" x14ac:dyDescent="0.3">
      <c r="Q814">
        <v>812</v>
      </c>
    </row>
    <row r="815" spans="17:17" x14ac:dyDescent="0.3">
      <c r="Q815">
        <v>813</v>
      </c>
    </row>
    <row r="816" spans="17:17" x14ac:dyDescent="0.3">
      <c r="Q816">
        <v>814</v>
      </c>
    </row>
    <row r="817" spans="17:17" x14ac:dyDescent="0.3">
      <c r="Q817">
        <v>815</v>
      </c>
    </row>
    <row r="818" spans="17:17" x14ac:dyDescent="0.3">
      <c r="Q818">
        <v>816</v>
      </c>
    </row>
    <row r="819" spans="17:17" x14ac:dyDescent="0.3">
      <c r="Q819">
        <v>817</v>
      </c>
    </row>
    <row r="820" spans="17:17" x14ac:dyDescent="0.3">
      <c r="Q820">
        <v>818</v>
      </c>
    </row>
    <row r="821" spans="17:17" x14ac:dyDescent="0.3">
      <c r="Q821">
        <v>819</v>
      </c>
    </row>
    <row r="822" spans="17:17" x14ac:dyDescent="0.3">
      <c r="Q822">
        <v>820</v>
      </c>
    </row>
    <row r="823" spans="17:17" x14ac:dyDescent="0.3">
      <c r="Q823">
        <v>821</v>
      </c>
    </row>
    <row r="824" spans="17:17" x14ac:dyDescent="0.3">
      <c r="Q824">
        <v>822</v>
      </c>
    </row>
    <row r="825" spans="17:17" x14ac:dyDescent="0.3">
      <c r="Q825">
        <v>823</v>
      </c>
    </row>
    <row r="826" spans="17:17" x14ac:dyDescent="0.3">
      <c r="Q826">
        <v>824</v>
      </c>
    </row>
    <row r="827" spans="17:17" x14ac:dyDescent="0.3">
      <c r="Q827">
        <v>825</v>
      </c>
    </row>
    <row r="828" spans="17:17" x14ac:dyDescent="0.3">
      <c r="Q828">
        <v>826</v>
      </c>
    </row>
    <row r="829" spans="17:17" x14ac:dyDescent="0.3">
      <c r="Q829">
        <v>827</v>
      </c>
    </row>
    <row r="830" spans="17:17" x14ac:dyDescent="0.3">
      <c r="Q830">
        <v>828</v>
      </c>
    </row>
    <row r="831" spans="17:17" x14ac:dyDescent="0.3">
      <c r="Q831">
        <v>829</v>
      </c>
    </row>
    <row r="832" spans="17:17" x14ac:dyDescent="0.3">
      <c r="Q832">
        <v>830</v>
      </c>
    </row>
    <row r="833" spans="17:17" x14ac:dyDescent="0.3">
      <c r="Q833">
        <v>831</v>
      </c>
    </row>
    <row r="834" spans="17:17" x14ac:dyDescent="0.3">
      <c r="Q834">
        <v>832</v>
      </c>
    </row>
    <row r="835" spans="17:17" x14ac:dyDescent="0.3">
      <c r="Q835">
        <v>833</v>
      </c>
    </row>
    <row r="836" spans="17:17" x14ac:dyDescent="0.3">
      <c r="Q836">
        <v>834</v>
      </c>
    </row>
    <row r="837" spans="17:17" x14ac:dyDescent="0.3">
      <c r="Q837">
        <v>835</v>
      </c>
    </row>
    <row r="838" spans="17:17" x14ac:dyDescent="0.3">
      <c r="Q838">
        <v>836</v>
      </c>
    </row>
    <row r="839" spans="17:17" x14ac:dyDescent="0.3">
      <c r="Q839">
        <v>837</v>
      </c>
    </row>
    <row r="840" spans="17:17" x14ac:dyDescent="0.3">
      <c r="Q840">
        <v>838</v>
      </c>
    </row>
    <row r="841" spans="17:17" x14ac:dyDescent="0.3">
      <c r="Q841">
        <v>839</v>
      </c>
    </row>
    <row r="842" spans="17:17" x14ac:dyDescent="0.3">
      <c r="Q842">
        <v>840</v>
      </c>
    </row>
    <row r="843" spans="17:17" x14ac:dyDescent="0.3">
      <c r="Q843">
        <v>841</v>
      </c>
    </row>
    <row r="844" spans="17:17" x14ac:dyDescent="0.3">
      <c r="Q844">
        <v>842</v>
      </c>
    </row>
    <row r="845" spans="17:17" x14ac:dyDescent="0.3">
      <c r="Q845">
        <v>843</v>
      </c>
    </row>
    <row r="846" spans="17:17" x14ac:dyDescent="0.3">
      <c r="Q846">
        <v>844</v>
      </c>
    </row>
    <row r="847" spans="17:17" x14ac:dyDescent="0.3">
      <c r="Q847">
        <v>845</v>
      </c>
    </row>
    <row r="848" spans="17:17" x14ac:dyDescent="0.3">
      <c r="Q848">
        <v>846</v>
      </c>
    </row>
    <row r="849" spans="17:17" x14ac:dyDescent="0.3">
      <c r="Q849">
        <v>847</v>
      </c>
    </row>
    <row r="850" spans="17:17" x14ac:dyDescent="0.3">
      <c r="Q850">
        <v>848</v>
      </c>
    </row>
    <row r="851" spans="17:17" x14ac:dyDescent="0.3">
      <c r="Q851">
        <v>849</v>
      </c>
    </row>
    <row r="852" spans="17:17" x14ac:dyDescent="0.3">
      <c r="Q852">
        <v>850</v>
      </c>
    </row>
    <row r="853" spans="17:17" x14ac:dyDescent="0.3">
      <c r="Q853">
        <v>851</v>
      </c>
    </row>
    <row r="854" spans="17:17" x14ac:dyDescent="0.3">
      <c r="Q854">
        <v>852</v>
      </c>
    </row>
    <row r="855" spans="17:17" x14ac:dyDescent="0.3">
      <c r="Q855">
        <v>853</v>
      </c>
    </row>
    <row r="856" spans="17:17" x14ac:dyDescent="0.3">
      <c r="Q856">
        <v>854</v>
      </c>
    </row>
    <row r="857" spans="17:17" x14ac:dyDescent="0.3">
      <c r="Q857">
        <v>855</v>
      </c>
    </row>
    <row r="858" spans="17:17" x14ac:dyDescent="0.3">
      <c r="Q858">
        <v>856</v>
      </c>
    </row>
    <row r="859" spans="17:17" x14ac:dyDescent="0.3">
      <c r="Q859">
        <v>857</v>
      </c>
    </row>
    <row r="860" spans="17:17" x14ac:dyDescent="0.3">
      <c r="Q860">
        <v>858</v>
      </c>
    </row>
    <row r="861" spans="17:17" x14ac:dyDescent="0.3">
      <c r="Q861">
        <v>859</v>
      </c>
    </row>
    <row r="862" spans="17:17" x14ac:dyDescent="0.3">
      <c r="Q862">
        <v>860</v>
      </c>
    </row>
    <row r="863" spans="17:17" x14ac:dyDescent="0.3">
      <c r="Q863">
        <v>861</v>
      </c>
    </row>
    <row r="864" spans="17:17" x14ac:dyDescent="0.3">
      <c r="Q864">
        <v>862</v>
      </c>
    </row>
    <row r="865" spans="17:17" x14ac:dyDescent="0.3">
      <c r="Q865">
        <v>863</v>
      </c>
    </row>
    <row r="866" spans="17:17" x14ac:dyDescent="0.3">
      <c r="Q866">
        <v>864</v>
      </c>
    </row>
    <row r="867" spans="17:17" x14ac:dyDescent="0.3">
      <c r="Q867">
        <v>865</v>
      </c>
    </row>
    <row r="868" spans="17:17" x14ac:dyDescent="0.3">
      <c r="Q868">
        <v>866</v>
      </c>
    </row>
    <row r="869" spans="17:17" x14ac:dyDescent="0.3">
      <c r="Q869">
        <v>867</v>
      </c>
    </row>
    <row r="870" spans="17:17" x14ac:dyDescent="0.3">
      <c r="Q870">
        <v>868</v>
      </c>
    </row>
    <row r="871" spans="17:17" x14ac:dyDescent="0.3">
      <c r="Q871">
        <v>869</v>
      </c>
    </row>
    <row r="872" spans="17:17" x14ac:dyDescent="0.3">
      <c r="Q872">
        <v>870</v>
      </c>
    </row>
    <row r="873" spans="17:17" x14ac:dyDescent="0.3">
      <c r="Q873">
        <v>871</v>
      </c>
    </row>
    <row r="874" spans="17:17" x14ac:dyDescent="0.3">
      <c r="Q874">
        <v>872</v>
      </c>
    </row>
    <row r="875" spans="17:17" x14ac:dyDescent="0.3">
      <c r="Q875">
        <v>873</v>
      </c>
    </row>
    <row r="876" spans="17:17" x14ac:dyDescent="0.3">
      <c r="Q876">
        <v>874</v>
      </c>
    </row>
    <row r="877" spans="17:17" x14ac:dyDescent="0.3">
      <c r="Q877">
        <v>875</v>
      </c>
    </row>
    <row r="878" spans="17:17" x14ac:dyDescent="0.3">
      <c r="Q878">
        <v>876</v>
      </c>
    </row>
    <row r="879" spans="17:17" x14ac:dyDescent="0.3">
      <c r="Q879">
        <v>877</v>
      </c>
    </row>
    <row r="880" spans="17:17" x14ac:dyDescent="0.3">
      <c r="Q880">
        <v>878</v>
      </c>
    </row>
    <row r="881" spans="17:17" x14ac:dyDescent="0.3">
      <c r="Q881">
        <v>879</v>
      </c>
    </row>
    <row r="882" spans="17:17" x14ac:dyDescent="0.3">
      <c r="Q882">
        <v>880</v>
      </c>
    </row>
    <row r="883" spans="17:17" x14ac:dyDescent="0.3">
      <c r="Q883">
        <v>881</v>
      </c>
    </row>
    <row r="884" spans="17:17" x14ac:dyDescent="0.3">
      <c r="Q884">
        <v>882</v>
      </c>
    </row>
    <row r="885" spans="17:17" x14ac:dyDescent="0.3">
      <c r="Q885">
        <v>883</v>
      </c>
    </row>
    <row r="886" spans="17:17" x14ac:dyDescent="0.3">
      <c r="Q886">
        <v>884</v>
      </c>
    </row>
    <row r="887" spans="17:17" x14ac:dyDescent="0.3">
      <c r="Q887">
        <v>885</v>
      </c>
    </row>
    <row r="888" spans="17:17" x14ac:dyDescent="0.3">
      <c r="Q888">
        <v>886</v>
      </c>
    </row>
    <row r="889" spans="17:17" x14ac:dyDescent="0.3">
      <c r="Q889">
        <v>887</v>
      </c>
    </row>
    <row r="890" spans="17:17" x14ac:dyDescent="0.3">
      <c r="Q890">
        <v>888</v>
      </c>
    </row>
    <row r="891" spans="17:17" x14ac:dyDescent="0.3">
      <c r="Q891">
        <v>889</v>
      </c>
    </row>
    <row r="892" spans="17:17" x14ac:dyDescent="0.3">
      <c r="Q892">
        <v>890</v>
      </c>
    </row>
    <row r="893" spans="17:17" x14ac:dyDescent="0.3">
      <c r="Q893">
        <v>891</v>
      </c>
    </row>
    <row r="894" spans="17:17" x14ac:dyDescent="0.3">
      <c r="Q894">
        <v>892</v>
      </c>
    </row>
    <row r="895" spans="17:17" x14ac:dyDescent="0.3">
      <c r="Q895">
        <v>893</v>
      </c>
    </row>
    <row r="896" spans="17:17" x14ac:dyDescent="0.3">
      <c r="Q896">
        <v>894</v>
      </c>
    </row>
    <row r="897" spans="17:17" x14ac:dyDescent="0.3">
      <c r="Q897">
        <v>895</v>
      </c>
    </row>
    <row r="898" spans="17:17" x14ac:dyDescent="0.3">
      <c r="Q898">
        <v>896</v>
      </c>
    </row>
    <row r="899" spans="17:17" x14ac:dyDescent="0.3">
      <c r="Q899">
        <v>897</v>
      </c>
    </row>
    <row r="900" spans="17:17" x14ac:dyDescent="0.3">
      <c r="Q900">
        <v>898</v>
      </c>
    </row>
    <row r="901" spans="17:17" x14ac:dyDescent="0.3">
      <c r="Q901">
        <v>899</v>
      </c>
    </row>
    <row r="902" spans="17:17" x14ac:dyDescent="0.3">
      <c r="Q902">
        <v>900</v>
      </c>
    </row>
    <row r="903" spans="17:17" x14ac:dyDescent="0.3">
      <c r="Q903">
        <v>901</v>
      </c>
    </row>
    <row r="904" spans="17:17" x14ac:dyDescent="0.3">
      <c r="Q904">
        <v>902</v>
      </c>
    </row>
    <row r="905" spans="17:17" x14ac:dyDescent="0.3">
      <c r="Q905">
        <v>903</v>
      </c>
    </row>
    <row r="906" spans="17:17" x14ac:dyDescent="0.3">
      <c r="Q906">
        <v>904</v>
      </c>
    </row>
    <row r="907" spans="17:17" x14ac:dyDescent="0.3">
      <c r="Q907">
        <v>905</v>
      </c>
    </row>
    <row r="908" spans="17:17" x14ac:dyDescent="0.3">
      <c r="Q908">
        <v>906</v>
      </c>
    </row>
    <row r="909" spans="17:17" x14ac:dyDescent="0.3">
      <c r="Q909">
        <v>907</v>
      </c>
    </row>
    <row r="910" spans="17:17" x14ac:dyDescent="0.3">
      <c r="Q910">
        <v>908</v>
      </c>
    </row>
    <row r="911" spans="17:17" x14ac:dyDescent="0.3">
      <c r="Q911">
        <v>909</v>
      </c>
    </row>
    <row r="912" spans="17:17" x14ac:dyDescent="0.3">
      <c r="Q912">
        <v>910</v>
      </c>
    </row>
    <row r="913" spans="17:17" x14ac:dyDescent="0.3">
      <c r="Q913">
        <v>911</v>
      </c>
    </row>
    <row r="914" spans="17:17" x14ac:dyDescent="0.3">
      <c r="Q914">
        <v>912</v>
      </c>
    </row>
    <row r="915" spans="17:17" x14ac:dyDescent="0.3">
      <c r="Q915">
        <v>913</v>
      </c>
    </row>
    <row r="916" spans="17:17" x14ac:dyDescent="0.3">
      <c r="Q916">
        <v>914</v>
      </c>
    </row>
    <row r="917" spans="17:17" x14ac:dyDescent="0.3">
      <c r="Q917">
        <v>915</v>
      </c>
    </row>
    <row r="918" spans="17:17" x14ac:dyDescent="0.3">
      <c r="Q918">
        <v>916</v>
      </c>
    </row>
    <row r="919" spans="17:17" x14ac:dyDescent="0.3">
      <c r="Q919">
        <v>917</v>
      </c>
    </row>
    <row r="920" spans="17:17" x14ac:dyDescent="0.3">
      <c r="Q920">
        <v>918</v>
      </c>
    </row>
    <row r="921" spans="17:17" x14ac:dyDescent="0.3">
      <c r="Q921">
        <v>919</v>
      </c>
    </row>
    <row r="922" spans="17:17" x14ac:dyDescent="0.3">
      <c r="Q922">
        <v>920</v>
      </c>
    </row>
    <row r="923" spans="17:17" x14ac:dyDescent="0.3">
      <c r="Q923">
        <v>921</v>
      </c>
    </row>
    <row r="924" spans="17:17" x14ac:dyDescent="0.3">
      <c r="Q924">
        <v>922</v>
      </c>
    </row>
    <row r="925" spans="17:17" x14ac:dyDescent="0.3">
      <c r="Q925">
        <v>923</v>
      </c>
    </row>
    <row r="926" spans="17:17" x14ac:dyDescent="0.3">
      <c r="Q926">
        <v>924</v>
      </c>
    </row>
    <row r="927" spans="17:17" x14ac:dyDescent="0.3">
      <c r="Q927">
        <v>925</v>
      </c>
    </row>
    <row r="928" spans="17:17" x14ac:dyDescent="0.3">
      <c r="Q928">
        <v>926</v>
      </c>
    </row>
    <row r="929" spans="17:17" x14ac:dyDescent="0.3">
      <c r="Q929">
        <v>927</v>
      </c>
    </row>
    <row r="930" spans="17:17" x14ac:dyDescent="0.3">
      <c r="Q930">
        <v>928</v>
      </c>
    </row>
    <row r="931" spans="17:17" x14ac:dyDescent="0.3">
      <c r="Q931">
        <v>929</v>
      </c>
    </row>
    <row r="932" spans="17:17" x14ac:dyDescent="0.3">
      <c r="Q932">
        <v>930</v>
      </c>
    </row>
    <row r="933" spans="17:17" x14ac:dyDescent="0.3">
      <c r="Q933">
        <v>931</v>
      </c>
    </row>
    <row r="934" spans="17:17" x14ac:dyDescent="0.3">
      <c r="Q934">
        <v>932</v>
      </c>
    </row>
    <row r="935" spans="17:17" x14ac:dyDescent="0.3">
      <c r="Q935">
        <v>933</v>
      </c>
    </row>
    <row r="936" spans="17:17" x14ac:dyDescent="0.3">
      <c r="Q936">
        <v>934</v>
      </c>
    </row>
    <row r="937" spans="17:17" x14ac:dyDescent="0.3">
      <c r="Q937">
        <v>935</v>
      </c>
    </row>
    <row r="938" spans="17:17" x14ac:dyDescent="0.3">
      <c r="Q938">
        <v>936</v>
      </c>
    </row>
    <row r="939" spans="17:17" x14ac:dyDescent="0.3">
      <c r="Q939">
        <v>937</v>
      </c>
    </row>
    <row r="940" spans="17:17" x14ac:dyDescent="0.3">
      <c r="Q940">
        <v>938</v>
      </c>
    </row>
    <row r="941" spans="17:17" x14ac:dyDescent="0.3">
      <c r="Q941">
        <v>939</v>
      </c>
    </row>
    <row r="942" spans="17:17" x14ac:dyDescent="0.3">
      <c r="Q942">
        <v>940</v>
      </c>
    </row>
    <row r="943" spans="17:17" x14ac:dyDescent="0.3">
      <c r="Q943">
        <v>941</v>
      </c>
    </row>
    <row r="944" spans="17:17" x14ac:dyDescent="0.3">
      <c r="Q944">
        <v>942</v>
      </c>
    </row>
    <row r="945" spans="17:17" x14ac:dyDescent="0.3">
      <c r="Q945">
        <v>943</v>
      </c>
    </row>
    <row r="946" spans="17:17" x14ac:dyDescent="0.3">
      <c r="Q946">
        <v>944</v>
      </c>
    </row>
    <row r="947" spans="17:17" x14ac:dyDescent="0.3">
      <c r="Q947">
        <v>945</v>
      </c>
    </row>
    <row r="948" spans="17:17" x14ac:dyDescent="0.3">
      <c r="Q948">
        <v>946</v>
      </c>
    </row>
    <row r="949" spans="17:17" x14ac:dyDescent="0.3">
      <c r="Q949">
        <v>947</v>
      </c>
    </row>
    <row r="950" spans="17:17" x14ac:dyDescent="0.3">
      <c r="Q950">
        <v>948</v>
      </c>
    </row>
    <row r="951" spans="17:17" x14ac:dyDescent="0.3">
      <c r="Q951">
        <v>949</v>
      </c>
    </row>
    <row r="952" spans="17:17" x14ac:dyDescent="0.3">
      <c r="Q952">
        <v>950</v>
      </c>
    </row>
    <row r="953" spans="17:17" x14ac:dyDescent="0.3">
      <c r="Q953">
        <v>951</v>
      </c>
    </row>
    <row r="954" spans="17:17" x14ac:dyDescent="0.3">
      <c r="Q954">
        <v>952</v>
      </c>
    </row>
    <row r="955" spans="17:17" x14ac:dyDescent="0.3">
      <c r="Q955">
        <v>953</v>
      </c>
    </row>
    <row r="956" spans="17:17" x14ac:dyDescent="0.3">
      <c r="Q956">
        <v>954</v>
      </c>
    </row>
    <row r="957" spans="17:17" x14ac:dyDescent="0.3">
      <c r="Q957">
        <v>955</v>
      </c>
    </row>
    <row r="958" spans="17:17" x14ac:dyDescent="0.3">
      <c r="Q958">
        <v>956</v>
      </c>
    </row>
    <row r="959" spans="17:17" x14ac:dyDescent="0.3">
      <c r="Q959">
        <v>957</v>
      </c>
    </row>
    <row r="960" spans="17:17" x14ac:dyDescent="0.3">
      <c r="Q960">
        <v>958</v>
      </c>
    </row>
    <row r="961" spans="17:17" x14ac:dyDescent="0.3">
      <c r="Q961">
        <v>959</v>
      </c>
    </row>
    <row r="962" spans="17:17" x14ac:dyDescent="0.3">
      <c r="Q962">
        <v>960</v>
      </c>
    </row>
    <row r="963" spans="17:17" x14ac:dyDescent="0.3">
      <c r="Q963">
        <v>961</v>
      </c>
    </row>
    <row r="964" spans="17:17" x14ac:dyDescent="0.3">
      <c r="Q964">
        <v>962</v>
      </c>
    </row>
    <row r="965" spans="17:17" x14ac:dyDescent="0.3">
      <c r="Q965">
        <v>963</v>
      </c>
    </row>
    <row r="966" spans="17:17" x14ac:dyDescent="0.3">
      <c r="Q966">
        <v>964</v>
      </c>
    </row>
    <row r="967" spans="17:17" x14ac:dyDescent="0.3">
      <c r="Q967">
        <v>965</v>
      </c>
    </row>
    <row r="968" spans="17:17" x14ac:dyDescent="0.3">
      <c r="Q968">
        <v>966</v>
      </c>
    </row>
    <row r="969" spans="17:17" x14ac:dyDescent="0.3">
      <c r="Q969">
        <v>967</v>
      </c>
    </row>
    <row r="970" spans="17:17" x14ac:dyDescent="0.3">
      <c r="Q970">
        <v>968</v>
      </c>
    </row>
    <row r="971" spans="17:17" x14ac:dyDescent="0.3">
      <c r="Q971">
        <v>969</v>
      </c>
    </row>
    <row r="972" spans="17:17" x14ac:dyDescent="0.3">
      <c r="Q972">
        <v>970</v>
      </c>
    </row>
    <row r="973" spans="17:17" x14ac:dyDescent="0.3">
      <c r="Q973">
        <v>971</v>
      </c>
    </row>
    <row r="974" spans="17:17" x14ac:dyDescent="0.3">
      <c r="Q974">
        <v>972</v>
      </c>
    </row>
    <row r="975" spans="17:17" x14ac:dyDescent="0.3">
      <c r="Q975">
        <v>973</v>
      </c>
    </row>
    <row r="976" spans="17:17" x14ac:dyDescent="0.3">
      <c r="Q976">
        <v>974</v>
      </c>
    </row>
    <row r="977" spans="17:17" x14ac:dyDescent="0.3">
      <c r="Q977">
        <v>975</v>
      </c>
    </row>
    <row r="978" spans="17:17" x14ac:dyDescent="0.3">
      <c r="Q978">
        <v>976</v>
      </c>
    </row>
    <row r="979" spans="17:17" x14ac:dyDescent="0.3">
      <c r="Q979">
        <v>977</v>
      </c>
    </row>
    <row r="980" spans="17:17" x14ac:dyDescent="0.3">
      <c r="Q980">
        <v>978</v>
      </c>
    </row>
    <row r="981" spans="17:17" x14ac:dyDescent="0.3">
      <c r="Q981">
        <v>979</v>
      </c>
    </row>
    <row r="982" spans="17:17" x14ac:dyDescent="0.3">
      <c r="Q982">
        <v>980</v>
      </c>
    </row>
    <row r="983" spans="17:17" x14ac:dyDescent="0.3">
      <c r="Q983">
        <v>981</v>
      </c>
    </row>
    <row r="984" spans="17:17" x14ac:dyDescent="0.3">
      <c r="Q984">
        <v>982</v>
      </c>
    </row>
    <row r="985" spans="17:17" x14ac:dyDescent="0.3">
      <c r="Q985">
        <v>983</v>
      </c>
    </row>
    <row r="986" spans="17:17" x14ac:dyDescent="0.3">
      <c r="Q986">
        <v>984</v>
      </c>
    </row>
    <row r="987" spans="17:17" x14ac:dyDescent="0.3">
      <c r="Q987">
        <v>985</v>
      </c>
    </row>
    <row r="988" spans="17:17" x14ac:dyDescent="0.3">
      <c r="Q988">
        <v>986</v>
      </c>
    </row>
    <row r="989" spans="17:17" x14ac:dyDescent="0.3">
      <c r="Q989">
        <v>987</v>
      </c>
    </row>
    <row r="990" spans="17:17" x14ac:dyDescent="0.3">
      <c r="Q990">
        <v>988</v>
      </c>
    </row>
    <row r="991" spans="17:17" x14ac:dyDescent="0.3">
      <c r="Q991">
        <v>989</v>
      </c>
    </row>
    <row r="992" spans="17:17" x14ac:dyDescent="0.3">
      <c r="Q992">
        <v>990</v>
      </c>
    </row>
    <row r="993" spans="17:17" x14ac:dyDescent="0.3">
      <c r="Q993">
        <v>991</v>
      </c>
    </row>
    <row r="994" spans="17:17" x14ac:dyDescent="0.3">
      <c r="Q994">
        <v>992</v>
      </c>
    </row>
    <row r="995" spans="17:17" x14ac:dyDescent="0.3">
      <c r="Q995">
        <v>993</v>
      </c>
    </row>
    <row r="996" spans="17:17" x14ac:dyDescent="0.3">
      <c r="Q996">
        <v>994</v>
      </c>
    </row>
    <row r="997" spans="17:17" x14ac:dyDescent="0.3">
      <c r="Q997">
        <v>995</v>
      </c>
    </row>
    <row r="998" spans="17:17" x14ac:dyDescent="0.3">
      <c r="Q998">
        <v>996</v>
      </c>
    </row>
    <row r="999" spans="17:17" x14ac:dyDescent="0.3">
      <c r="Q999">
        <v>997</v>
      </c>
    </row>
    <row r="1000" spans="17:17" x14ac:dyDescent="0.3">
      <c r="Q1000">
        <v>998</v>
      </c>
    </row>
    <row r="1001" spans="17:17" x14ac:dyDescent="0.3">
      <c r="Q1001">
        <v>999</v>
      </c>
    </row>
    <row r="1002" spans="17:17" x14ac:dyDescent="0.3">
      <c r="Q1002">
        <v>1000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3"/>
  <dimension ref="C3:Y19"/>
  <sheetViews>
    <sheetView workbookViewId="0">
      <selection activeCell="D27" sqref="D27"/>
    </sheetView>
  </sheetViews>
  <sheetFormatPr defaultRowHeight="16.2" x14ac:dyDescent="0.3"/>
  <sheetData>
    <row r="3" spans="3:25" x14ac:dyDescent="0.3"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O3" s="3">
        <v>58</v>
      </c>
      <c r="P3" s="1"/>
      <c r="Q3" s="1"/>
      <c r="R3" s="1"/>
      <c r="S3" s="1"/>
      <c r="T3" s="1"/>
      <c r="U3" s="1"/>
      <c r="V3" s="1"/>
      <c r="W3" s="1"/>
      <c r="X3" s="1"/>
      <c r="Y3" s="1"/>
    </row>
    <row r="4" spans="3:25" x14ac:dyDescent="0.3">
      <c r="C4">
        <v>1</v>
      </c>
      <c r="D4">
        <f>D$3*$C4</f>
        <v>1</v>
      </c>
      <c r="E4">
        <f t="shared" ref="E4:L12" si="0">E$3*$C4</f>
        <v>2</v>
      </c>
      <c r="F4">
        <f t="shared" si="0"/>
        <v>3</v>
      </c>
      <c r="G4">
        <f t="shared" si="0"/>
        <v>4</v>
      </c>
      <c r="H4">
        <f t="shared" si="0"/>
        <v>5</v>
      </c>
      <c r="I4">
        <f t="shared" si="0"/>
        <v>6</v>
      </c>
      <c r="J4">
        <f t="shared" si="0"/>
        <v>7</v>
      </c>
      <c r="K4">
        <f t="shared" si="0"/>
        <v>8</v>
      </c>
      <c r="L4">
        <f t="shared" si="0"/>
        <v>9</v>
      </c>
      <c r="O4" s="3">
        <v>66</v>
      </c>
      <c r="P4" s="1"/>
      <c r="Q4" s="1"/>
      <c r="R4" s="1"/>
      <c r="S4" s="1"/>
      <c r="T4" s="1"/>
      <c r="U4" s="1"/>
      <c r="V4" s="1"/>
      <c r="W4" s="1"/>
      <c r="X4" s="1"/>
      <c r="Y4" s="1"/>
    </row>
    <row r="5" spans="3:25" x14ac:dyDescent="0.3">
      <c r="C5">
        <v>2</v>
      </c>
      <c r="D5">
        <f t="shared" ref="D5:D12" si="1">D$3*$C5</f>
        <v>2</v>
      </c>
      <c r="E5">
        <f t="shared" si="0"/>
        <v>4</v>
      </c>
      <c r="F5">
        <f t="shared" si="0"/>
        <v>6</v>
      </c>
      <c r="G5">
        <f t="shared" si="0"/>
        <v>8</v>
      </c>
      <c r="H5">
        <f t="shared" si="0"/>
        <v>10</v>
      </c>
      <c r="I5">
        <f t="shared" si="0"/>
        <v>12</v>
      </c>
      <c r="J5">
        <f t="shared" si="0"/>
        <v>14</v>
      </c>
      <c r="K5">
        <f t="shared" si="0"/>
        <v>16</v>
      </c>
      <c r="L5">
        <f t="shared" si="0"/>
        <v>18</v>
      </c>
      <c r="O5" s="3">
        <v>70</v>
      </c>
      <c r="P5" s="1"/>
      <c r="Q5" s="1"/>
      <c r="R5" s="1"/>
      <c r="S5" s="1"/>
      <c r="T5" s="1"/>
      <c r="U5" s="1"/>
      <c r="V5" s="1"/>
      <c r="W5" s="1"/>
      <c r="X5" s="1"/>
      <c r="Y5" s="1"/>
    </row>
    <row r="6" spans="3:25" x14ac:dyDescent="0.3">
      <c r="C6">
        <v>3</v>
      </c>
      <c r="D6">
        <f t="shared" si="1"/>
        <v>3</v>
      </c>
      <c r="E6">
        <f t="shared" si="0"/>
        <v>6</v>
      </c>
      <c r="F6">
        <f t="shared" si="0"/>
        <v>9</v>
      </c>
      <c r="G6">
        <f t="shared" si="0"/>
        <v>12</v>
      </c>
      <c r="H6">
        <f t="shared" si="0"/>
        <v>15</v>
      </c>
      <c r="I6">
        <f t="shared" si="0"/>
        <v>18</v>
      </c>
      <c r="J6">
        <f t="shared" si="0"/>
        <v>21</v>
      </c>
      <c r="K6">
        <f t="shared" si="0"/>
        <v>24</v>
      </c>
      <c r="L6">
        <f t="shared" si="0"/>
        <v>27</v>
      </c>
      <c r="O6" s="3">
        <v>39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 spans="3:25" x14ac:dyDescent="0.3">
      <c r="C7">
        <v>4</v>
      </c>
      <c r="D7">
        <f t="shared" si="1"/>
        <v>4</v>
      </c>
      <c r="E7">
        <f t="shared" si="0"/>
        <v>8</v>
      </c>
      <c r="F7">
        <f t="shared" si="0"/>
        <v>12</v>
      </c>
      <c r="G7">
        <f t="shared" si="0"/>
        <v>16</v>
      </c>
      <c r="H7">
        <f t="shared" si="0"/>
        <v>20</v>
      </c>
      <c r="I7">
        <f t="shared" si="0"/>
        <v>24</v>
      </c>
      <c r="J7">
        <f t="shared" si="0"/>
        <v>28</v>
      </c>
      <c r="K7">
        <f t="shared" si="0"/>
        <v>32</v>
      </c>
      <c r="L7">
        <f t="shared" si="0"/>
        <v>36</v>
      </c>
      <c r="O7" s="3">
        <v>45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 spans="3:25" x14ac:dyDescent="0.3">
      <c r="C8">
        <v>5</v>
      </c>
      <c r="D8">
        <f t="shared" si="1"/>
        <v>5</v>
      </c>
      <c r="E8">
        <f t="shared" si="0"/>
        <v>10</v>
      </c>
      <c r="F8">
        <f t="shared" si="0"/>
        <v>15</v>
      </c>
      <c r="G8">
        <f t="shared" si="0"/>
        <v>20</v>
      </c>
      <c r="H8">
        <f t="shared" si="0"/>
        <v>25</v>
      </c>
      <c r="I8">
        <f t="shared" si="0"/>
        <v>30</v>
      </c>
      <c r="J8">
        <f t="shared" si="0"/>
        <v>35</v>
      </c>
      <c r="K8">
        <f t="shared" si="0"/>
        <v>40</v>
      </c>
      <c r="L8">
        <f t="shared" si="0"/>
        <v>45</v>
      </c>
      <c r="O8" s="3">
        <v>28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3:25" x14ac:dyDescent="0.3">
      <c r="C9">
        <v>6</v>
      </c>
      <c r="D9">
        <f t="shared" si="1"/>
        <v>6</v>
      </c>
      <c r="E9">
        <f t="shared" si="0"/>
        <v>12</v>
      </c>
      <c r="F9">
        <f t="shared" si="0"/>
        <v>18</v>
      </c>
      <c r="G9">
        <f t="shared" si="0"/>
        <v>24</v>
      </c>
      <c r="H9">
        <f t="shared" si="0"/>
        <v>30</v>
      </c>
      <c r="I9">
        <f t="shared" si="0"/>
        <v>36</v>
      </c>
      <c r="J9">
        <f t="shared" si="0"/>
        <v>42</v>
      </c>
      <c r="K9">
        <f t="shared" si="0"/>
        <v>48</v>
      </c>
      <c r="L9">
        <f t="shared" si="0"/>
        <v>54</v>
      </c>
      <c r="O9" s="3">
        <v>94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spans="3:25" x14ac:dyDescent="0.3">
      <c r="C10">
        <v>7</v>
      </c>
      <c r="D10">
        <f t="shared" si="1"/>
        <v>7</v>
      </c>
      <c r="E10">
        <f t="shared" si="0"/>
        <v>14</v>
      </c>
      <c r="F10">
        <f t="shared" si="0"/>
        <v>21</v>
      </c>
      <c r="G10">
        <f t="shared" si="0"/>
        <v>28</v>
      </c>
      <c r="H10">
        <f t="shared" si="0"/>
        <v>35</v>
      </c>
      <c r="I10">
        <f t="shared" si="0"/>
        <v>42</v>
      </c>
      <c r="J10">
        <f t="shared" si="0"/>
        <v>49</v>
      </c>
      <c r="K10">
        <f t="shared" si="0"/>
        <v>56</v>
      </c>
      <c r="L10">
        <f t="shared" si="0"/>
        <v>63</v>
      </c>
      <c r="O10" s="3">
        <v>18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3:25" x14ac:dyDescent="0.3">
      <c r="C11">
        <v>8</v>
      </c>
      <c r="D11">
        <f t="shared" si="1"/>
        <v>8</v>
      </c>
      <c r="E11">
        <f t="shared" si="0"/>
        <v>16</v>
      </c>
      <c r="F11">
        <f t="shared" si="0"/>
        <v>24</v>
      </c>
      <c r="G11">
        <f t="shared" si="0"/>
        <v>32</v>
      </c>
      <c r="H11">
        <f t="shared" si="0"/>
        <v>40</v>
      </c>
      <c r="I11">
        <f t="shared" si="0"/>
        <v>48</v>
      </c>
      <c r="J11">
        <f t="shared" si="0"/>
        <v>56</v>
      </c>
      <c r="K11">
        <f t="shared" si="0"/>
        <v>64</v>
      </c>
      <c r="L11">
        <f t="shared" si="0"/>
        <v>72</v>
      </c>
      <c r="O11" s="3">
        <v>58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3:25" x14ac:dyDescent="0.3">
      <c r="C12">
        <v>9</v>
      </c>
      <c r="D12">
        <f t="shared" si="1"/>
        <v>9</v>
      </c>
      <c r="E12">
        <f t="shared" si="0"/>
        <v>18</v>
      </c>
      <c r="F12">
        <f t="shared" si="0"/>
        <v>27</v>
      </c>
      <c r="G12">
        <f t="shared" si="0"/>
        <v>36</v>
      </c>
      <c r="H12">
        <f t="shared" si="0"/>
        <v>45</v>
      </c>
      <c r="I12">
        <f t="shared" si="0"/>
        <v>54</v>
      </c>
      <c r="J12">
        <f t="shared" si="0"/>
        <v>63</v>
      </c>
      <c r="K12">
        <f t="shared" si="0"/>
        <v>72</v>
      </c>
      <c r="L12">
        <f t="shared" si="0"/>
        <v>81</v>
      </c>
      <c r="O12" s="3">
        <v>70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3:25" x14ac:dyDescent="0.3">
      <c r="O13" s="3">
        <v>69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3:25" x14ac:dyDescent="0.3">
      <c r="O14" s="3">
        <v>36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3:25" x14ac:dyDescent="0.3">
      <c r="O15" s="3">
        <v>50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3:25" x14ac:dyDescent="0.3">
      <c r="O16" s="3">
        <v>78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5:25" x14ac:dyDescent="0.3">
      <c r="O17" s="3">
        <v>51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5:25" x14ac:dyDescent="0.3"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5:25" x14ac:dyDescent="0.3">
      <c r="P19" s="1"/>
      <c r="Q19" s="1"/>
      <c r="R19" s="1"/>
      <c r="S19" s="1"/>
      <c r="T19" s="1"/>
      <c r="U19" s="1"/>
      <c r="V19" s="1"/>
      <c r="W19" s="1"/>
      <c r="X19" s="1"/>
      <c r="Y19" s="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3:J19"/>
  <sheetViews>
    <sheetView workbookViewId="0">
      <selection activeCell="B15" sqref="B15"/>
    </sheetView>
  </sheetViews>
  <sheetFormatPr defaultRowHeight="16.2" x14ac:dyDescent="0.3"/>
  <cols>
    <col min="2" max="3" width="16.109375" bestFit="1" customWidth="1"/>
    <col min="4" max="4" width="17.6640625" customWidth="1"/>
    <col min="5" max="5" width="18.21875" customWidth="1"/>
    <col min="6" max="8" width="16.109375" bestFit="1" customWidth="1"/>
    <col min="9" max="9" width="17.5546875" bestFit="1" customWidth="1"/>
    <col min="10" max="10" width="12.6640625" bestFit="1" customWidth="1"/>
  </cols>
  <sheetData>
    <row r="3" spans="1:10" x14ac:dyDescent="0.3">
      <c r="A3" s="21"/>
      <c r="B3" s="21"/>
      <c r="C3" s="21"/>
      <c r="D3" s="21" t="s">
        <v>25</v>
      </c>
      <c r="E3" s="22"/>
      <c r="F3" s="22"/>
      <c r="G3" s="22"/>
      <c r="H3" s="22"/>
      <c r="I3" s="22"/>
      <c r="J3" s="22"/>
    </row>
    <row r="4" spans="1:10" x14ac:dyDescent="0.3">
      <c r="A4" s="8" t="s">
        <v>1</v>
      </c>
      <c r="B4" s="9" t="s">
        <v>3</v>
      </c>
      <c r="C4" s="9" t="s">
        <v>5</v>
      </c>
      <c r="D4" s="9" t="s">
        <v>7</v>
      </c>
      <c r="E4" s="9" t="s">
        <v>9</v>
      </c>
      <c r="F4" s="9" t="s">
        <v>11</v>
      </c>
      <c r="G4" s="9" t="s">
        <v>13</v>
      </c>
      <c r="H4" s="9" t="s">
        <v>15</v>
      </c>
      <c r="I4" s="9" t="s">
        <v>17</v>
      </c>
      <c r="J4" s="10" t="s">
        <v>19</v>
      </c>
    </row>
    <row r="5" spans="1:10" x14ac:dyDescent="0.3">
      <c r="A5" s="11" t="s">
        <v>20</v>
      </c>
      <c r="B5" s="17">
        <v>38</v>
      </c>
      <c r="C5" s="17">
        <v>42</v>
      </c>
      <c r="D5" s="17">
        <v>45</v>
      </c>
      <c r="E5" s="17">
        <v>38</v>
      </c>
      <c r="F5" s="17">
        <v>62</v>
      </c>
      <c r="G5" s="17">
        <v>69</v>
      </c>
      <c r="H5" s="17">
        <v>27</v>
      </c>
      <c r="I5" s="17">
        <f>SUM(B5:H5)</f>
        <v>321</v>
      </c>
      <c r="J5" s="18">
        <f ca="1">I5/$I$10</f>
        <v>0.23126801152737753</v>
      </c>
    </row>
    <row r="6" spans="1:10" x14ac:dyDescent="0.3">
      <c r="A6" s="14" t="s">
        <v>21</v>
      </c>
      <c r="B6" s="19">
        <v>56</v>
      </c>
      <c r="C6" s="19">
        <v>36</v>
      </c>
      <c r="D6" s="19">
        <v>22</v>
      </c>
      <c r="E6" s="19">
        <v>48</v>
      </c>
      <c r="F6" s="19">
        <v>69</v>
      </c>
      <c r="G6" s="19">
        <v>78</v>
      </c>
      <c r="H6" s="19">
        <v>96</v>
      </c>
      <c r="I6" s="19">
        <f>SUM(B6:H6)</f>
        <v>405</v>
      </c>
      <c r="J6" s="20">
        <f ca="1">I6/$I$10</f>
        <v>0.29178674351585016</v>
      </c>
    </row>
    <row r="7" spans="1:10" x14ac:dyDescent="0.3">
      <c r="A7" s="11" t="s">
        <v>22</v>
      </c>
      <c r="B7" s="17">
        <v>42</v>
      </c>
      <c r="C7" s="17">
        <v>97</v>
      </c>
      <c r="D7" s="17">
        <v>15</v>
      </c>
      <c r="E7" s="17">
        <v>49</v>
      </c>
      <c r="F7" s="17">
        <v>58</v>
      </c>
      <c r="G7" s="17">
        <v>21</v>
      </c>
      <c r="H7" s="17">
        <v>32</v>
      </c>
      <c r="I7" s="17">
        <f>SUM(B7:H7)</f>
        <v>314</v>
      </c>
      <c r="J7" s="18">
        <f ca="1">I7/$I$10</f>
        <v>0.22622478386167147</v>
      </c>
    </row>
    <row r="8" spans="1:10" x14ac:dyDescent="0.3">
      <c r="A8" s="14" t="s">
        <v>24</v>
      </c>
      <c r="B8" s="19">
        <v>33</v>
      </c>
      <c r="C8" s="19">
        <v>56</v>
      </c>
      <c r="D8" s="19">
        <v>43</v>
      </c>
      <c r="E8" s="19">
        <v>65</v>
      </c>
      <c r="F8" s="19">
        <v>72</v>
      </c>
      <c r="G8" s="19">
        <v>34</v>
      </c>
      <c r="H8" s="19">
        <v>45</v>
      </c>
      <c r="I8" s="19">
        <f>SUM(B8:H8)</f>
        <v>348</v>
      </c>
      <c r="J8" s="20">
        <f ca="1">I8/$I$10</f>
        <v>0.25072046109510088</v>
      </c>
    </row>
    <row r="9" spans="1:10" x14ac:dyDescent="0.3">
      <c r="A9" s="11" t="s">
        <v>23</v>
      </c>
      <c r="B9" s="17">
        <f t="shared" ref="B9:H9" si="0">SUM(B5:B8)</f>
        <v>169</v>
      </c>
      <c r="C9" s="17">
        <f t="shared" si="0"/>
        <v>231</v>
      </c>
      <c r="D9" s="17">
        <f t="shared" si="0"/>
        <v>125</v>
      </c>
      <c r="E9" s="17">
        <f t="shared" si="0"/>
        <v>200</v>
      </c>
      <c r="F9" s="17">
        <f t="shared" si="0"/>
        <v>261</v>
      </c>
      <c r="G9" s="17">
        <f t="shared" si="0"/>
        <v>202</v>
      </c>
      <c r="H9" s="17">
        <f t="shared" si="0"/>
        <v>200</v>
      </c>
      <c r="I9" s="17">
        <f>SUM(B9:H9)</f>
        <v>1388</v>
      </c>
      <c r="J9" s="18">
        <f ca="1">I9/$I$10</f>
        <v>1</v>
      </c>
    </row>
    <row r="10" spans="1:10" x14ac:dyDescent="0.3">
      <c r="A10" s="4" t="s">
        <v>19</v>
      </c>
      <c r="B10" s="7">
        <f t="shared" ref="B10:I10" ca="1" si="1">B9/$I$10</f>
        <v>0.12175792507204611</v>
      </c>
      <c r="C10" s="7">
        <f t="shared" ca="1" si="1"/>
        <v>0.16642651296829972</v>
      </c>
      <c r="D10" s="7">
        <f t="shared" ca="1" si="1"/>
        <v>9.0057636887608067E-2</v>
      </c>
      <c r="E10" s="7">
        <f t="shared" ca="1" si="1"/>
        <v>0.14409221902017291</v>
      </c>
      <c r="F10" s="7">
        <f t="shared" ca="1" si="1"/>
        <v>0.18804034582132564</v>
      </c>
      <c r="G10" s="7">
        <f t="shared" ca="1" si="1"/>
        <v>0.14553314121037464</v>
      </c>
      <c r="H10" s="7">
        <f t="shared" ca="1" si="1"/>
        <v>0.14409221902017291</v>
      </c>
      <c r="I10" s="7">
        <f t="shared" ca="1" si="1"/>
        <v>1</v>
      </c>
      <c r="J10" s="6"/>
    </row>
    <row r="13" spans="1:10" x14ac:dyDescent="0.3">
      <c r="A13" s="21"/>
      <c r="B13" s="21"/>
      <c r="C13" s="21"/>
      <c r="D13" s="21" t="s">
        <v>26</v>
      </c>
      <c r="E13" s="22"/>
      <c r="F13" s="22"/>
      <c r="G13" s="22"/>
      <c r="H13" s="22"/>
      <c r="I13" s="22"/>
      <c r="J13" s="22"/>
    </row>
    <row r="14" spans="1:10" x14ac:dyDescent="0.3">
      <c r="A14" s="8" t="s">
        <v>1</v>
      </c>
      <c r="B14" s="9" t="s">
        <v>3</v>
      </c>
      <c r="C14" s="9" t="s">
        <v>5</v>
      </c>
      <c r="D14" s="9" t="s">
        <v>7</v>
      </c>
      <c r="E14" s="9" t="s">
        <v>9</v>
      </c>
      <c r="F14" s="9" t="s">
        <v>11</v>
      </c>
      <c r="G14" s="9" t="s">
        <v>13</v>
      </c>
      <c r="H14" s="9" t="s">
        <v>15</v>
      </c>
      <c r="I14" s="9" t="s">
        <v>17</v>
      </c>
      <c r="J14" s="10" t="s">
        <v>19</v>
      </c>
    </row>
    <row r="15" spans="1:10" x14ac:dyDescent="0.3">
      <c r="A15" s="11" t="s">
        <v>20</v>
      </c>
      <c r="B15" s="29">
        <f>B5*工讀金表!C6</f>
        <v>7600</v>
      </c>
      <c r="C15" s="29">
        <f>C5*工讀金表!D6</f>
        <v>8400</v>
      </c>
      <c r="D15" s="29">
        <f>D5*工讀金表!E6</f>
        <v>9000</v>
      </c>
      <c r="E15" s="29">
        <f>E5*工讀金表!F6</f>
        <v>7600</v>
      </c>
      <c r="F15" s="29">
        <f>F5*工讀金表!G6</f>
        <v>12400</v>
      </c>
      <c r="G15" s="29">
        <f>G5*工讀金表!H6</f>
        <v>17250</v>
      </c>
      <c r="H15" s="29">
        <f>H5*工讀金表!I6</f>
        <v>8100</v>
      </c>
      <c r="I15" s="29">
        <f>SUM(B15:H15)</f>
        <v>70350</v>
      </c>
      <c r="J15" s="18">
        <f>I15/$I$19</f>
        <v>0.16602553512850163</v>
      </c>
    </row>
    <row r="16" spans="1:10" x14ac:dyDescent="0.3">
      <c r="A16" s="14" t="s">
        <v>21</v>
      </c>
      <c r="B16" s="30">
        <f>B6*工讀金表!C7</f>
        <v>11200</v>
      </c>
      <c r="C16" s="30">
        <f>C6*工讀金表!D7</f>
        <v>7200</v>
      </c>
      <c r="D16" s="30">
        <f>D6*工讀金表!E7</f>
        <v>4400</v>
      </c>
      <c r="E16" s="30">
        <f>E6*工讀金表!F7</f>
        <v>9600</v>
      </c>
      <c r="F16" s="30">
        <f>F6*工讀金表!G7</f>
        <v>13800</v>
      </c>
      <c r="G16" s="30">
        <f>G6*工讀金表!H7</f>
        <v>19500</v>
      </c>
      <c r="H16" s="30">
        <f>H6*工讀金表!I7</f>
        <v>28800</v>
      </c>
      <c r="I16" s="30">
        <f t="shared" ref="I16:I18" si="2">SUM(B16:H16)</f>
        <v>94500</v>
      </c>
      <c r="J16" s="20">
        <f t="shared" ref="J16:J18" si="3">I16/$I$19</f>
        <v>0.22301937554574847</v>
      </c>
    </row>
    <row r="17" spans="1:10" x14ac:dyDescent="0.3">
      <c r="A17" s="11" t="s">
        <v>22</v>
      </c>
      <c r="B17" s="29">
        <f>B7*工讀金表!C8</f>
        <v>13440</v>
      </c>
      <c r="C17" s="29">
        <f>C7*工讀金表!D8</f>
        <v>31040</v>
      </c>
      <c r="D17" s="29">
        <f>D7*工讀金表!E8</f>
        <v>4800</v>
      </c>
      <c r="E17" s="29">
        <f>E7*工讀金表!F8</f>
        <v>15680</v>
      </c>
      <c r="F17" s="29">
        <f>F7*工讀金表!G8</f>
        <v>18560</v>
      </c>
      <c r="G17" s="29">
        <f>G7*工讀金表!H8</f>
        <v>8400</v>
      </c>
      <c r="H17" s="29">
        <f>H7*工讀金表!I8</f>
        <v>15360</v>
      </c>
      <c r="I17" s="29">
        <f t="shared" si="2"/>
        <v>107280</v>
      </c>
      <c r="J17" s="18">
        <f t="shared" si="3"/>
        <v>0.25318009109574491</v>
      </c>
    </row>
    <row r="18" spans="1:10" x14ac:dyDescent="0.3">
      <c r="A18" s="14" t="s">
        <v>24</v>
      </c>
      <c r="B18" s="30">
        <f>B8*工讀金表!C9</f>
        <v>13200</v>
      </c>
      <c r="C18" s="30">
        <f>C8*工讀金表!D9</f>
        <v>22400</v>
      </c>
      <c r="D18" s="30">
        <f>D8*工讀金表!E9</f>
        <v>17200</v>
      </c>
      <c r="E18" s="30">
        <f>E8*工讀金表!F9</f>
        <v>26000</v>
      </c>
      <c r="F18" s="30">
        <f>F8*工讀金表!G9</f>
        <v>28800</v>
      </c>
      <c r="G18" s="30">
        <f>G8*工讀金表!H9</f>
        <v>17000</v>
      </c>
      <c r="H18" s="30">
        <f>H8*工讀金表!I9</f>
        <v>27000</v>
      </c>
      <c r="I18" s="30">
        <f t="shared" si="2"/>
        <v>151600</v>
      </c>
      <c r="J18" s="20">
        <f t="shared" si="3"/>
        <v>0.35777499823000497</v>
      </c>
    </row>
    <row r="19" spans="1:10" x14ac:dyDescent="0.3">
      <c r="A19" s="32"/>
      <c r="B19" s="33"/>
      <c r="C19" s="33"/>
      <c r="D19" s="33"/>
      <c r="E19" s="33"/>
      <c r="F19" s="33"/>
      <c r="G19" s="33"/>
      <c r="H19" s="33"/>
      <c r="I19" s="39">
        <f>SUM(I15:I18)</f>
        <v>423730</v>
      </c>
      <c r="J19" s="49">
        <f>SUM(J15:J18)</f>
        <v>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5"/>
  <dimension ref="A3:L19"/>
  <sheetViews>
    <sheetView workbookViewId="0">
      <selection activeCell="H14" sqref="H14"/>
    </sheetView>
  </sheetViews>
  <sheetFormatPr defaultRowHeight="16.2" x14ac:dyDescent="0.3"/>
  <cols>
    <col min="2" max="2" width="17.44140625" customWidth="1"/>
    <col min="3" max="3" width="15.6640625" customWidth="1"/>
    <col min="4" max="4" width="17.109375" customWidth="1"/>
    <col min="5" max="5" width="17.21875" customWidth="1"/>
    <col min="6" max="6" width="16.33203125" customWidth="1"/>
    <col min="7" max="7" width="18" customWidth="1"/>
    <col min="8" max="8" width="18.6640625" customWidth="1"/>
    <col min="9" max="9" width="17.5546875" bestFit="1" customWidth="1"/>
    <col min="10" max="10" width="12.6640625" bestFit="1" customWidth="1"/>
  </cols>
  <sheetData>
    <row r="3" spans="1:12" x14ac:dyDescent="0.3">
      <c r="A3" s="21"/>
      <c r="B3" s="21"/>
      <c r="C3" s="21"/>
      <c r="D3" s="21" t="s">
        <v>37</v>
      </c>
      <c r="E3" s="22"/>
      <c r="F3" s="22"/>
      <c r="G3" s="22"/>
      <c r="H3" s="22"/>
      <c r="I3" s="22"/>
      <c r="J3" s="22"/>
      <c r="L3">
        <v>5</v>
      </c>
    </row>
    <row r="4" spans="1:12" x14ac:dyDescent="0.3">
      <c r="A4" s="8" t="s">
        <v>1</v>
      </c>
      <c r="B4" s="9" t="s">
        <v>3</v>
      </c>
      <c r="C4" s="9" t="s">
        <v>5</v>
      </c>
      <c r="D4" s="9" t="s">
        <v>7</v>
      </c>
      <c r="E4" s="9" t="s">
        <v>9</v>
      </c>
      <c r="F4" s="9" t="s">
        <v>11</v>
      </c>
      <c r="G4" s="9" t="s">
        <v>13</v>
      </c>
      <c r="H4" s="9" t="s">
        <v>15</v>
      </c>
      <c r="I4" s="9" t="s">
        <v>17</v>
      </c>
      <c r="J4" s="10" t="s">
        <v>19</v>
      </c>
    </row>
    <row r="5" spans="1:12" x14ac:dyDescent="0.3">
      <c r="A5" s="11" t="s">
        <v>20</v>
      </c>
      <c r="B5" s="17">
        <v>43</v>
      </c>
      <c r="C5" s="17">
        <v>47</v>
      </c>
      <c r="D5" s="17">
        <v>50</v>
      </c>
      <c r="E5" s="17">
        <v>43</v>
      </c>
      <c r="F5" s="17">
        <v>67</v>
      </c>
      <c r="G5" s="17">
        <v>74</v>
      </c>
      <c r="H5" s="17">
        <v>32</v>
      </c>
      <c r="I5" s="17">
        <f>(SUM(B5:H5))</f>
        <v>356</v>
      </c>
      <c r="J5" s="18">
        <f>I5/$I$9</f>
        <v>0.23298429319371727</v>
      </c>
    </row>
    <row r="6" spans="1:12" x14ac:dyDescent="0.3">
      <c r="A6" s="14" t="s">
        <v>21</v>
      </c>
      <c r="B6" s="19">
        <v>61</v>
      </c>
      <c r="C6" s="19">
        <v>41</v>
      </c>
      <c r="D6" s="19">
        <v>27</v>
      </c>
      <c r="E6" s="19">
        <v>53</v>
      </c>
      <c r="F6" s="19">
        <v>74</v>
      </c>
      <c r="G6" s="19">
        <v>83</v>
      </c>
      <c r="H6" s="19">
        <v>101</v>
      </c>
      <c r="I6" s="19">
        <f>(SUM(B6:H6))</f>
        <v>440</v>
      </c>
      <c r="J6" s="34">
        <f t="shared" ref="J6:J9" si="0">I6/$I$9</f>
        <v>0.2879581151832461</v>
      </c>
    </row>
    <row r="7" spans="1:12" x14ac:dyDescent="0.3">
      <c r="A7" s="11" t="s">
        <v>22</v>
      </c>
      <c r="B7" s="17">
        <v>47</v>
      </c>
      <c r="C7" s="17">
        <v>102</v>
      </c>
      <c r="D7" s="17">
        <v>20</v>
      </c>
      <c r="E7" s="17">
        <v>54</v>
      </c>
      <c r="F7" s="17">
        <v>63</v>
      </c>
      <c r="G7" s="17">
        <v>26</v>
      </c>
      <c r="H7" s="17">
        <v>37</v>
      </c>
      <c r="I7" s="17">
        <f>(SUM(B7:H7))</f>
        <v>349</v>
      </c>
      <c r="J7" s="18">
        <f t="shared" si="0"/>
        <v>0.22840314136125656</v>
      </c>
    </row>
    <row r="8" spans="1:12" x14ac:dyDescent="0.3">
      <c r="A8" s="14" t="s">
        <v>24</v>
      </c>
      <c r="B8" s="19">
        <v>38</v>
      </c>
      <c r="C8" s="19">
        <v>61</v>
      </c>
      <c r="D8" s="19">
        <v>48</v>
      </c>
      <c r="E8" s="19">
        <v>70</v>
      </c>
      <c r="F8" s="19">
        <v>77</v>
      </c>
      <c r="G8" s="19">
        <v>39</v>
      </c>
      <c r="H8" s="19">
        <v>50</v>
      </c>
      <c r="I8" s="19">
        <f>(SUM(B8:H8))</f>
        <v>383</v>
      </c>
      <c r="J8" s="34">
        <f t="shared" si="0"/>
        <v>0.25065445026178013</v>
      </c>
    </row>
    <row r="9" spans="1:12" x14ac:dyDescent="0.3">
      <c r="A9" s="11" t="s">
        <v>23</v>
      </c>
      <c r="B9" s="17">
        <f t="shared" ref="B9:H9" si="1">SUM(B5:B8)</f>
        <v>189</v>
      </c>
      <c r="C9" s="17">
        <f t="shared" si="1"/>
        <v>251</v>
      </c>
      <c r="D9" s="17">
        <f t="shared" si="1"/>
        <v>145</v>
      </c>
      <c r="E9" s="17">
        <f t="shared" si="1"/>
        <v>220</v>
      </c>
      <c r="F9" s="17">
        <f t="shared" si="1"/>
        <v>281</v>
      </c>
      <c r="G9" s="17">
        <f t="shared" si="1"/>
        <v>222</v>
      </c>
      <c r="H9" s="17">
        <f t="shared" si="1"/>
        <v>220</v>
      </c>
      <c r="I9" s="17">
        <f>SUM(B9:H9)</f>
        <v>1528</v>
      </c>
      <c r="J9" s="18">
        <f t="shared" si="0"/>
        <v>1</v>
      </c>
    </row>
    <row r="10" spans="1:12" x14ac:dyDescent="0.3">
      <c r="A10" s="4" t="s">
        <v>19</v>
      </c>
      <c r="B10" s="7">
        <f>B9/$I$9</f>
        <v>0.12369109947643979</v>
      </c>
      <c r="C10" s="7">
        <f t="shared" ref="C10:I10" si="2">C9/$I$9</f>
        <v>0.1642670157068063</v>
      </c>
      <c r="D10" s="7">
        <f t="shared" si="2"/>
        <v>9.4895287958115179E-2</v>
      </c>
      <c r="E10" s="7">
        <f t="shared" si="2"/>
        <v>0.14397905759162305</v>
      </c>
      <c r="F10" s="7">
        <f t="shared" si="2"/>
        <v>0.18390052356020942</v>
      </c>
      <c r="G10" s="7">
        <f t="shared" si="2"/>
        <v>0.14528795811518325</v>
      </c>
      <c r="H10" s="7">
        <f t="shared" si="2"/>
        <v>0.14397905759162305</v>
      </c>
      <c r="I10" s="7">
        <f t="shared" si="2"/>
        <v>1</v>
      </c>
      <c r="J10" s="6"/>
    </row>
    <row r="13" spans="1:12" x14ac:dyDescent="0.3">
      <c r="A13" s="21"/>
      <c r="B13" s="21"/>
      <c r="C13" s="21"/>
      <c r="D13" s="21" t="s">
        <v>38</v>
      </c>
      <c r="E13" s="22"/>
      <c r="F13" s="22"/>
      <c r="G13" s="22"/>
      <c r="H13" s="22"/>
      <c r="I13" s="22"/>
      <c r="J13" s="22"/>
    </row>
    <row r="14" spans="1:12" x14ac:dyDescent="0.3">
      <c r="A14" s="8" t="s">
        <v>1</v>
      </c>
      <c r="B14" s="9" t="s">
        <v>3</v>
      </c>
      <c r="C14" s="9" t="s">
        <v>5</v>
      </c>
      <c r="D14" s="9" t="s">
        <v>7</v>
      </c>
      <c r="E14" s="9" t="s">
        <v>9</v>
      </c>
      <c r="F14" s="9" t="s">
        <v>11</v>
      </c>
      <c r="G14" s="9" t="s">
        <v>13</v>
      </c>
      <c r="H14" s="9" t="s">
        <v>15</v>
      </c>
      <c r="I14" s="9" t="s">
        <v>17</v>
      </c>
      <c r="J14" s="10" t="s">
        <v>19</v>
      </c>
    </row>
    <row r="15" spans="1:12" x14ac:dyDescent="0.3">
      <c r="A15" s="11" t="s">
        <v>20</v>
      </c>
      <c r="B15" s="29">
        <f>B5*工讀金表!C6</f>
        <v>8600</v>
      </c>
      <c r="C15" s="29">
        <f>C5*工讀金表!D6</f>
        <v>9400</v>
      </c>
      <c r="D15" s="29">
        <f>D5*工讀金表!E6</f>
        <v>10000</v>
      </c>
      <c r="E15" s="29">
        <f>E5*工讀金表!F6</f>
        <v>8600</v>
      </c>
      <c r="F15" s="29">
        <f>F5*工讀金表!G6</f>
        <v>13400</v>
      </c>
      <c r="G15" s="29">
        <f>G5*工讀金表!H6</f>
        <v>18500</v>
      </c>
      <c r="H15" s="29">
        <f>H5*工讀金表!I6</f>
        <v>9600</v>
      </c>
      <c r="I15" s="29">
        <f>SUM(B15:H15)</f>
        <v>78100</v>
      </c>
      <c r="J15" s="18">
        <f>I15/$I$19</f>
        <v>0.16719114593368012</v>
      </c>
    </row>
    <row r="16" spans="1:12" x14ac:dyDescent="0.3">
      <c r="A16" s="14" t="s">
        <v>21</v>
      </c>
      <c r="B16" s="30">
        <f>B6*工讀金表!C7</f>
        <v>12200</v>
      </c>
      <c r="C16" s="30">
        <f>C6*工讀金表!D7</f>
        <v>8200</v>
      </c>
      <c r="D16" s="30">
        <f>D6*工讀金表!E7</f>
        <v>5400</v>
      </c>
      <c r="E16" s="30">
        <f>E6*工讀金表!F7</f>
        <v>10600</v>
      </c>
      <c r="F16" s="30">
        <f>F6*工讀金表!G7</f>
        <v>14800</v>
      </c>
      <c r="G16" s="30">
        <f>G6*工讀金表!H7</f>
        <v>20750</v>
      </c>
      <c r="H16" s="30">
        <f>H6*工讀金表!I7</f>
        <v>30300</v>
      </c>
      <c r="I16" s="30">
        <f t="shared" ref="I16:I18" si="3">SUM(B16:H16)</f>
        <v>102250</v>
      </c>
      <c r="J16" s="20">
        <f t="shared" ref="J16:J18" si="4">I16/$I$19</f>
        <v>0.21888981653929312</v>
      </c>
    </row>
    <row r="17" spans="1:10" x14ac:dyDescent="0.3">
      <c r="A17" s="11" t="s">
        <v>22</v>
      </c>
      <c r="B17" s="29">
        <f>B7*工讀金表!C8</f>
        <v>15040</v>
      </c>
      <c r="C17" s="29">
        <f>C7*工讀金表!D8</f>
        <v>32640</v>
      </c>
      <c r="D17" s="29">
        <f>D7*工讀金表!E8</f>
        <v>6400</v>
      </c>
      <c r="E17" s="29">
        <f>E7*工讀金表!F8</f>
        <v>17280</v>
      </c>
      <c r="F17" s="29">
        <f>F7*工讀金表!G8</f>
        <v>20160</v>
      </c>
      <c r="G17" s="29">
        <f>G7*工讀金表!H8</f>
        <v>10400</v>
      </c>
      <c r="H17" s="29">
        <f>H7*工讀金表!I8</f>
        <v>17760</v>
      </c>
      <c r="I17" s="29">
        <f t="shared" si="3"/>
        <v>119680</v>
      </c>
      <c r="J17" s="18">
        <f t="shared" si="4"/>
        <v>0.25620277010682252</v>
      </c>
    </row>
    <row r="18" spans="1:10" x14ac:dyDescent="0.3">
      <c r="A18" s="14" t="s">
        <v>24</v>
      </c>
      <c r="B18" s="30">
        <f>B8*工讀金表!C9</f>
        <v>15200</v>
      </c>
      <c r="C18" s="30">
        <f>C8*工讀金表!D9</f>
        <v>24400</v>
      </c>
      <c r="D18" s="30">
        <f>D8*工讀金表!E9</f>
        <v>19200</v>
      </c>
      <c r="E18" s="30">
        <f>E8*工讀金表!F9</f>
        <v>28000</v>
      </c>
      <c r="F18" s="30">
        <f>F8*工讀金表!G9</f>
        <v>30800</v>
      </c>
      <c r="G18" s="30">
        <f>G8*工讀金表!H9</f>
        <v>19500</v>
      </c>
      <c r="H18" s="30">
        <f>H8*工讀金表!I9</f>
        <v>30000</v>
      </c>
      <c r="I18" s="30">
        <f t="shared" si="3"/>
        <v>167100</v>
      </c>
      <c r="J18" s="20">
        <f t="shared" si="4"/>
        <v>0.35771626742020424</v>
      </c>
    </row>
    <row r="19" spans="1:10" x14ac:dyDescent="0.3">
      <c r="A19" s="32"/>
      <c r="B19" s="33"/>
      <c r="C19" s="33"/>
      <c r="D19" s="33"/>
      <c r="E19" s="33"/>
      <c r="F19" s="33"/>
      <c r="G19" s="33"/>
      <c r="H19" s="33"/>
      <c r="I19" s="39">
        <f>SUM(I15:I18)</f>
        <v>467130</v>
      </c>
      <c r="J19" s="48">
        <f>SUM(J15:J18)</f>
        <v>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6"/>
  <dimension ref="A3:L19"/>
  <sheetViews>
    <sheetView workbookViewId="0">
      <selection activeCell="C25" sqref="C25"/>
    </sheetView>
  </sheetViews>
  <sheetFormatPr defaultRowHeight="16.2" x14ac:dyDescent="0.3"/>
  <cols>
    <col min="2" max="2" width="19.33203125" customWidth="1"/>
    <col min="3" max="3" width="25.77734375" customWidth="1"/>
    <col min="4" max="4" width="19" customWidth="1"/>
    <col min="5" max="5" width="18.88671875" customWidth="1"/>
    <col min="6" max="6" width="20.6640625" customWidth="1"/>
    <col min="7" max="7" width="18" customWidth="1"/>
    <col min="8" max="8" width="18.77734375" customWidth="1"/>
    <col min="9" max="9" width="17.5546875" bestFit="1" customWidth="1"/>
    <col min="10" max="10" width="12.6640625" bestFit="1" customWidth="1"/>
  </cols>
  <sheetData>
    <row r="3" spans="1:12" x14ac:dyDescent="0.3">
      <c r="A3" s="21"/>
      <c r="B3" s="21"/>
      <c r="C3" s="21"/>
      <c r="D3" s="21" t="s">
        <v>39</v>
      </c>
      <c r="E3" s="22"/>
      <c r="F3" s="22"/>
      <c r="G3" s="22"/>
      <c r="H3" s="22"/>
      <c r="I3" s="22"/>
      <c r="J3" s="22"/>
      <c r="L3">
        <v>12</v>
      </c>
    </row>
    <row r="4" spans="1:12" x14ac:dyDescent="0.3">
      <c r="A4" s="45" t="s">
        <v>0</v>
      </c>
      <c r="B4" s="46" t="s">
        <v>2</v>
      </c>
      <c r="C4" s="46" t="s">
        <v>4</v>
      </c>
      <c r="D4" s="46" t="s">
        <v>6</v>
      </c>
      <c r="E4" s="46" t="s">
        <v>8</v>
      </c>
      <c r="F4" s="46" t="s">
        <v>10</v>
      </c>
      <c r="G4" s="46" t="s">
        <v>12</v>
      </c>
      <c r="H4" s="46" t="s">
        <v>14</v>
      </c>
      <c r="I4" s="46" t="s">
        <v>16</v>
      </c>
      <c r="J4" s="47" t="s">
        <v>18</v>
      </c>
    </row>
    <row r="5" spans="1:12" x14ac:dyDescent="0.3">
      <c r="A5" s="11" t="s">
        <v>20</v>
      </c>
      <c r="B5" s="17">
        <v>50</v>
      </c>
      <c r="C5" s="17">
        <v>54</v>
      </c>
      <c r="D5" s="17">
        <v>57</v>
      </c>
      <c r="E5" s="17">
        <v>50</v>
      </c>
      <c r="F5" s="17">
        <v>74</v>
      </c>
      <c r="G5" s="17">
        <v>81</v>
      </c>
      <c r="H5" s="17">
        <v>39</v>
      </c>
      <c r="I5" s="17">
        <f>SUM(B5:H5)</f>
        <v>405</v>
      </c>
      <c r="J5" s="18">
        <f>I5/$I$9</f>
        <v>0.23491879350348027</v>
      </c>
    </row>
    <row r="6" spans="1:12" x14ac:dyDescent="0.3">
      <c r="A6" s="14" t="s">
        <v>21</v>
      </c>
      <c r="B6" s="19">
        <v>68</v>
      </c>
      <c r="C6" s="19">
        <v>48</v>
      </c>
      <c r="D6" s="19">
        <v>34</v>
      </c>
      <c r="E6" s="19">
        <v>60</v>
      </c>
      <c r="F6" s="19">
        <v>81</v>
      </c>
      <c r="G6" s="19">
        <v>90</v>
      </c>
      <c r="H6" s="19">
        <v>108</v>
      </c>
      <c r="I6" s="19">
        <f t="shared" ref="I6:I8" si="0">SUM(B6:H6)</f>
        <v>489</v>
      </c>
      <c r="J6" s="20">
        <f>I6/$I$9</f>
        <v>0.28364269141531323</v>
      </c>
    </row>
    <row r="7" spans="1:12" x14ac:dyDescent="0.3">
      <c r="A7" s="11" t="s">
        <v>22</v>
      </c>
      <c r="B7" s="17">
        <v>54</v>
      </c>
      <c r="C7" s="17">
        <v>109</v>
      </c>
      <c r="D7" s="17">
        <v>27</v>
      </c>
      <c r="E7" s="17">
        <v>61</v>
      </c>
      <c r="F7" s="17">
        <v>70</v>
      </c>
      <c r="G7" s="17">
        <v>33</v>
      </c>
      <c r="H7" s="17">
        <v>44</v>
      </c>
      <c r="I7" s="17">
        <f t="shared" si="0"/>
        <v>398</v>
      </c>
      <c r="J7" s="18">
        <f>I7/$I$9</f>
        <v>0.23085846867749421</v>
      </c>
    </row>
    <row r="8" spans="1:12" x14ac:dyDescent="0.3">
      <c r="A8" s="14" t="s">
        <v>24</v>
      </c>
      <c r="B8" s="19">
        <v>45</v>
      </c>
      <c r="C8" s="19">
        <v>68</v>
      </c>
      <c r="D8" s="19">
        <v>55</v>
      </c>
      <c r="E8" s="19">
        <v>77</v>
      </c>
      <c r="F8" s="19">
        <v>84</v>
      </c>
      <c r="G8" s="19">
        <v>46</v>
      </c>
      <c r="H8" s="19">
        <v>57</v>
      </c>
      <c r="I8" s="19">
        <f t="shared" si="0"/>
        <v>432</v>
      </c>
      <c r="J8" s="20">
        <f>I8/$I$9</f>
        <v>0.25058004640371229</v>
      </c>
    </row>
    <row r="9" spans="1:12" x14ac:dyDescent="0.3">
      <c r="A9" s="11" t="s">
        <v>23</v>
      </c>
      <c r="B9" s="17">
        <f t="shared" ref="B9:H9" si="1">SUM(B5:B8)</f>
        <v>217</v>
      </c>
      <c r="C9" s="17">
        <f t="shared" si="1"/>
        <v>279</v>
      </c>
      <c r="D9" s="17">
        <f t="shared" si="1"/>
        <v>173</v>
      </c>
      <c r="E9" s="17">
        <f t="shared" si="1"/>
        <v>248</v>
      </c>
      <c r="F9" s="17">
        <f t="shared" si="1"/>
        <v>309</v>
      </c>
      <c r="G9" s="17">
        <f t="shared" si="1"/>
        <v>250</v>
      </c>
      <c r="H9" s="17">
        <f t="shared" si="1"/>
        <v>248</v>
      </c>
      <c r="I9" s="17">
        <f>SUM(B9:H9)</f>
        <v>1724</v>
      </c>
      <c r="J9" s="18">
        <f>I9/$I$9</f>
        <v>1</v>
      </c>
    </row>
    <row r="10" spans="1:12" x14ac:dyDescent="0.3">
      <c r="A10" s="4" t="s">
        <v>19</v>
      </c>
      <c r="B10" s="7">
        <f t="shared" ref="B10:I10" si="2">B9/$I$9</f>
        <v>0.12587006960556846</v>
      </c>
      <c r="C10" s="7">
        <f t="shared" si="2"/>
        <v>0.16183294663573086</v>
      </c>
      <c r="D10" s="7">
        <f t="shared" si="2"/>
        <v>0.10034802784222738</v>
      </c>
      <c r="E10" s="7">
        <f t="shared" si="2"/>
        <v>0.14385150812064965</v>
      </c>
      <c r="F10" s="7">
        <f t="shared" si="2"/>
        <v>0.17923433874709976</v>
      </c>
      <c r="G10" s="7">
        <f t="shared" si="2"/>
        <v>0.14501160092807425</v>
      </c>
      <c r="H10" s="7">
        <f t="shared" si="2"/>
        <v>0.14385150812064965</v>
      </c>
      <c r="I10" s="7">
        <f t="shared" si="2"/>
        <v>1</v>
      </c>
      <c r="J10" s="6"/>
    </row>
    <row r="13" spans="1:12" x14ac:dyDescent="0.3">
      <c r="A13" s="21"/>
      <c r="B13" s="21"/>
      <c r="C13" s="21"/>
      <c r="D13" s="21" t="s">
        <v>40</v>
      </c>
      <c r="E13" s="22"/>
      <c r="F13" s="22"/>
      <c r="G13" s="22"/>
      <c r="H13" s="22"/>
      <c r="I13" s="22"/>
      <c r="J13" s="22"/>
    </row>
    <row r="14" spans="1:12" x14ac:dyDescent="0.3">
      <c r="A14" s="8" t="s">
        <v>1</v>
      </c>
      <c r="B14" s="9" t="s">
        <v>3</v>
      </c>
      <c r="C14" s="9" t="s">
        <v>5</v>
      </c>
      <c r="D14" s="9" t="s">
        <v>7</v>
      </c>
      <c r="E14" s="9" t="s">
        <v>9</v>
      </c>
      <c r="F14" s="9" t="s">
        <v>11</v>
      </c>
      <c r="G14" s="9" t="s">
        <v>13</v>
      </c>
      <c r="H14" s="9" t="s">
        <v>15</v>
      </c>
      <c r="I14" s="9" t="s">
        <v>17</v>
      </c>
      <c r="J14" s="10" t="s">
        <v>19</v>
      </c>
    </row>
    <row r="15" spans="1:12" x14ac:dyDescent="0.3">
      <c r="A15" s="11" t="s">
        <v>20</v>
      </c>
      <c r="B15" s="29">
        <f>B5*工讀金表!C6</f>
        <v>10000</v>
      </c>
      <c r="C15" s="29">
        <f>C5*工讀金表!D6</f>
        <v>10800</v>
      </c>
      <c r="D15" s="29">
        <f>D5*工讀金表!E6</f>
        <v>11400</v>
      </c>
      <c r="E15" s="29">
        <f>E5*工讀金表!F6</f>
        <v>10000</v>
      </c>
      <c r="F15" s="29">
        <f>F5*工讀金表!G6</f>
        <v>14800</v>
      </c>
      <c r="G15" s="29">
        <f>G5*工讀金表!H6</f>
        <v>20250</v>
      </c>
      <c r="H15" s="29">
        <f>H5*工讀金表!I6</f>
        <v>11700</v>
      </c>
      <c r="I15" s="29">
        <f>SUM(B15:H15)</f>
        <v>88950</v>
      </c>
      <c r="J15" s="18">
        <f>I15/$I$19</f>
        <v>0.16850101346871507</v>
      </c>
    </row>
    <row r="16" spans="1:12" x14ac:dyDescent="0.3">
      <c r="A16" s="14" t="s">
        <v>21</v>
      </c>
      <c r="B16" s="30">
        <f>B6*工讀金表!C7</f>
        <v>13600</v>
      </c>
      <c r="C16" s="30">
        <f>C6*工讀金表!D7</f>
        <v>9600</v>
      </c>
      <c r="D16" s="30">
        <f>D6*工讀金表!E7</f>
        <v>6800</v>
      </c>
      <c r="E16" s="30">
        <f>E6*工讀金表!F7</f>
        <v>12000</v>
      </c>
      <c r="F16" s="30">
        <f>F6*工讀金表!G7</f>
        <v>16200</v>
      </c>
      <c r="G16" s="30">
        <f>G6*工讀金表!H7</f>
        <v>22500</v>
      </c>
      <c r="H16" s="30">
        <f>H6*工讀金表!I7</f>
        <v>32400</v>
      </c>
      <c r="I16" s="30">
        <f t="shared" ref="I16:I18" si="3">SUM(B16:H16)</f>
        <v>113100</v>
      </c>
      <c r="J16" s="20">
        <f t="shared" ref="J16:J18" si="4">I16/$I$19</f>
        <v>0.21424918070052473</v>
      </c>
    </row>
    <row r="17" spans="1:10" x14ac:dyDescent="0.3">
      <c r="A17" s="11" t="s">
        <v>22</v>
      </c>
      <c r="B17" s="29">
        <f>B7*工讀金表!C8</f>
        <v>17280</v>
      </c>
      <c r="C17" s="29">
        <f>C7*工讀金表!D8</f>
        <v>34880</v>
      </c>
      <c r="D17" s="29">
        <f>D7*工讀金表!E8</f>
        <v>8640</v>
      </c>
      <c r="E17" s="29">
        <f>E7*工讀金表!F8</f>
        <v>19520</v>
      </c>
      <c r="F17" s="29">
        <f>F7*工讀金表!G8</f>
        <v>22400</v>
      </c>
      <c r="G17" s="29">
        <f>G7*工讀金表!H8</f>
        <v>13200</v>
      </c>
      <c r="H17" s="29">
        <f>H7*工讀金表!I8</f>
        <v>21120</v>
      </c>
      <c r="I17" s="29">
        <f t="shared" si="3"/>
        <v>137040</v>
      </c>
      <c r="J17" s="18">
        <f t="shared" si="4"/>
        <v>0.25959953778249256</v>
      </c>
    </row>
    <row r="18" spans="1:10" x14ac:dyDescent="0.3">
      <c r="A18" s="14" t="s">
        <v>24</v>
      </c>
      <c r="B18" s="30">
        <f>B8*工讀金表!C9</f>
        <v>18000</v>
      </c>
      <c r="C18" s="30">
        <f>C8*工讀金表!D9</f>
        <v>27200</v>
      </c>
      <c r="D18" s="30">
        <f>D8*工讀金表!E9</f>
        <v>22000</v>
      </c>
      <c r="E18" s="30">
        <f>E8*工讀金表!F9</f>
        <v>30800</v>
      </c>
      <c r="F18" s="30">
        <f>F8*工讀金表!G9</f>
        <v>33600</v>
      </c>
      <c r="G18" s="30">
        <f>G8*工讀金表!H9</f>
        <v>23000</v>
      </c>
      <c r="H18" s="30">
        <f>H8*工讀金表!I9</f>
        <v>34200</v>
      </c>
      <c r="I18" s="30">
        <f t="shared" si="3"/>
        <v>188800</v>
      </c>
      <c r="J18" s="20">
        <f t="shared" si="4"/>
        <v>0.35765026804826761</v>
      </c>
    </row>
    <row r="19" spans="1:10" x14ac:dyDescent="0.3">
      <c r="A19" s="32"/>
      <c r="B19" s="33"/>
      <c r="C19" s="33"/>
      <c r="D19" s="33"/>
      <c r="E19" s="33"/>
      <c r="F19" s="33"/>
      <c r="G19" s="33"/>
      <c r="H19" s="33"/>
      <c r="I19" s="39">
        <f>SUM(I15:I18)</f>
        <v>527890</v>
      </c>
      <c r="J19" s="48">
        <f>SUM(J15:J18)</f>
        <v>1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"/>
  <dimension ref="A3:L19"/>
  <sheetViews>
    <sheetView workbookViewId="0">
      <selection activeCell="K20" sqref="K20"/>
    </sheetView>
  </sheetViews>
  <sheetFormatPr defaultRowHeight="16.2" x14ac:dyDescent="0.3"/>
  <cols>
    <col min="2" max="3" width="17.5546875" bestFit="1" customWidth="1"/>
    <col min="4" max="4" width="16.5546875" customWidth="1"/>
    <col min="5" max="8" width="17.5546875" bestFit="1" customWidth="1"/>
    <col min="9" max="9" width="18.77734375" bestFit="1" customWidth="1"/>
  </cols>
  <sheetData>
    <row r="3" spans="1:12" x14ac:dyDescent="0.3">
      <c r="A3" s="21"/>
      <c r="B3" s="21"/>
      <c r="C3" s="21"/>
      <c r="D3" s="21" t="s">
        <v>41</v>
      </c>
      <c r="E3" s="22"/>
      <c r="F3" s="22"/>
      <c r="G3" s="22"/>
      <c r="H3" s="22"/>
      <c r="I3" s="22"/>
      <c r="J3" s="22"/>
      <c r="L3">
        <v>6</v>
      </c>
    </row>
    <row r="4" spans="1:12" x14ac:dyDescent="0.3">
      <c r="A4" s="8" t="s">
        <v>1</v>
      </c>
      <c r="B4" s="9" t="s">
        <v>3</v>
      </c>
      <c r="C4" s="9" t="s">
        <v>5</v>
      </c>
      <c r="D4" s="9" t="s">
        <v>7</v>
      </c>
      <c r="E4" s="9" t="s">
        <v>9</v>
      </c>
      <c r="F4" s="9" t="s">
        <v>11</v>
      </c>
      <c r="G4" s="9" t="s">
        <v>13</v>
      </c>
      <c r="H4" s="9" t="s">
        <v>15</v>
      </c>
      <c r="I4" s="9" t="s">
        <v>17</v>
      </c>
      <c r="J4" s="10" t="s">
        <v>19</v>
      </c>
    </row>
    <row r="5" spans="1:12" x14ac:dyDescent="0.3">
      <c r="A5" s="11" t="s">
        <v>20</v>
      </c>
      <c r="B5" s="17">
        <v>32</v>
      </c>
      <c r="C5" s="17">
        <v>36</v>
      </c>
      <c r="D5" s="17">
        <v>39</v>
      </c>
      <c r="E5" s="17">
        <v>32</v>
      </c>
      <c r="F5" s="17">
        <v>56</v>
      </c>
      <c r="G5" s="17">
        <v>63</v>
      </c>
      <c r="H5" s="17">
        <v>21</v>
      </c>
      <c r="I5" s="17">
        <f>SUM(B5:H5)</f>
        <v>279</v>
      </c>
      <c r="J5" s="18">
        <f>I5/$I$9</f>
        <v>0.22868852459016392</v>
      </c>
    </row>
    <row r="6" spans="1:12" x14ac:dyDescent="0.3">
      <c r="A6" s="14" t="s">
        <v>21</v>
      </c>
      <c r="B6" s="19">
        <v>50</v>
      </c>
      <c r="C6" s="19">
        <v>30</v>
      </c>
      <c r="D6" s="19">
        <v>16</v>
      </c>
      <c r="E6" s="19">
        <v>42</v>
      </c>
      <c r="F6" s="19">
        <v>63</v>
      </c>
      <c r="G6" s="19">
        <v>72</v>
      </c>
      <c r="H6" s="19">
        <v>90</v>
      </c>
      <c r="I6" s="19">
        <f t="shared" ref="I6:I8" si="0">SUM(B6:H6)</f>
        <v>363</v>
      </c>
      <c r="J6" s="20">
        <f>I6/$I$9</f>
        <v>0.2975409836065574</v>
      </c>
    </row>
    <row r="7" spans="1:12" x14ac:dyDescent="0.3">
      <c r="A7" s="11" t="s">
        <v>22</v>
      </c>
      <c r="B7" s="17">
        <v>36</v>
      </c>
      <c r="C7" s="17">
        <v>91</v>
      </c>
      <c r="D7" s="17">
        <v>9</v>
      </c>
      <c r="E7" s="17">
        <v>43</v>
      </c>
      <c r="F7" s="17">
        <v>52</v>
      </c>
      <c r="G7" s="17">
        <v>15</v>
      </c>
      <c r="H7" s="17">
        <v>26</v>
      </c>
      <c r="I7" s="17">
        <f t="shared" si="0"/>
        <v>272</v>
      </c>
      <c r="J7" s="18">
        <f>I7/$I$9</f>
        <v>0.22295081967213115</v>
      </c>
    </row>
    <row r="8" spans="1:12" x14ac:dyDescent="0.3">
      <c r="A8" s="14" t="s">
        <v>24</v>
      </c>
      <c r="B8" s="19">
        <v>27</v>
      </c>
      <c r="C8" s="19">
        <v>50</v>
      </c>
      <c r="D8" s="19">
        <v>37</v>
      </c>
      <c r="E8" s="19">
        <v>59</v>
      </c>
      <c r="F8" s="19">
        <v>66</v>
      </c>
      <c r="G8" s="19">
        <v>28</v>
      </c>
      <c r="H8" s="19">
        <v>39</v>
      </c>
      <c r="I8" s="19">
        <f t="shared" si="0"/>
        <v>306</v>
      </c>
      <c r="J8" s="20">
        <f>I8/$I$9</f>
        <v>0.25081967213114753</v>
      </c>
    </row>
    <row r="9" spans="1:12" x14ac:dyDescent="0.3">
      <c r="A9" s="11" t="s">
        <v>23</v>
      </c>
      <c r="B9" s="17">
        <f t="shared" ref="B9:H9" si="1">SUM(B5:B8)</f>
        <v>145</v>
      </c>
      <c r="C9" s="17">
        <f t="shared" si="1"/>
        <v>207</v>
      </c>
      <c r="D9" s="17">
        <f t="shared" si="1"/>
        <v>101</v>
      </c>
      <c r="E9" s="17">
        <f t="shared" si="1"/>
        <v>176</v>
      </c>
      <c r="F9" s="17">
        <f t="shared" si="1"/>
        <v>237</v>
      </c>
      <c r="G9" s="17">
        <f t="shared" si="1"/>
        <v>178</v>
      </c>
      <c r="H9" s="17">
        <f t="shared" si="1"/>
        <v>176</v>
      </c>
      <c r="I9" s="17">
        <f>SUM(B9:H9)</f>
        <v>1220</v>
      </c>
      <c r="J9" s="18">
        <f>I9/$I$9</f>
        <v>1</v>
      </c>
    </row>
    <row r="10" spans="1:12" x14ac:dyDescent="0.3">
      <c r="A10" s="4" t="s">
        <v>19</v>
      </c>
      <c r="B10" s="7">
        <f t="shared" ref="B10:I10" si="2">B9/$I$9</f>
        <v>0.11885245901639344</v>
      </c>
      <c r="C10" s="7">
        <f t="shared" si="2"/>
        <v>0.16967213114754098</v>
      </c>
      <c r="D10" s="7">
        <f t="shared" si="2"/>
        <v>8.2786885245901637E-2</v>
      </c>
      <c r="E10" s="7">
        <f t="shared" si="2"/>
        <v>0.14426229508196722</v>
      </c>
      <c r="F10" s="7">
        <f t="shared" si="2"/>
        <v>0.19426229508196721</v>
      </c>
      <c r="G10" s="7">
        <f t="shared" si="2"/>
        <v>0.14590163934426228</v>
      </c>
      <c r="H10" s="7">
        <f t="shared" si="2"/>
        <v>0.14426229508196722</v>
      </c>
      <c r="I10" s="7">
        <f t="shared" si="2"/>
        <v>1</v>
      </c>
      <c r="J10" s="6"/>
    </row>
    <row r="13" spans="1:12" x14ac:dyDescent="0.3">
      <c r="A13" s="21"/>
      <c r="B13" s="21"/>
      <c r="C13" s="21"/>
      <c r="D13" s="21" t="s">
        <v>42</v>
      </c>
      <c r="E13" s="22"/>
      <c r="F13" s="22"/>
      <c r="G13" s="22"/>
      <c r="H13" s="22"/>
      <c r="I13" s="22"/>
      <c r="J13" s="22"/>
    </row>
    <row r="14" spans="1:12" x14ac:dyDescent="0.3">
      <c r="A14" s="8" t="s">
        <v>1</v>
      </c>
      <c r="B14" s="9" t="s">
        <v>3</v>
      </c>
      <c r="C14" s="9" t="s">
        <v>5</v>
      </c>
      <c r="D14" s="9" t="s">
        <v>7</v>
      </c>
      <c r="E14" s="9" t="s">
        <v>9</v>
      </c>
      <c r="F14" s="9" t="s">
        <v>11</v>
      </c>
      <c r="G14" s="9" t="s">
        <v>13</v>
      </c>
      <c r="H14" s="9" t="s">
        <v>15</v>
      </c>
      <c r="I14" s="9" t="s">
        <v>17</v>
      </c>
      <c r="J14" s="10" t="s">
        <v>19</v>
      </c>
    </row>
    <row r="15" spans="1:12" x14ac:dyDescent="0.3">
      <c r="A15" s="11" t="s">
        <v>20</v>
      </c>
      <c r="B15" s="29">
        <f>B5*工讀金表!C6</f>
        <v>6400</v>
      </c>
      <c r="C15" s="29">
        <f>C5*工讀金表!D6</f>
        <v>7200</v>
      </c>
      <c r="D15" s="29">
        <f>D5*工讀金表!E6</f>
        <v>7800</v>
      </c>
      <c r="E15" s="29">
        <f>E5*工讀金表!F6</f>
        <v>6400</v>
      </c>
      <c r="F15" s="29">
        <f>F5*工讀金表!G6</f>
        <v>11200</v>
      </c>
      <c r="G15" s="29">
        <f>G5*工讀金表!H6</f>
        <v>15750</v>
      </c>
      <c r="H15" s="29">
        <f>H5*工讀金表!I6</f>
        <v>6300</v>
      </c>
      <c r="I15" s="29">
        <f>SUM(Week4!$B15:$H15)</f>
        <v>61050</v>
      </c>
      <c r="J15" s="18">
        <f>I15/$I$19</f>
        <v>0.16426745593972825</v>
      </c>
    </row>
    <row r="16" spans="1:12" x14ac:dyDescent="0.3">
      <c r="A16" s="14" t="s">
        <v>21</v>
      </c>
      <c r="B16" s="30">
        <f>B6*工讀金表!C7</f>
        <v>10000</v>
      </c>
      <c r="C16" s="30">
        <f>C6*工讀金表!D7</f>
        <v>6000</v>
      </c>
      <c r="D16" s="30">
        <f>D6*工讀金表!E7</f>
        <v>3200</v>
      </c>
      <c r="E16" s="30">
        <f>E6*工讀金表!F7</f>
        <v>8400</v>
      </c>
      <c r="F16" s="30">
        <f>F6*工讀金表!G7</f>
        <v>12600</v>
      </c>
      <c r="G16" s="30">
        <f>G6*工讀金表!H7</f>
        <v>18000</v>
      </c>
      <c r="H16" s="30">
        <f>H6*工讀金表!I7</f>
        <v>27000</v>
      </c>
      <c r="I16" s="30">
        <f>SUM(Week4!$B16:$H16)</f>
        <v>85200</v>
      </c>
      <c r="J16" s="20">
        <f t="shared" ref="J16:J18" si="3">I16/$I$19</f>
        <v>0.22924794833849052</v>
      </c>
    </row>
    <row r="17" spans="1:10" x14ac:dyDescent="0.3">
      <c r="A17" s="11" t="s">
        <v>22</v>
      </c>
      <c r="B17" s="29">
        <f>B7*工讀金表!C8</f>
        <v>11520</v>
      </c>
      <c r="C17" s="29">
        <f>C7*工讀金表!D8</f>
        <v>29120</v>
      </c>
      <c r="D17" s="29">
        <f>D7*工讀金表!E8</f>
        <v>2880</v>
      </c>
      <c r="E17" s="29">
        <f>E7*工讀金表!F8</f>
        <v>13760</v>
      </c>
      <c r="F17" s="29">
        <f>F7*工讀金表!G8</f>
        <v>16640</v>
      </c>
      <c r="G17" s="29">
        <f>G7*工讀金表!H8</f>
        <v>6000</v>
      </c>
      <c r="H17" s="29">
        <f>H7*工讀金表!I8</f>
        <v>12480</v>
      </c>
      <c r="I17" s="29">
        <f>SUM(Week4!$B17:$H17)</f>
        <v>92400</v>
      </c>
      <c r="J17" s="18">
        <f t="shared" si="3"/>
        <v>0.24862101439526435</v>
      </c>
    </row>
    <row r="18" spans="1:10" x14ac:dyDescent="0.3">
      <c r="A18" s="14" t="s">
        <v>24</v>
      </c>
      <c r="B18" s="30">
        <f>B8*工讀金表!C9</f>
        <v>10800</v>
      </c>
      <c r="C18" s="30">
        <f>C8*工讀金表!D9</f>
        <v>20000</v>
      </c>
      <c r="D18" s="30">
        <f>D8*工讀金表!E9</f>
        <v>14800</v>
      </c>
      <c r="E18" s="30">
        <f>E8*工讀金表!F9</f>
        <v>23600</v>
      </c>
      <c r="F18" s="30">
        <f>F8*工讀金表!G9</f>
        <v>26400</v>
      </c>
      <c r="G18" s="30">
        <f>G8*工讀金表!H9</f>
        <v>14000</v>
      </c>
      <c r="H18" s="30">
        <f>H8*工讀金表!I9</f>
        <v>23400</v>
      </c>
      <c r="I18" s="30">
        <f>SUM(Week4!$B18:$H18)</f>
        <v>133000</v>
      </c>
      <c r="J18" s="20">
        <f t="shared" si="3"/>
        <v>0.35786358132651691</v>
      </c>
    </row>
    <row r="19" spans="1:10" x14ac:dyDescent="0.3">
      <c r="A19" s="41"/>
      <c r="B19" s="42"/>
      <c r="C19" s="42"/>
      <c r="D19" s="42"/>
      <c r="E19" s="42"/>
      <c r="F19" s="42"/>
      <c r="G19" s="42"/>
      <c r="H19" s="42"/>
      <c r="I19" s="43">
        <f>SUM(I15:I18)</f>
        <v>371650</v>
      </c>
      <c r="J19" s="44">
        <f>SUM(J15:J18)</f>
        <v>1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FD27-EBB3-4DEC-BC82-934D791B973B}">
  <dimension ref="A3:J19"/>
  <sheetViews>
    <sheetView workbookViewId="0">
      <selection activeCell="B5" sqref="B5"/>
    </sheetView>
  </sheetViews>
  <sheetFormatPr defaultRowHeight="16.2" x14ac:dyDescent="0.3"/>
  <cols>
    <col min="2" max="3" width="17.109375" bestFit="1" customWidth="1"/>
    <col min="4" max="4" width="19.88671875" customWidth="1"/>
    <col min="5" max="8" width="17.109375" bestFit="1" customWidth="1"/>
    <col min="9" max="9" width="19.44140625" customWidth="1"/>
    <col min="10" max="10" width="12.6640625" bestFit="1" customWidth="1"/>
  </cols>
  <sheetData>
    <row r="3" spans="1:10" x14ac:dyDescent="0.3">
      <c r="A3" s="21"/>
      <c r="B3" s="21"/>
      <c r="C3" s="21"/>
      <c r="D3" s="21" t="s">
        <v>43</v>
      </c>
      <c r="E3" s="22"/>
      <c r="F3" s="22"/>
      <c r="G3" s="22"/>
      <c r="H3" s="22"/>
      <c r="I3" s="22"/>
      <c r="J3" s="22"/>
    </row>
    <row r="4" spans="1:10" x14ac:dyDescent="0.3">
      <c r="A4" s="8" t="s">
        <v>1</v>
      </c>
      <c r="B4" s="9" t="s">
        <v>3</v>
      </c>
      <c r="C4" s="9" t="s">
        <v>5</v>
      </c>
      <c r="D4" s="9" t="s">
        <v>7</v>
      </c>
      <c r="E4" s="9" t="s">
        <v>9</v>
      </c>
      <c r="F4" s="9" t="s">
        <v>11</v>
      </c>
      <c r="G4" s="9" t="s">
        <v>13</v>
      </c>
      <c r="H4" s="9" t="s">
        <v>15</v>
      </c>
      <c r="I4" s="9" t="s">
        <v>17</v>
      </c>
      <c r="J4" s="10" t="s">
        <v>19</v>
      </c>
    </row>
    <row r="5" spans="1:10" x14ac:dyDescent="0.3">
      <c r="A5" s="11" t="s">
        <v>20</v>
      </c>
      <c r="B5" s="17">
        <f>SUM(Week1:Week4!B5)</f>
        <v>163</v>
      </c>
      <c r="C5" s="17">
        <f>SUM(Week1:Week4!C5)</f>
        <v>179</v>
      </c>
      <c r="D5" s="17">
        <f>SUM(Week1:Week4!D5)</f>
        <v>191</v>
      </c>
      <c r="E5" s="17">
        <f>SUM(Week1:Week4!E5)</f>
        <v>163</v>
      </c>
      <c r="F5" s="17">
        <f>SUM(Week1:Week4!F5)</f>
        <v>259</v>
      </c>
      <c r="G5" s="17">
        <f>SUM(Week1:Week4!G5)</f>
        <v>287</v>
      </c>
      <c r="H5" s="17">
        <f>SUM(Week1:Week4!H5)</f>
        <v>119</v>
      </c>
      <c r="I5" s="17">
        <f>SUM(Week1:Week4!I5)</f>
        <v>1361</v>
      </c>
      <c r="J5" s="18">
        <f ca="1">I5/$I$10</f>
        <v>0.23126801152737753</v>
      </c>
    </row>
    <row r="6" spans="1:10" x14ac:dyDescent="0.3">
      <c r="A6" s="35" t="s">
        <v>21</v>
      </c>
      <c r="B6" s="36">
        <f>SUM(Week1:Week4!B6)</f>
        <v>235</v>
      </c>
      <c r="C6" s="36">
        <f>SUM(Week1:Week4!C6)</f>
        <v>155</v>
      </c>
      <c r="D6" s="36">
        <f>SUM(Week1:Week4!D6)</f>
        <v>99</v>
      </c>
      <c r="E6" s="36">
        <f>SUM(Week1:Week4!E6)</f>
        <v>203</v>
      </c>
      <c r="F6" s="36">
        <f>SUM(Week1:Week4!F6)</f>
        <v>287</v>
      </c>
      <c r="G6" s="36">
        <f>SUM(Week1:Week4!G6)</f>
        <v>323</v>
      </c>
      <c r="H6" s="36">
        <f>SUM(Week1:Week4!H6)</f>
        <v>395</v>
      </c>
      <c r="I6" s="36">
        <f>SUM(Week1:Week4!I6)</f>
        <v>1697</v>
      </c>
      <c r="J6" s="34">
        <f ca="1">I6/$I$10</f>
        <v>0.29178674351585016</v>
      </c>
    </row>
    <row r="7" spans="1:10" x14ac:dyDescent="0.3">
      <c r="A7" s="11" t="s">
        <v>22</v>
      </c>
      <c r="B7" s="17">
        <f>SUM(Week1:Week4!B7)</f>
        <v>179</v>
      </c>
      <c r="C7" s="17">
        <f>SUM(Week1:Week4!C7)</f>
        <v>399</v>
      </c>
      <c r="D7" s="17">
        <f>SUM(Week1:Week4!D7)</f>
        <v>71</v>
      </c>
      <c r="E7" s="17">
        <f>SUM(Week1:Week4!E7)</f>
        <v>207</v>
      </c>
      <c r="F7" s="17">
        <f>SUM(Week1:Week4!F7)</f>
        <v>243</v>
      </c>
      <c r="G7" s="17">
        <f>SUM(Week1:Week4!G7)</f>
        <v>95</v>
      </c>
      <c r="H7" s="17">
        <f>SUM(Week1:Week4!H7)</f>
        <v>139</v>
      </c>
      <c r="I7" s="17">
        <f>SUM(Week1:Week4!I7)</f>
        <v>1333</v>
      </c>
      <c r="J7" s="18">
        <f ca="1">I7/$I$10</f>
        <v>0.22622478386167147</v>
      </c>
    </row>
    <row r="8" spans="1:10" x14ac:dyDescent="0.3">
      <c r="A8" s="35" t="s">
        <v>24</v>
      </c>
      <c r="B8" s="36">
        <f>SUM(Week1:Week4!B8)</f>
        <v>143</v>
      </c>
      <c r="C8" s="36">
        <f>SUM(Week1:Week4!C8)</f>
        <v>235</v>
      </c>
      <c r="D8" s="36">
        <f>SUM(Week1:Week4!D8)</f>
        <v>183</v>
      </c>
      <c r="E8" s="36">
        <f>SUM(Week1:Week4!E8)</f>
        <v>271</v>
      </c>
      <c r="F8" s="36">
        <f>SUM(Week1:Week4!F8)</f>
        <v>299</v>
      </c>
      <c r="G8" s="36">
        <f>SUM(Week1:Week4!G8)</f>
        <v>147</v>
      </c>
      <c r="H8" s="36">
        <f>SUM(Week1:Week4!H8)</f>
        <v>191</v>
      </c>
      <c r="I8" s="36">
        <f>SUM(Week1:Week4!I8)</f>
        <v>1469</v>
      </c>
      <c r="J8" s="34">
        <f ca="1">I8/$I$10</f>
        <v>0.25072046109510088</v>
      </c>
    </row>
    <row r="9" spans="1:10" x14ac:dyDescent="0.3">
      <c r="A9" s="11" t="s">
        <v>17</v>
      </c>
      <c r="B9" s="17">
        <f>SUM(Week1:Week4!B9)</f>
        <v>720</v>
      </c>
      <c r="C9" s="17">
        <f>SUM(Week1:Week4!C9)</f>
        <v>968</v>
      </c>
      <c r="D9" s="17">
        <f>SUM(Week1:Week4!D9)</f>
        <v>544</v>
      </c>
      <c r="E9" s="17">
        <f>SUM(Week1:Week4!E9)</f>
        <v>844</v>
      </c>
      <c r="F9" s="17">
        <f>SUM(Week1:Week4!F9)</f>
        <v>1088</v>
      </c>
      <c r="G9" s="17">
        <f>SUM(Week1:Week4!G9)</f>
        <v>852</v>
      </c>
      <c r="H9" s="17">
        <f>SUM(Week1:Week4!H9)</f>
        <v>844</v>
      </c>
      <c r="I9" s="17">
        <f>SUM(Week1:Week4!I9)</f>
        <v>5860</v>
      </c>
      <c r="J9" s="18">
        <f ca="1">I9/$I$10</f>
        <v>1</v>
      </c>
    </row>
    <row r="10" spans="1:10" x14ac:dyDescent="0.3">
      <c r="A10" s="4" t="s">
        <v>19</v>
      </c>
      <c r="B10" s="7">
        <f t="shared" ref="B10:I10" ca="1" si="0">B9/$I$10</f>
        <v>0.12175792507204611</v>
      </c>
      <c r="C10" s="7">
        <f t="shared" ca="1" si="0"/>
        <v>0.16642651296829972</v>
      </c>
      <c r="D10" s="7">
        <f t="shared" ca="1" si="0"/>
        <v>9.0057636887608067E-2</v>
      </c>
      <c r="E10" s="7">
        <f t="shared" ca="1" si="0"/>
        <v>0.14409221902017291</v>
      </c>
      <c r="F10" s="7">
        <f t="shared" ca="1" si="0"/>
        <v>0.18804034582132564</v>
      </c>
      <c r="G10" s="7">
        <f t="shared" ca="1" si="0"/>
        <v>0.14553314121037464</v>
      </c>
      <c r="H10" s="7">
        <f t="shared" ca="1" si="0"/>
        <v>0.14409221902017291</v>
      </c>
      <c r="I10" s="7">
        <f t="shared" ca="1" si="0"/>
        <v>1</v>
      </c>
      <c r="J10" s="6"/>
    </row>
    <row r="13" spans="1:10" x14ac:dyDescent="0.3">
      <c r="A13" s="21"/>
      <c r="B13" s="21"/>
      <c r="C13" s="21"/>
      <c r="D13" s="21" t="s">
        <v>44</v>
      </c>
      <c r="E13" s="22"/>
      <c r="F13" s="22"/>
      <c r="G13" s="22"/>
      <c r="H13" s="22"/>
      <c r="I13" s="22"/>
      <c r="J13" s="22"/>
    </row>
    <row r="14" spans="1:10" x14ac:dyDescent="0.3">
      <c r="A14" s="8" t="s">
        <v>1</v>
      </c>
      <c r="B14" s="9" t="s">
        <v>3</v>
      </c>
      <c r="C14" s="9" t="s">
        <v>5</v>
      </c>
      <c r="D14" s="9" t="s">
        <v>7</v>
      </c>
      <c r="E14" s="9" t="s">
        <v>9</v>
      </c>
      <c r="F14" s="9" t="s">
        <v>11</v>
      </c>
      <c r="G14" s="9" t="s">
        <v>13</v>
      </c>
      <c r="H14" s="9" t="s">
        <v>15</v>
      </c>
      <c r="I14" s="9" t="s">
        <v>17</v>
      </c>
      <c r="J14" s="10" t="s">
        <v>19</v>
      </c>
    </row>
    <row r="15" spans="1:10" x14ac:dyDescent="0.3">
      <c r="A15" s="11" t="s">
        <v>20</v>
      </c>
      <c r="B15" s="29">
        <f>SUM(Week1:Week4!B15)</f>
        <v>32600</v>
      </c>
      <c r="C15" s="29">
        <f>SUM(Week1:Week4!C15)</f>
        <v>35800</v>
      </c>
      <c r="D15" s="29">
        <f>SUM(Week1:Week4!D15)</f>
        <v>38200</v>
      </c>
      <c r="E15" s="29">
        <f>SUM(Week1:Week4!E15)</f>
        <v>32600</v>
      </c>
      <c r="F15" s="29">
        <f>SUM(Week1:Week4!F15)</f>
        <v>51800</v>
      </c>
      <c r="G15" s="29">
        <f>SUM(Week1:Week4!G15)</f>
        <v>71750</v>
      </c>
      <c r="H15" s="29">
        <f>SUM(Week1:Week4!H15)</f>
        <v>35700</v>
      </c>
      <c r="I15" s="29">
        <f>SUM(B15:H15)</f>
        <v>298450</v>
      </c>
      <c r="J15" s="37">
        <f>I15/$I$19</f>
        <v>0.16669459338695264</v>
      </c>
    </row>
    <row r="16" spans="1:10" x14ac:dyDescent="0.3">
      <c r="A16" s="14" t="s">
        <v>21</v>
      </c>
      <c r="B16" s="30">
        <f>SUM(Week1:Week4!B16)</f>
        <v>47000</v>
      </c>
      <c r="C16" s="30">
        <f>SUM(Week1:Week4!C16)</f>
        <v>31000</v>
      </c>
      <c r="D16" s="30">
        <f>SUM(Week1:Week4!D16)</f>
        <v>19800</v>
      </c>
      <c r="E16" s="30">
        <f>SUM(Week1:Week4!E16)</f>
        <v>40600</v>
      </c>
      <c r="F16" s="30">
        <f>SUM(Week1:Week4!F16)</f>
        <v>57400</v>
      </c>
      <c r="G16" s="30">
        <f>SUM(Week1:Week4!G16)</f>
        <v>80750</v>
      </c>
      <c r="H16" s="30">
        <f>SUM(Week1:Week4!H16)</f>
        <v>118500</v>
      </c>
      <c r="I16" s="30">
        <f t="shared" ref="I16:I18" si="1">SUM(B16:H16)</f>
        <v>395050</v>
      </c>
      <c r="J16" s="38">
        <f t="shared" ref="J16:J18" si="2">I16/$I$19</f>
        <v>0.22064901697944594</v>
      </c>
    </row>
    <row r="17" spans="1:10" x14ac:dyDescent="0.3">
      <c r="A17" s="11" t="s">
        <v>22</v>
      </c>
      <c r="B17" s="29">
        <f>SUM(Week1:Week4!B17)</f>
        <v>57280</v>
      </c>
      <c r="C17" s="29">
        <f>SUM(Week1:Week4!C17)</f>
        <v>127680</v>
      </c>
      <c r="D17" s="29">
        <f>SUM(Week1:Week4!D17)</f>
        <v>22720</v>
      </c>
      <c r="E17" s="29">
        <f>SUM(Week1:Week4!E17)</f>
        <v>66240</v>
      </c>
      <c r="F17" s="29">
        <f>SUM(Week1:Week4!F17)</f>
        <v>77760</v>
      </c>
      <c r="G17" s="29">
        <f>SUM(Week1:Week4!G17)</f>
        <v>38000</v>
      </c>
      <c r="H17" s="29">
        <f>SUM(Week1:Week4!H17)</f>
        <v>66720</v>
      </c>
      <c r="I17" s="29">
        <f t="shared" si="1"/>
        <v>456400</v>
      </c>
      <c r="J17" s="37">
        <f t="shared" si="2"/>
        <v>0.25491510277033064</v>
      </c>
    </row>
    <row r="18" spans="1:10" x14ac:dyDescent="0.3">
      <c r="A18" s="14" t="s">
        <v>24</v>
      </c>
      <c r="B18" s="30">
        <f>SUM(Week1:Week4!B18)</f>
        <v>57200</v>
      </c>
      <c r="C18" s="30">
        <f>SUM(Week1:Week4!C18)</f>
        <v>94000</v>
      </c>
      <c r="D18" s="30">
        <f>SUM(Week1:Week4!D18)</f>
        <v>73200</v>
      </c>
      <c r="E18" s="30">
        <f>SUM(Week1:Week4!E18)</f>
        <v>108400</v>
      </c>
      <c r="F18" s="30">
        <f>SUM(Week1:Week4!F18)</f>
        <v>119600</v>
      </c>
      <c r="G18" s="30">
        <f>SUM(Week1:Week4!G18)</f>
        <v>73500</v>
      </c>
      <c r="H18" s="30">
        <f>SUM(Week1:Week4!H18)</f>
        <v>114600</v>
      </c>
      <c r="I18" s="30">
        <f t="shared" si="1"/>
        <v>640500</v>
      </c>
      <c r="J18" s="38">
        <f t="shared" si="2"/>
        <v>0.35774128686327078</v>
      </c>
    </row>
    <row r="19" spans="1:10" x14ac:dyDescent="0.3">
      <c r="A19" s="32"/>
      <c r="B19" s="33"/>
      <c r="C19" s="33"/>
      <c r="D19" s="33"/>
      <c r="E19" s="33"/>
      <c r="F19" s="33"/>
      <c r="G19" s="33"/>
      <c r="H19" s="33"/>
      <c r="I19" s="39">
        <f>SUM(I15:I18)</f>
        <v>1790400</v>
      </c>
      <c r="J19" s="40">
        <f>SUM(J15:J18)</f>
        <v>1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/>
  <dimension ref="B4:I9"/>
  <sheetViews>
    <sheetView workbookViewId="0">
      <selection activeCell="H12" sqref="H12"/>
    </sheetView>
  </sheetViews>
  <sheetFormatPr defaultRowHeight="16.2" x14ac:dyDescent="0.3"/>
  <sheetData>
    <row r="4" spans="2:9" x14ac:dyDescent="0.3">
      <c r="B4" s="21"/>
      <c r="C4" s="21"/>
      <c r="D4" s="21"/>
      <c r="E4" s="21" t="s">
        <v>27</v>
      </c>
      <c r="F4" s="22"/>
      <c r="G4" s="22"/>
      <c r="H4" s="22"/>
      <c r="I4" s="22"/>
    </row>
    <row r="5" spans="2:9" x14ac:dyDescent="0.3">
      <c r="B5" s="8" t="s">
        <v>1</v>
      </c>
      <c r="C5" s="9" t="s">
        <v>3</v>
      </c>
      <c r="D5" s="9" t="s">
        <v>5</v>
      </c>
      <c r="E5" s="9" t="s">
        <v>7</v>
      </c>
      <c r="F5" s="9" t="s">
        <v>9</v>
      </c>
      <c r="G5" s="9" t="s">
        <v>11</v>
      </c>
      <c r="H5" s="9" t="s">
        <v>13</v>
      </c>
      <c r="I5" s="10" t="s">
        <v>15</v>
      </c>
    </row>
    <row r="6" spans="2:9" x14ac:dyDescent="0.3">
      <c r="B6" s="11" t="s">
        <v>20</v>
      </c>
      <c r="C6" s="25">
        <v>200</v>
      </c>
      <c r="D6" s="25">
        <v>200</v>
      </c>
      <c r="E6" s="25">
        <v>200</v>
      </c>
      <c r="F6" s="25">
        <v>200</v>
      </c>
      <c r="G6" s="25">
        <v>200</v>
      </c>
      <c r="H6" s="25">
        <v>250</v>
      </c>
      <c r="I6" s="26">
        <v>300</v>
      </c>
    </row>
    <row r="7" spans="2:9" x14ac:dyDescent="0.3">
      <c r="B7" s="14" t="s">
        <v>21</v>
      </c>
      <c r="C7" s="27">
        <v>200</v>
      </c>
      <c r="D7" s="27">
        <v>200</v>
      </c>
      <c r="E7" s="27">
        <v>200</v>
      </c>
      <c r="F7" s="27">
        <v>200</v>
      </c>
      <c r="G7" s="27">
        <v>200</v>
      </c>
      <c r="H7" s="27">
        <v>250</v>
      </c>
      <c r="I7" s="28">
        <v>300</v>
      </c>
    </row>
    <row r="8" spans="2:9" x14ac:dyDescent="0.3">
      <c r="B8" s="11" t="s">
        <v>22</v>
      </c>
      <c r="C8" s="25">
        <v>320</v>
      </c>
      <c r="D8" s="25">
        <v>320</v>
      </c>
      <c r="E8" s="25">
        <v>320</v>
      </c>
      <c r="F8" s="25">
        <v>320</v>
      </c>
      <c r="G8" s="25">
        <v>320</v>
      </c>
      <c r="H8" s="25">
        <v>400</v>
      </c>
      <c r="I8" s="26">
        <v>480</v>
      </c>
    </row>
    <row r="9" spans="2:9" x14ac:dyDescent="0.3">
      <c r="B9" s="4" t="s">
        <v>24</v>
      </c>
      <c r="C9" s="23">
        <v>400</v>
      </c>
      <c r="D9" s="23">
        <v>400</v>
      </c>
      <c r="E9" s="23">
        <v>400</v>
      </c>
      <c r="F9" s="23">
        <v>400</v>
      </c>
      <c r="G9" s="23">
        <v>400</v>
      </c>
      <c r="H9" s="23">
        <v>500</v>
      </c>
      <c r="I9" s="24">
        <v>600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5E9F-C679-4845-9E3C-8341C2AAC20E}">
  <dimension ref="B2:N26"/>
  <sheetViews>
    <sheetView tabSelected="1" workbookViewId="0">
      <selection activeCell="L16" sqref="L16"/>
    </sheetView>
  </sheetViews>
  <sheetFormatPr defaultRowHeight="16.2" x14ac:dyDescent="0.3"/>
  <cols>
    <col min="3" max="3" width="9" bestFit="1" customWidth="1"/>
    <col min="10" max="10" width="10" bestFit="1" customWidth="1"/>
  </cols>
  <sheetData>
    <row r="2" spans="2:14" x14ac:dyDescent="0.3">
      <c r="B2" s="21"/>
      <c r="C2" s="21"/>
      <c r="D2" s="21"/>
      <c r="E2" s="21" t="s">
        <v>25</v>
      </c>
      <c r="F2" s="22"/>
      <c r="G2" s="22"/>
      <c r="H2" s="22"/>
      <c r="I2" s="22"/>
      <c r="J2" s="22"/>
      <c r="K2" s="22"/>
    </row>
    <row r="3" spans="2:14" x14ac:dyDescent="0.3">
      <c r="B3" s="8" t="s">
        <v>1</v>
      </c>
      <c r="C3" s="9" t="s">
        <v>3</v>
      </c>
      <c r="D3" s="9" t="s">
        <v>5</v>
      </c>
      <c r="E3" s="9" t="s">
        <v>7</v>
      </c>
      <c r="F3" s="9" t="s">
        <v>9</v>
      </c>
      <c r="G3" s="9" t="s">
        <v>11</v>
      </c>
      <c r="H3" s="9" t="s">
        <v>13</v>
      </c>
      <c r="I3" s="9" t="s">
        <v>15</v>
      </c>
      <c r="J3" s="9" t="s">
        <v>17</v>
      </c>
      <c r="K3" s="10" t="s">
        <v>19</v>
      </c>
    </row>
    <row r="4" spans="2:14" x14ac:dyDescent="0.3">
      <c r="B4" s="11" t="s">
        <v>20</v>
      </c>
      <c r="C4" s="17">
        <v>38</v>
      </c>
      <c r="D4" s="17">
        <v>42</v>
      </c>
      <c r="E4" s="17">
        <v>45</v>
      </c>
      <c r="F4" s="17">
        <v>38</v>
      </c>
      <c r="G4" s="17">
        <v>62</v>
      </c>
      <c r="H4" s="17">
        <v>69</v>
      </c>
      <c r="I4" s="17">
        <v>27</v>
      </c>
      <c r="J4" s="17">
        <f>SUM(C4:I4)</f>
        <v>321</v>
      </c>
      <c r="K4" s="18"/>
    </row>
    <row r="5" spans="2:14" x14ac:dyDescent="0.3">
      <c r="B5" s="14" t="s">
        <v>21</v>
      </c>
      <c r="C5" s="19">
        <v>56</v>
      </c>
      <c r="D5" s="19">
        <v>36</v>
      </c>
      <c r="E5" s="19">
        <v>22</v>
      </c>
      <c r="F5" s="19">
        <v>48</v>
      </c>
      <c r="G5" s="19">
        <v>69</v>
      </c>
      <c r="H5" s="19">
        <v>78</v>
      </c>
      <c r="I5" s="19">
        <v>96</v>
      </c>
      <c r="J5" s="19">
        <f>SUM(C5:I5)</f>
        <v>405</v>
      </c>
      <c r="K5" s="20"/>
    </row>
    <row r="6" spans="2:14" x14ac:dyDescent="0.3">
      <c r="B6" s="11" t="s">
        <v>22</v>
      </c>
      <c r="C6" s="17">
        <v>42</v>
      </c>
      <c r="D6" s="17">
        <v>97</v>
      </c>
      <c r="E6" s="17">
        <v>15</v>
      </c>
      <c r="F6" s="17">
        <v>49</v>
      </c>
      <c r="G6" s="17">
        <v>58</v>
      </c>
      <c r="H6" s="17">
        <v>21</v>
      </c>
      <c r="I6" s="17">
        <v>32</v>
      </c>
      <c r="J6" s="17">
        <f>SUM(C6:I6)</f>
        <v>314</v>
      </c>
      <c r="K6" s="18"/>
    </row>
    <row r="7" spans="2:14" x14ac:dyDescent="0.3">
      <c r="B7" s="14" t="s">
        <v>24</v>
      </c>
      <c r="C7" s="19">
        <v>33</v>
      </c>
      <c r="D7" s="19">
        <v>56</v>
      </c>
      <c r="E7" s="19">
        <v>43</v>
      </c>
      <c r="F7" s="19">
        <v>65</v>
      </c>
      <c r="G7" s="19">
        <v>72</v>
      </c>
      <c r="H7" s="19">
        <v>34</v>
      </c>
      <c r="I7" s="19">
        <v>45</v>
      </c>
      <c r="J7" s="19">
        <f>SUM(C7:I7)</f>
        <v>348</v>
      </c>
      <c r="K7" s="20"/>
    </row>
    <row r="8" spans="2:14" x14ac:dyDescent="0.3">
      <c r="B8" s="11" t="s">
        <v>17</v>
      </c>
      <c r="C8" s="17">
        <f t="shared" ref="C8:I8" si="0">SUM(C4:C7)</f>
        <v>169</v>
      </c>
      <c r="D8" s="17">
        <f t="shared" si="0"/>
        <v>231</v>
      </c>
      <c r="E8" s="17">
        <f t="shared" si="0"/>
        <v>125</v>
      </c>
      <c r="F8" s="17">
        <f t="shared" si="0"/>
        <v>200</v>
      </c>
      <c r="G8" s="17">
        <f t="shared" si="0"/>
        <v>261</v>
      </c>
      <c r="H8" s="17">
        <f t="shared" si="0"/>
        <v>202</v>
      </c>
      <c r="I8" s="17">
        <f t="shared" si="0"/>
        <v>200</v>
      </c>
      <c r="J8" s="17">
        <f>SUM(C8:I8)</f>
        <v>1388</v>
      </c>
      <c r="K8" s="18"/>
    </row>
    <row r="9" spans="2:14" x14ac:dyDescent="0.3">
      <c r="B9" s="4" t="s">
        <v>19</v>
      </c>
      <c r="C9" s="7"/>
      <c r="D9" s="7"/>
      <c r="E9" s="7"/>
      <c r="F9" s="7"/>
      <c r="G9" s="7"/>
      <c r="H9" s="7"/>
      <c r="I9" s="7"/>
      <c r="J9" s="7"/>
      <c r="K9" s="6"/>
    </row>
    <row r="12" spans="2:14" x14ac:dyDescent="0.3">
      <c r="E12" t="s">
        <v>45</v>
      </c>
    </row>
    <row r="13" spans="2:14" x14ac:dyDescent="0.3">
      <c r="B13" t="s">
        <v>0</v>
      </c>
      <c r="C13" t="s">
        <v>2</v>
      </c>
      <c r="D13" t="s">
        <v>4</v>
      </c>
      <c r="E13" t="s">
        <v>6</v>
      </c>
      <c r="F13" t="s">
        <v>8</v>
      </c>
      <c r="G13" t="s">
        <v>10</v>
      </c>
      <c r="H13" t="s">
        <v>12</v>
      </c>
      <c r="I13" t="s">
        <v>14</v>
      </c>
      <c r="J13" t="s">
        <v>16</v>
      </c>
      <c r="K13" t="s">
        <v>18</v>
      </c>
      <c r="N13" t="s">
        <v>16</v>
      </c>
    </row>
    <row r="14" spans="2:14" x14ac:dyDescent="0.3">
      <c r="B14" t="s">
        <v>46</v>
      </c>
      <c r="C14">
        <v>7600</v>
      </c>
      <c r="D14">
        <v>8400</v>
      </c>
      <c r="E14">
        <v>9000</v>
      </c>
      <c r="F14">
        <v>7600</v>
      </c>
      <c r="G14">
        <v>12400</v>
      </c>
      <c r="H14">
        <v>17250</v>
      </c>
      <c r="I14">
        <v>8100</v>
      </c>
      <c r="J14" s="31">
        <f>SUM(C14:I14)</f>
        <v>70350</v>
      </c>
      <c r="N14" s="31">
        <f>SUMPRODUCT(C4:I4,C23:I23)</f>
        <v>70350</v>
      </c>
    </row>
    <row r="15" spans="2:14" x14ac:dyDescent="0.3">
      <c r="B15" t="s">
        <v>47</v>
      </c>
      <c r="C15">
        <v>11200</v>
      </c>
      <c r="D15">
        <v>7200</v>
      </c>
      <c r="E15">
        <v>4400</v>
      </c>
      <c r="F15">
        <v>9600</v>
      </c>
      <c r="G15">
        <v>13800</v>
      </c>
      <c r="H15">
        <v>19500</v>
      </c>
      <c r="I15">
        <v>28800</v>
      </c>
      <c r="J15" s="31">
        <f t="shared" ref="J15:J17" si="1">SUM(C15:I15)</f>
        <v>94500</v>
      </c>
      <c r="N15" s="31">
        <f t="shared" ref="N15:N17" si="2">SUMPRODUCT(C5:I5,C24:I24)</f>
        <v>94500</v>
      </c>
    </row>
    <row r="16" spans="2:14" x14ac:dyDescent="0.3">
      <c r="B16" t="s">
        <v>48</v>
      </c>
      <c r="C16">
        <v>13440</v>
      </c>
      <c r="D16">
        <v>31040</v>
      </c>
      <c r="E16">
        <v>4800</v>
      </c>
      <c r="F16">
        <v>15680</v>
      </c>
      <c r="G16">
        <v>18560</v>
      </c>
      <c r="H16">
        <v>8400</v>
      </c>
      <c r="I16">
        <v>15360</v>
      </c>
      <c r="J16" s="31">
        <f t="shared" si="1"/>
        <v>107280</v>
      </c>
      <c r="N16" s="31">
        <f t="shared" si="2"/>
        <v>107280</v>
      </c>
    </row>
    <row r="17" spans="2:14" x14ac:dyDescent="0.3">
      <c r="B17" t="s">
        <v>49</v>
      </c>
      <c r="C17">
        <v>13200</v>
      </c>
      <c r="D17">
        <v>22400</v>
      </c>
      <c r="E17">
        <v>17200</v>
      </c>
      <c r="F17">
        <v>26000</v>
      </c>
      <c r="G17">
        <v>28800</v>
      </c>
      <c r="H17">
        <v>17000</v>
      </c>
      <c r="I17">
        <v>27000</v>
      </c>
      <c r="J17" s="31">
        <f t="shared" si="1"/>
        <v>151600</v>
      </c>
      <c r="N17" s="31">
        <f t="shared" si="2"/>
        <v>151600</v>
      </c>
    </row>
    <row r="21" spans="2:14" x14ac:dyDescent="0.3">
      <c r="B21" s="21"/>
      <c r="C21" s="21"/>
      <c r="D21" s="21"/>
      <c r="E21" s="21" t="s">
        <v>27</v>
      </c>
      <c r="F21" s="22"/>
      <c r="G21" s="22"/>
      <c r="H21" s="22"/>
      <c r="I21" s="22"/>
    </row>
    <row r="22" spans="2:14" x14ac:dyDescent="0.3">
      <c r="B22" s="8" t="s">
        <v>1</v>
      </c>
      <c r="C22" s="9" t="s">
        <v>3</v>
      </c>
      <c r="D22" s="9" t="s">
        <v>5</v>
      </c>
      <c r="E22" s="9" t="s">
        <v>7</v>
      </c>
      <c r="F22" s="9" t="s">
        <v>9</v>
      </c>
      <c r="G22" s="9" t="s">
        <v>11</v>
      </c>
      <c r="H22" s="9" t="s">
        <v>13</v>
      </c>
      <c r="I22" s="10" t="s">
        <v>15</v>
      </c>
    </row>
    <row r="23" spans="2:14" x14ac:dyDescent="0.3">
      <c r="B23" s="11" t="s">
        <v>20</v>
      </c>
      <c r="C23" s="25">
        <v>200</v>
      </c>
      <c r="D23" s="25">
        <v>200</v>
      </c>
      <c r="E23" s="25">
        <v>200</v>
      </c>
      <c r="F23" s="25">
        <v>200</v>
      </c>
      <c r="G23" s="25">
        <v>200</v>
      </c>
      <c r="H23" s="25">
        <v>250</v>
      </c>
      <c r="I23" s="26">
        <v>300</v>
      </c>
    </row>
    <row r="24" spans="2:14" x14ac:dyDescent="0.3">
      <c r="B24" s="14" t="s">
        <v>21</v>
      </c>
      <c r="C24" s="27">
        <v>200</v>
      </c>
      <c r="D24" s="27">
        <v>200</v>
      </c>
      <c r="E24" s="27">
        <v>200</v>
      </c>
      <c r="F24" s="27">
        <v>200</v>
      </c>
      <c r="G24" s="27">
        <v>200</v>
      </c>
      <c r="H24" s="27">
        <v>250</v>
      </c>
      <c r="I24" s="28">
        <v>300</v>
      </c>
    </row>
    <row r="25" spans="2:14" x14ac:dyDescent="0.3">
      <c r="B25" s="11" t="s">
        <v>22</v>
      </c>
      <c r="C25" s="25">
        <v>320</v>
      </c>
      <c r="D25" s="25">
        <v>320</v>
      </c>
      <c r="E25" s="25">
        <v>320</v>
      </c>
      <c r="F25" s="25">
        <v>320</v>
      </c>
      <c r="G25" s="25">
        <v>320</v>
      </c>
      <c r="H25" s="25">
        <v>400</v>
      </c>
      <c r="I25" s="26">
        <v>480</v>
      </c>
    </row>
    <row r="26" spans="2:14" x14ac:dyDescent="0.3">
      <c r="B26" s="4" t="s">
        <v>24</v>
      </c>
      <c r="C26" s="23">
        <v>400</v>
      </c>
      <c r="D26" s="23">
        <v>400</v>
      </c>
      <c r="E26" s="23">
        <v>400</v>
      </c>
      <c r="F26" s="23">
        <v>400</v>
      </c>
      <c r="G26" s="23">
        <v>400</v>
      </c>
      <c r="H26" s="23">
        <v>500</v>
      </c>
      <c r="I26" s="24">
        <v>600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工作表1</vt:lpstr>
      <vt:lpstr>工作表2</vt:lpstr>
      <vt:lpstr>Week1</vt:lpstr>
      <vt:lpstr>Week2</vt:lpstr>
      <vt:lpstr>Week3</vt:lpstr>
      <vt:lpstr>Week4</vt:lpstr>
      <vt:lpstr>Feb</vt:lpstr>
      <vt:lpstr>工讀金表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陳群翔</cp:lastModifiedBy>
  <dcterms:created xsi:type="dcterms:W3CDTF">2024-02-27T07:37:36Z</dcterms:created>
  <dcterms:modified xsi:type="dcterms:W3CDTF">2024-04-16T05:09:27Z</dcterms:modified>
</cp:coreProperties>
</file>