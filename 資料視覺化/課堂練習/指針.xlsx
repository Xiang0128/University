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大學\大二下\資料視覺化\"/>
    </mc:Choice>
  </mc:AlternateContent>
  <xr:revisionPtr revIDLastSave="0" documentId="13_ncr:1_{3215F7C5-A586-4430-A6D8-2F35CD9CB872}" xr6:coauthVersionLast="47" xr6:coauthVersionMax="47" xr10:uidLastSave="{00000000-0000-0000-0000-000000000000}"/>
  <bookViews>
    <workbookView xWindow="-108" yWindow="-108" windowWidth="23256" windowHeight="12456" activeTab="1" xr2:uid="{31F4CFEA-6CB8-42EE-8F88-C645E4FD1970}"/>
  </bookViews>
  <sheets>
    <sheet name="工作表1" sheetId="1" r:id="rId1"/>
    <sheet name="工作表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E3" i="3" s="1"/>
  <c r="B2" i="1"/>
  <c r="B4" i="1" s="1"/>
  <c r="B7" i="1" s="1"/>
  <c r="D3" i="3" l="1"/>
  <c r="A4" i="1"/>
  <c r="A7" i="1" s="1"/>
</calcChain>
</file>

<file path=xl/sharedStrings.xml><?xml version="1.0" encoding="utf-8"?>
<sst xmlns="http://schemas.openxmlformats.org/spreadsheetml/2006/main" count="13" uniqueCount="10">
  <si>
    <t>角度</t>
    <phoneticPr fontId="1" type="noConversion"/>
  </si>
  <si>
    <t>sin</t>
    <phoneticPr fontId="1" type="noConversion"/>
  </si>
  <si>
    <t>達成率</t>
    <phoneticPr fontId="1" type="noConversion"/>
  </si>
  <si>
    <t>弧度</t>
    <phoneticPr fontId="1" type="noConversion"/>
  </si>
  <si>
    <t>cos</t>
    <phoneticPr fontId="1" type="noConversion"/>
  </si>
  <si>
    <t>區段</t>
    <phoneticPr fontId="1" type="noConversion"/>
  </si>
  <si>
    <t>完成率</t>
    <phoneticPr fontId="1" type="noConversion"/>
  </si>
  <si>
    <t>X</t>
    <phoneticPr fontId="1" type="noConversion"/>
  </si>
  <si>
    <t>Y</t>
    <phoneticPr fontId="1" type="noConversion"/>
  </si>
  <si>
    <t>目標率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</si>
</sst>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2" fillId="0" borderId="0" xfId="0" applyFont="1" applyFill="1">
      <alignment vertical="center"/>
    </xf>
    <xf numFmtId="9" fontId="3" fillId="0" borderId="0" xfId="0" applyNumberFormat="1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631-4B5E-8A69-DCBC9DA1D67F}"/>
              </c:ext>
            </c:extLst>
          </c:dPt>
          <c:val>
            <c:numRef>
              <c:f>工作表1!$A$9:$A$15</c:f>
              <c:numCache>
                <c:formatCode>General</c:formatCode>
                <c:ptCount val="7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40</c:v>
                </c:pt>
                <c:pt idx="4">
                  <c:v>30</c:v>
                </c:pt>
                <c:pt idx="5">
                  <c:v>20</c:v>
                </c:pt>
                <c:pt idx="6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31-4B5E-8A69-DCBC9DA1D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  <a:headEnd type="oval"/>
              <a:tailEnd type="arrow"/>
            </a:ln>
            <a:effectLst/>
          </c:spPr>
          <c:marker>
            <c:symbol val="none"/>
          </c:marker>
          <c:xVal>
            <c:numRef>
              <c:f>工作表1!$A$6:$A$7</c:f>
              <c:numCache>
                <c:formatCode>General</c:formatCode>
                <c:ptCount val="2"/>
                <c:pt idx="0">
                  <c:v>0</c:v>
                </c:pt>
                <c:pt idx="1">
                  <c:v>-6.1257422745431001E-17</c:v>
                </c:pt>
              </c:numCache>
            </c:numRef>
          </c:xVal>
          <c:yVal>
            <c:numRef>
              <c:f>工作表1!$B$6:$B$7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631-4B5E-8A69-DCBC9DA1D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360848"/>
        <c:axId val="595370832"/>
      </c:scatterChart>
      <c:valAx>
        <c:axId val="595370832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95360848"/>
        <c:crossBetween val="midCat"/>
      </c:valAx>
      <c:valAx>
        <c:axId val="595360848"/>
        <c:scaling>
          <c:orientation val="minMax"/>
          <c:max val="1"/>
          <c:min val="-1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95370832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D64-4E3D-A1C3-E36A1917CDD0}"/>
              </c:ext>
            </c:extLst>
          </c:dPt>
          <c:val>
            <c:numRef>
              <c:f>工作表3!$F$2:$F$7</c:f>
              <c:numCache>
                <c:formatCode>General</c:formatCode>
                <c:ptCount val="6"/>
                <c:pt idx="0">
                  <c:v>30</c:v>
                </c:pt>
                <c:pt idx="1">
                  <c:v>35</c:v>
                </c:pt>
                <c:pt idx="2">
                  <c:v>50</c:v>
                </c:pt>
                <c:pt idx="3">
                  <c:v>35</c:v>
                </c:pt>
                <c:pt idx="4">
                  <c:v>30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4-4E3D-A1C3-E36A1917C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catterChart>
        <c:scatterStyle val="lineMarker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  <a:headEnd type="oval"/>
              <a:tailEnd type="arrow"/>
            </a:ln>
            <a:effectLst/>
          </c:spPr>
          <c:marker>
            <c:symbol val="none"/>
          </c:marker>
          <c:xVal>
            <c:numRef>
              <c:f>工作表3!$D$2:$D$3</c:f>
              <c:numCache>
                <c:formatCode>General</c:formatCode>
                <c:ptCount val="2"/>
                <c:pt idx="0">
                  <c:v>0</c:v>
                </c:pt>
                <c:pt idx="1">
                  <c:v>0.95105651629515353</c:v>
                </c:pt>
              </c:numCache>
            </c:numRef>
          </c:xVal>
          <c:yVal>
            <c:numRef>
              <c:f>工作表3!$E$2:$E$3</c:f>
              <c:numCache>
                <c:formatCode>General</c:formatCode>
                <c:ptCount val="2"/>
                <c:pt idx="0">
                  <c:v>0</c:v>
                </c:pt>
                <c:pt idx="1">
                  <c:v>0.30901699437494751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64-4E3D-A1C3-E36A1917C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353823"/>
        <c:axId val="1049350079"/>
      </c:scatterChart>
      <c:valAx>
        <c:axId val="1049350079"/>
        <c:scaling>
          <c:orientation val="minMax"/>
          <c:max val="1"/>
          <c:min val="-1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049353823"/>
        <c:crossBetween val="midCat"/>
      </c:valAx>
      <c:valAx>
        <c:axId val="1049353823"/>
        <c:scaling>
          <c:orientation val="minMax"/>
          <c:max val="1"/>
          <c:min val="-1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049350079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361950</xdr:colOff>
      <xdr:row>5</xdr:row>
      <xdr:rowOff>22860</xdr:rowOff>
    </xdr:from>
    <xdr:to>
      <xdr:col>15</xdr:col>
      <xdr:colOff>57150</xdr:colOff>
      <xdr:row>18</xdr:row>
      <xdr:rowOff>91440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DD859F8-DAE9-45A6-9D86-DE8E600FAD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217170</xdr:colOff>
      <xdr:row>4</xdr:row>
      <xdr:rowOff>38100</xdr:rowOff>
    </xdr:from>
    <xdr:to>
      <xdr:col>15</xdr:col>
      <xdr:colOff>521970</xdr:colOff>
      <xdr:row>17</xdr:row>
      <xdr:rowOff>106680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5B876B9-55C9-43C1-83B3-9DDE9587E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D827-8CF7-4E4D-B1C1-357F748B3934}">
  <dimension ref="A1:B15"/>
  <sheetViews>
    <sheetView workbookViewId="0">
      <selection activeCell="P14" sqref="P14"/>
    </sheetView>
  </sheetViews>
  <sheetFormatPr defaultRowHeight="16.2"/>
  <cols>
    <col min="1" max="1" width="9.6640625" style="2" bestFit="1" customWidth="1"/>
    <col min="2" max="16384" width="8.88671875" style="2"/>
  </cols>
  <sheetData>
    <row r="1" spans="1:2">
      <c r="A1" s="2" t="s">
        <v>2</v>
      </c>
      <c r="B1" s="2" t="s">
        <v>0</v>
      </c>
    </row>
    <row r="2" spans="1:2">
      <c r="A2" s="3">
        <v>0.5</v>
      </c>
      <c r="B2" s="2">
        <f>A2*180</f>
        <v>90</v>
      </c>
    </row>
    <row r="3" spans="1:2">
      <c r="A3" s="2" t="s">
        <v>3</v>
      </c>
      <c r="B3" s="2" t="s">
        <v>3</v>
      </c>
    </row>
    <row r="4" spans="1:2">
      <c r="A4" s="2">
        <f>RADIANS(B2)</f>
        <v>1.5707963267948966</v>
      </c>
      <c r="B4" s="2">
        <f>RADIANS(B2)</f>
        <v>1.5707963267948966</v>
      </c>
    </row>
    <row r="5" spans="1:2">
      <c r="A5" s="2" t="s">
        <v>4</v>
      </c>
      <c r="B5" s="2" t="s">
        <v>1</v>
      </c>
    </row>
    <row r="6" spans="1:2">
      <c r="A6" s="2">
        <v>0</v>
      </c>
      <c r="B6" s="2">
        <v>0</v>
      </c>
    </row>
    <row r="7" spans="1:2">
      <c r="A7" s="2">
        <f>-COS(A4)</f>
        <v>-6.1257422745431001E-17</v>
      </c>
      <c r="B7" s="2">
        <f>SIN(B4)</f>
        <v>1</v>
      </c>
    </row>
    <row r="8" spans="1:2">
      <c r="A8" s="2" t="s">
        <v>5</v>
      </c>
    </row>
    <row r="9" spans="1:2">
      <c r="A9" s="2">
        <v>20</v>
      </c>
    </row>
    <row r="10" spans="1:2">
      <c r="A10" s="2">
        <v>30</v>
      </c>
    </row>
    <row r="11" spans="1:2">
      <c r="A11" s="2">
        <v>40</v>
      </c>
    </row>
    <row r="12" spans="1:2">
      <c r="A12" s="2">
        <v>40</v>
      </c>
    </row>
    <row r="13" spans="1:2">
      <c r="A13" s="2">
        <v>30</v>
      </c>
    </row>
    <row r="14" spans="1:2">
      <c r="A14" s="2">
        <v>20</v>
      </c>
    </row>
    <row r="15" spans="1:2">
      <c r="A15" s="2">
        <v>180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33B2-CAE5-49DD-8E2F-5720AFC29A61}">
  <dimension ref="A1:F7"/>
  <sheetViews>
    <sheetView tabSelected="1" workbookViewId="0">
      <selection activeCell="A3" sqref="A3"/>
    </sheetView>
  </sheetViews>
  <sheetFormatPr defaultRowHeight="16.2"/>
  <sheetData>
    <row r="1" spans="1:6">
      <c r="A1" t="s">
        <v>6</v>
      </c>
      <c r="B1" t="s">
        <v>9</v>
      </c>
      <c r="C1" t="s">
        <v>0</v>
      </c>
      <c r="D1" t="s">
        <v>7</v>
      </c>
      <c r="E1" t="s">
        <v>8</v>
      </c>
      <c r="F1" t="s">
        <v>0</v>
      </c>
    </row>
    <row r="2" spans="1:6">
      <c r="A2" s="1">
        <v>0.9</v>
      </c>
      <c r="B2" s="1">
        <v>1</v>
      </c>
      <c r="C2">
        <f>A2/B2*180</f>
        <v>162</v>
      </c>
      <c r="D2">
        <v>0</v>
      </c>
      <c r="E2">
        <v>0</v>
      </c>
      <c r="F2">
        <v>30</v>
      </c>
    </row>
    <row r="3" spans="1:6">
      <c r="D3">
        <f>-COS(RADIANS(C2))</f>
        <v>0.95105651629515353</v>
      </c>
      <c r="E3">
        <f>SIN(RADIANS(C2))</f>
        <v>0.30901699437494751</v>
      </c>
      <c r="F3">
        <v>35</v>
      </c>
    </row>
    <row r="4" spans="1:6">
      <c r="F4">
        <v>50</v>
      </c>
    </row>
    <row r="5" spans="1:6">
      <c r="F5">
        <v>35</v>
      </c>
    </row>
    <row r="6" spans="1:6">
      <c r="F6">
        <v>30</v>
      </c>
    </row>
    <row r="7" spans="1:6">
      <c r="F7">
        <v>180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陳群翔</dc:creator>
  <cp:lastModifiedBy>陳群翔</cp:lastModifiedBy>
  <dcterms:created xsi:type="dcterms:W3CDTF">2024-06-04T05:00:12Z</dcterms:created>
  <dcterms:modified xsi:type="dcterms:W3CDTF">2024-06-04T06:57:34Z</dcterms:modified>
</cp:coreProperties>
</file>